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<sst xmlns="http://schemas.openxmlformats.org/spreadsheetml/2006/main" count="30353" uniqueCount="3158">
  <si>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</si>
  <si>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</si>
  <si>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</si>
  <si>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</si>
  <si>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</si>
  <si>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</si>
  <si>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</si>
  <si>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</si>
  <si>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</si>
  <si>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</si>
  <si>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</si>
  <si>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</si>
  <si>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</si>
  <si>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</si>
  <si>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</si>
  <si>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</si>
  <si>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</si>
  <si>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</si>
  <si>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</si>
  <si>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</si>
  <si>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</si>
  <si>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</si>
  <si>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</si>
  <si>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</si>
  <si>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</si>
  <si>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</si>
  <si>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</si>
  <si>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</si>
  <si>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</si>
  <si>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</si>
  <si>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</si>
  <si>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</si>
  <si>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</si>
  <si>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</si>
  <si>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</si>
  <si>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</si>
  <si>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</si>
  <si>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</si>
  <si>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</si>
  <si>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</si>
  <si>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</si>
  <si>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</si>
  <si>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</si>
  <si>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</si>
  <si>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</si>
  <si>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</si>
  <si>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</si>
  <si>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</si>
  <si>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</si>
  <si>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</si>
  <si>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</si>
  <si>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</si>
  <si>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</si>
  <si>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</si>
  <si>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</si>
  <si>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</si>
  <si>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</si>
  <si>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</si>
  <si>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</si>
  <si>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</si>
  <si>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</si>
  <si>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</si>
  <si>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</si>
  <si>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</si>
  <si>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</si>
  <si>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</si>
  <si>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</si>
  <si>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</si>
  <si>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</si>
  <si>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</si>
  <si>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</si>
  <si>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</si>
  <si>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</si>
  <si>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</si>
  <si>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</si>
  <si>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</si>
  <si>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</si>
  <si>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</si>
  <si>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</si>
  <si>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</si>
  <si>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</si>
  <si>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</si>
  <si>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</si>
  <si>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</si>
  <si>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</si>
  <si>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</si>
  <si>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</si>
  <si>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</si>
  <si>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</si>
  <si>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</si>
  <si>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</si>
  <si>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</si>
  <si>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</si>
  <si>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</si>
  <si>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</si>
  <si>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</si>
  <si>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</si>
  <si>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</si>
  <si>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</si>
  <si>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</si>
  <si>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</si>
  <si>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</si>
  <si>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</si>
  <si>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</si>
  <si>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</si>
  <si>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</si>
  <si>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</si>
  <si>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</si>
  <si>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</si>
  <si>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</si>
  <si>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</si>
  <si>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</si>
  <si>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</si>
  <si>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</si>
  <si>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</si>
  <si>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</si>
  <si>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</si>
  <si>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</si>
  <si>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</si>
  <si>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</si>
  <si>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</si>
  <si>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</si>
  <si>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</si>
  <si>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</si>
  <si>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</si>
  <si>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</si>
  <si>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</si>
  <si>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</si>
  <si>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</si>
  <si>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</si>
  <si>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</si>
  <si>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</si>
  <si>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</si>
  <si>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</si>
  <si>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</si>
  <si>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</si>
  <si>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</si>
  <si>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</si>
  <si>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</si>
  <si>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</si>
  <si>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</si>
  <si>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</si>
  <si>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</si>
  <si>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</si>
  <si>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</si>
  <si>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</si>
  <si>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</si>
  <si>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</si>
  <si>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</si>
  <si>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</si>
  <si>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</si>
  <si>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</si>
  <si>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</si>
  <si>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</si>
  <si>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</si>
  <si>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</si>
  <si>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</si>
  <si>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</si>
  <si>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</si>
  <si>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</si>
  <si>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</si>
  <si>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</si>
  <si>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</si>
  <si>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</si>
  <si>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</si>
  <si>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</si>
  <si>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</si>
  <si>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</si>
  <si>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</si>
  <si>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</si>
  <si>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</si>
  <si>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</si>
  <si>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</si>
  <si>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</si>
  <si>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</si>
  <si>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</si>
  <si>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</si>
  <si>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</si>
  <si>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</si>
  <si>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</si>
  <si>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</si>
  <si>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</si>
  <si>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</si>
  <si>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</si>
  <si>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</si>
  <si>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</si>
  <si>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</si>
  <si>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</si>
  <si>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</si>
  <si>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</si>
  <si>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</si>
  <si>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</si>
  <si>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</si>
  <si>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</si>
  <si>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</si>
  <si>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</si>
  <si>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</si>
  <si>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</si>
  <si>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</si>
  <si>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</si>
  <si>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</si>
  <si>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</si>
  <si>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</si>
  <si>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</si>
  <si>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</si>
  <si>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</si>
  <si>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</si>
  <si>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</si>
  <si>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</si>
  <si>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</si>
  <si>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</si>
  <si>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</si>
  <si>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</si>
  <si>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</si>
  <si>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</si>
  <si>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</si>
  <si>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</si>
  <si>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</si>
  <si>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</si>
  <si>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</si>
  <si>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</si>
  <si>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</si>
  <si>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</si>
  <si>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</si>
  <si>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</si>
  <si>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</si>
  <si>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</si>
  <si>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</si>
  <si>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</si>
  <si>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</si>
  <si>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</si>
  <si>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</si>
  <si>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</si>
  <si>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</si>
  <si>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</si>
  <si>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</si>
  <si>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</si>
  <si>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</si>
  <si>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</si>
  <si>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</si>
  <si>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</si>
  <si>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</si>
  <si>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</si>
  <si>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</si>
  <si>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</si>
  <si>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</si>
  <si>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</si>
  <si>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</si>
  <si>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</si>
  <si>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</si>
  <si>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</si>
  <si>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</si>
  <si>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</si>
  <si>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</si>
  <si>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</si>
  <si>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</si>
  <si>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</si>
  <si>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</si>
  <si>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</si>
  <si>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</si>
  <si>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</si>
  <si>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</si>
  <si>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</si>
  <si>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</si>
  <si>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</si>
  <si>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</si>
  <si>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</si>
  <si>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</si>
  <si>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</si>
  <si>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</si>
  <si>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</si>
  <si>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</si>
  <si>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</si>
  <si>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</si>
  <si>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</si>
  <si>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</si>
  <si>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</si>
  <si>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</si>
  <si>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</si>
  <si>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</si>
  <si>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</si>
  <si>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</si>
  <si>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</si>
  <si>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</si>
  <si>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</si>
  <si>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</si>
  <si>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</si>
  <si>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</si>
  <si>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</si>
  <si>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</si>
  <si>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</si>
  <si>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</si>
  <si>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</si>
  <si>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</si>
  <si>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</si>
  <si>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</si>
  <si>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</si>
  <si>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</si>
  <si>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</si>
  <si>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</si>
  <si>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</si>
  <si>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</si>
  <si>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</si>
  <si>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</si>
  <si>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</si>
  <si>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</si>
  <si>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</si>
  <si>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</si>
  <si>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</si>
  <si>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</si>
  <si>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</si>
  <si>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</si>
  <si>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</si>
  <si>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</si>
  <si>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</si>
  <si>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</si>
  <si>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</si>
  <si>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</si>
  <si>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</si>
  <si>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</si>
  <si>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</si>
  <si>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</si>
  <si>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</si>
  <si>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</si>
  <si>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</si>
  <si>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</si>
  <si>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</si>
  <si>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</si>
  <si>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</si>
  <si>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</si>
  <si>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</si>
  <si>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</si>
  <si>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</si>
  <si>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</si>
  <si>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</si>
  <si>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</si>
  <si>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</si>
  <si>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</si>
  <si>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</si>
  <si>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</si>
  <si>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</si>
  <si>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</si>
  <si>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</si>
  <si>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</si>
  <si>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</si>
  <si>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</si>
  <si>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</si>
  <si>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</si>
  <si>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</si>
  <si>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</si>
  <si>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</si>
  <si>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</si>
  <si>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</si>
  <si>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</si>
  <si>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</si>
  <si>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</si>
  <si>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</si>
  <si>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</si>
  <si>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</si>
  <si>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</si>
  <si>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</si>
  <si>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</si>
  <si>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</si>
  <si>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</si>
  <si>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</si>
  <si>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</si>
  <si>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</si>
  <si>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</si>
  <si>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</si>
  <si>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</si>
  <si>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</si>
  <si>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</si>
  <si>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</si>
  <si>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</si>
  <si>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</si>
  <si>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</si>
  <si>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</si>
  <si>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</si>
  <si>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</si>
  <si>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</si>
  <si>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</si>
  <si>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</si>
  <si>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</si>
  <si>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</si>
  <si>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</si>
  <si>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</si>
  <si>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</si>
  <si>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</si>
  <si>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</si>
  <si>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</si>
  <si>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</si>
  <si>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</si>
  <si>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</si>
  <si>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</si>
  <si>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</si>
  <si>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</si>
  <si>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</si>
  <si>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</si>
  <si>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</si>
  <si>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</si>
  <si>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</si>
  <si>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</si>
  <si>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</si>
  <si>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</si>
  <si>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</si>
  <si>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</si>
  <si>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</si>
  <si>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</si>
  <si>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</si>
  <si>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</si>
  <si>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</si>
  <si>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</si>
  <si>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</si>
  <si>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</si>
  <si>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</si>
  <si>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</si>
  <si>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</si>
  <si>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</si>
  <si>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</si>
  <si>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</si>
  <si>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</si>
  <si>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</si>
  <si>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</si>
  <si>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</si>
  <si>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</si>
  <si>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</si>
  <si>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</si>
  <si>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</si>
  <si>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</si>
  <si>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</si>
  <si>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</si>
  <si>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</si>
  <si>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</si>
  <si>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</si>
  <si>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</si>
  <si>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</si>
  <si>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</si>
  <si>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</si>
  <si>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</si>
  <si>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</si>
  <si>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</si>
  <si>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</si>
  <si>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</si>
  <si>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</si>
  <si>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</si>
  <si>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</si>
  <si>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</si>
  <si>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</si>
  <si>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</si>
  <si>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</si>
  <si>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</si>
  <si>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</si>
  <si>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</si>
  <si>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</si>
  <si>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</si>
  <si>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</si>
  <si>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</si>
  <si>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</si>
  <si>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</si>
  <si>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</si>
  <si>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</si>
  <si>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</si>
  <si>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</si>
  <si>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</si>
  <si>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</si>
  <si>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</si>
  <si>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</si>
  <si>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</si>
  <si>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</si>
  <si>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</si>
  <si>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</si>
  <si>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</si>
  <si>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</si>
  <si>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</si>
  <si>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</si>
  <si>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</si>
  <si>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</si>
  <si>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</si>
  <si>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</si>
  <si>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</si>
  <si>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</si>
  <si>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</si>
  <si>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</si>
  <si>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</si>
  <si>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</si>
  <si>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</si>
  <si>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</si>
  <si>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</si>
  <si>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</si>
  <si>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</si>
  <si>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</si>
  <si>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</si>
  <si>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</si>
  <si>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</si>
  <si>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</si>
  <si>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</si>
  <si>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</si>
  <si>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</si>
  <si>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</si>
  <si>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</si>
  <si>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</si>
  <si>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</si>
  <si>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</si>
  <si>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</si>
  <si>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</si>
  <si>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</si>
  <si>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</si>
  <si>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</si>
  <si>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</si>
  <si>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</si>
  <si>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</si>
  <si>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</si>
  <si>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</si>
  <si>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</si>
  <si>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</si>
  <si>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</si>
  <si>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</si>
  <si>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</si>
  <si>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</si>
  <si>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</si>
  <si>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</si>
  <si>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</si>
  <si>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</si>
  <si>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</si>
  <si>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</si>
  <si>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</si>
  <si>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</si>
  <si>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</si>
  <si>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</si>
  <si>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</si>
  <si>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</si>
  <si>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</si>
  <si>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</si>
  <si>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</si>
  <si>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</si>
  <si>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</si>
  <si>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</si>
  <si>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</si>
  <si>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</si>
  <si>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</si>
  <si>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</si>
  <si>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</si>
  <si>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</si>
  <si>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</si>
  <si>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</si>
  <si>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</si>
  <si>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</si>
  <si>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</si>
  <si>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</si>
  <si>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</si>
  <si>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</si>
  <si>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</si>
  <si>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</si>
  <si>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</si>
  <si>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</si>
  <si>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</si>
  <si>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</si>
  <si>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</si>
  <si>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</si>
  <si>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</si>
  <si>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</si>
  <si>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</si>
  <si>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</si>
  <si>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</si>
  <si>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</si>
  <si>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</si>
  <si>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</si>
  <si>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</si>
  <si>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</si>
  <si>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</si>
  <si>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</si>
  <si>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</si>
  <si>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</si>
  <si>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</si>
  <si>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</si>
  <si>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</si>
  <si>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</si>
  <si>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</si>
  <si>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</si>
  <si>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</si>
  <si>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</si>
  <si>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</si>
  <si>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</si>
  <si>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</si>
  <si>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</si>
  <si>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</si>
  <si>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</si>
  <si>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</si>
  <si>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</si>
  <si>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</si>
  <si>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</si>
  <si>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</si>
  <si>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</si>
  <si>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</si>
  <si>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</si>
  <si>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</si>
  <si>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</si>
  <si>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</si>
  <si>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</si>
  <si>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</si>
  <si>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</si>
  <si>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</si>
  <si>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</si>
  <si>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</si>
  <si>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</si>
  <si>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</si>
  <si>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</si>
  <si>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</si>
  <si>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</si>
  <si>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</si>
  <si>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</si>
  <si>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</si>
  <si>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</si>
  <si>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</si>
  <si>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</si>
  <si>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</si>
  <si>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</si>
  <si>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</si>
  <si>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</si>
  <si>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</si>
  <si>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</si>
  <si>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</si>
  <si>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</si>
  <si>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</si>
  <si>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</si>
  <si>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</si>
  <si>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</si>
  <si>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</si>
  <si>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</si>
  <si>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</si>
  <si>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</si>
  <si>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</si>
  <si>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</si>
  <si>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</si>
  <si>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</si>
  <si>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</si>
  <si>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</si>
  <si>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</si>
  <si>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</si>
  <si>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</si>
  <si>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</si>
  <si>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</si>
  <si>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</si>
  <si>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</si>
  <si>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</si>
  <si>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</si>
  <si>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</si>
  <si>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</si>
  <si>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</si>
  <si>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</si>
  <si>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</si>
  <si>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</si>
  <si>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</si>
  <si>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</si>
  <si>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</si>
  <si>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</si>
  <si>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</si>
  <si>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</si>
  <si>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</si>
  <si>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</si>
  <si>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</si>
  <si>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</si>
  <si>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</si>
  <si>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</si>
  <si>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</si>
  <si>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</si>
  <si>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</si>
  <si>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</si>
  <si>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</si>
  <si>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</si>
  <si>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</si>
  <si>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</si>
  <si>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</si>
  <si>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</si>
  <si>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</si>
  <si>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</si>
  <si>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</si>
  <si>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</si>
  <si>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</si>
  <si>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</si>
  <si>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</si>
  <si>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</si>
  <si>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</si>
  <si>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</si>
  <si>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</si>
  <si>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</si>
  <si>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</si>
  <si>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</si>
  <si>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</si>
  <si>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</si>
  <si>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</si>
  <si>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</si>
  <si>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</si>
  <si>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</si>
  <si>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</si>
  <si>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</si>
  <si>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</si>
  <si>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</si>
  <si>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</si>
  <si>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</si>
  <si>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</si>
  <si>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</si>
  <si>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</si>
  <si>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</si>
  <si>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</si>
  <si>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</si>
  <si>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</si>
  <si>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</si>
  <si>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</si>
  <si>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</si>
  <si>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</si>
  <si>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</si>
  <si>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</si>
  <si>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</si>
  <si>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</si>
  <si>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</si>
  <si>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</si>
  <si>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</si>
  <si>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</si>
  <si>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</si>
  <si>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</si>
  <si>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</si>
  <si>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</si>
  <si>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</si>
  <si>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</si>
  <si>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</si>
  <si>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</si>
  <si>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</si>
  <si>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</si>
  <si>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</si>
  <si>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</si>
  <si>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</si>
  <si>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</si>
  <si>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</si>
  <si>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</si>
  <si>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</si>
  <si>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</si>
  <si>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</si>
  <si>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</si>
  <si>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</si>
  <si>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</si>
  <si>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</si>
  <si>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</si>
  <si>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</si>
  <si>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</si>
  <si>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</si>
  <si>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</si>
  <si>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</si>
  <si>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</si>
  <si>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</si>
  <si>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</si>
  <si>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</si>
  <si>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</si>
  <si>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</si>
  <si>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</si>
  <si>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</si>
  <si>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</si>
  <si>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</si>
  <si>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</si>
  <si>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</si>
  <si>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</si>
  <si>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</si>
  <si>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</si>
  <si>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</si>
  <si>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</si>
  <si>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</si>
  <si>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</si>
  <si>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</si>
  <si>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</si>
  <si>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</si>
  <si>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</si>
  <si>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</si>
  <si>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</si>
  <si>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</si>
  <si>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</si>
  <si>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</si>
  <si>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</si>
  <si>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</si>
  <si>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</si>
  <si>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</si>
  <si>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</si>
  <si>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</si>
  <si>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</si>
  <si>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</si>
  <si>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</si>
  <si>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</si>
  <si>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</si>
  <si>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</si>
  <si>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</si>
  <si>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</si>
  <si>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</si>
  <si>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</si>
  <si>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</si>
  <si>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</si>
  <si>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</si>
  <si>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</si>
  <si>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</si>
  <si>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</si>
  <si>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</si>
  <si>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</si>
  <si>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</si>
  <si>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</si>
  <si>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</si>
  <si>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</si>
  <si>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</si>
  <si>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</si>
  <si>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</si>
  <si>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</si>
  <si>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</si>
  <si>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</si>
  <si>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</si>
  <si>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</si>
  <si>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</si>
  <si>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</si>
  <si>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</si>
  <si>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</si>
  <si>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</si>
  <si>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</si>
  <si>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</si>
  <si>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</si>
  <si>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</si>
  <si>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</si>
  <si>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</si>
  <si>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</si>
  <si>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</si>
  <si>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</si>
  <si>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</si>
  <si>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</si>
  <si>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</si>
  <si>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</si>
  <si>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</si>
  <si>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</si>
  <si>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</si>
  <si>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</si>
  <si>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</si>
  <si>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</si>
  <si>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</si>
  <si>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</si>
  <si>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</si>
  <si>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</si>
  <si>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</si>
  <si>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</si>
  <si>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</si>
  <si>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</si>
  <si>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</si>
  <si>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</si>
  <si>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</si>
  <si>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</si>
  <si>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</si>
  <si>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</si>
  <si>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</si>
  <si>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</si>
  <si>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</si>
  <si>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</si>
  <si>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</si>
  <si>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</si>
  <si>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</si>
  <si>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</si>
  <si>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</si>
  <si>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</si>
  <si>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</si>
  <si>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</si>
  <si>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</si>
  <si>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</si>
  <si>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</si>
  <si>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</si>
  <si>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</si>
  <si>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</si>
  <si>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</si>
  <si>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</si>
  <si>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</si>
  <si>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</si>
  <si>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</si>
  <si>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</si>
  <si>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</si>
  <si>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</si>
  <si>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</si>
  <si>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</si>
  <si>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</si>
  <si>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</si>
  <si>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</si>
  <si>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</si>
  <si>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</si>
  <si>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</si>
  <si>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</si>
  <si>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</si>
  <si>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</si>
  <si>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</si>
  <si>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</si>
  <si>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</si>
  <si>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</si>
  <si>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</si>
  <si>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</si>
  <si>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</si>
  <si>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</si>
  <si>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</si>
  <si>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</si>
  <si>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</si>
  <si>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</si>
  <si>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</si>
  <si>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</si>
  <si>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</si>
  <si>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</si>
  <si>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</si>
  <si>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</si>
  <si>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</si>
  <si>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</si>
  <si>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</si>
  <si>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</si>
  <si>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</si>
  <si>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</si>
  <si>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</si>
  <si>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</si>
  <si>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</si>
  <si>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</si>
  <si>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</si>
  <si>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</si>
  <si>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</si>
  <si>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</si>
  <si>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</si>
  <si>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</si>
  <si>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</si>
  <si>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</si>
  <si>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</si>
  <si>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</si>
  <si>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</si>
  <si>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</si>
  <si>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</si>
  <si>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</si>
  <si>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</si>
  <si>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</si>
  <si>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</si>
  <si>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</si>
  <si>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</si>
  <si>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</si>
  <si>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</si>
  <si>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</si>
  <si>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</si>
  <si>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</si>
  <si>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</si>
  <si>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</si>
  <si>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</si>
  <si>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</si>
  <si>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</si>
  <si>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</si>
  <si>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</si>
  <si>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</si>
  <si>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</si>
  <si>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</si>
  <si>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</si>
  <si>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</si>
  <si>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</si>
  <si>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</si>
  <si>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</si>
  <si>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</si>
  <si>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</si>
  <si>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</si>
  <si>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</si>
  <si>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</si>
  <si>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</si>
  <si>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</si>
  <si>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</si>
  <si>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</si>
  <si>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</si>
  <si>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</si>
  <si>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</si>
  <si>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</si>
  <si>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</si>
  <si>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</si>
  <si>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</si>
  <si>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</si>
  <si>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</si>
  <si>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</si>
  <si>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</si>
  <si>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</si>
  <si>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</si>
  <si>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</si>
  <si>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</si>
  <si>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</si>
  <si>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</si>
  <si>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</si>
  <si>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</si>
  <si>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</si>
  <si>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</si>
  <si>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</si>
  <si>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</si>
  <si>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</si>
  <si>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</si>
  <si>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</si>
  <si>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</si>
  <si>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</si>
  <si>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</si>
  <si>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</si>
  <si>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</si>
  <si>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</si>
  <si>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</si>
  <si>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</si>
  <si>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</si>
  <si>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</si>
  <si>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</si>
  <si>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</si>
  <si>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</si>
  <si>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</si>
  <si>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</si>
  <si>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</si>
  <si>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</si>
  <si>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</si>
  <si>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</si>
  <si>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</si>
  <si>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</si>
  <si>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</si>
  <si>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</si>
  <si>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</si>
  <si>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</si>
  <si>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</si>
  <si>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</si>
  <si>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</si>
  <si>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</si>
  <si>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</si>
  <si>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</si>
  <si>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</si>
  <si>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</si>
  <si>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</si>
  <si>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</si>
  <si>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</si>
  <si>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</si>
  <si>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</si>
  <si>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</si>
  <si>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</si>
  <si>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</si>
  <si>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</si>
  <si>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</si>
  <si>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</si>
  <si>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</si>
  <si>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</si>
  <si>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</si>
  <si>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</si>
  <si>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</si>
  <si>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</si>
  <si>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</si>
  <si>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</si>
  <si>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</si>
  <si>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</si>
  <si>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</si>
  <si>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</si>
  <si>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</si>
  <si>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</si>
  <si>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</si>
  <si>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</si>
  <si>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</si>
  <si>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</si>
  <si>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</si>
  <si>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</si>
  <si>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</si>
  <si>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</si>
  <si>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</si>
  <si>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</si>
  <si>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</si>
  <si>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</si>
  <si>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</si>
  <si>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</si>
  <si>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</si>
  <si>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</si>
  <si>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</si>
  <si>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</si>
  <si>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</si>
  <si>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</si>
  <si>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</si>
  <si>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</si>
  <si>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</si>
  <si>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</si>
  <si>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</si>
  <si>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</si>
  <si>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</si>
  <si>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</si>
  <si>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</si>
  <si>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</si>
  <si>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</si>
  <si>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</si>
  <si>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</si>
  <si>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</si>
  <si>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</si>
  <si>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</si>
  <si>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</si>
  <si>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</si>
  <si>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</si>
  <si>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</si>
  <si>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</si>
  <si>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</si>
  <si>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</si>
  <si>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</si>
  <si>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</si>
  <si>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</si>
  <si>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</si>
  <si>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</si>
  <si>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</si>
  <si>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</si>
  <si>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</si>
  <si>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</si>
  <si>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</si>
  <si>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</si>
  <si>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</si>
  <si>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</si>
  <si>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</si>
  <si>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</si>
  <si>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</si>
  <si>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</si>
  <si>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</si>
  <si>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</si>
  <si>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</si>
  <si>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</si>
  <si>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</si>
  <si>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</si>
  <si>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</si>
  <si>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</si>
  <si>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</si>
  <si>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</si>
  <si>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</si>
  <si>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</si>
  <si>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</si>
  <si>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</si>
  <si>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</si>
  <si>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</si>
  <si>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</si>
  <si>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</si>
  <si>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</si>
  <si>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</si>
  <si>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</si>
  <si>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</si>
  <si>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</si>
  <si>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</si>
  <si>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</si>
  <si>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</si>
  <si>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</si>
  <si>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</si>
  <si>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</si>
  <si>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</si>
  <si>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</si>
  <si>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</si>
  <si>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</si>
  <si>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</si>
  <si>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</si>
  <si>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</si>
  <si>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</si>
  <si>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</si>
  <si>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</si>
  <si>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</si>
  <si>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</si>
  <si>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</si>
  <si>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</si>
  <si>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</si>
  <si>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</si>
  <si>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</si>
  <si>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</si>
  <si>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</si>
  <si>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</si>
  <si>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</si>
  <si>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</si>
  <si>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</si>
  <si>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</si>
  <si>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</si>
  <si>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</si>
  <si>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</si>
  <si>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</si>
  <si>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</si>
  <si>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</si>
  <si>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</si>
  <si>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</si>
  <si>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</si>
  <si>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</si>
  <si>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</si>
  <si>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</si>
  <si>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</si>
  <si>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</si>
  <si>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</si>
  <si>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</si>
  <si>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</si>
  <si>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</si>
  <si>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</si>
  <si>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</si>
  <si>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</si>
  <si>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</si>
  <si>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</si>
  <si>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</si>
  <si>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</si>
  <si>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</si>
  <si>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</si>
  <si>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</si>
  <si>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</si>
  <si>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</si>
  <si>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</si>
  <si>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</si>
  <si>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</si>
  <si>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</si>
  <si>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</si>
  <si>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</si>
  <si>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</si>
  <si>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</si>
  <si>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</si>
  <si>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</si>
  <si>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</si>
  <si>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</si>
  <si>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</si>
  <si>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</si>
  <si>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</si>
  <si>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</si>
  <si>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</si>
  <si>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</si>
  <si>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</si>
  <si>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</si>
  <si>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</si>
  <si>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</si>
  <si>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</si>
  <si>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</si>
  <si>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</si>
  <si>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</si>
  <si>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</si>
  <si>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</si>
  <si>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</si>
  <si>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</si>
  <si>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</si>
  <si>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</si>
  <si>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</si>
  <si>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</si>
  <si>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</si>
  <si>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</si>
  <si>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</si>
  <si>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</si>
  <si>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</si>
  <si>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</si>
  <si>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</si>
  <si>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</si>
  <si>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</si>
  <si>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</si>
  <si>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</si>
  <si>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</si>
  <si>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</si>
  <si>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</si>
  <si>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</si>
  <si>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</si>
  <si>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</si>
  <si>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</si>
  <si>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</si>
  <si>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</si>
  <si>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</si>
  <si>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</si>
  <si>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</si>
  <si>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</si>
  <si>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</si>
  <si>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</si>
  <si>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</si>
  <si>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</si>
  <si>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</si>
  <si>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</si>
  <si>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</si>
  <si>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</si>
  <si>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</si>
  <si>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</si>
  <si>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</si>
  <si>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</si>
  <si>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</si>
  <si>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</si>
  <si>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</si>
  <si>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</si>
  <si>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</si>
  <si>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</si>
  <si>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</si>
  <si>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</si>
  <si>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</si>
  <si>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</si>
  <si>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</si>
  <si>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</si>
  <si>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</si>
  <si>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</si>
  <si>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</si>
  <si>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</si>
  <si>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</si>
  <si>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</si>
  <si>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</si>
  <si>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</si>
  <si>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</si>
  <si>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</si>
  <si>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</si>
  <si>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</si>
  <si>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</si>
  <si>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</si>
  <si>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</si>
  <si>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</si>
  <si>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</si>
  <si>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</si>
  <si>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</si>
  <si>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</si>
  <si>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</si>
  <si>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</si>
  <si>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</si>
  <si>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</si>
  <si>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</si>
  <si>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</si>
  <si>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</si>
  <si>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</si>
  <si>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</si>
  <si>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</si>
  <si>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</si>
  <si>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</si>
  <si>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</si>
  <si>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</si>
  <si>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</si>
  <si>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</si>
  <si>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</si>
  <si>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</si>
  <si>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</si>
  <si>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</si>
  <si>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</si>
  <si>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</si>
  <si>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</si>
  <si>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</si>
  <si>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</si>
  <si>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</si>
  <si>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</si>
  <si>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</si>
  <si>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</si>
  <si>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</si>
  <si>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</si>
  <si>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</si>
  <si>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</si>
  <si>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</si>
  <si>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</si>
  <si>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</si>
  <si>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</si>
  <si>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</si>
  <si>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</si>
  <si>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</si>
  <si>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</si>
  <si>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</si>
  <si>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</si>
  <si>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</si>
  <si>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</si>
  <si>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</si>
  <si>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</si>
  <si>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</si>
  <si>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</si>
  <si>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</si>
  <si>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</si>
  <si>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</si>
  <si>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</si>
  <si>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</si>
  <si>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</si>
  <si>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</si>
  <si>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</si>
  <si>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</si>
  <si>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</si>
  <si>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</si>
  <si>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</si>
  <si>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</si>
  <si>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</si>
  <si>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</si>
  <si>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</si>
  <si>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</si>
  <si>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</si>
  <si>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</si>
  <si>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</si>
  <si>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</si>
  <si>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</si>
  <si>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</si>
  <si>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</si>
  <si>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</si>
  <si>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</si>
  <si>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</si>
  <si>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</si>
  <si>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</si>
  <si>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</si>
  <si>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</si>
  <si>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</si>
  <si>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</si>
  <si>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</si>
  <si>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</si>
  <si>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</si>
  <si>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</si>
  <si>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</si>
  <si>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</si>
  <si>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</si>
  <si>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</si>
  <si>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</si>
  <si>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</si>
  <si>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</si>
  <si>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</si>
  <si>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</si>
  <si>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</si>
  <si>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</si>
  <si>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</si>
  <si>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</si>
  <si>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</si>
  <si>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</si>
  <si>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</si>
  <si>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</si>
  <si>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</si>
  <si>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</si>
  <si>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</si>
  <si>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</si>
  <si>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</si>
  <si>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</si>
  <si>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</si>
  <si>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</si>
  <si>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</si>
  <si>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</si>
  <si>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</si>
  <si>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</si>
  <si>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</si>
  <si>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</si>
  <si>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</si>
  <si>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</si>
  <si>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</si>
  <si>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</si>
  <si>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</si>
  <si>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</si>
  <si>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</si>
  <si>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</si>
  <si>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</si>
  <si>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</si>
  <si>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</si>
  <si>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</si>
  <si>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</si>
  <si>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</si>
  <si>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</si>
  <si>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</si>
  <si>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</si>
  <si>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</si>
  <si>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</si>
  <si>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</si>
  <si>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</si>
  <si>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</si>
  <si>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</si>
  <si>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</si>
  <si>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</si>
  <si>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</si>
  <si>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</si>
  <si>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</si>
  <si>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</si>
  <si>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</si>
  <si>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</si>
  <si>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</si>
  <si>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</si>
  <si>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</si>
  <si>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</si>
  <si>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</si>
  <si>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</si>
  <si>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</si>
  <si>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</si>
  <si>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</si>
  <si>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</si>
  <si>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</si>
  <si>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</si>
  <si>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</si>
  <si>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</si>
  <si>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</si>
  <si>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</si>
  <si>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</si>
  <si>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</si>
  <si>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</si>
  <si>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</si>
  <si>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</si>
  <si>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</si>
  <si>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</si>
  <si>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</si>
  <si>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</si>
  <si>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</si>
  <si>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</si>
  <si>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</si>
  <si>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</si>
  <si>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</si>
  <si>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</si>
  <si>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</si>
  <si>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</si>
  <si>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</si>
  <si>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</si>
  <si>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</si>
  <si>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</si>
  <si>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</si>
  <si>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</si>
  <si>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</si>
  <si>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</si>
  <si>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</si>
  <si>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</si>
  <si>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</si>
  <si>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</si>
  <si>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</si>
  <si>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</si>
  <si>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</si>
  <si>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</si>
  <si>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</si>
  <si>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</si>
  <si>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</si>
  <si>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</si>
  <si>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</si>
  <si>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</si>
  <si>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</si>
  <si>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</si>
  <si>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</si>
  <si>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</si>
  <si>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</si>
  <si>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</si>
  <si>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</si>
  <si>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</si>
  <si>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</si>
  <si>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</si>
  <si>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</si>
  <si>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</si>
  <si>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</si>
  <si>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</si>
  <si>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</si>
  <si>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</si>
  <si>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</si>
  <si>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</si>
  <si>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</si>
  <si>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</si>
  <si>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</si>
  <si>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</si>
  <si>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</si>
  <si>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</si>
  <si>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</si>
  <si>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</si>
  <si>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</si>
  <si>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</si>
  <si>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</si>
  <si>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</si>
  <si>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</si>
  <si>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</si>
  <si>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</si>
  <si>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</si>
  <si>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</si>
  <si>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</si>
  <si>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</si>
  <si>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</si>
  <si>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</si>
  <si>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</si>
  <si>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</si>
  <si>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</si>
  <si>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</si>
  <si>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</si>
  <si>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</si>
  <si>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</si>
  <si>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</si>
  <si>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</si>
  <si>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</si>
  <si>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</si>
  <si>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</si>
  <si>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</si>
  <si>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</si>
  <si>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</si>
  <si>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</si>
  <si>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</si>
  <si>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</si>
  <si>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</si>
  <si>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</si>
  <si>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</si>
  <si>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</si>
  <si>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</si>
  <si>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</si>
  <si>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</si>
  <si>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</si>
  <si>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</si>
  <si>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</si>
  <si>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</si>
  <si>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</si>
  <si>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</si>
  <si>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</si>
  <si>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</si>
  <si>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</si>
  <si>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</si>
  <si>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</si>
  <si>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</si>
  <si>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</si>
  <si>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</si>
  <si>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</si>
  <si>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</si>
  <si>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</si>
  <si>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</si>
  <si>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</si>
  <si>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</si>
  <si>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</si>
  <si>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</si>
  <si>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</si>
  <si>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</si>
  <si>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</si>
  <si>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</si>
  <si>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</si>
  <si>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</si>
  <si>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</si>
  <si>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</si>
  <si>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</si>
  <si>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</si>
  <si>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</si>
  <si>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</si>
  <si>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</si>
  <si>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</si>
  <si>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</si>
  <si>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</si>
  <si>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</si>
  <si>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</si>
  <si>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</si>
  <si>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</si>
  <si>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</si>
  <si>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</si>
  <si>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</si>
  <si>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</si>
  <si>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</si>
  <si>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</si>
  <si>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</si>
  <si>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</si>
  <si>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</si>
  <si>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</si>
  <si>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</si>
  <si>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</si>
  <si>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</si>
  <si>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</si>
  <si>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</si>
  <si>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</si>
  <si>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</si>
  <si>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</si>
  <si>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</si>
  <si>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</si>
  <si>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</si>
  <si>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</si>
  <si>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</si>
  <si>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</si>
  <si>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</si>
  <si>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</si>
  <si>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</si>
  <si>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</si>
  <si>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</si>
  <si>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</si>
  <si>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</si>
  <si>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</si>
  <si>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</si>
  <si>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</si>
  <si>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</si>
  <si>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</si>
  <si>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</si>
  <si>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</si>
  <si>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</si>
  <si>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</si>
  <si>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</si>
  <si>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</si>
  <si>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</si>
  <si>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</si>
  <si>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</si>
  <si>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</si>
  <si>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</si>
  <si>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</si>
  <si>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</si>
  <si>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</si>
  <si>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</si>
  <si>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</si>
  <si>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</si>
  <si>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</si>
  <si>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</si>
  <si>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</si>
  <si>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</si>
  <si>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</si>
  <si>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</si>
  <si>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</si>
  <si>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</si>
  <si>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</si>
  <si>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</si>
  <si>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</si>
  <si>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</si>
  <si>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</si>
  <si>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</si>
  <si>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</si>
  <si>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</si>
  <si>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</si>
  <si>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</si>
  <si>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</si>
  <si>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</si>
  <si>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</si>
  <si>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</si>
  <si>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</si>
  <si>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</si>
  <si>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</si>
  <si>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</si>
  <si>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</si>
  <si>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</si>
  <si>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</si>
  <si>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</si>
  <si>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</si>
  <si>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</si>
  <si>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</si>
  <si>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</si>
  <si>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</si>
  <si>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</si>
  <si>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</si>
  <si>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</si>
  <si>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</si>
  <si>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</si>
  <si>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</si>
  <si>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</si>
  <si>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</si>
  <si>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</si>
  <si>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</si>
  <si>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</si>
  <si>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</si>
  <si>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</si>
  <si>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</si>
  <si>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</si>
  <si>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</si>
  <si>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</si>
  <si>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</si>
  <si>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</si>
  <si>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</si>
  <si>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</si>
  <si>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</si>
  <si>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</si>
  <si>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</si>
  <si>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</si>
  <si>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</si>
  <si>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</si>
  <si>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</si>
  <si>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</si>
  <si>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</si>
  <si>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</si>
  <si>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</si>
  <si>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</si>
  <si>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</si>
  <si>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</si>
  <si>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</si>
  <si>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</si>
  <si>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</si>
  <si>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</si>
  <si>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</si>
  <si>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</si>
  <si>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</si>
  <si>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</si>
  <si>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</si>
  <si>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</si>
  <si>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</si>
  <si>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</si>
  <si>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</si>
  <si>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</si>
  <si>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</si>
  <si>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</si>
  <si>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</si>
  <si>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</si>
  <si>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</si>
  <si>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</si>
  <si>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</si>
  <si>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</si>
  <si>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</si>
  <si>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</si>
  <si>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</si>
  <si>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</si>
  <si>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</si>
  <si>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</si>
  <si>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</si>
  <si>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</si>
  <si>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</si>
  <si>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</si>
  <si>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</si>
  <si>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</si>
  <si>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</si>
  <si>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</si>
  <si>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</si>
  <si>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</si>
  <si>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</si>
  <si>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</si>
  <si>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</si>
  <si>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</si>
  <si>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</si>
  <si>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</si>
  <si>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</si>
  <si>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</si>
  <si>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</si>
  <si>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</si>
  <si>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</si>
  <si>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</si>
  <si>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</si>
  <si>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</si>
  <si>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</si>
  <si>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</si>
  <si>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</si>
  <si>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</si>
  <si>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</si>
  <si>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</si>
  <si>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</si>
  <si>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</si>
  <si>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</si>
  <si>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</si>
  <si>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</si>
  <si>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</si>
  <si>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</si>
  <si>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</si>
  <si>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</si>
  <si>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</si>
  <si>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</si>
  <si>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</si>
  <si>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</si>
  <si>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</si>
  <si>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</si>
  <si>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</si>
  <si>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</si>
  <si>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</si>
  <si>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</si>
  <si>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</si>
  <si>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</si>
  <si>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</si>
  <si>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</si>
  <si>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</si>
  <si>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</si>
  <si>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</si>
  <si>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</si>
  <si>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</si>
  <si>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</si>
  <si>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</si>
  <si>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</si>
  <si>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</si>
  <si>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</si>
  <si>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</si>
  <si>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</si>
  <si>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</si>
  <si>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</si>
  <si>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</si>
  <si>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</si>
  <si>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</si>
  <si>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</si>
  <si>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</si>
  <si>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</si>
  <si>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</si>
  <si>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</si>
  <si>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</si>
  <si>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</si>
  <si>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</si>
  <si>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</si>
  <si>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</si>
  <si>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</si>
  <si>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</si>
  <si>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</si>
  <si>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</si>
  <si>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</si>
  <si>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</si>
  <si>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</si>
  <si>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</si>
  <si>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</si>
  <si>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</si>
  <si>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</si>
  <si>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</si>
  <si>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</si>
  <si>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</si>
  <si>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</si>
  <si>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</si>
  <si>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</si>
  <si>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</si>
  <si>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</si>
  <si>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</si>
  <si>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</si>
  <si>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</si>
  <si>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</si>
  <si>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</si>
  <si>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</si>
  <si>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</si>
  <si>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</si>
  <si>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</si>
  <si>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</si>
  <si>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</si>
  <si>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</si>
  <si>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</si>
  <si>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</si>
  <si>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</si>
  <si>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</si>
  <si>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</si>
  <si>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</si>
  <si>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</si>
  <si>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</si>
  <si>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</si>
  <si>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</si>
  <si>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</si>
  <si>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</si>
  <si>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</si>
  <si>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</si>
  <si>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</si>
  <si>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</si>
  <si>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</si>
  <si>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</si>
  <si>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</si>
  <si>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</si>
  <si>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</si>
  <si>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</si>
  <si>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</si>
  <si>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</si>
  <si>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</si>
  <si>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</si>
  <si>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</si>
  <si>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</si>
  <si>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</si>
  <si>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</si>
  <si>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</si>
  <si>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</si>
  <si>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</si>
  <si>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</si>
  <si>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</si>
  <si>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</si>
  <si>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</si>
  <si>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</si>
  <si>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</si>
  <si>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</si>
  <si>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</si>
  <si>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</si>
  <si>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</si>
  <si>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</si>
  <si>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</si>
  <si>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</si>
  <si>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</si>
  <si>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</si>
  <si>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</si>
  <si>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</si>
  <si>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</si>
  <si>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</si>
  <si>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</si>
  <si>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</si>
  <si>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</si>
  <si>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</si>
  <si>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</si>
  <si>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</si>
  <si>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</si>
  <si>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</si>
  <si>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</si>
  <si>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</si>
  <si>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</si>
  <si>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</si>
  <si>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</si>
  <si>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</si>
  <si>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</si>
  <si>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</si>
  <si>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</si>
  <si>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</si>
  <si>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</si>
  <si>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</si>
  <si>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</si>
  <si>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</si>
  <si>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</si>
  <si>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</si>
  <si>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</si>
  <si>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</si>
  <si>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</si>
  <si>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</si>
  <si>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</si>
  <si>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</si>
  <si>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</si>
  <si>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</si>
  <si>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</si>
  <si>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</si>
  <si>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</si>
  <si>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</si>
  <si>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</si>
  <si>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</si>
  <si>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</si>
  <si>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</si>
  <si>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</si>
  <si>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</si>
  <si>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</si>
  <si>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</si>
  <si>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</si>
  <si>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</si>
  <si>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</si>
  <si>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</si>
  <si>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</si>
  <si>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</si>
  <si>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</si>
  <si>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</si>
  <si>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</si>
  <si>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</si>
  <si>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</si>
  <si>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</si>
  <si>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</si>
  <si>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</si>
  <si>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</si>
  <si>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</si>
  <si>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</si>
  <si>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</si>
  <si>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</si>
  <si>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</si>
  <si>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</si>
  <si>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</si>
  <si>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</si>
  <si>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</si>
  <si>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</si>
  <si>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</si>
  <si>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</si>
  <si>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</si>
  <si>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</si>
  <si>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</si>
  <si>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</si>
  <si>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</si>
  <si>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</si>
  <si>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</si>
  <si>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</si>
  <si>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</si>
  <si>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</si>
  <si>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</si>
  <si>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</si>
  <si>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</si>
  <si>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</si>
  <si>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</si>
  <si>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</si>
  <si>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</si>
  <si>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</si>
  <si>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</si>
  <si>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</si>
  <si>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</si>
  <si>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</si>
  <si>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</si>
  <si>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</si>
  <si>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</si>
  <si>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</si>
  <si>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</si>
  <si>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</si>
  <si>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</si>
  <si>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</si>
  <si>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</si>
  <si>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</si>
  <si>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</si>
  <si>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</si>
  <si>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</si>
  <si>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</si>
  <si>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</si>
  <si>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</si>
  <si>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</si>
  <si>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</si>
  <si>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</si>
  <si>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</si>
  <si>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</si>
  <si>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</si>
  <si>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</si>
  <si>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</si>
  <si>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</si>
  <si>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</si>
  <si>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</si>
  <si>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</si>
  <si>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</si>
  <si>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</si>
  <si>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</si>
  <si>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</si>
  <si>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</si>
  <si>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</si>
  <si>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</si>
  <si>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</si>
  <si>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</si>
  <si>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</si>
  <si>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</si>
  <si>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</si>
  <si>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</si>
  <si>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</si>
  <si>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</si>
  <si>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</si>
  <si>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</si>
  <si>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</si>
  <si>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</si>
  <si>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</si>
  <si>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</si>
  <si>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</si>
  <si>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</si>
  <si>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</si>
  <si>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</si>
  <si>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</si>
  <si>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</si>
  <si>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</si>
  <si>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</si>
  <si>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</si>
  <si>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</si>
  <si>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</si>
  <si>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</si>
  <si>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</si>
  <si>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</si>
  <si>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</si>
  <si>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</si>
  <si>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</si>
  <si>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</si>
  <si>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</si>
  <si>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</si>
  <si>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</si>
  <si>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</si>
  <si>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</si>
  <si>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</si>
  <si>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</si>
  <si>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</si>
  <si>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</si>
  <si>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</si>
  <si>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</si>
  <si>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</si>
  <si>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</si>
  <si>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</si>
  <si>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</si>
  <si>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</si>
  <si>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</si>
  <si>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</si>
  <si>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</si>
  <si>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</si>
  <si>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</si>
  <si>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</si>
  <si>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</si>
  <si>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</si>
  <si>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</si>
  <si>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</si>
  <si>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</si>
  <si>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</si>
  <si>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</si>
  <si>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</si>
  <si>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</si>
  <si>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</si>
  <si>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</si>
  <si>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</si>
  <si>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</si>
  <si>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</si>
  <si>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</si>
  <si>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</si>
  <si>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</si>
  <si>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</si>
  <si>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</si>
  <si>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</si>
  <si>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</si>
  <si>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</si>
  <si>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</si>
  <si>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</si>
  <si>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</si>
  <si>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</si>
  <si>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</si>
  <si>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</si>
  <si>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</si>
  <si>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</si>
  <si>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</si>
  <si>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</si>
  <si>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</si>
  <si>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</si>
  <si>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</si>
  <si>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</si>
  <si>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</si>
  <si>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</si>
  <si>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</si>
  <si>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</si>
  <si>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</si>
  <si>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</si>
  <si>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</si>
  <si>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</si>
  <si>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</si>
  <si>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</si>
  <si>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</si>
  <si>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</si>
  <si>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</si>
  <si>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</si>
  <si>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</si>
  <si>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</si>
  <si>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</si>
  <si>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</si>
  <si>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</si>
  <si>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</si>
  <si>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</si>
  <si>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</si>
  <si>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</si>
  <si>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</si>
  <si>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</si>
  <si>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</si>
  <si>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</si>
  <si>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</si>
  <si>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</si>
  <si>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</si>
  <si>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</si>
  <si>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</si>
  <si>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</si>
  <si>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</si>
  <si>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</si>
  <si>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</si>
  <si>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</si>
  <si>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</si>
  <si>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</si>
  <si>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</si>
  <si>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</si>
  <si>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</si>
  <si>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</si>
  <si>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</si>
  <si>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</si>
  <si>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</si>
  <si>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</si>
  <si>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</si>
  <si>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</si>
  <si>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</si>
  <si>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</si>
  <si>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</si>
  <si>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</si>
  <si>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</si>
  <si>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</si>
  <si>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</si>
  <si>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</si>
  <si>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</si>
  <si>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</si>
  <si>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</si>
  <si>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</si>
  <si>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</si>
  <si>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</si>
  <si>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</si>
  <si>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</si>
  <si>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</si>
  <si>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</si>
  <si>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</si>
  <si>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</si>
  <si>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</si>
  <si>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</si>
  <si>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</si>
  <si>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</si>
  <si>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</si>
  <si>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</si>
  <si>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</si>
  <si>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</si>
  <si>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</si>
  <si>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</si>
  <si>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</si>
  <si>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</si>
  <si>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</si>
  <si>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</si>
  <si>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</si>
  <si>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</si>
  <si>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</si>
  <si>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</si>
  <si>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</si>
  <si>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</si>
  <si>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</si>
  <si>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</si>
  <si>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</si>
  <si>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</si>
  <si>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</si>
  <si>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</si>
  <si>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</si>
  <si>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</si>
  <si>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</si>
  <si>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</si>
  <si>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</si>
  <si>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</si>
  <si>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</si>
  <si>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</si>
  <si>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</si>
  <si>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</si>
  <si>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</si>
  <si>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</si>
  <si>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</si>
  <si>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</si>
  <si>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</si>
  <si>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</si>
  <si>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</si>
  <si>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</si>
  <si>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</si>
  <si>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</si>
  <si>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</si>
  <si>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</si>
  <si>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</si>
  <si>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</si>
  <si>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</si>
  <si>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</si>
  <si>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</si>
  <si>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</si>
  <si>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</si>
  <si>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</si>
  <si>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</si>
  <si>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</si>
  <si>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</si>
  <si>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</si>
  <si>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</si>
  <si>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</si>
  <si>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</si>
  <si>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</si>
  <si>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</si>
  <si>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</si>
  <si>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</si>
  <si>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</si>
  <si>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</si>
  <si>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</si>
  <si>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</si>
  <si>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</si>
  <si>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</si>
  <si>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</si>
  <si>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</si>
  <si>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</si>
  <si>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</si>
  <si>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</si>
  <si>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</si>
  <si>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</si>
  <si>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</si>
  <si>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</si>
  <si>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</si>
  <si>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</si>
  <si>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</si>
  <si>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</si>
  <si>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</si>
  <si>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</si>
  <si>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</si>
  <si>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</si>
  <si>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</si>
  <si>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</si>
  <si>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</si>
  <si>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</si>
  <si>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</si>
  <si>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</si>
  <si>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</si>
  <si>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</si>
  <si>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</si>
  <si>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</si>
  <si>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</si>
  <si>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</si>
  <si>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</si>
  <si>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</si>
  <si>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</si>
  <si>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</si>
  <si>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</si>
  <si>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</si>
  <si>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</si>
  <si>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</si>
  <si>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</si>
  <si>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</si>
  <si>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</si>
  <si>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</si>
  <si>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</si>
  <si>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</si>
  <si>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</si>
  <si>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</si>
  <si>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</si>
  <si>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</si>
  <si>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</si>
  <si>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</si>
  <si>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</si>
  <si>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</si>
  <si>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</si>
  <si>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</si>
  <si>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</si>
  <si>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</si>
  <si>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</si>
  <si>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</si>
  <si>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</si>
  <si>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</si>
  <si>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</si>
  <si>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</si>
  <si>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</si>
  <si>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</si>
  <si>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</si>
  <si>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</si>
  <si>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</si>
  <si>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</si>
  <si>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</si>
  <si>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</si>
  <si>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</si>
  <si>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</si>
  <si>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</si>
  <si>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</si>
  <si>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</si>
  <si>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</si>
  <si>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</si>
  <si>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</si>
  <si>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</si>
  <si>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</si>
  <si>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</si>
  <si>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</si>
  <si>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</si>
  <si>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</si>
  <si>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</si>
  <si>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</si>
  <si>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</si>
  <si>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</si>
  <si>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</si>
  <si>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</si>
  <si>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</si>
  <si>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</si>
  <si>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</si>
  <si>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</si>
  <si>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</si>
  <si>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</si>
  <si>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</si>
  <si>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</si>
  <si>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</si>
  <si>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</si>
  <si>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</si>
  <si>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</si>
  <si>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</si>
  <si>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</si>
  <si>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</si>
  <si>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</si>
  <si>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</si>
  <si>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</si>
  <si>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</si>
  <si>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</si>
  <si>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</si>
  <si>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</si>
  <si>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</si>
  <si>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</si>
  <si>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</si>
  <si>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</si>
  <si>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</si>
  <si>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</si>
  <si>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</si>
  <si>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</si>
  <si>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</si>
  <si>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</si>
  <si>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</si>
  <si>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</si>
  <si>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</si>
  <si>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</si>
  <si>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</si>
  <si>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</si>
  <si>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</si>
  <si>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</si>
  <si>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</si>
  <si>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</si>
  <si>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</si>
  <si>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</si>
  <si>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</si>
  <si>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</si>
  <si>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</si>
  <si>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</si>
  <si>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</si>
  <si>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</si>
  <si>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</si>
  <si>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</si>
  <si>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</si>
  <si>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</si>
  <si>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</si>
  <si>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</si>
  <si>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</si>
  <si>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</si>
  <si>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</si>
  <si>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</si>
  <si>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</si>
  <si>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</si>
  <si>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</si>
  <si>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</si>
  <si>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</si>
  <si>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</si>
  <si>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</si>
  <si>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</si>
  <si>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</si>
  <si>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</si>
  <si>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</si>
  <si>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</si>
  <si>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</si>
  <si>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</si>
  <si>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</si>
  <si>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</si>
  <si>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</si>
  <si>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</si>
  <si>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</si>
  <si>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</si>
  <si>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</si>
  <si>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</si>
  <si>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</si>
  <si>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</si>
  <si>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</si>
  <si>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</si>
  <si>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</si>
  <si>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</si>
  <si>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</si>
  <si>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</si>
  <si>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</si>
  <si>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</si>
  <si>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</si>
  <si>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</si>
  <si>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</si>
  <si>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</si>
  <si>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</si>
  <si>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</si>
  <si>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</si>
  <si>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</si>
  <si>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</si>
  <si>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</si>
  <si>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</si>
  <si>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</si>
  <si>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</si>
  <si>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</si>
  <si>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</si>
  <si>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147863 TOYA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</si>
  <si>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</si>
  <si>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</si>
  <si>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</si>
  <si>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</si>
  <si>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</si>
  <si>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</si>
  <si>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</si>
  <si>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</si>
  <si>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</si>
  <si>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</si>
  <si>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</si>
  <si>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</si>
  <si>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</si>
  <si>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</si>
  <si>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</si>
  <si>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</si>
  <si>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</si>
  <si>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</si>
  <si>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</si>
  <si>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</si>
  <si>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</si>
  <si>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</si>
  <si>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</si>
  <si>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</si>
  <si>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</si>
  <si>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</si>
  <si>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</si>
  <si>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</si>
  <si>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</si>
  <si>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</si>
  <si>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</si>
  <si>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</si>
  <si>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</si>
  <si>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</si>
  <si>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</si>
  <si>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</si>
  <si>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NF 11586-1 KARU - MILKA</t>
  </si>
  <si>
    <t xml:space="preserve">NF 612 BLOOM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</si>
  <si>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</si>
  <si>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</si>
  <si>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</si>
  <si>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</si>
  <si>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</si>
  <si>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</si>
  <si>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</si>
  <si>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</si>
  <si>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</si>
  <si>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</si>
  <si>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</si>
  <si>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</si>
  <si>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</si>
  <si>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</si>
  <si>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</si>
  <si>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</si>
  <si>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</si>
  <si>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</si>
  <si>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</si>
  <si>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</si>
  <si>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</si>
  <si>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</si>
  <si>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</si>
  <si>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</si>
  <si>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</si>
  <si>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</si>
  <si>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</si>
  <si>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</si>
  <si>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</si>
  <si>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</si>
  <si>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</si>
  <si>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</si>
  <si>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</si>
  <si>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</si>
  <si>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</si>
  <si>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</si>
  <si>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</si>
  <si>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</si>
  <si>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</si>
  <si>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</si>
  <si>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</si>
  <si>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</si>
  <si>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</si>
  <si>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</si>
  <si>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</si>
  <si>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</si>
  <si>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</si>
  <si>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</si>
  <si>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</si>
  <si>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</si>
  <si>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</si>
  <si>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</si>
  <si>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</si>
  <si>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</si>
  <si>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</si>
  <si>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</si>
  <si>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</si>
  <si>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</si>
  <si>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</si>
  <si>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</si>
  <si>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</si>
  <si>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</si>
  <si>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</si>
  <si>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</si>
  <si>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</si>
  <si>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</si>
  <si>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</si>
  <si>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</si>
  <si>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</si>
  <si>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</si>
  <si>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</si>
  <si>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</si>
  <si>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</si>
  <si>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</si>
  <si>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</si>
  <si>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</si>
  <si>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</si>
  <si>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</si>
  <si>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</si>
  <si>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</si>
  <si>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</si>
  <si>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</si>
  <si>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</si>
  <si>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</si>
  <si>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</si>
  <si>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</si>
  <si>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</si>
  <si>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</si>
  <si>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</si>
  <si>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</si>
  <si>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</si>
  <si>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</si>
  <si>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</si>
  <si>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</si>
  <si>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</si>
  <si>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</si>
  <si>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</si>
  <si>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</si>
  <si>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</si>
  <si>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</si>
  <si>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</si>
  <si>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</si>
  <si>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</si>
  <si>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</si>
  <si>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</si>
  <si>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</si>
  <si>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</si>
  <si>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</si>
  <si>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</si>
  <si>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</si>
  <si>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</si>
  <si>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</si>
  <si>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</si>
  <si>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</si>
  <si>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</si>
  <si>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</si>
  <si>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</si>
  <si>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</si>
  <si>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</si>
  <si>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</si>
  <si>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</si>
  <si>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MASCARA/ LUVA - MILKA</t>
  </si>
  <si>
    <t xml:space="preserve">378915-A/C  NF297570 - MILKA</t>
  </si>
  <si>
    <t xml:space="preserve">NF  231 ETIQUETA  ADESIVA BRC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</si>
  <si>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</si>
  <si>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</si>
  <si>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</si>
  <si>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</si>
  <si>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</si>
  <si>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</si>
  <si>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</si>
  <si>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</si>
  <si>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</si>
  <si>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</si>
  <si>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</si>
  <si>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</si>
  <si>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</si>
  <si>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</si>
  <si>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</si>
  <si>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</si>
  <si>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</si>
  <si>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</si>
  <si>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</si>
  <si>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</si>
  <si>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</si>
  <si>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</si>
  <si>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</si>
  <si>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</si>
  <si>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</si>
  <si>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</si>
  <si>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</si>
  <si>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</si>
  <si>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</si>
  <si>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</si>
  <si>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</si>
  <si>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</si>
  <si>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</si>
  <si>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</si>
  <si>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</si>
  <si>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</si>
  <si>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</si>
  <si>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</si>
  <si>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</si>
  <si>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</si>
  <si>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</si>
  <si>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</si>
  <si>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</si>
  <si>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</si>
  <si>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</si>
  <si>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</si>
  <si>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</si>
  <si>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</si>
  <si>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</si>
  <si>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</si>
  <si>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</si>
  <si>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</si>
  <si>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</si>
  <si>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</si>
  <si>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</si>
  <si>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</si>
  <si>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</si>
  <si>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</si>
  <si>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</si>
  <si>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</si>
  <si>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</si>
  <si>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</si>
  <si>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</si>
  <si>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11134 -03/06  MILKA</t>
  </si>
  <si>
    <t xml:space="preserve">PREVIA PL NEILA ENERGIA - KEILA</t>
  </si>
  <si>
    <t xml:space="preserve">NF 160299-1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</si>
  <si>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</si>
  <si>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</si>
  <si>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</si>
  <si>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</si>
  <si>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</si>
  <si>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</si>
  <si>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</si>
  <si>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</si>
  <si>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</si>
  <si>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</si>
  <si>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</si>
  <si>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</si>
  <si>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</si>
  <si>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</si>
  <si>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</si>
  <si>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</si>
  <si>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</si>
  <si>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</si>
  <si>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</si>
  <si>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</si>
  <si>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</si>
  <si>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</si>
  <si>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</si>
  <si>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</si>
  <si>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</si>
  <si>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</si>
  <si>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MASCARA/ LUVA - MILKA</t>
  </si>
  <si>
    <t xml:space="preserve">NF 750485 - MILKA</t>
  </si>
  <si>
    <t xml:space="preserve">378915-B/C  NF297570 -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</si>
  <si>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</si>
  <si>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</si>
  <si>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</si>
  <si>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</si>
  <si>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</si>
  <si>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</si>
  <si>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</si>
  <si>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</si>
  <si>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</si>
  <si>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</si>
  <si>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</si>
  <si>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</si>
  <si>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</si>
  <si>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</si>
  <si>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</si>
  <si>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</si>
  <si>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</si>
  <si>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</si>
  <si>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</si>
  <si>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</si>
  <si>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</si>
  <si>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</si>
  <si>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</si>
  <si>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</si>
  <si>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</si>
  <si>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</si>
  <si>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</si>
  <si>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</si>
  <si>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</si>
  <si>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</si>
  <si>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</si>
  <si>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</si>
  <si>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</si>
  <si>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</si>
  <si>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</si>
  <si>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</si>
  <si>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</si>
  <si>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</si>
  <si>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</si>
  <si>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</si>
  <si>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</si>
  <si>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</si>
  <si>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</si>
  <si>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</si>
  <si>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</si>
  <si>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</si>
  <si>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</si>
  <si>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</si>
  <si>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</si>
  <si>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</si>
  <si>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</si>
  <si>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</si>
  <si>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</si>
  <si>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</si>
  <si>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</si>
  <si>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</si>
  <si>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</si>
  <si>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</si>
  <si>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</si>
  <si>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</si>
  <si>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</si>
  <si>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</si>
  <si>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</si>
  <si>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</si>
  <si>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</si>
  <si>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</si>
  <si>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</si>
  <si>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</si>
  <si>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</si>
  <si>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</si>
  <si>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</si>
  <si>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</si>
  <si>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</si>
  <si>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</si>
  <si>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</si>
  <si>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</si>
  <si>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</si>
  <si>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</si>
  <si>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</si>
  <si>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</si>
  <si>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MASCARA/ LUVA - MILKA</t>
  </si>
  <si>
    <t xml:space="preserve">378915-C/C  NF297570 -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</si>
  <si>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</si>
  <si>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</si>
  <si>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</si>
  <si>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</si>
  <si>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</si>
  <si>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</si>
  <si>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</si>
  <si>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</si>
  <si>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</t>
  </si>
  <si>
    <t xml:space="preserve">NF 57187 - MILKA</t>
  </si>
  <si>
    <t xml:space="preserve">NF 49329-C/C  NF37328 - MILKA</t>
  </si>
  <si>
    <t xml:space="preserve">NF 11473 -01/11 -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</si>
  <si>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</si>
  <si>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</si>
  <si>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</si>
  <si>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</si>
  <si>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</si>
  <si>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</si>
  <si>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</si>
  <si>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</si>
  <si>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</si>
  <si>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</si>
  <si>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</si>
  <si>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</si>
  <si>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</si>
  <si>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</si>
  <si>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</si>
  <si>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815076-C/C  NF690674 - MILKA</t>
  </si>
  <si>
    <t xml:space="preserve">PREVIA MENS PARTE MO1 INSTAGRAM - KEILA</t>
  </si>
  <si>
    <t xml:space="preserve">NF 21578-3 MILKA</t>
  </si>
  <si>
    <t xml:space="preserve">NF 160299-3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</si>
  <si>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</si>
  <si>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</si>
  <si>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</si>
  <si>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</si>
  <si>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</si>
  <si>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</si>
  <si>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</si>
  <si>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</si>
  <si>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</si>
  <si>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</si>
  <si>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</si>
  <si>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</si>
  <si>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</si>
  <si>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NF1228 REAL PAES - MILKA</t>
  </si>
  <si>
    <t xml:space="preserve">NF 11134 -05/06  MILKA</t>
  </si>
  <si>
    <t xml:space="preserve">NF 11473 -02/11 -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</si>
  <si>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</si>
  <si>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</si>
  <si>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</si>
  <si>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</si>
  <si>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</si>
  <si>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</si>
  <si>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</si>
  <si>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</si>
  <si>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NF 11473 -03/11 -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</si>
  <si>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</si>
  <si>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</si>
  <si>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</si>
  <si>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</si>
  <si>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</si>
  <si>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</si>
  <si>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</si>
  <si>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</si>
  <si>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</si>
  <si>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PL NEILA E RENATO - MATRICULA ESCOLA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</si>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</sst>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0.00"/>
    <numFmt numFmtId="174" formatCode="&quot;R$ &quot;#,##0.00"/>
    <numFmt numFmtId="175" formatCode="&quot;R$ &quot;#,##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1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64</v>
      </c>
      <c r="F25" s="10" t="n">
        <v>24</v>
      </c>
      <c r="G25" s="12" t="s">
        <v>32</v>
      </c>
      <c r="H25" s="10" t="n">
        <v>2110101</v>
      </c>
      <c r="I25" s="12" t="s">
        <v>33</v>
      </c>
      <c r="J25" s="10" t="n">
        <v>1155857</v>
      </c>
      <c r="L25" s="10" t="n">
        <v>5581</v>
      </c>
      <c r="M25" s="12" t="s">
        <v>41</v>
      </c>
      <c r="N25" s="12" t="s">
        <v>35</v>
      </c>
      <c r="P25" s="10" t="n">
        <v>103</v>
      </c>
      <c r="Q25" s="12" t="s">
        <v>36</v>
      </c>
      <c r="R25" s="12" t="s">
        <v>37</v>
      </c>
      <c r="S25" s="10" t="n">
        <v>1130101</v>
      </c>
      <c r="T25" s="12" t="s">
        <v>38</v>
      </c>
      <c r="U25" s="13" t="n">
        <v>487.3</v>
      </c>
      <c r="W25" s="13" t="n">
        <v>0</v>
      </c>
      <c r="X25" s="12" t="s">
        <v>65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66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1156239</v>
      </c>
      <c r="L26" s="10" t="n">
        <v>11180</v>
      </c>
      <c r="M26" s="12" t="s">
        <v>34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269.04</v>
      </c>
      <c r="W26" s="13" t="n">
        <v>0</v>
      </c>
      <c r="X26" s="12" t="s">
        <v>67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68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1161081</v>
      </c>
      <c r="L27" s="10" t="n">
        <v>484463</v>
      </c>
      <c r="M27" s="12" t="s">
        <v>41</v>
      </c>
      <c r="N27" s="12" t="s">
        <v>42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2761.81</v>
      </c>
      <c r="W27" s="13" t="n">
        <v>0</v>
      </c>
      <c r="X27" s="12" t="s">
        <v>69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70</v>
      </c>
      <c r="F28" s="10" t="n">
        <v>34</v>
      </c>
      <c r="G28" s="12" t="s">
        <v>71</v>
      </c>
      <c r="H28" s="10" t="n">
        <v>2110101</v>
      </c>
      <c r="I28" s="12" t="s">
        <v>33</v>
      </c>
      <c r="J28" s="10" t="n">
        <v>1167114</v>
      </c>
      <c r="L28" s="10" t="n">
        <v>5049</v>
      </c>
      <c r="M28" s="12" t="s">
        <v>41</v>
      </c>
      <c r="N28" s="12" t="s">
        <v>35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500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66</v>
      </c>
      <c r="F29" s="10" t="n">
        <v>24</v>
      </c>
      <c r="G29" s="12" t="s">
        <v>32</v>
      </c>
      <c r="H29" s="10" t="n">
        <v>2110101</v>
      </c>
      <c r="I29" s="12" t="s">
        <v>33</v>
      </c>
      <c r="J29" s="10" t="n">
        <v>1167858</v>
      </c>
      <c r="L29" s="10" t="n">
        <v>11196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358.54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74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1168381</v>
      </c>
      <c r="L30" s="10" t="n">
        <v>635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1120</v>
      </c>
      <c r="W30" s="13" t="n">
        <v>0</v>
      </c>
      <c r="X30" s="12" t="s">
        <v>75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76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1168412</v>
      </c>
      <c r="L31" s="10" t="n">
        <v>221837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506.44</v>
      </c>
      <c r="W31" s="13" t="n">
        <v>0</v>
      </c>
      <c r="X31" s="12" t="s">
        <v>77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78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1168428</v>
      </c>
      <c r="L32" s="10" t="n">
        <v>14951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658.96</v>
      </c>
      <c r="W32" s="13" t="n">
        <v>0</v>
      </c>
      <c r="X32" s="12" t="s">
        <v>79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80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1170944</v>
      </c>
      <c r="L33" s="10" t="n">
        <v>490451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1518.18</v>
      </c>
      <c r="W33" s="13" t="n">
        <v>0</v>
      </c>
      <c r="X33" s="12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82</v>
      </c>
      <c r="F34" s="10" t="n">
        <v>34</v>
      </c>
      <c r="G34" s="12" t="s">
        <v>71</v>
      </c>
      <c r="H34" s="10" t="n">
        <v>2110405</v>
      </c>
      <c r="I34" s="12" t="s">
        <v>83</v>
      </c>
      <c r="J34" s="10" t="n">
        <v>1188553</v>
      </c>
      <c r="L34" s="10" t="n">
        <v>494729</v>
      </c>
      <c r="M34" s="12" t="s">
        <v>41</v>
      </c>
      <c r="N34" s="12" t="s">
        <v>42</v>
      </c>
      <c r="P34" s="10" t="n">
        <v>101</v>
      </c>
      <c r="Q34" s="12" t="s">
        <v>84</v>
      </c>
      <c r="R34" s="12" t="s">
        <v>85</v>
      </c>
      <c r="S34" s="10" t="n">
        <v>4210309</v>
      </c>
      <c r="T34" s="12" t="s">
        <v>86</v>
      </c>
      <c r="U34" s="13" t="n">
        <v>480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88</v>
      </c>
      <c r="F35" s="10" t="n">
        <v>34</v>
      </c>
      <c r="G35" s="12" t="s">
        <v>71</v>
      </c>
      <c r="H35" s="10" t="n">
        <v>2110405</v>
      </c>
      <c r="I35" s="12" t="s">
        <v>83</v>
      </c>
      <c r="J35" s="10" t="n">
        <v>1188805</v>
      </c>
      <c r="L35" s="10" t="n">
        <v>494837</v>
      </c>
      <c r="M35" s="12" t="s">
        <v>41</v>
      </c>
      <c r="N35" s="12" t="s">
        <v>42</v>
      </c>
      <c r="P35" s="10" t="n">
        <v>101</v>
      </c>
      <c r="Q35" s="12" t="s">
        <v>84</v>
      </c>
      <c r="R35" s="12" t="s">
        <v>85</v>
      </c>
      <c r="S35" s="10" t="n">
        <v>4210309</v>
      </c>
      <c r="T35" s="12" t="s">
        <v>86</v>
      </c>
      <c r="U35" s="13" t="n">
        <v>260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90</v>
      </c>
      <c r="F36" s="10" t="n">
        <v>34</v>
      </c>
      <c r="G36" s="12" t="s">
        <v>71</v>
      </c>
      <c r="H36" s="10" t="n">
        <v>2110405</v>
      </c>
      <c r="I36" s="12" t="s">
        <v>83</v>
      </c>
      <c r="J36" s="10" t="n">
        <v>1188822</v>
      </c>
      <c r="L36" s="10" t="n">
        <v>494846</v>
      </c>
      <c r="M36" s="12" t="s">
        <v>41</v>
      </c>
      <c r="N36" s="12" t="s">
        <v>42</v>
      </c>
      <c r="P36" s="10" t="n">
        <v>101</v>
      </c>
      <c r="Q36" s="12" t="s">
        <v>84</v>
      </c>
      <c r="R36" s="12" t="s">
        <v>91</v>
      </c>
      <c r="S36" s="10" t="n">
        <v>4220199</v>
      </c>
      <c r="T36" s="12" t="s">
        <v>92</v>
      </c>
      <c r="U36" s="13" t="n">
        <v>2490</v>
      </c>
      <c r="W36" s="13" t="n">
        <v>0</v>
      </c>
      <c r="X36" s="12" t="s">
        <v>93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94</v>
      </c>
      <c r="F37" s="10" t="n">
        <v>34</v>
      </c>
      <c r="G37" s="12" t="s">
        <v>71</v>
      </c>
      <c r="H37" s="10" t="n">
        <v>2110405</v>
      </c>
      <c r="I37" s="12" t="s">
        <v>83</v>
      </c>
      <c r="J37" s="10" t="n">
        <v>1188859</v>
      </c>
      <c r="L37" s="10" t="n">
        <v>494866</v>
      </c>
      <c r="M37" s="12" t="s">
        <v>41</v>
      </c>
      <c r="N37" s="12" t="s">
        <v>42</v>
      </c>
      <c r="P37" s="10" t="n">
        <v>101</v>
      </c>
      <c r="Q37" s="12" t="s">
        <v>84</v>
      </c>
      <c r="R37" s="12" t="s">
        <v>91</v>
      </c>
      <c r="S37" s="10" t="n">
        <v>4220199</v>
      </c>
      <c r="T37" s="12" t="s">
        <v>92</v>
      </c>
      <c r="U37" s="13" t="n">
        <v>13000</v>
      </c>
      <c r="W37" s="13" t="n">
        <v>0</v>
      </c>
      <c r="X37" s="12" t="s">
        <v>95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82</v>
      </c>
      <c r="F38" s="10" t="n">
        <v>34</v>
      </c>
      <c r="G38" s="12" t="s">
        <v>71</v>
      </c>
      <c r="H38" s="10" t="n">
        <v>2110405</v>
      </c>
      <c r="I38" s="12" t="s">
        <v>83</v>
      </c>
      <c r="J38" s="10" t="n">
        <v>1188945</v>
      </c>
      <c r="L38" s="10" t="n">
        <v>494916</v>
      </c>
      <c r="M38" s="12" t="s">
        <v>41</v>
      </c>
      <c r="N38" s="12" t="s">
        <v>42</v>
      </c>
      <c r="P38" s="10" t="n">
        <v>101</v>
      </c>
      <c r="Q38" s="12" t="s">
        <v>84</v>
      </c>
      <c r="R38" s="12" t="s">
        <v>85</v>
      </c>
      <c r="S38" s="10" t="n">
        <v>4210309</v>
      </c>
      <c r="T38" s="12" t="s">
        <v>86</v>
      </c>
      <c r="U38" s="13" t="n">
        <v>1560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97</v>
      </c>
      <c r="F39" s="10" t="n">
        <v>13</v>
      </c>
      <c r="G39" s="12" t="s">
        <v>98</v>
      </c>
      <c r="H39" s="10" t="n">
        <v>2110101</v>
      </c>
      <c r="I39" s="12" t="s">
        <v>33</v>
      </c>
      <c r="J39" s="10" t="n">
        <v>1189172</v>
      </c>
      <c r="L39" s="10" t="n">
        <v>234</v>
      </c>
      <c r="M39" s="12" t="s">
        <v>41</v>
      </c>
      <c r="N39" s="12" t="s">
        <v>35</v>
      </c>
      <c r="P39" s="10" t="n">
        <v>104</v>
      </c>
      <c r="Q39" s="12" t="s">
        <v>99</v>
      </c>
      <c r="R39" s="12" t="s">
        <v>37</v>
      </c>
      <c r="S39" s="10" t="n">
        <v>1130101</v>
      </c>
      <c r="T39" s="12" t="s">
        <v>38</v>
      </c>
      <c r="U39" s="13" t="n">
        <v>405.5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70</v>
      </c>
      <c r="F40" s="10" t="n">
        <v>13</v>
      </c>
      <c r="G40" s="12" t="s">
        <v>98</v>
      </c>
      <c r="H40" s="10" t="n">
        <v>2110101</v>
      </c>
      <c r="I40" s="12" t="s">
        <v>33</v>
      </c>
      <c r="J40" s="10" t="n">
        <v>1189238</v>
      </c>
      <c r="L40" s="10" t="n">
        <v>5068</v>
      </c>
      <c r="M40" s="12" t="s">
        <v>41</v>
      </c>
      <c r="N40" s="12" t="s">
        <v>35</v>
      </c>
      <c r="P40" s="10" t="n">
        <v>104</v>
      </c>
      <c r="Q40" s="12" t="s">
        <v>99</v>
      </c>
      <c r="R40" s="12" t="s">
        <v>37</v>
      </c>
      <c r="S40" s="10" t="n">
        <v>1130101</v>
      </c>
      <c r="T40" s="12" t="s">
        <v>38</v>
      </c>
      <c r="U40" s="13" t="n">
        <v>260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102</v>
      </c>
      <c r="F41" s="10" t="n">
        <v>13</v>
      </c>
      <c r="G41" s="12" t="s">
        <v>98</v>
      </c>
      <c r="H41" s="10" t="n">
        <v>2110101</v>
      </c>
      <c r="I41" s="12" t="s">
        <v>33</v>
      </c>
      <c r="J41" s="10" t="n">
        <v>1194085</v>
      </c>
      <c r="L41" s="10" t="n">
        <v>5924</v>
      </c>
      <c r="M41" s="12" t="s">
        <v>41</v>
      </c>
      <c r="N41" s="12" t="s">
        <v>35</v>
      </c>
      <c r="P41" s="10" t="n">
        <v>104</v>
      </c>
      <c r="Q41" s="12" t="s">
        <v>99</v>
      </c>
      <c r="R41" s="12" t="s">
        <v>37</v>
      </c>
      <c r="S41" s="10" t="n">
        <v>1130101</v>
      </c>
      <c r="T41" s="12" t="s">
        <v>38</v>
      </c>
      <c r="U41" s="13" t="n">
        <v>280</v>
      </c>
      <c r="W41" s="13" t="n">
        <v>0</v>
      </c>
      <c r="X41" s="12" t="s">
        <v>103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104</v>
      </c>
      <c r="F42" s="10" t="n">
        <v>24</v>
      </c>
      <c r="G42" s="12" t="s">
        <v>32</v>
      </c>
      <c r="H42" s="10" t="n">
        <v>2110405</v>
      </c>
      <c r="I42" s="12" t="s">
        <v>83</v>
      </c>
      <c r="J42" s="10" t="n">
        <v>1571563</v>
      </c>
      <c r="L42" s="10" t="n">
        <v>642341</v>
      </c>
      <c r="M42" s="12" t="s">
        <v>41</v>
      </c>
      <c r="N42" s="12" t="s">
        <v>42</v>
      </c>
      <c r="P42" s="10" t="n">
        <v>101</v>
      </c>
      <c r="Q42" s="12" t="s">
        <v>84</v>
      </c>
      <c r="R42" s="12" t="s">
        <v>91</v>
      </c>
      <c r="S42" s="10" t="n">
        <v>4220199</v>
      </c>
      <c r="T42" s="12" t="s">
        <v>92</v>
      </c>
      <c r="U42" s="13" t="n">
        <v>501</v>
      </c>
      <c r="W42" s="13" t="n">
        <v>0</v>
      </c>
      <c r="X42" s="12" t="s">
        <v>105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106</v>
      </c>
      <c r="F43" s="10" t="n">
        <v>34</v>
      </c>
      <c r="G43" s="12" t="s">
        <v>71</v>
      </c>
      <c r="H43" s="10" t="n">
        <v>2110405</v>
      </c>
      <c r="I43" s="12" t="s">
        <v>83</v>
      </c>
      <c r="J43" s="10" t="n">
        <v>1567823</v>
      </c>
      <c r="L43" s="10" t="n">
        <v>640817</v>
      </c>
      <c r="M43" s="12" t="s">
        <v>41</v>
      </c>
      <c r="N43" s="12" t="s">
        <v>42</v>
      </c>
      <c r="P43" s="10" t="n">
        <v>102</v>
      </c>
      <c r="Q43" s="12" t="s">
        <v>107</v>
      </c>
      <c r="R43" s="12" t="s">
        <v>108</v>
      </c>
      <c r="S43" s="10" t="n">
        <v>4210508</v>
      </c>
      <c r="T43" s="12" t="s">
        <v>109</v>
      </c>
      <c r="U43" s="13" t="n">
        <v>153.13</v>
      </c>
      <c r="W43" s="13" t="n">
        <v>0</v>
      </c>
      <c r="X43" s="12" t="s">
        <v>110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111</v>
      </c>
      <c r="F44" s="10" t="n">
        <v>34</v>
      </c>
      <c r="G44" s="12" t="s">
        <v>71</v>
      </c>
      <c r="H44" s="10" t="n">
        <v>2110405</v>
      </c>
      <c r="I44" s="12" t="s">
        <v>83</v>
      </c>
      <c r="J44" s="10" t="n">
        <v>1567871</v>
      </c>
      <c r="L44" s="10" t="n">
        <v>640824</v>
      </c>
      <c r="M44" s="12" t="s">
        <v>41</v>
      </c>
      <c r="N44" s="12" t="s">
        <v>42</v>
      </c>
      <c r="P44" s="10" t="n">
        <v>102</v>
      </c>
      <c r="Q44" s="12" t="s">
        <v>107</v>
      </c>
      <c r="R44" s="12" t="s">
        <v>91</v>
      </c>
      <c r="S44" s="10" t="n">
        <v>4220199</v>
      </c>
      <c r="T44" s="12" t="s">
        <v>92</v>
      </c>
      <c r="U44" s="13" t="n">
        <v>2500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113</v>
      </c>
      <c r="F45" s="10" t="n">
        <v>34</v>
      </c>
      <c r="G45" s="12" t="s">
        <v>71</v>
      </c>
      <c r="H45" s="10" t="n">
        <v>2110405</v>
      </c>
      <c r="I45" s="12" t="s">
        <v>83</v>
      </c>
      <c r="J45" s="10" t="n">
        <v>1567938</v>
      </c>
      <c r="L45" s="10" t="n">
        <v>640826</v>
      </c>
      <c r="M45" s="12" t="s">
        <v>41</v>
      </c>
      <c r="N45" s="12" t="s">
        <v>42</v>
      </c>
      <c r="P45" s="10" t="n">
        <v>102</v>
      </c>
      <c r="Q45" s="12" t="s">
        <v>107</v>
      </c>
      <c r="R45" s="12" t="s">
        <v>91</v>
      </c>
      <c r="S45" s="10" t="n">
        <v>4220199</v>
      </c>
      <c r="T45" s="12" t="s">
        <v>92</v>
      </c>
      <c r="U45" s="13" t="n">
        <v>500</v>
      </c>
      <c r="W45" s="13" t="n">
        <v>0</v>
      </c>
      <c r="X45" s="12" t="s">
        <v>114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115</v>
      </c>
      <c r="F46" s="10" t="n">
        <v>34</v>
      </c>
      <c r="G46" s="12" t="s">
        <v>71</v>
      </c>
      <c r="H46" s="10" t="n">
        <v>2110405</v>
      </c>
      <c r="I46" s="12" t="s">
        <v>83</v>
      </c>
      <c r="J46" s="10" t="n">
        <v>1567953</v>
      </c>
      <c r="L46" s="10" t="n">
        <v>640834</v>
      </c>
      <c r="M46" s="12" t="s">
        <v>41</v>
      </c>
      <c r="N46" s="12" t="s">
        <v>42</v>
      </c>
      <c r="P46" s="10" t="n">
        <v>102</v>
      </c>
      <c r="Q46" s="12" t="s">
        <v>107</v>
      </c>
      <c r="R46" s="12" t="s">
        <v>60</v>
      </c>
      <c r="S46" s="10" t="n">
        <v>4210223</v>
      </c>
      <c r="T46" s="12" t="s">
        <v>116</v>
      </c>
      <c r="U46" s="13" t="n">
        <v>600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113</v>
      </c>
      <c r="F47" s="10" t="n">
        <v>34</v>
      </c>
      <c r="G47" s="12" t="s">
        <v>71</v>
      </c>
      <c r="H47" s="10" t="n">
        <v>2110405</v>
      </c>
      <c r="I47" s="12" t="s">
        <v>83</v>
      </c>
      <c r="J47" s="10" t="n">
        <v>1567961</v>
      </c>
      <c r="L47" s="10" t="n">
        <v>640837</v>
      </c>
      <c r="M47" s="12" t="s">
        <v>41</v>
      </c>
      <c r="N47" s="12" t="s">
        <v>42</v>
      </c>
      <c r="P47" s="10" t="n">
        <v>102</v>
      </c>
      <c r="Q47" s="12" t="s">
        <v>107</v>
      </c>
      <c r="R47" s="12" t="s">
        <v>91</v>
      </c>
      <c r="S47" s="10" t="n">
        <v>4220199</v>
      </c>
      <c r="T47" s="12" t="s">
        <v>92</v>
      </c>
      <c r="U47" s="13" t="n">
        <v>70</v>
      </c>
      <c r="W47" s="13" t="n">
        <v>0</v>
      </c>
      <c r="X47" s="12" t="s">
        <v>118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115</v>
      </c>
      <c r="F48" s="10" t="n">
        <v>34</v>
      </c>
      <c r="G48" s="12" t="s">
        <v>71</v>
      </c>
      <c r="H48" s="10" t="n">
        <v>2110405</v>
      </c>
      <c r="I48" s="12" t="s">
        <v>83</v>
      </c>
      <c r="J48" s="10" t="n">
        <v>1567970</v>
      </c>
      <c r="L48" s="10" t="n">
        <v>640841</v>
      </c>
      <c r="M48" s="12" t="s">
        <v>41</v>
      </c>
      <c r="N48" s="12" t="s">
        <v>42</v>
      </c>
      <c r="P48" s="10" t="n">
        <v>102</v>
      </c>
      <c r="Q48" s="12" t="s">
        <v>107</v>
      </c>
      <c r="R48" s="12" t="s">
        <v>60</v>
      </c>
      <c r="S48" s="10" t="n">
        <v>4210223</v>
      </c>
      <c r="T48" s="12" t="s">
        <v>116</v>
      </c>
      <c r="U48" s="13" t="n">
        <v>261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104</v>
      </c>
      <c r="F49" s="10" t="n">
        <v>24</v>
      </c>
      <c r="G49" s="12" t="s">
        <v>32</v>
      </c>
      <c r="H49" s="10" t="n">
        <v>2110405</v>
      </c>
      <c r="I49" s="12" t="s">
        <v>83</v>
      </c>
      <c r="J49" s="10" t="n">
        <v>1567997</v>
      </c>
      <c r="L49" s="10" t="n">
        <v>640849</v>
      </c>
      <c r="M49" s="12" t="s">
        <v>41</v>
      </c>
      <c r="N49" s="12" t="s">
        <v>42</v>
      </c>
      <c r="P49" s="10" t="n">
        <v>102</v>
      </c>
      <c r="Q49" s="12" t="s">
        <v>107</v>
      </c>
      <c r="R49" s="12" t="s">
        <v>85</v>
      </c>
      <c r="S49" s="10" t="n">
        <v>4210313</v>
      </c>
      <c r="T49" s="12" t="s">
        <v>120</v>
      </c>
      <c r="U49" s="13" t="n">
        <v>97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122</v>
      </c>
      <c r="F50" s="10" t="n">
        <v>24</v>
      </c>
      <c r="G50" s="12" t="s">
        <v>32</v>
      </c>
      <c r="H50" s="10" t="n">
        <v>2110405</v>
      </c>
      <c r="I50" s="12" t="s">
        <v>83</v>
      </c>
      <c r="J50" s="10" t="n">
        <v>1571451</v>
      </c>
      <c r="L50" s="10" t="n">
        <v>642308</v>
      </c>
      <c r="M50" s="12" t="s">
        <v>41</v>
      </c>
      <c r="N50" s="12" t="s">
        <v>42</v>
      </c>
      <c r="P50" s="10" t="n">
        <v>101</v>
      </c>
      <c r="Q50" s="12" t="s">
        <v>84</v>
      </c>
      <c r="R50" s="12" t="s">
        <v>123</v>
      </c>
      <c r="S50" s="10" t="n">
        <v>1240203</v>
      </c>
      <c r="T50" s="12" t="s">
        <v>124</v>
      </c>
      <c r="U50" s="13" t="n">
        <v>486.45</v>
      </c>
      <c r="W50" s="13" t="n">
        <v>0</v>
      </c>
      <c r="X50" s="12" t="s">
        <v>125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94</v>
      </c>
      <c r="F51" s="10" t="n">
        <v>34</v>
      </c>
      <c r="G51" s="12" t="s">
        <v>71</v>
      </c>
      <c r="H51" s="10" t="n">
        <v>2110405</v>
      </c>
      <c r="I51" s="12" t="s">
        <v>83</v>
      </c>
      <c r="J51" s="10" t="n">
        <v>1571502</v>
      </c>
      <c r="L51" s="10" t="n">
        <v>642322</v>
      </c>
      <c r="M51" s="12" t="s">
        <v>41</v>
      </c>
      <c r="N51" s="12" t="s">
        <v>42</v>
      </c>
      <c r="P51" s="10" t="n">
        <v>101</v>
      </c>
      <c r="Q51" s="12" t="s">
        <v>84</v>
      </c>
      <c r="R51" s="12" t="s">
        <v>91</v>
      </c>
      <c r="S51" s="10" t="n">
        <v>4220199</v>
      </c>
      <c r="T51" s="12" t="s">
        <v>92</v>
      </c>
      <c r="U51" s="13" t="n">
        <v>210</v>
      </c>
      <c r="W51" s="13" t="n">
        <v>0</v>
      </c>
      <c r="X51" s="12" t="s">
        <v>126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127</v>
      </c>
      <c r="F52" s="10" t="n">
        <v>24</v>
      </c>
      <c r="G52" s="12" t="s">
        <v>32</v>
      </c>
      <c r="H52" s="10" t="n">
        <v>2110405</v>
      </c>
      <c r="I52" s="12" t="s">
        <v>83</v>
      </c>
      <c r="J52" s="10" t="n">
        <v>920174</v>
      </c>
      <c r="L52" s="10" t="n">
        <v>391878</v>
      </c>
      <c r="M52" s="12" t="s">
        <v>128</v>
      </c>
      <c r="N52" s="12" t="s">
        <v>42</v>
      </c>
      <c r="P52" s="10" t="n">
        <v>101</v>
      </c>
      <c r="Q52" s="12" t="s">
        <v>84</v>
      </c>
      <c r="R52" s="12" t="s">
        <v>91</v>
      </c>
      <c r="S52" s="10" t="n">
        <v>4220199</v>
      </c>
      <c r="T52" s="12" t="s">
        <v>92</v>
      </c>
      <c r="U52" s="13" t="n">
        <v>711.69</v>
      </c>
      <c r="W52" s="13" t="n">
        <v>0</v>
      </c>
      <c r="X52" s="12" t="s">
        <v>129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130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1092319</v>
      </c>
      <c r="L53" s="10" t="n">
        <v>401029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2467.24</v>
      </c>
      <c r="W53" s="13" t="n">
        <v>0</v>
      </c>
      <c r="X53" s="12" t="s">
        <v>131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132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1029489</v>
      </c>
      <c r="L54" s="10" t="n">
        <v>19342</v>
      </c>
      <c r="M54" s="12" t="s">
        <v>128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1287.25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134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1088631</v>
      </c>
      <c r="L55" s="10" t="n">
        <v>666624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1495.04</v>
      </c>
      <c r="W55" s="13" t="n">
        <v>0</v>
      </c>
      <c r="X55" s="12" t="s">
        <v>135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136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1098066</v>
      </c>
      <c r="L56" s="10" t="n">
        <v>515970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1154.04</v>
      </c>
      <c r="W56" s="13" t="n">
        <v>0</v>
      </c>
      <c r="X56" s="12" t="s">
        <v>137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138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1098276</v>
      </c>
      <c r="L57" s="10" t="n">
        <v>18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560</v>
      </c>
      <c r="W57" s="13" t="n">
        <v>0</v>
      </c>
      <c r="X57" s="12" t="s">
        <v>139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140</v>
      </c>
      <c r="F58" s="10" t="n">
        <v>24</v>
      </c>
      <c r="G58" s="12" t="s">
        <v>32</v>
      </c>
      <c r="H58" s="10" t="n">
        <v>2110102</v>
      </c>
      <c r="I58" s="12" t="s">
        <v>59</v>
      </c>
      <c r="J58" s="10" t="n">
        <v>1101681</v>
      </c>
      <c r="L58" s="10" t="n">
        <v>3100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60</v>
      </c>
      <c r="S58" s="10" t="n">
        <v>4210204</v>
      </c>
      <c r="T58" s="12" t="s">
        <v>61</v>
      </c>
      <c r="U58" s="13" t="n">
        <v>1147.64</v>
      </c>
      <c r="W58" s="13" t="n">
        <v>0</v>
      </c>
      <c r="X58" s="12" t="s">
        <v>141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142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1132313</v>
      </c>
      <c r="L59" s="10" t="n">
        <v>113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370.86</v>
      </c>
      <c r="W59" s="13" t="n">
        <v>0</v>
      </c>
      <c r="X59" s="12" t="s">
        <v>143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144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1135947</v>
      </c>
      <c r="L60" s="10" t="n">
        <v>36155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4162.67</v>
      </c>
      <c r="W60" s="13" t="n">
        <v>0</v>
      </c>
      <c r="X60" s="12" t="s">
        <v>145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146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1137108</v>
      </c>
      <c r="L61" s="10" t="n">
        <v>1348909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2953.25</v>
      </c>
      <c r="W61" s="13" t="n">
        <v>0</v>
      </c>
      <c r="X61" s="12" t="s">
        <v>147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148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1141279</v>
      </c>
      <c r="L62" s="10" t="n">
        <v>1119761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3107.15</v>
      </c>
      <c r="W62" s="13" t="n">
        <v>0</v>
      </c>
      <c r="X62" s="12" t="s">
        <v>149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148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1141309</v>
      </c>
      <c r="L63" s="10" t="n">
        <v>1828663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4136.12</v>
      </c>
      <c r="W63" s="13" t="n">
        <v>0</v>
      </c>
      <c r="X63" s="12" t="s">
        <v>150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148</v>
      </c>
      <c r="F64" s="10" t="n">
        <v>24</v>
      </c>
      <c r="G64" s="12" t="s">
        <v>32</v>
      </c>
      <c r="H64" s="10" t="n">
        <v>2110101</v>
      </c>
      <c r="I64" s="12" t="s">
        <v>33</v>
      </c>
      <c r="J64" s="10" t="n">
        <v>1141346</v>
      </c>
      <c r="L64" s="10" t="n">
        <v>1835789</v>
      </c>
      <c r="M64" s="12" t="s">
        <v>41</v>
      </c>
      <c r="N64" s="12" t="s">
        <v>35</v>
      </c>
      <c r="P64" s="10" t="n">
        <v>103</v>
      </c>
      <c r="Q64" s="12" t="s">
        <v>36</v>
      </c>
      <c r="R64" s="12" t="s">
        <v>37</v>
      </c>
      <c r="S64" s="10" t="n">
        <v>1130101</v>
      </c>
      <c r="T64" s="12" t="s">
        <v>38</v>
      </c>
      <c r="U64" s="13" t="n">
        <v>7497.62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148</v>
      </c>
      <c r="F65" s="10" t="n">
        <v>24</v>
      </c>
      <c r="G65" s="12" t="s">
        <v>32</v>
      </c>
      <c r="H65" s="10" t="n">
        <v>2110101</v>
      </c>
      <c r="I65" s="12" t="s">
        <v>33</v>
      </c>
      <c r="J65" s="10" t="n">
        <v>1141373</v>
      </c>
      <c r="L65" s="10" t="n">
        <v>1125870</v>
      </c>
      <c r="M65" s="12" t="s">
        <v>41</v>
      </c>
      <c r="N65" s="12" t="s">
        <v>35</v>
      </c>
      <c r="P65" s="10" t="n">
        <v>103</v>
      </c>
      <c r="Q65" s="12" t="s">
        <v>36</v>
      </c>
      <c r="R65" s="12" t="s">
        <v>37</v>
      </c>
      <c r="S65" s="10" t="n">
        <v>1130101</v>
      </c>
      <c r="T65" s="12" t="s">
        <v>38</v>
      </c>
      <c r="U65" s="13" t="n">
        <v>2438.48</v>
      </c>
      <c r="W65" s="13" t="n">
        <v>0</v>
      </c>
      <c r="X65" s="12" t="s">
        <v>152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153</v>
      </c>
      <c r="F66" s="10" t="n">
        <v>24</v>
      </c>
      <c r="G66" s="12" t="s">
        <v>32</v>
      </c>
      <c r="H66" s="10" t="n">
        <v>2110101</v>
      </c>
      <c r="I66" s="12" t="s">
        <v>33</v>
      </c>
      <c r="J66" s="10" t="n">
        <v>1142142</v>
      </c>
      <c r="L66" s="10" t="n">
        <v>259091</v>
      </c>
      <c r="M66" s="12" t="s">
        <v>41</v>
      </c>
      <c r="N66" s="12" t="s">
        <v>35</v>
      </c>
      <c r="P66" s="10" t="n">
        <v>103</v>
      </c>
      <c r="Q66" s="12" t="s">
        <v>36</v>
      </c>
      <c r="R66" s="12" t="s">
        <v>37</v>
      </c>
      <c r="S66" s="10" t="n">
        <v>1130101</v>
      </c>
      <c r="T66" s="12" t="s">
        <v>38</v>
      </c>
      <c r="U66" s="13" t="n">
        <v>381.98</v>
      </c>
      <c r="W66" s="13" t="n">
        <v>0</v>
      </c>
      <c r="X66" s="12" t="s">
        <v>154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155</v>
      </c>
      <c r="F67" s="10" t="n">
        <v>24</v>
      </c>
      <c r="G67" s="12" t="s">
        <v>32</v>
      </c>
      <c r="H67" s="10" t="n">
        <v>2110101</v>
      </c>
      <c r="I67" s="12" t="s">
        <v>33</v>
      </c>
      <c r="J67" s="10" t="n">
        <v>1160794</v>
      </c>
      <c r="L67" s="10" t="n">
        <v>3254</v>
      </c>
      <c r="M67" s="12" t="s">
        <v>41</v>
      </c>
      <c r="N67" s="12" t="s">
        <v>35</v>
      </c>
      <c r="P67" s="10" t="n">
        <v>103</v>
      </c>
      <c r="Q67" s="12" t="s">
        <v>36</v>
      </c>
      <c r="R67" s="12" t="s">
        <v>37</v>
      </c>
      <c r="S67" s="10" t="n">
        <v>1130101</v>
      </c>
      <c r="T67" s="12" t="s">
        <v>38</v>
      </c>
      <c r="U67" s="13" t="n">
        <v>266</v>
      </c>
      <c r="W67" s="13" t="n">
        <v>0</v>
      </c>
      <c r="X67" s="12" t="s">
        <v>156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157</v>
      </c>
      <c r="F68" s="10" t="n">
        <v>24</v>
      </c>
      <c r="G68" s="12" t="s">
        <v>32</v>
      </c>
      <c r="H68" s="10" t="n">
        <v>2110101</v>
      </c>
      <c r="I68" s="12" t="s">
        <v>33</v>
      </c>
      <c r="J68" s="10" t="n">
        <v>1163088</v>
      </c>
      <c r="L68" s="10" t="n">
        <v>30630</v>
      </c>
      <c r="M68" s="12" t="s">
        <v>41</v>
      </c>
      <c r="N68" s="12" t="s">
        <v>35</v>
      </c>
      <c r="P68" s="10" t="n">
        <v>103</v>
      </c>
      <c r="Q68" s="12" t="s">
        <v>36</v>
      </c>
      <c r="R68" s="12" t="s">
        <v>37</v>
      </c>
      <c r="S68" s="10" t="n">
        <v>1130101</v>
      </c>
      <c r="T68" s="12" t="s">
        <v>38</v>
      </c>
      <c r="U68" s="13" t="n">
        <v>3638.4</v>
      </c>
      <c r="W68" s="13" t="n">
        <v>0</v>
      </c>
      <c r="X68" s="12" t="s">
        <v>158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159</v>
      </c>
      <c r="F69" s="10" t="n">
        <v>24</v>
      </c>
      <c r="G69" s="12" t="s">
        <v>32</v>
      </c>
      <c r="H69" s="10" t="n">
        <v>2110101</v>
      </c>
      <c r="I69" s="12" t="s">
        <v>33</v>
      </c>
      <c r="J69" s="10" t="n">
        <v>1168440</v>
      </c>
      <c r="L69" s="10" t="n">
        <v>1023904</v>
      </c>
      <c r="M69" s="12" t="s">
        <v>41</v>
      </c>
      <c r="N69" s="12" t="s">
        <v>35</v>
      </c>
      <c r="P69" s="10" t="n">
        <v>103</v>
      </c>
      <c r="Q69" s="12" t="s">
        <v>36</v>
      </c>
      <c r="R69" s="12" t="s">
        <v>37</v>
      </c>
      <c r="S69" s="10" t="n">
        <v>1130101</v>
      </c>
      <c r="T69" s="12" t="s">
        <v>38</v>
      </c>
      <c r="U69" s="13" t="n">
        <v>694.2</v>
      </c>
      <c r="W69" s="13" t="n">
        <v>0</v>
      </c>
      <c r="X69" s="12" t="s">
        <v>160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161</v>
      </c>
      <c r="F70" s="10" t="n">
        <v>24</v>
      </c>
      <c r="G70" s="12" t="s">
        <v>32</v>
      </c>
      <c r="H70" s="10" t="n">
        <v>2110101</v>
      </c>
      <c r="I70" s="12" t="s">
        <v>33</v>
      </c>
      <c r="J70" s="10" t="n">
        <v>1176950</v>
      </c>
      <c r="L70" s="10" t="n">
        <v>477</v>
      </c>
      <c r="M70" s="12" t="s">
        <v>41</v>
      </c>
      <c r="N70" s="12" t="s">
        <v>35</v>
      </c>
      <c r="P70" s="10" t="n">
        <v>103</v>
      </c>
      <c r="Q70" s="12" t="s">
        <v>36</v>
      </c>
      <c r="R70" s="12" t="s">
        <v>37</v>
      </c>
      <c r="S70" s="10" t="n">
        <v>1130101</v>
      </c>
      <c r="T70" s="12" t="s">
        <v>38</v>
      </c>
      <c r="U70" s="13" t="n">
        <v>936</v>
      </c>
      <c r="W70" s="13" t="n">
        <v>0</v>
      </c>
      <c r="X70" s="12" t="s">
        <v>162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74</v>
      </c>
      <c r="F71" s="10" t="n">
        <v>24</v>
      </c>
      <c r="G71" s="12" t="s">
        <v>32</v>
      </c>
      <c r="H71" s="10" t="n">
        <v>2110101</v>
      </c>
      <c r="I71" s="12" t="s">
        <v>33</v>
      </c>
      <c r="J71" s="10" t="n">
        <v>1191319</v>
      </c>
      <c r="L71" s="10" t="n">
        <v>644</v>
      </c>
      <c r="M71" s="12" t="s">
        <v>41</v>
      </c>
      <c r="N71" s="12" t="s">
        <v>35</v>
      </c>
      <c r="P71" s="10" t="n">
        <v>103</v>
      </c>
      <c r="Q71" s="12" t="s">
        <v>36</v>
      </c>
      <c r="R71" s="12" t="s">
        <v>37</v>
      </c>
      <c r="S71" s="10" t="n">
        <v>1130101</v>
      </c>
      <c r="T71" s="12" t="s">
        <v>38</v>
      </c>
      <c r="U71" s="13" t="n">
        <v>394.75</v>
      </c>
      <c r="W71" s="13" t="n">
        <v>0</v>
      </c>
      <c r="X71" s="12" t="s">
        <v>163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164</v>
      </c>
      <c r="F72" s="10" t="n">
        <v>34</v>
      </c>
      <c r="G72" s="12" t="s">
        <v>71</v>
      </c>
      <c r="H72" s="10" t="n">
        <v>2110405</v>
      </c>
      <c r="I72" s="12" t="s">
        <v>83</v>
      </c>
      <c r="J72" s="10" t="n">
        <v>1192279</v>
      </c>
      <c r="L72" s="10" t="n">
        <v>496258</v>
      </c>
      <c r="M72" s="12" t="s">
        <v>41</v>
      </c>
      <c r="N72" s="12" t="s">
        <v>42</v>
      </c>
      <c r="P72" s="10" t="n">
        <v>101</v>
      </c>
      <c r="Q72" s="12" t="s">
        <v>84</v>
      </c>
      <c r="R72" s="12" t="s">
        <v>165</v>
      </c>
      <c r="S72" s="10" t="n">
        <v>2110901</v>
      </c>
      <c r="T72" s="12" t="s">
        <v>166</v>
      </c>
      <c r="U72" s="13" t="n">
        <v>16511.84</v>
      </c>
      <c r="W72" s="13" t="n">
        <v>0</v>
      </c>
      <c r="X72" s="12" t="s">
        <v>167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168</v>
      </c>
      <c r="F73" s="10" t="n">
        <v>34</v>
      </c>
      <c r="G73" s="12" t="s">
        <v>71</v>
      </c>
      <c r="H73" s="10" t="n">
        <v>2110405</v>
      </c>
      <c r="I73" s="12" t="s">
        <v>83</v>
      </c>
      <c r="J73" s="10" t="n">
        <v>1192980</v>
      </c>
      <c r="L73" s="10" t="n">
        <v>496421</v>
      </c>
      <c r="M73" s="12" t="s">
        <v>41</v>
      </c>
      <c r="N73" s="12" t="s">
        <v>42</v>
      </c>
      <c r="P73" s="10" t="n">
        <v>101</v>
      </c>
      <c r="Q73" s="12" t="s">
        <v>84</v>
      </c>
      <c r="R73" s="12" t="s">
        <v>91</v>
      </c>
      <c r="S73" s="10" t="n">
        <v>4220199</v>
      </c>
      <c r="T73" s="12" t="s">
        <v>92</v>
      </c>
      <c r="U73" s="13" t="n">
        <v>1252</v>
      </c>
      <c r="W73" s="13" t="n">
        <v>0</v>
      </c>
      <c r="X73" s="12" t="s">
        <v>169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168</v>
      </c>
      <c r="F74" s="10" t="n">
        <v>11</v>
      </c>
      <c r="G74" s="12" t="s">
        <v>170</v>
      </c>
      <c r="H74" s="10" t="n">
        <v>2110405</v>
      </c>
      <c r="I74" s="12" t="s">
        <v>83</v>
      </c>
      <c r="J74" s="10" t="n">
        <v>1193007</v>
      </c>
      <c r="L74" s="10" t="n">
        <v>496426</v>
      </c>
      <c r="M74" s="12" t="s">
        <v>41</v>
      </c>
      <c r="N74" s="12" t="s">
        <v>42</v>
      </c>
      <c r="P74" s="10" t="n">
        <v>101</v>
      </c>
      <c r="Q74" s="12" t="s">
        <v>84</v>
      </c>
      <c r="R74" s="12" t="s">
        <v>91</v>
      </c>
      <c r="S74" s="10" t="n">
        <v>4220199</v>
      </c>
      <c r="T74" s="12" t="s">
        <v>92</v>
      </c>
      <c r="U74" s="13" t="n">
        <v>1350</v>
      </c>
      <c r="W74" s="13" t="n">
        <v>0</v>
      </c>
      <c r="X74" s="12" t="s">
        <v>171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70</v>
      </c>
      <c r="F75" s="10" t="n">
        <v>34</v>
      </c>
      <c r="G75" s="12" t="s">
        <v>71</v>
      </c>
      <c r="H75" s="10" t="n">
        <v>2110101</v>
      </c>
      <c r="I75" s="12" t="s">
        <v>33</v>
      </c>
      <c r="J75" s="10" t="n">
        <v>1193247</v>
      </c>
      <c r="L75" s="10" t="n">
        <v>5071</v>
      </c>
      <c r="M75" s="12" t="s">
        <v>41</v>
      </c>
      <c r="N75" s="12" t="s">
        <v>35</v>
      </c>
      <c r="P75" s="10" t="n">
        <v>104</v>
      </c>
      <c r="Q75" s="12" t="s">
        <v>99</v>
      </c>
      <c r="R75" s="12" t="s">
        <v>37</v>
      </c>
      <c r="S75" s="10" t="n">
        <v>1130101</v>
      </c>
      <c r="T75" s="12" t="s">
        <v>38</v>
      </c>
      <c r="U75" s="13" t="n">
        <v>3006.01</v>
      </c>
      <c r="W75" s="13" t="n">
        <v>0</v>
      </c>
      <c r="X75" s="12" t="s">
        <v>172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70</v>
      </c>
      <c r="F76" s="10" t="n">
        <v>34</v>
      </c>
      <c r="G76" s="12" t="s">
        <v>71</v>
      </c>
      <c r="H76" s="10" t="n">
        <v>2110101</v>
      </c>
      <c r="I76" s="12" t="s">
        <v>33</v>
      </c>
      <c r="J76" s="10" t="n">
        <v>1193289</v>
      </c>
      <c r="L76" s="10" t="n">
        <v>5072</v>
      </c>
      <c r="M76" s="12" t="s">
        <v>41</v>
      </c>
      <c r="N76" s="12" t="s">
        <v>35</v>
      </c>
      <c r="P76" s="10" t="n">
        <v>104</v>
      </c>
      <c r="Q76" s="12" t="s">
        <v>99</v>
      </c>
      <c r="R76" s="12" t="s">
        <v>37</v>
      </c>
      <c r="S76" s="10" t="n">
        <v>1130101</v>
      </c>
      <c r="T76" s="12" t="s">
        <v>38</v>
      </c>
      <c r="U76" s="13" t="n">
        <v>3006.01</v>
      </c>
      <c r="W76" s="13" t="n">
        <v>0</v>
      </c>
      <c r="X76" s="12" t="s">
        <v>172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70</v>
      </c>
      <c r="F77" s="10" t="n">
        <v>34</v>
      </c>
      <c r="G77" s="12" t="s">
        <v>71</v>
      </c>
      <c r="H77" s="10" t="n">
        <v>2110101</v>
      </c>
      <c r="I77" s="12" t="s">
        <v>33</v>
      </c>
      <c r="J77" s="10" t="n">
        <v>1193390</v>
      </c>
      <c r="L77" s="10" t="n">
        <v>496523</v>
      </c>
      <c r="M77" s="12" t="s">
        <v>41</v>
      </c>
      <c r="N77" s="12" t="s">
        <v>42</v>
      </c>
      <c r="P77" s="10" t="n">
        <v>104</v>
      </c>
      <c r="Q77" s="12" t="s">
        <v>99</v>
      </c>
      <c r="R77" s="12" t="s">
        <v>37</v>
      </c>
      <c r="S77" s="10" t="n">
        <v>1130101</v>
      </c>
      <c r="T77" s="12" t="s">
        <v>38</v>
      </c>
      <c r="U77" s="13" t="n">
        <v>165</v>
      </c>
      <c r="W77" s="13" t="n">
        <v>0</v>
      </c>
      <c r="X77" s="12" t="s">
        <v>173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106</v>
      </c>
      <c r="F78" s="10" t="n">
        <v>34</v>
      </c>
      <c r="G78" s="12" t="s">
        <v>71</v>
      </c>
      <c r="H78" s="10" t="n">
        <v>2110405</v>
      </c>
      <c r="I78" s="12" t="s">
        <v>83</v>
      </c>
      <c r="J78" s="10" t="n">
        <v>1543773</v>
      </c>
      <c r="L78" s="10" t="n">
        <v>631473</v>
      </c>
      <c r="M78" s="12" t="s">
        <v>41</v>
      </c>
      <c r="N78" s="12" t="s">
        <v>42</v>
      </c>
      <c r="P78" s="10" t="n">
        <v>102</v>
      </c>
      <c r="Q78" s="12" t="s">
        <v>107</v>
      </c>
      <c r="R78" s="12" t="s">
        <v>108</v>
      </c>
      <c r="S78" s="10" t="n">
        <v>4210504</v>
      </c>
      <c r="T78" s="12" t="s">
        <v>174</v>
      </c>
      <c r="U78" s="13" t="n">
        <v>6.41</v>
      </c>
      <c r="W78" s="13" t="n">
        <v>0</v>
      </c>
      <c r="X78" s="12" t="s">
        <v>175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106</v>
      </c>
      <c r="F79" s="10" t="n">
        <v>34</v>
      </c>
      <c r="G79" s="12" t="s">
        <v>71</v>
      </c>
      <c r="H79" s="10" t="n">
        <v>2110405</v>
      </c>
      <c r="I79" s="12" t="s">
        <v>83</v>
      </c>
      <c r="J79" s="10" t="n">
        <v>1543792</v>
      </c>
      <c r="L79" s="10" t="n">
        <v>631479</v>
      </c>
      <c r="M79" s="12" t="s">
        <v>41</v>
      </c>
      <c r="N79" s="12" t="s">
        <v>42</v>
      </c>
      <c r="P79" s="10" t="n">
        <v>102</v>
      </c>
      <c r="Q79" s="12" t="s">
        <v>107</v>
      </c>
      <c r="R79" s="12" t="s">
        <v>108</v>
      </c>
      <c r="S79" s="10" t="n">
        <v>4210505</v>
      </c>
      <c r="T79" s="12" t="s">
        <v>176</v>
      </c>
      <c r="U79" s="13" t="n">
        <v>584.66</v>
      </c>
      <c r="W79" s="13" t="n">
        <v>0</v>
      </c>
      <c r="X79" s="12" t="s">
        <v>177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106</v>
      </c>
      <c r="F80" s="10" t="n">
        <v>34</v>
      </c>
      <c r="G80" s="12" t="s">
        <v>71</v>
      </c>
      <c r="H80" s="10" t="n">
        <v>2110405</v>
      </c>
      <c r="I80" s="12" t="s">
        <v>83</v>
      </c>
      <c r="J80" s="10" t="n">
        <v>1543803</v>
      </c>
      <c r="L80" s="10" t="n">
        <v>631483</v>
      </c>
      <c r="M80" s="12" t="s">
        <v>41</v>
      </c>
      <c r="N80" s="12" t="s">
        <v>42</v>
      </c>
      <c r="P80" s="10" t="n">
        <v>102</v>
      </c>
      <c r="Q80" s="12" t="s">
        <v>107</v>
      </c>
      <c r="R80" s="12" t="s">
        <v>108</v>
      </c>
      <c r="S80" s="10" t="n">
        <v>4210504</v>
      </c>
      <c r="T80" s="12" t="s">
        <v>174</v>
      </c>
      <c r="U80" s="13" t="n">
        <v>638.71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106</v>
      </c>
      <c r="F81" s="10" t="n">
        <v>34</v>
      </c>
      <c r="G81" s="12" t="s">
        <v>71</v>
      </c>
      <c r="H81" s="10" t="n">
        <v>2110405</v>
      </c>
      <c r="I81" s="12" t="s">
        <v>83</v>
      </c>
      <c r="J81" s="10" t="n">
        <v>1543816</v>
      </c>
      <c r="L81" s="10" t="n">
        <v>631486</v>
      </c>
      <c r="M81" s="12" t="s">
        <v>41</v>
      </c>
      <c r="N81" s="12" t="s">
        <v>42</v>
      </c>
      <c r="P81" s="10" t="n">
        <v>102</v>
      </c>
      <c r="Q81" s="12" t="s">
        <v>107</v>
      </c>
      <c r="R81" s="12" t="s">
        <v>108</v>
      </c>
      <c r="S81" s="10" t="n">
        <v>4210505</v>
      </c>
      <c r="T81" s="12" t="s">
        <v>176</v>
      </c>
      <c r="U81" s="13" t="n">
        <v>968.61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106</v>
      </c>
      <c r="F82" s="10" t="n">
        <v>34</v>
      </c>
      <c r="G82" s="12" t="s">
        <v>71</v>
      </c>
      <c r="H82" s="10" t="n">
        <v>2110405</v>
      </c>
      <c r="I82" s="12" t="s">
        <v>83</v>
      </c>
      <c r="J82" s="10" t="n">
        <v>1543828</v>
      </c>
      <c r="L82" s="10" t="n">
        <v>631493</v>
      </c>
      <c r="M82" s="12" t="s">
        <v>41</v>
      </c>
      <c r="N82" s="12" t="s">
        <v>42</v>
      </c>
      <c r="P82" s="10" t="n">
        <v>102</v>
      </c>
      <c r="Q82" s="12" t="s">
        <v>107</v>
      </c>
      <c r="R82" s="12" t="s">
        <v>108</v>
      </c>
      <c r="S82" s="10" t="n">
        <v>4210504</v>
      </c>
      <c r="T82" s="12" t="s">
        <v>174</v>
      </c>
      <c r="U82" s="13" t="n">
        <v>1848.65</v>
      </c>
      <c r="W82" s="13" t="n">
        <v>0</v>
      </c>
      <c r="X82" s="12" t="s">
        <v>180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168</v>
      </c>
      <c r="F83" s="10" t="n">
        <v>34</v>
      </c>
      <c r="G83" s="12" t="s">
        <v>71</v>
      </c>
      <c r="H83" s="10" t="n">
        <v>2110405</v>
      </c>
      <c r="I83" s="12" t="s">
        <v>83</v>
      </c>
      <c r="J83" s="10" t="n">
        <v>1571238</v>
      </c>
      <c r="L83" s="10" t="n">
        <v>642223</v>
      </c>
      <c r="M83" s="12" t="s">
        <v>41</v>
      </c>
      <c r="N83" s="12" t="s">
        <v>42</v>
      </c>
      <c r="P83" s="10" t="n">
        <v>101</v>
      </c>
      <c r="Q83" s="12" t="s">
        <v>84</v>
      </c>
      <c r="R83" s="12" t="s">
        <v>91</v>
      </c>
      <c r="S83" s="10" t="n">
        <v>4220199</v>
      </c>
      <c r="T83" s="12" t="s">
        <v>92</v>
      </c>
      <c r="U83" s="13" t="n">
        <v>1134.01</v>
      </c>
      <c r="W83" s="13" t="n">
        <v>0</v>
      </c>
      <c r="X83" s="12" t="s">
        <v>181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182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848141</v>
      </c>
      <c r="L84" s="10" t="n">
        <v>9409</v>
      </c>
      <c r="M84" s="12" t="s">
        <v>183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2195.35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185</v>
      </c>
      <c r="F85" s="10" t="n">
        <v>24</v>
      </c>
      <c r="G85" s="12" t="s">
        <v>32</v>
      </c>
      <c r="H85" s="10" t="n">
        <v>2110405</v>
      </c>
      <c r="I85" s="12" t="s">
        <v>83</v>
      </c>
      <c r="J85" s="10" t="n">
        <v>890477</v>
      </c>
      <c r="L85" s="10" t="n">
        <v>46881</v>
      </c>
      <c r="M85" s="12" t="s">
        <v>34</v>
      </c>
      <c r="N85" s="12" t="s">
        <v>42</v>
      </c>
      <c r="P85" s="10" t="n">
        <v>101</v>
      </c>
      <c r="Q85" s="12" t="s">
        <v>84</v>
      </c>
      <c r="R85" s="12" t="s">
        <v>60</v>
      </c>
      <c r="S85" s="10" t="n">
        <v>4210216</v>
      </c>
      <c r="T85" s="12" t="s">
        <v>186</v>
      </c>
      <c r="U85" s="13" t="n">
        <v>419.97</v>
      </c>
      <c r="W85" s="13" t="n">
        <v>0</v>
      </c>
      <c r="X85" s="12" t="s">
        <v>187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51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1060740</v>
      </c>
      <c r="L86" s="10" t="n">
        <v>1649308</v>
      </c>
      <c r="M86" s="12" t="s">
        <v>34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1885.65</v>
      </c>
      <c r="W86" s="13" t="n">
        <v>0</v>
      </c>
      <c r="X86" s="12" t="s">
        <v>188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189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1088997</v>
      </c>
      <c r="L87" s="10" t="n">
        <v>33622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1326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191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1097568</v>
      </c>
      <c r="L88" s="10" t="n">
        <v>49351</v>
      </c>
      <c r="M88" s="12" t="s">
        <v>41</v>
      </c>
      <c r="N88" s="12" t="s">
        <v>35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832.66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193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1097719</v>
      </c>
      <c r="L89" s="10" t="n">
        <v>2283727</v>
      </c>
      <c r="M89" s="12" t="s">
        <v>41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1746.44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195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1098503</v>
      </c>
      <c r="L90" s="10" t="n">
        <v>834106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1298.57</v>
      </c>
      <c r="W90" s="13" t="n">
        <v>0</v>
      </c>
      <c r="X90" s="12" t="s">
        <v>196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31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1098588</v>
      </c>
      <c r="L91" s="10" t="n">
        <v>559545</v>
      </c>
      <c r="M91" s="12" t="s">
        <v>128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5225.25</v>
      </c>
      <c r="W91" s="13" t="n">
        <v>0</v>
      </c>
      <c r="X91" s="12" t="s">
        <v>197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68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1102661</v>
      </c>
      <c r="L92" s="10" t="n">
        <v>461754</v>
      </c>
      <c r="M92" s="12" t="s">
        <v>41</v>
      </c>
      <c r="N92" s="12" t="s">
        <v>42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2458.1</v>
      </c>
      <c r="W92" s="13" t="n">
        <v>0</v>
      </c>
      <c r="X92" s="12" t="s">
        <v>198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199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1107103</v>
      </c>
      <c r="L93" s="10" t="n">
        <v>9878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993.36</v>
      </c>
      <c r="W93" s="13" t="n">
        <v>0</v>
      </c>
      <c r="X93" s="12" t="s">
        <v>200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201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1127349</v>
      </c>
      <c r="L94" s="10" t="n">
        <v>1404002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1513.19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1127437</v>
      </c>
      <c r="L95" s="10" t="n">
        <v>1404506</v>
      </c>
      <c r="M95" s="12" t="s">
        <v>128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2111.21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204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1131679</v>
      </c>
      <c r="L96" s="10" t="n">
        <v>1952294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2899.4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206</v>
      </c>
      <c r="F97" s="10" t="n">
        <v>24</v>
      </c>
      <c r="G97" s="12" t="s">
        <v>32</v>
      </c>
      <c r="H97" s="10" t="n">
        <v>2110101</v>
      </c>
      <c r="I97" s="12" t="s">
        <v>33</v>
      </c>
      <c r="J97" s="10" t="n">
        <v>1136494</v>
      </c>
      <c r="L97" s="10" t="n">
        <v>474613</v>
      </c>
      <c r="M97" s="12" t="s">
        <v>34</v>
      </c>
      <c r="N97" s="12" t="s">
        <v>42</v>
      </c>
      <c r="P97" s="10" t="n">
        <v>103</v>
      </c>
      <c r="Q97" s="12" t="s">
        <v>36</v>
      </c>
      <c r="R97" s="12" t="s">
        <v>37</v>
      </c>
      <c r="S97" s="10" t="n">
        <v>1130101</v>
      </c>
      <c r="T97" s="12" t="s">
        <v>38</v>
      </c>
      <c r="U97" s="13" t="n">
        <v>678.54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208</v>
      </c>
      <c r="F98" s="10" t="n">
        <v>24</v>
      </c>
      <c r="G98" s="12" t="s">
        <v>32</v>
      </c>
      <c r="H98" s="10" t="n">
        <v>2110101</v>
      </c>
      <c r="I98" s="12" t="s">
        <v>33</v>
      </c>
      <c r="J98" s="10" t="n">
        <v>1137710</v>
      </c>
      <c r="L98" s="10" t="n">
        <v>1585743</v>
      </c>
      <c r="M98" s="12" t="s">
        <v>34</v>
      </c>
      <c r="N98" s="12" t="s">
        <v>35</v>
      </c>
      <c r="P98" s="10" t="n">
        <v>103</v>
      </c>
      <c r="Q98" s="12" t="s">
        <v>36</v>
      </c>
      <c r="R98" s="12" t="s">
        <v>37</v>
      </c>
      <c r="S98" s="10" t="n">
        <v>1130101</v>
      </c>
      <c r="T98" s="12" t="s">
        <v>38</v>
      </c>
      <c r="U98" s="13" t="n">
        <v>2305.66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208</v>
      </c>
      <c r="F99" s="10" t="n">
        <v>24</v>
      </c>
      <c r="G99" s="12" t="s">
        <v>32</v>
      </c>
      <c r="H99" s="10" t="n">
        <v>2110101</v>
      </c>
      <c r="I99" s="12" t="s">
        <v>33</v>
      </c>
      <c r="J99" s="10" t="n">
        <v>1137762</v>
      </c>
      <c r="L99" s="10" t="n">
        <v>1588698</v>
      </c>
      <c r="M99" s="12" t="s">
        <v>34</v>
      </c>
      <c r="N99" s="12" t="s">
        <v>35</v>
      </c>
      <c r="P99" s="10" t="n">
        <v>103</v>
      </c>
      <c r="Q99" s="12" t="s">
        <v>36</v>
      </c>
      <c r="R99" s="12" t="s">
        <v>37</v>
      </c>
      <c r="S99" s="10" t="n">
        <v>1130101</v>
      </c>
      <c r="T99" s="12" t="s">
        <v>38</v>
      </c>
      <c r="U99" s="13" t="n">
        <v>1669.68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211</v>
      </c>
      <c r="F100" s="10" t="n">
        <v>24</v>
      </c>
      <c r="G100" s="12" t="s">
        <v>32</v>
      </c>
      <c r="H100" s="10" t="n">
        <v>2110101</v>
      </c>
      <c r="I100" s="12" t="s">
        <v>33</v>
      </c>
      <c r="J100" s="10" t="n">
        <v>1166309</v>
      </c>
      <c r="L100" s="10" t="n">
        <v>14334</v>
      </c>
      <c r="M100" s="12" t="s">
        <v>41</v>
      </c>
      <c r="N100" s="12" t="s">
        <v>35</v>
      </c>
      <c r="P100" s="10" t="n">
        <v>103</v>
      </c>
      <c r="Q100" s="12" t="s">
        <v>36</v>
      </c>
      <c r="R100" s="12" t="s">
        <v>37</v>
      </c>
      <c r="S100" s="10" t="n">
        <v>1130101</v>
      </c>
      <c r="T100" s="12" t="s">
        <v>38</v>
      </c>
      <c r="U100" s="13" t="n">
        <v>3947.2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57</v>
      </c>
      <c r="F101" s="10" t="n">
        <v>24</v>
      </c>
      <c r="G101" s="12" t="s">
        <v>32</v>
      </c>
      <c r="H101" s="10" t="n">
        <v>2110101</v>
      </c>
      <c r="I101" s="12" t="s">
        <v>33</v>
      </c>
      <c r="J101" s="10" t="n">
        <v>1168251</v>
      </c>
      <c r="L101" s="10" t="n">
        <v>27274</v>
      </c>
      <c r="M101" s="12" t="s">
        <v>41</v>
      </c>
      <c r="N101" s="12" t="s">
        <v>35</v>
      </c>
      <c r="P101" s="10" t="n">
        <v>103</v>
      </c>
      <c r="Q101" s="12" t="s">
        <v>36</v>
      </c>
      <c r="R101" s="12" t="s">
        <v>37</v>
      </c>
      <c r="S101" s="10" t="n">
        <v>1130101</v>
      </c>
      <c r="T101" s="12" t="s">
        <v>38</v>
      </c>
      <c r="U101" s="13" t="n">
        <v>105.47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74</v>
      </c>
      <c r="F102" s="10" t="n">
        <v>24</v>
      </c>
      <c r="G102" s="12" t="s">
        <v>32</v>
      </c>
      <c r="H102" s="10" t="n">
        <v>2110101</v>
      </c>
      <c r="I102" s="12" t="s">
        <v>33</v>
      </c>
      <c r="J102" s="10" t="n">
        <v>1168273</v>
      </c>
      <c r="L102" s="10" t="n">
        <v>638</v>
      </c>
      <c r="M102" s="12" t="s">
        <v>41</v>
      </c>
      <c r="N102" s="12" t="s">
        <v>35</v>
      </c>
      <c r="P102" s="10" t="n">
        <v>103</v>
      </c>
      <c r="Q102" s="12" t="s">
        <v>36</v>
      </c>
      <c r="R102" s="12" t="s">
        <v>37</v>
      </c>
      <c r="S102" s="10" t="n">
        <v>1130101</v>
      </c>
      <c r="T102" s="12" t="s">
        <v>38</v>
      </c>
      <c r="U102" s="13" t="n">
        <v>1120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215</v>
      </c>
      <c r="F103" s="10" t="n">
        <v>24</v>
      </c>
      <c r="G103" s="12" t="s">
        <v>32</v>
      </c>
      <c r="H103" s="10" t="n">
        <v>2110101</v>
      </c>
      <c r="I103" s="12" t="s">
        <v>33</v>
      </c>
      <c r="J103" s="10" t="n">
        <v>1168309</v>
      </c>
      <c r="L103" s="10" t="n">
        <v>39894</v>
      </c>
      <c r="M103" s="12" t="s">
        <v>41</v>
      </c>
      <c r="N103" s="12" t="s">
        <v>35</v>
      </c>
      <c r="P103" s="10" t="n">
        <v>103</v>
      </c>
      <c r="Q103" s="12" t="s">
        <v>36</v>
      </c>
      <c r="R103" s="12" t="s">
        <v>37</v>
      </c>
      <c r="S103" s="10" t="n">
        <v>1130101</v>
      </c>
      <c r="T103" s="12" t="s">
        <v>38</v>
      </c>
      <c r="U103" s="13" t="n">
        <v>2300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217</v>
      </c>
      <c r="F104" s="10" t="n">
        <v>24</v>
      </c>
      <c r="G104" s="12" t="s">
        <v>32</v>
      </c>
      <c r="H104" s="10" t="n">
        <v>2110101</v>
      </c>
      <c r="I104" s="12" t="s">
        <v>33</v>
      </c>
      <c r="J104" s="10" t="n">
        <v>1168339</v>
      </c>
      <c r="L104" s="10" t="n">
        <v>15721</v>
      </c>
      <c r="M104" s="12" t="s">
        <v>41</v>
      </c>
      <c r="N104" s="12" t="s">
        <v>35</v>
      </c>
      <c r="P104" s="10" t="n">
        <v>103</v>
      </c>
      <c r="Q104" s="12" t="s">
        <v>36</v>
      </c>
      <c r="R104" s="12" t="s">
        <v>37</v>
      </c>
      <c r="S104" s="10" t="n">
        <v>1130101</v>
      </c>
      <c r="T104" s="12" t="s">
        <v>38</v>
      </c>
      <c r="U104" s="13" t="n">
        <v>304</v>
      </c>
      <c r="W104" s="13" t="n">
        <v>0</v>
      </c>
      <c r="X104" s="12" t="s">
        <v>218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66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1191273</v>
      </c>
      <c r="L105" s="10" t="n">
        <v>11208</v>
      </c>
      <c r="M105" s="12" t="s">
        <v>41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327.84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70</v>
      </c>
      <c r="F106" s="10" t="n">
        <v>34</v>
      </c>
      <c r="G106" s="12" t="s">
        <v>71</v>
      </c>
      <c r="H106" s="10" t="n">
        <v>2110101</v>
      </c>
      <c r="I106" s="12" t="s">
        <v>33</v>
      </c>
      <c r="J106" s="10" t="n">
        <v>1193916</v>
      </c>
      <c r="L106" s="10" t="n">
        <v>5075</v>
      </c>
      <c r="M106" s="12" t="s">
        <v>41</v>
      </c>
      <c r="N106" s="12" t="s">
        <v>35</v>
      </c>
      <c r="P106" s="10" t="n">
        <v>104</v>
      </c>
      <c r="Q106" s="12" t="s">
        <v>99</v>
      </c>
      <c r="R106" s="12" t="s">
        <v>37</v>
      </c>
      <c r="S106" s="10" t="n">
        <v>1130101</v>
      </c>
      <c r="T106" s="12" t="s">
        <v>38</v>
      </c>
      <c r="U106" s="13" t="n">
        <v>1394</v>
      </c>
      <c r="W106" s="13" t="n">
        <v>0</v>
      </c>
      <c r="X106" s="12" t="s">
        <v>220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221</v>
      </c>
      <c r="F107" s="10" t="n">
        <v>34</v>
      </c>
      <c r="G107" s="12" t="s">
        <v>71</v>
      </c>
      <c r="H107" s="10" t="n">
        <v>2110101</v>
      </c>
      <c r="I107" s="12" t="s">
        <v>33</v>
      </c>
      <c r="J107" s="10" t="n">
        <v>1193996</v>
      </c>
      <c r="L107" s="10" t="n">
        <v>14605</v>
      </c>
      <c r="M107" s="12" t="s">
        <v>41</v>
      </c>
      <c r="N107" s="12" t="s">
        <v>35</v>
      </c>
      <c r="P107" s="10" t="n">
        <v>104</v>
      </c>
      <c r="Q107" s="12" t="s">
        <v>99</v>
      </c>
      <c r="R107" s="12" t="s">
        <v>37</v>
      </c>
      <c r="S107" s="10" t="n">
        <v>1130101</v>
      </c>
      <c r="T107" s="12" t="s">
        <v>38</v>
      </c>
      <c r="U107" s="13" t="n">
        <v>400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70</v>
      </c>
      <c r="F108" s="10" t="n">
        <v>34</v>
      </c>
      <c r="G108" s="12" t="s">
        <v>71</v>
      </c>
      <c r="H108" s="10" t="n">
        <v>2110101</v>
      </c>
      <c r="I108" s="12" t="s">
        <v>33</v>
      </c>
      <c r="J108" s="10" t="n">
        <v>1194018</v>
      </c>
      <c r="L108" s="10" t="n">
        <v>496770</v>
      </c>
      <c r="M108" s="12" t="s">
        <v>41</v>
      </c>
      <c r="N108" s="12" t="s">
        <v>42</v>
      </c>
      <c r="P108" s="10" t="n">
        <v>104</v>
      </c>
      <c r="Q108" s="12" t="s">
        <v>99</v>
      </c>
      <c r="R108" s="12" t="s">
        <v>37</v>
      </c>
      <c r="S108" s="10" t="n">
        <v>1130101</v>
      </c>
      <c r="T108" s="12" t="s">
        <v>38</v>
      </c>
      <c r="U108" s="13" t="n">
        <v>70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224</v>
      </c>
      <c r="F109" s="10" t="n">
        <v>24</v>
      </c>
      <c r="G109" s="12" t="s">
        <v>32</v>
      </c>
      <c r="H109" s="10" t="n">
        <v>2110405</v>
      </c>
      <c r="I109" s="12" t="s">
        <v>83</v>
      </c>
      <c r="J109" s="10" t="n">
        <v>1197742</v>
      </c>
      <c r="L109" s="10" t="n">
        <v>526527466</v>
      </c>
      <c r="M109" s="12" t="s">
        <v>41</v>
      </c>
      <c r="N109" s="12" t="s">
        <v>42</v>
      </c>
      <c r="P109" s="10" t="n">
        <v>101</v>
      </c>
      <c r="Q109" s="12" t="s">
        <v>84</v>
      </c>
      <c r="R109" s="12" t="s">
        <v>225</v>
      </c>
      <c r="S109" s="10" t="n">
        <v>1140105</v>
      </c>
      <c r="T109" s="12" t="s">
        <v>226</v>
      </c>
      <c r="U109" s="13" t="n">
        <v>50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224</v>
      </c>
      <c r="F110" s="10" t="n">
        <v>24</v>
      </c>
      <c r="G110" s="12" t="s">
        <v>32</v>
      </c>
      <c r="H110" s="10" t="n">
        <v>2110405</v>
      </c>
      <c r="I110" s="12" t="s">
        <v>83</v>
      </c>
      <c r="J110" s="10" t="n">
        <v>1197753</v>
      </c>
      <c r="L110" s="10" t="n">
        <v>498298</v>
      </c>
      <c r="M110" s="12" t="s">
        <v>41</v>
      </c>
      <c r="N110" s="12" t="s">
        <v>42</v>
      </c>
      <c r="P110" s="10" t="n">
        <v>101</v>
      </c>
      <c r="Q110" s="12" t="s">
        <v>84</v>
      </c>
      <c r="R110" s="12" t="s">
        <v>225</v>
      </c>
      <c r="S110" s="10" t="n">
        <v>1140105</v>
      </c>
      <c r="T110" s="12" t="s">
        <v>226</v>
      </c>
      <c r="U110" s="13" t="n">
        <v>50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97</v>
      </c>
      <c r="F111" s="10" t="n">
        <v>13</v>
      </c>
      <c r="G111" s="12" t="s">
        <v>98</v>
      </c>
      <c r="H111" s="10" t="n">
        <v>2110101</v>
      </c>
      <c r="I111" s="12" t="s">
        <v>33</v>
      </c>
      <c r="J111" s="10" t="n">
        <v>1206718</v>
      </c>
      <c r="L111" s="10" t="n">
        <v>243</v>
      </c>
      <c r="M111" s="12" t="s">
        <v>41</v>
      </c>
      <c r="N111" s="12" t="s">
        <v>35</v>
      </c>
      <c r="P111" s="10" t="n">
        <v>104</v>
      </c>
      <c r="Q111" s="12" t="s">
        <v>99</v>
      </c>
      <c r="R111" s="12" t="s">
        <v>37</v>
      </c>
      <c r="S111" s="10" t="n">
        <v>1130101</v>
      </c>
      <c r="T111" s="12" t="s">
        <v>38</v>
      </c>
      <c r="U111" s="13" t="n">
        <v>370.5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102</v>
      </c>
      <c r="F112" s="10" t="n">
        <v>13</v>
      </c>
      <c r="G112" s="12" t="s">
        <v>98</v>
      </c>
      <c r="H112" s="10" t="n">
        <v>2110101</v>
      </c>
      <c r="I112" s="12" t="s">
        <v>33</v>
      </c>
      <c r="J112" s="10" t="n">
        <v>1228376</v>
      </c>
      <c r="L112" s="10" t="n">
        <v>5936</v>
      </c>
      <c r="M112" s="12" t="s">
        <v>41</v>
      </c>
      <c r="N112" s="12" t="s">
        <v>35</v>
      </c>
      <c r="P112" s="10" t="n">
        <v>104</v>
      </c>
      <c r="Q112" s="12" t="s">
        <v>99</v>
      </c>
      <c r="R112" s="12" t="s">
        <v>37</v>
      </c>
      <c r="S112" s="10" t="n">
        <v>1130101</v>
      </c>
      <c r="T112" s="12" t="s">
        <v>38</v>
      </c>
      <c r="U112" s="13" t="n">
        <v>720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231</v>
      </c>
      <c r="F113" s="10" t="n">
        <v>34</v>
      </c>
      <c r="G113" s="12" t="s">
        <v>71</v>
      </c>
      <c r="H113" s="10" t="n">
        <v>2110405</v>
      </c>
      <c r="I113" s="12" t="s">
        <v>83</v>
      </c>
      <c r="J113" s="10" t="n">
        <v>1122744</v>
      </c>
      <c r="L113" s="10" t="n">
        <v>469459</v>
      </c>
      <c r="M113" s="12" t="s">
        <v>128</v>
      </c>
      <c r="N113" s="12" t="s">
        <v>42</v>
      </c>
      <c r="P113" s="10" t="n">
        <v>102</v>
      </c>
      <c r="Q113" s="12" t="s">
        <v>107</v>
      </c>
      <c r="R113" s="12" t="s">
        <v>60</v>
      </c>
      <c r="S113" s="10" t="n">
        <v>4210206</v>
      </c>
      <c r="T113" s="12" t="s">
        <v>232</v>
      </c>
      <c r="U113" s="13" t="n">
        <v>258.62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132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866324</v>
      </c>
      <c r="L114" s="10" t="n">
        <v>18438</v>
      </c>
      <c r="M114" s="12" t="s">
        <v>234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3286.21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236</v>
      </c>
      <c r="F115" s="10" t="n">
        <v>34</v>
      </c>
      <c r="G115" s="12" t="s">
        <v>71</v>
      </c>
      <c r="H115" s="10" t="n">
        <v>2110405</v>
      </c>
      <c r="I115" s="12" t="s">
        <v>83</v>
      </c>
      <c r="J115" s="10" t="n">
        <v>911210</v>
      </c>
      <c r="L115" s="10" t="n">
        <v>388302</v>
      </c>
      <c r="M115" s="12" t="s">
        <v>128</v>
      </c>
      <c r="N115" s="12" t="s">
        <v>42</v>
      </c>
      <c r="P115" s="10" t="n">
        <v>101</v>
      </c>
      <c r="Q115" s="12" t="s">
        <v>84</v>
      </c>
      <c r="R115" s="12" t="s">
        <v>91</v>
      </c>
      <c r="S115" s="10" t="n">
        <v>4220199</v>
      </c>
      <c r="T115" s="12" t="s">
        <v>92</v>
      </c>
      <c r="U115" s="13" t="n">
        <v>2000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238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1065307</v>
      </c>
      <c r="L116" s="10" t="n">
        <v>20661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1086.95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1097658</v>
      </c>
      <c r="L117" s="10" t="n">
        <v>130776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751.8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1106927</v>
      </c>
      <c r="L118" s="10" t="n">
        <v>81794</v>
      </c>
      <c r="M118" s="12" t="s">
        <v>34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1268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1107368</v>
      </c>
      <c r="L119" s="10" t="n">
        <v>653787</v>
      </c>
      <c r="M119" s="12" t="s">
        <v>41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2249.88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1122700</v>
      </c>
      <c r="L120" s="10" t="n">
        <v>341630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2468.02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1128055</v>
      </c>
      <c r="L121" s="10" t="n">
        <v>39901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550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250</v>
      </c>
      <c r="F122" s="10" t="n">
        <v>24</v>
      </c>
      <c r="G122" s="12" t="s">
        <v>32</v>
      </c>
      <c r="H122" s="10" t="n">
        <v>2110101</v>
      </c>
      <c r="I122" s="12" t="s">
        <v>33</v>
      </c>
      <c r="J122" s="10" t="n">
        <v>1135829</v>
      </c>
      <c r="L122" s="10" t="n">
        <v>29520</v>
      </c>
      <c r="M122" s="12" t="s">
        <v>34</v>
      </c>
      <c r="N122" s="12" t="s">
        <v>35</v>
      </c>
      <c r="P122" s="10" t="n">
        <v>103</v>
      </c>
      <c r="Q122" s="12" t="s">
        <v>36</v>
      </c>
      <c r="R122" s="12" t="s">
        <v>37</v>
      </c>
      <c r="S122" s="10" t="n">
        <v>1130101</v>
      </c>
      <c r="T122" s="12" t="s">
        <v>38</v>
      </c>
      <c r="U122" s="13" t="n">
        <v>524.4</v>
      </c>
      <c r="W122" s="13" t="n">
        <v>0</v>
      </c>
      <c r="X122" s="12" t="s">
        <v>251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250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1135842</v>
      </c>
      <c r="L123" s="10" t="n">
        <v>33563</v>
      </c>
      <c r="M123" s="12" t="s">
        <v>34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1708.3</v>
      </c>
      <c r="W123" s="13" t="n">
        <v>0</v>
      </c>
      <c r="X123" s="12" t="s">
        <v>252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253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1135955</v>
      </c>
      <c r="L124" s="10" t="n">
        <v>195283</v>
      </c>
      <c r="M124" s="12" t="s">
        <v>41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694.44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253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1136291</v>
      </c>
      <c r="L125" s="10" t="n">
        <v>195282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192.96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256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1137009</v>
      </c>
      <c r="L126" s="10" t="n">
        <v>3026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500</v>
      </c>
      <c r="W126" s="13" t="n">
        <v>0</v>
      </c>
      <c r="X126" s="12" t="s">
        <v>257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258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1137441</v>
      </c>
      <c r="L127" s="10" t="n">
        <v>1226235</v>
      </c>
      <c r="M127" s="12" t="s">
        <v>41</v>
      </c>
      <c r="N127" s="12" t="s">
        <v>35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908.9</v>
      </c>
      <c r="W127" s="13" t="n">
        <v>0</v>
      </c>
      <c r="X127" s="12" t="s">
        <v>259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260</v>
      </c>
      <c r="F128" s="10" t="n">
        <v>24</v>
      </c>
      <c r="G128" s="12" t="s">
        <v>32</v>
      </c>
      <c r="H128" s="10" t="n">
        <v>2110101</v>
      </c>
      <c r="I128" s="12" t="s">
        <v>33</v>
      </c>
      <c r="J128" s="10" t="n">
        <v>1156884</v>
      </c>
      <c r="L128" s="10" t="n">
        <v>573</v>
      </c>
      <c r="M128" s="12" t="s">
        <v>34</v>
      </c>
      <c r="N128" s="12" t="s">
        <v>35</v>
      </c>
      <c r="P128" s="10" t="n">
        <v>103</v>
      </c>
      <c r="Q128" s="12" t="s">
        <v>36</v>
      </c>
      <c r="R128" s="12" t="s">
        <v>37</v>
      </c>
      <c r="S128" s="10" t="n">
        <v>1130101</v>
      </c>
      <c r="T128" s="12" t="s">
        <v>38</v>
      </c>
      <c r="U128" s="13" t="n">
        <v>503.26</v>
      </c>
      <c r="W128" s="13" t="n">
        <v>0</v>
      </c>
      <c r="X128" s="12" t="s">
        <v>261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262</v>
      </c>
      <c r="F129" s="10" t="n">
        <v>24</v>
      </c>
      <c r="G129" s="12" t="s">
        <v>32</v>
      </c>
      <c r="H129" s="10" t="n">
        <v>2110101</v>
      </c>
      <c r="I129" s="12" t="s">
        <v>33</v>
      </c>
      <c r="J129" s="10" t="n">
        <v>1157306</v>
      </c>
      <c r="L129" s="10" t="n">
        <v>20</v>
      </c>
      <c r="M129" s="12" t="s">
        <v>34</v>
      </c>
      <c r="N129" s="12" t="s">
        <v>35</v>
      </c>
      <c r="P129" s="10" t="n">
        <v>103</v>
      </c>
      <c r="Q129" s="12" t="s">
        <v>36</v>
      </c>
      <c r="R129" s="12" t="s">
        <v>37</v>
      </c>
      <c r="S129" s="10" t="n">
        <v>1130101</v>
      </c>
      <c r="T129" s="12" t="s">
        <v>38</v>
      </c>
      <c r="U129" s="13" t="n">
        <v>1456.5</v>
      </c>
      <c r="W129" s="13" t="n">
        <v>0</v>
      </c>
      <c r="X129" s="12" t="s">
        <v>263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264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1162928</v>
      </c>
      <c r="L130" s="10" t="n">
        <v>170541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3560.7</v>
      </c>
      <c r="W130" s="13" t="n">
        <v>0</v>
      </c>
      <c r="X130" s="12" t="s">
        <v>265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266</v>
      </c>
      <c r="F131" s="10" t="n">
        <v>24</v>
      </c>
      <c r="G131" s="12" t="s">
        <v>32</v>
      </c>
      <c r="H131" s="10" t="n">
        <v>2110405</v>
      </c>
      <c r="I131" s="12" t="s">
        <v>83</v>
      </c>
      <c r="J131" s="10" t="n">
        <v>1166723</v>
      </c>
      <c r="L131" s="10" t="n">
        <v>486445</v>
      </c>
      <c r="M131" s="12" t="s">
        <v>41</v>
      </c>
      <c r="N131" s="12" t="s">
        <v>42</v>
      </c>
      <c r="P131" s="10" t="n">
        <v>101</v>
      </c>
      <c r="Q131" s="12" t="s">
        <v>84</v>
      </c>
      <c r="R131" s="12" t="s">
        <v>60</v>
      </c>
      <c r="S131" s="10" t="n">
        <v>4210207</v>
      </c>
      <c r="T131" s="12" t="s">
        <v>267</v>
      </c>
      <c r="U131" s="13" t="n">
        <v>197.28</v>
      </c>
      <c r="W131" s="13" t="n">
        <v>0</v>
      </c>
      <c r="X131" s="12" t="s">
        <v>268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211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1166873</v>
      </c>
      <c r="L132" s="10" t="n">
        <v>14342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5498.4</v>
      </c>
      <c r="W132" s="13" t="n">
        <v>0</v>
      </c>
      <c r="X132" s="12" t="s">
        <v>269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66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1167858</v>
      </c>
      <c r="L133" s="10" t="n">
        <v>11196</v>
      </c>
      <c r="M133" s="12" t="s">
        <v>34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358.55</v>
      </c>
      <c r="W133" s="13" t="n">
        <v>0</v>
      </c>
      <c r="X133" s="12" t="s">
        <v>270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208</v>
      </c>
      <c r="F134" s="10" t="n">
        <v>24</v>
      </c>
      <c r="G134" s="12" t="s">
        <v>32</v>
      </c>
      <c r="H134" s="10" t="n">
        <v>2110101</v>
      </c>
      <c r="I134" s="12" t="s">
        <v>33</v>
      </c>
      <c r="J134" s="10" t="n">
        <v>1167896</v>
      </c>
      <c r="L134" s="10" t="n">
        <v>1591095</v>
      </c>
      <c r="M134" s="12" t="s">
        <v>41</v>
      </c>
      <c r="N134" s="12" t="s">
        <v>35</v>
      </c>
      <c r="P134" s="10" t="n">
        <v>103</v>
      </c>
      <c r="Q134" s="12" t="s">
        <v>36</v>
      </c>
      <c r="R134" s="12" t="s">
        <v>37</v>
      </c>
      <c r="S134" s="10" t="n">
        <v>1130101</v>
      </c>
      <c r="T134" s="12" t="s">
        <v>38</v>
      </c>
      <c r="U134" s="13" t="n">
        <v>416.19</v>
      </c>
      <c r="W134" s="13" t="n">
        <v>0</v>
      </c>
      <c r="X134" s="12" t="s">
        <v>271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74</v>
      </c>
      <c r="F135" s="10" t="n">
        <v>24</v>
      </c>
      <c r="G135" s="12" t="s">
        <v>32</v>
      </c>
      <c r="H135" s="10" t="n">
        <v>2110101</v>
      </c>
      <c r="I135" s="12" t="s">
        <v>33</v>
      </c>
      <c r="J135" s="10" t="n">
        <v>1168286</v>
      </c>
      <c r="L135" s="10" t="n">
        <v>639</v>
      </c>
      <c r="M135" s="12" t="s">
        <v>41</v>
      </c>
      <c r="N135" s="12" t="s">
        <v>35</v>
      </c>
      <c r="P135" s="10" t="n">
        <v>103</v>
      </c>
      <c r="Q135" s="12" t="s">
        <v>36</v>
      </c>
      <c r="R135" s="12" t="s">
        <v>37</v>
      </c>
      <c r="S135" s="10" t="n">
        <v>1130101</v>
      </c>
      <c r="T135" s="12" t="s">
        <v>38</v>
      </c>
      <c r="U135" s="13" t="n">
        <v>370.2</v>
      </c>
      <c r="W135" s="13" t="n">
        <v>0</v>
      </c>
      <c r="X135" s="12" t="s">
        <v>272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206</v>
      </c>
      <c r="F136" s="10" t="n">
        <v>24</v>
      </c>
      <c r="G136" s="12" t="s">
        <v>32</v>
      </c>
      <c r="H136" s="10" t="n">
        <v>2110101</v>
      </c>
      <c r="I136" s="12" t="s">
        <v>33</v>
      </c>
      <c r="J136" s="10" t="n">
        <v>1171433</v>
      </c>
      <c r="L136" s="10" t="n">
        <v>488192</v>
      </c>
      <c r="M136" s="12" t="s">
        <v>41</v>
      </c>
      <c r="N136" s="12" t="s">
        <v>42</v>
      </c>
      <c r="P136" s="10" t="n">
        <v>103</v>
      </c>
      <c r="Q136" s="12" t="s">
        <v>36</v>
      </c>
      <c r="R136" s="12" t="s">
        <v>37</v>
      </c>
      <c r="S136" s="10" t="n">
        <v>1130101</v>
      </c>
      <c r="T136" s="12" t="s">
        <v>38</v>
      </c>
      <c r="U136" s="13" t="n">
        <v>4056.86</v>
      </c>
      <c r="W136" s="13" t="n">
        <v>0</v>
      </c>
      <c r="X136" s="12" t="s">
        <v>273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274</v>
      </c>
      <c r="F137" s="10" t="n">
        <v>24</v>
      </c>
      <c r="G137" s="12" t="s">
        <v>32</v>
      </c>
      <c r="H137" s="10" t="n">
        <v>2110405</v>
      </c>
      <c r="I137" s="12" t="s">
        <v>83</v>
      </c>
      <c r="J137" s="10" t="n">
        <v>1176209</v>
      </c>
      <c r="L137" s="10" t="n">
        <v>489999</v>
      </c>
      <c r="M137" s="12" t="s">
        <v>41</v>
      </c>
      <c r="N137" s="12" t="s">
        <v>42</v>
      </c>
      <c r="P137" s="10" t="n">
        <v>101</v>
      </c>
      <c r="Q137" s="12" t="s">
        <v>84</v>
      </c>
      <c r="R137" s="12" t="s">
        <v>60</v>
      </c>
      <c r="S137" s="10" t="n">
        <v>4210233</v>
      </c>
      <c r="T137" s="12" t="s">
        <v>275</v>
      </c>
      <c r="U137" s="13" t="n">
        <v>258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274</v>
      </c>
      <c r="F138" s="10" t="n">
        <v>24</v>
      </c>
      <c r="G138" s="12" t="s">
        <v>32</v>
      </c>
      <c r="H138" s="10" t="n">
        <v>2110405</v>
      </c>
      <c r="I138" s="12" t="s">
        <v>83</v>
      </c>
      <c r="J138" s="10" t="n">
        <v>1176216</v>
      </c>
      <c r="L138" s="10" t="n">
        <v>490002</v>
      </c>
      <c r="M138" s="12" t="s">
        <v>41</v>
      </c>
      <c r="N138" s="12" t="s">
        <v>42</v>
      </c>
      <c r="P138" s="10" t="n">
        <v>101</v>
      </c>
      <c r="Q138" s="12" t="s">
        <v>84</v>
      </c>
      <c r="R138" s="12" t="s">
        <v>91</v>
      </c>
      <c r="S138" s="10" t="n">
        <v>4220199</v>
      </c>
      <c r="T138" s="12" t="s">
        <v>92</v>
      </c>
      <c r="U138" s="13" t="n">
        <v>262.5</v>
      </c>
      <c r="W138" s="13" t="n">
        <v>0</v>
      </c>
      <c r="X138" s="12" t="s">
        <v>277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278</v>
      </c>
      <c r="F139" s="10" t="n">
        <v>24</v>
      </c>
      <c r="G139" s="12" t="s">
        <v>32</v>
      </c>
      <c r="H139" s="10" t="n">
        <v>2110101</v>
      </c>
      <c r="I139" s="12" t="s">
        <v>33</v>
      </c>
      <c r="J139" s="10" t="n">
        <v>1176274</v>
      </c>
      <c r="L139" s="10" t="n">
        <v>30683</v>
      </c>
      <c r="M139" s="12" t="s">
        <v>41</v>
      </c>
      <c r="N139" s="12" t="s">
        <v>35</v>
      </c>
      <c r="P139" s="10" t="n">
        <v>103</v>
      </c>
      <c r="Q139" s="12" t="s">
        <v>36</v>
      </c>
      <c r="R139" s="12" t="s">
        <v>37</v>
      </c>
      <c r="S139" s="10" t="n">
        <v>1130101</v>
      </c>
      <c r="T139" s="12" t="s">
        <v>38</v>
      </c>
      <c r="U139" s="13" t="n">
        <v>260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280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1176660</v>
      </c>
      <c r="L140" s="10" t="n">
        <v>714</v>
      </c>
      <c r="M140" s="12" t="s">
        <v>41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620</v>
      </c>
      <c r="W140" s="13" t="n">
        <v>0</v>
      </c>
      <c r="X140" s="12" t="s">
        <v>281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1176972</v>
      </c>
      <c r="L141" s="10" t="n">
        <v>640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524.55</v>
      </c>
      <c r="W141" s="13" t="n">
        <v>0</v>
      </c>
      <c r="X141" s="12" t="s">
        <v>282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161</v>
      </c>
      <c r="F142" s="10" t="n">
        <v>24</v>
      </c>
      <c r="G142" s="12" t="s">
        <v>32</v>
      </c>
      <c r="H142" s="10" t="n">
        <v>2110101</v>
      </c>
      <c r="I142" s="12" t="s">
        <v>33</v>
      </c>
      <c r="J142" s="10" t="n">
        <v>1193274</v>
      </c>
      <c r="L142" s="10" t="n">
        <v>482</v>
      </c>
      <c r="M142" s="12" t="s">
        <v>41</v>
      </c>
      <c r="N142" s="12" t="s">
        <v>35</v>
      </c>
      <c r="P142" s="10" t="n">
        <v>103</v>
      </c>
      <c r="Q142" s="12" t="s">
        <v>36</v>
      </c>
      <c r="R142" s="12" t="s">
        <v>37</v>
      </c>
      <c r="S142" s="10" t="n">
        <v>1130101</v>
      </c>
      <c r="T142" s="12" t="s">
        <v>38</v>
      </c>
      <c r="U142" s="13" t="n">
        <v>564</v>
      </c>
      <c r="W142" s="13" t="n">
        <v>0</v>
      </c>
      <c r="X142" s="12" t="s">
        <v>283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284</v>
      </c>
      <c r="F143" s="10" t="n">
        <v>34</v>
      </c>
      <c r="G143" s="12" t="s">
        <v>71</v>
      </c>
      <c r="H143" s="10" t="n">
        <v>1110202</v>
      </c>
      <c r="I143" s="12" t="s">
        <v>285</v>
      </c>
      <c r="J143" s="10" t="n">
        <v>1053498</v>
      </c>
      <c r="L143" s="10" t="n">
        <v>443316</v>
      </c>
      <c r="M143" s="12" t="s">
        <v>34</v>
      </c>
      <c r="N143" s="12" t="s">
        <v>42</v>
      </c>
      <c r="P143" s="10" t="n">
        <v>101</v>
      </c>
      <c r="Q143" s="12" t="s">
        <v>84</v>
      </c>
      <c r="R143" s="12" t="s">
        <v>91</v>
      </c>
      <c r="S143" s="10" t="n">
        <v>4220199</v>
      </c>
      <c r="T143" s="12" t="s">
        <v>92</v>
      </c>
      <c r="U143" s="13" t="n">
        <v>1500</v>
      </c>
      <c r="W143" s="13" t="n">
        <v>0</v>
      </c>
      <c r="X143" s="12" t="s">
        <v>286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94</v>
      </c>
      <c r="F144" s="10" t="n">
        <v>24</v>
      </c>
      <c r="G144" s="12" t="s">
        <v>32</v>
      </c>
      <c r="H144" s="10" t="n">
        <v>1110202</v>
      </c>
      <c r="I144" s="12" t="s">
        <v>285</v>
      </c>
      <c r="J144" s="10" t="n">
        <v>881704</v>
      </c>
      <c r="L144" s="10" t="n">
        <v>376470</v>
      </c>
      <c r="M144" s="12" t="s">
        <v>34</v>
      </c>
      <c r="N144" s="12" t="s">
        <v>42</v>
      </c>
      <c r="P144" s="10" t="n">
        <v>101</v>
      </c>
      <c r="Q144" s="12" t="s">
        <v>84</v>
      </c>
      <c r="R144" s="12" t="s">
        <v>91</v>
      </c>
      <c r="S144" s="10" t="n">
        <v>4220199</v>
      </c>
      <c r="T144" s="12" t="s">
        <v>92</v>
      </c>
      <c r="U144" s="13" t="n">
        <v>250</v>
      </c>
      <c r="W144" s="13" t="n">
        <v>0</v>
      </c>
      <c r="X144" s="12" t="s">
        <v>287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94</v>
      </c>
      <c r="F145" s="10" t="n">
        <v>24</v>
      </c>
      <c r="G145" s="12" t="s">
        <v>32</v>
      </c>
      <c r="H145" s="10" t="n">
        <v>2110405</v>
      </c>
      <c r="I145" s="12" t="s">
        <v>83</v>
      </c>
      <c r="J145" s="10" t="n">
        <v>998922</v>
      </c>
      <c r="L145" s="10" t="n">
        <v>422001</v>
      </c>
      <c r="M145" s="12" t="s">
        <v>34</v>
      </c>
      <c r="N145" s="12" t="s">
        <v>42</v>
      </c>
      <c r="P145" s="10" t="n">
        <v>101</v>
      </c>
      <c r="Q145" s="12" t="s">
        <v>84</v>
      </c>
      <c r="R145" s="12" t="s">
        <v>91</v>
      </c>
      <c r="S145" s="10" t="n">
        <v>4220199</v>
      </c>
      <c r="T145" s="12" t="s">
        <v>92</v>
      </c>
      <c r="U145" s="13" t="n">
        <v>600.31</v>
      </c>
      <c r="W145" s="13" t="n">
        <v>0</v>
      </c>
      <c r="X145" s="12" t="s">
        <v>288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289</v>
      </c>
      <c r="F146" s="10" t="n">
        <v>34</v>
      </c>
      <c r="G146" s="12" t="s">
        <v>71</v>
      </c>
      <c r="H146" s="10" t="n">
        <v>2110405</v>
      </c>
      <c r="I146" s="12" t="s">
        <v>83</v>
      </c>
      <c r="J146" s="10" t="n">
        <v>1053484</v>
      </c>
      <c r="L146" s="10" t="n">
        <v>443312</v>
      </c>
      <c r="M146" s="12" t="s">
        <v>41</v>
      </c>
      <c r="N146" s="12" t="s">
        <v>42</v>
      </c>
      <c r="P146" s="10" t="n">
        <v>101</v>
      </c>
      <c r="Q146" s="12" t="s">
        <v>84</v>
      </c>
      <c r="R146" s="12" t="s">
        <v>290</v>
      </c>
      <c r="S146" s="10" t="n">
        <v>4210111</v>
      </c>
      <c r="T146" s="12" t="s">
        <v>291</v>
      </c>
      <c r="U146" s="13" t="n">
        <v>4300</v>
      </c>
      <c r="W146" s="13" t="n">
        <v>0</v>
      </c>
      <c r="X146" s="12" t="s">
        <v>292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293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1138279</v>
      </c>
      <c r="L147" s="10" t="n">
        <v>2707</v>
      </c>
      <c r="M147" s="12" t="s">
        <v>41</v>
      </c>
      <c r="N147" s="12" t="s">
        <v>35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1267</v>
      </c>
      <c r="W147" s="13" t="n">
        <v>0</v>
      </c>
      <c r="X147" s="12" t="s">
        <v>294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284</v>
      </c>
      <c r="F148" s="10" t="n">
        <v>34</v>
      </c>
      <c r="G148" s="12" t="s">
        <v>71</v>
      </c>
      <c r="H148" s="10" t="n">
        <v>2110405</v>
      </c>
      <c r="I148" s="12" t="s">
        <v>83</v>
      </c>
      <c r="J148" s="10" t="n">
        <v>1053523</v>
      </c>
      <c r="L148" s="10" t="n">
        <v>443326</v>
      </c>
      <c r="M148" s="12" t="s">
        <v>41</v>
      </c>
      <c r="N148" s="12" t="s">
        <v>42</v>
      </c>
      <c r="P148" s="10" t="n">
        <v>101</v>
      </c>
      <c r="Q148" s="12" t="s">
        <v>84</v>
      </c>
      <c r="R148" s="12" t="s">
        <v>85</v>
      </c>
      <c r="S148" s="10" t="n">
        <v>4210301</v>
      </c>
      <c r="T148" s="12" t="s">
        <v>295</v>
      </c>
      <c r="U148" s="13" t="n">
        <v>751.12</v>
      </c>
      <c r="W148" s="13" t="n">
        <v>0</v>
      </c>
      <c r="X148" s="12" t="s">
        <v>296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90</v>
      </c>
      <c r="F149" s="10" t="n">
        <v>34</v>
      </c>
      <c r="G149" s="12" t="s">
        <v>71</v>
      </c>
      <c r="H149" s="10" t="n">
        <v>2110405</v>
      </c>
      <c r="I149" s="12" t="s">
        <v>83</v>
      </c>
      <c r="J149" s="10" t="n">
        <v>1053543</v>
      </c>
      <c r="L149" s="10" t="n">
        <v>443329</v>
      </c>
      <c r="M149" s="12" t="s">
        <v>34</v>
      </c>
      <c r="N149" s="12" t="s">
        <v>42</v>
      </c>
      <c r="P149" s="10" t="n">
        <v>101</v>
      </c>
      <c r="Q149" s="12" t="s">
        <v>84</v>
      </c>
      <c r="R149" s="12" t="s">
        <v>85</v>
      </c>
      <c r="S149" s="10" t="n">
        <v>4210301</v>
      </c>
      <c r="T149" s="12" t="s">
        <v>295</v>
      </c>
      <c r="U149" s="13" t="n">
        <v>500</v>
      </c>
      <c r="W149" s="13" t="n">
        <v>0</v>
      </c>
      <c r="X149" s="12" t="s">
        <v>297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54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1060621</v>
      </c>
      <c r="L150" s="10" t="n">
        <v>869873</v>
      </c>
      <c r="M150" s="12" t="s">
        <v>128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460.02</v>
      </c>
      <c r="W150" s="13" t="n">
        <v>0</v>
      </c>
      <c r="X150" s="12" t="s">
        <v>298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44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1061383</v>
      </c>
      <c r="L151" s="10" t="n">
        <v>1872667</v>
      </c>
      <c r="M151" s="12" t="s">
        <v>41</v>
      </c>
      <c r="N151" s="12" t="s">
        <v>35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2269.96</v>
      </c>
      <c r="W151" s="13" t="n">
        <v>0</v>
      </c>
      <c r="X151" s="12" t="s">
        <v>299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300</v>
      </c>
      <c r="F152" s="10" t="n">
        <v>24</v>
      </c>
      <c r="G152" s="12" t="s">
        <v>32</v>
      </c>
      <c r="H152" s="10" t="n">
        <v>2110405</v>
      </c>
      <c r="I152" s="12" t="s">
        <v>83</v>
      </c>
      <c r="J152" s="10" t="n">
        <v>1107124</v>
      </c>
      <c r="L152" s="10" t="n">
        <v>463324</v>
      </c>
      <c r="M152" s="12" t="s">
        <v>41</v>
      </c>
      <c r="N152" s="12" t="s">
        <v>42</v>
      </c>
      <c r="P152" s="10" t="n">
        <v>101</v>
      </c>
      <c r="Q152" s="12" t="s">
        <v>84</v>
      </c>
      <c r="R152" s="12" t="s">
        <v>85</v>
      </c>
      <c r="S152" s="10" t="n">
        <v>4210311</v>
      </c>
      <c r="T152" s="12" t="s">
        <v>301</v>
      </c>
      <c r="U152" s="13" t="n">
        <v>2802.21</v>
      </c>
      <c r="W152" s="13" t="n">
        <v>0</v>
      </c>
      <c r="X152" s="12" t="s">
        <v>302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51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1107211</v>
      </c>
      <c r="L153" s="10" t="n">
        <v>1655460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1761.41</v>
      </c>
      <c r="W153" s="13" t="n">
        <v>0</v>
      </c>
      <c r="X153" s="12" t="s">
        <v>303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193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1122094</v>
      </c>
      <c r="L154" s="10" t="n">
        <v>2284331</v>
      </c>
      <c r="M154" s="12" t="s">
        <v>34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1137.4</v>
      </c>
      <c r="W154" s="13" t="n">
        <v>0</v>
      </c>
      <c r="X154" s="12" t="s">
        <v>304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258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1137452</v>
      </c>
      <c r="L155" s="10" t="n">
        <v>1226733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2987.72</v>
      </c>
      <c r="W155" s="13" t="n">
        <v>0</v>
      </c>
      <c r="X155" s="12" t="s">
        <v>305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306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1137545</v>
      </c>
      <c r="L156" s="10" t="n">
        <v>100830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1358.58</v>
      </c>
      <c r="W156" s="13" t="n">
        <v>0</v>
      </c>
      <c r="X156" s="12" t="s">
        <v>307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31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1138081</v>
      </c>
      <c r="L157" s="10" t="n">
        <v>475008</v>
      </c>
      <c r="M157" s="12" t="s">
        <v>41</v>
      </c>
      <c r="N157" s="12" t="s">
        <v>42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5065.67</v>
      </c>
      <c r="W157" s="13" t="n">
        <v>0</v>
      </c>
      <c r="X157" s="12" t="s">
        <v>308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309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1142082</v>
      </c>
      <c r="L158" s="10" t="n">
        <v>2426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481.5</v>
      </c>
      <c r="W158" s="13" t="n">
        <v>0</v>
      </c>
      <c r="X158" s="12" t="s">
        <v>310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311</v>
      </c>
      <c r="F159" s="10" t="n">
        <v>24</v>
      </c>
      <c r="G159" s="12" t="s">
        <v>32</v>
      </c>
      <c r="H159" s="10" t="n">
        <v>2110101</v>
      </c>
      <c r="I159" s="12" t="s">
        <v>33</v>
      </c>
      <c r="J159" s="10" t="n">
        <v>1168061</v>
      </c>
      <c r="L159" s="10" t="n">
        <v>828802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37</v>
      </c>
      <c r="S159" s="10" t="n">
        <v>1130101</v>
      </c>
      <c r="T159" s="12" t="s">
        <v>38</v>
      </c>
      <c r="U159" s="13" t="n">
        <v>821.79</v>
      </c>
      <c r="W159" s="13" t="n">
        <v>0</v>
      </c>
      <c r="X159" s="12" t="s">
        <v>312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311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1168090</v>
      </c>
      <c r="L160" s="10" t="n">
        <v>486906</v>
      </c>
      <c r="M160" s="12" t="s">
        <v>41</v>
      </c>
      <c r="N160" s="12" t="s">
        <v>42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6321.74</v>
      </c>
      <c r="W160" s="13" t="n">
        <v>0</v>
      </c>
      <c r="X160" s="12" t="s">
        <v>313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144</v>
      </c>
      <c r="F161" s="10" t="n">
        <v>24</v>
      </c>
      <c r="G161" s="12" t="s">
        <v>32</v>
      </c>
      <c r="H161" s="10" t="n">
        <v>2110101</v>
      </c>
      <c r="I161" s="12" t="s">
        <v>33</v>
      </c>
      <c r="J161" s="10" t="n">
        <v>1168537</v>
      </c>
      <c r="L161" s="10" t="n">
        <v>36490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4356.89</v>
      </c>
      <c r="W161" s="13" t="n">
        <v>0</v>
      </c>
      <c r="X161" s="12" t="s">
        <v>314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315</v>
      </c>
      <c r="F162" s="10" t="n">
        <v>24</v>
      </c>
      <c r="G162" s="12" t="s">
        <v>32</v>
      </c>
      <c r="H162" s="10" t="n">
        <v>2110101</v>
      </c>
      <c r="I162" s="12" t="s">
        <v>33</v>
      </c>
      <c r="J162" s="10" t="n">
        <v>1172634</v>
      </c>
      <c r="L162" s="10" t="n">
        <v>831478</v>
      </c>
      <c r="M162" s="12" t="s">
        <v>41</v>
      </c>
      <c r="N162" s="12" t="s">
        <v>35</v>
      </c>
      <c r="P162" s="10" t="n">
        <v>103</v>
      </c>
      <c r="Q162" s="12" t="s">
        <v>36</v>
      </c>
      <c r="R162" s="12" t="s">
        <v>37</v>
      </c>
      <c r="S162" s="10" t="n">
        <v>1130101</v>
      </c>
      <c r="T162" s="12" t="s">
        <v>38</v>
      </c>
      <c r="U162" s="13" t="n">
        <v>1275</v>
      </c>
      <c r="W162" s="13" t="n">
        <v>0</v>
      </c>
      <c r="X162" s="12" t="s">
        <v>316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157</v>
      </c>
      <c r="F163" s="10" t="n">
        <v>24</v>
      </c>
      <c r="G163" s="12" t="s">
        <v>32</v>
      </c>
      <c r="H163" s="10" t="n">
        <v>2110101</v>
      </c>
      <c r="I163" s="12" t="s">
        <v>33</v>
      </c>
      <c r="J163" s="10" t="n">
        <v>1176040</v>
      </c>
      <c r="L163" s="10" t="n">
        <v>30722</v>
      </c>
      <c r="M163" s="12" t="s">
        <v>41</v>
      </c>
      <c r="N163" s="12" t="s">
        <v>35</v>
      </c>
      <c r="P163" s="10" t="n">
        <v>103</v>
      </c>
      <c r="Q163" s="12" t="s">
        <v>36</v>
      </c>
      <c r="R163" s="12" t="s">
        <v>37</v>
      </c>
      <c r="S163" s="10" t="n">
        <v>1130101</v>
      </c>
      <c r="T163" s="12" t="s">
        <v>38</v>
      </c>
      <c r="U163" s="13" t="n">
        <v>2642.4</v>
      </c>
      <c r="W163" s="13" t="n">
        <v>0</v>
      </c>
      <c r="X163" s="12" t="s">
        <v>317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159</v>
      </c>
      <c r="F164" s="10" t="n">
        <v>24</v>
      </c>
      <c r="G164" s="12" t="s">
        <v>32</v>
      </c>
      <c r="H164" s="10" t="n">
        <v>2110101</v>
      </c>
      <c r="I164" s="12" t="s">
        <v>33</v>
      </c>
      <c r="J164" s="10" t="n">
        <v>1176355</v>
      </c>
      <c r="L164" s="10" t="n">
        <v>1024607</v>
      </c>
      <c r="M164" s="12" t="s">
        <v>41</v>
      </c>
      <c r="N164" s="12" t="s">
        <v>35</v>
      </c>
      <c r="P164" s="10" t="n">
        <v>103</v>
      </c>
      <c r="Q164" s="12" t="s">
        <v>36</v>
      </c>
      <c r="R164" s="12" t="s">
        <v>37</v>
      </c>
      <c r="S164" s="10" t="n">
        <v>1130101</v>
      </c>
      <c r="T164" s="12" t="s">
        <v>38</v>
      </c>
      <c r="U164" s="13" t="n">
        <v>662.7</v>
      </c>
      <c r="W164" s="13" t="n">
        <v>0</v>
      </c>
      <c r="X164" s="12" t="s">
        <v>318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319</v>
      </c>
      <c r="F165" s="10" t="n">
        <v>24</v>
      </c>
      <c r="G165" s="12" t="s">
        <v>32</v>
      </c>
      <c r="H165" s="10" t="n">
        <v>2110101</v>
      </c>
      <c r="I165" s="12" t="s">
        <v>33</v>
      </c>
      <c r="J165" s="10" t="n">
        <v>1176606</v>
      </c>
      <c r="L165" s="10" t="n">
        <v>9986</v>
      </c>
      <c r="M165" s="12" t="s">
        <v>41</v>
      </c>
      <c r="N165" s="12" t="s">
        <v>35</v>
      </c>
      <c r="P165" s="10" t="n">
        <v>103</v>
      </c>
      <c r="Q165" s="12" t="s">
        <v>36</v>
      </c>
      <c r="R165" s="12" t="s">
        <v>37</v>
      </c>
      <c r="S165" s="10" t="n">
        <v>1130101</v>
      </c>
      <c r="T165" s="12" t="s">
        <v>38</v>
      </c>
      <c r="U165" s="13" t="n">
        <v>648</v>
      </c>
      <c r="W165" s="13" t="n">
        <v>0</v>
      </c>
      <c r="X165" s="12" t="s">
        <v>320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321</v>
      </c>
      <c r="F166" s="10" t="n">
        <v>24</v>
      </c>
      <c r="G166" s="12" t="s">
        <v>32</v>
      </c>
      <c r="H166" s="10" t="n">
        <v>2110101</v>
      </c>
      <c r="I166" s="12" t="s">
        <v>33</v>
      </c>
      <c r="J166" s="10" t="n">
        <v>1176931</v>
      </c>
      <c r="L166" s="10" t="n">
        <v>3288</v>
      </c>
      <c r="M166" s="12" t="s">
        <v>41</v>
      </c>
      <c r="N166" s="12" t="s">
        <v>35</v>
      </c>
      <c r="P166" s="10" t="n">
        <v>103</v>
      </c>
      <c r="Q166" s="12" t="s">
        <v>36</v>
      </c>
      <c r="R166" s="12" t="s">
        <v>37</v>
      </c>
      <c r="S166" s="10" t="n">
        <v>1130101</v>
      </c>
      <c r="T166" s="12" t="s">
        <v>38</v>
      </c>
      <c r="U166" s="13" t="n">
        <v>1909</v>
      </c>
      <c r="W166" s="13" t="n">
        <v>0</v>
      </c>
      <c r="X166" s="12" t="s">
        <v>322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323</v>
      </c>
      <c r="F167" s="10" t="n">
        <v>24</v>
      </c>
      <c r="G167" s="12" t="s">
        <v>32</v>
      </c>
      <c r="H167" s="10" t="n">
        <v>2110101</v>
      </c>
      <c r="I167" s="12" t="s">
        <v>33</v>
      </c>
      <c r="J167" s="10" t="n">
        <v>1176958</v>
      </c>
      <c r="L167" s="10" t="n">
        <v>3591</v>
      </c>
      <c r="M167" s="12" t="s">
        <v>41</v>
      </c>
      <c r="N167" s="12" t="s">
        <v>35</v>
      </c>
      <c r="P167" s="10" t="n">
        <v>103</v>
      </c>
      <c r="Q167" s="12" t="s">
        <v>36</v>
      </c>
      <c r="R167" s="12" t="s">
        <v>37</v>
      </c>
      <c r="S167" s="10" t="n">
        <v>1130101</v>
      </c>
      <c r="T167" s="12" t="s">
        <v>38</v>
      </c>
      <c r="U167" s="13" t="n">
        <v>190.8</v>
      </c>
      <c r="W167" s="13" t="n">
        <v>0</v>
      </c>
      <c r="X167" s="12" t="s">
        <v>324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325</v>
      </c>
      <c r="F168" s="10" t="n">
        <v>24</v>
      </c>
      <c r="G168" s="12" t="s">
        <v>32</v>
      </c>
      <c r="H168" s="10" t="n">
        <v>2110102</v>
      </c>
      <c r="I168" s="12" t="s">
        <v>59</v>
      </c>
      <c r="J168" s="10" t="n">
        <v>1187889</v>
      </c>
      <c r="L168" s="10" t="n">
        <v>7906</v>
      </c>
      <c r="M168" s="12" t="s">
        <v>41</v>
      </c>
      <c r="N168" s="12" t="s">
        <v>35</v>
      </c>
      <c r="P168" s="10" t="n">
        <v>103</v>
      </c>
      <c r="Q168" s="12" t="s">
        <v>36</v>
      </c>
      <c r="R168" s="12" t="s">
        <v>60</v>
      </c>
      <c r="S168" s="10" t="n">
        <v>4210204</v>
      </c>
      <c r="T168" s="12" t="s">
        <v>61</v>
      </c>
      <c r="U168" s="13" t="n">
        <v>2710</v>
      </c>
      <c r="W168" s="13" t="n">
        <v>0</v>
      </c>
      <c r="X168" s="12" t="s">
        <v>326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74</v>
      </c>
      <c r="F169" s="10" t="n">
        <v>24</v>
      </c>
      <c r="G169" s="12" t="s">
        <v>32</v>
      </c>
      <c r="H169" s="10" t="n">
        <v>2110101</v>
      </c>
      <c r="I169" s="12" t="s">
        <v>33</v>
      </c>
      <c r="J169" s="10" t="n">
        <v>1191285</v>
      </c>
      <c r="L169" s="10" t="n">
        <v>642</v>
      </c>
      <c r="M169" s="12" t="s">
        <v>41</v>
      </c>
      <c r="N169" s="12" t="s">
        <v>35</v>
      </c>
      <c r="P169" s="10" t="n">
        <v>103</v>
      </c>
      <c r="Q169" s="12" t="s">
        <v>36</v>
      </c>
      <c r="R169" s="12" t="s">
        <v>37</v>
      </c>
      <c r="S169" s="10" t="n">
        <v>1130101</v>
      </c>
      <c r="T169" s="12" t="s">
        <v>38</v>
      </c>
      <c r="U169" s="13" t="n">
        <v>304.75</v>
      </c>
      <c r="W169" s="13" t="n">
        <v>0</v>
      </c>
      <c r="X169" s="12" t="s">
        <v>327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328</v>
      </c>
      <c r="F170" s="10" t="n">
        <v>34</v>
      </c>
      <c r="G170" s="12" t="s">
        <v>71</v>
      </c>
      <c r="H170" s="10" t="n">
        <v>2110101</v>
      </c>
      <c r="I170" s="12" t="s">
        <v>33</v>
      </c>
      <c r="J170" s="10" t="n">
        <v>1193288</v>
      </c>
      <c r="L170" s="10" t="n">
        <v>288</v>
      </c>
      <c r="M170" s="12" t="s">
        <v>41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1330</v>
      </c>
      <c r="W170" s="13" t="n">
        <v>0</v>
      </c>
      <c r="X170" s="12" t="s">
        <v>329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330</v>
      </c>
      <c r="F171" s="10" t="n">
        <v>34</v>
      </c>
      <c r="G171" s="12" t="s">
        <v>71</v>
      </c>
      <c r="H171" s="10" t="n">
        <v>2110405</v>
      </c>
      <c r="I171" s="12" t="s">
        <v>83</v>
      </c>
      <c r="J171" s="10" t="n">
        <v>1207135</v>
      </c>
      <c r="L171" s="10" t="n">
        <v>502146</v>
      </c>
      <c r="M171" s="12" t="s">
        <v>41</v>
      </c>
      <c r="N171" s="12" t="s">
        <v>42</v>
      </c>
      <c r="P171" s="10" t="n">
        <v>101</v>
      </c>
      <c r="Q171" s="12" t="s">
        <v>84</v>
      </c>
      <c r="R171" s="12" t="s">
        <v>290</v>
      </c>
      <c r="S171" s="10" t="n">
        <v>4210111</v>
      </c>
      <c r="T171" s="12" t="s">
        <v>291</v>
      </c>
      <c r="U171" s="13" t="n">
        <v>3000</v>
      </c>
      <c r="W171" s="13" t="n">
        <v>0</v>
      </c>
      <c r="X171" s="12" t="s">
        <v>331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330</v>
      </c>
      <c r="F172" s="10" t="n">
        <v>34</v>
      </c>
      <c r="G172" s="12" t="s">
        <v>71</v>
      </c>
      <c r="H172" s="10" t="n">
        <v>1110202</v>
      </c>
      <c r="I172" s="12" t="s">
        <v>285</v>
      </c>
      <c r="J172" s="10" t="n">
        <v>1207137</v>
      </c>
      <c r="L172" s="10" t="n">
        <v>502147</v>
      </c>
      <c r="M172" s="12" t="s">
        <v>41</v>
      </c>
      <c r="N172" s="12" t="s">
        <v>42</v>
      </c>
      <c r="P172" s="10" t="n">
        <v>101</v>
      </c>
      <c r="Q172" s="12" t="s">
        <v>84</v>
      </c>
      <c r="R172" s="12" t="s">
        <v>91</v>
      </c>
      <c r="S172" s="10" t="n">
        <v>4220199</v>
      </c>
      <c r="T172" s="12" t="s">
        <v>92</v>
      </c>
      <c r="U172" s="13" t="n">
        <v>6000</v>
      </c>
      <c r="W172" s="13" t="n">
        <v>0</v>
      </c>
      <c r="X172" s="12" t="s">
        <v>332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90</v>
      </c>
      <c r="F173" s="10" t="n">
        <v>34</v>
      </c>
      <c r="G173" s="12" t="s">
        <v>71</v>
      </c>
      <c r="H173" s="10" t="n">
        <v>2110405</v>
      </c>
      <c r="I173" s="12" t="s">
        <v>83</v>
      </c>
      <c r="J173" s="10" t="n">
        <v>1207139</v>
      </c>
      <c r="L173" s="10" t="n">
        <v>502148</v>
      </c>
      <c r="M173" s="12" t="s">
        <v>41</v>
      </c>
      <c r="N173" s="12" t="s">
        <v>42</v>
      </c>
      <c r="P173" s="10" t="n">
        <v>101</v>
      </c>
      <c r="Q173" s="12" t="s">
        <v>84</v>
      </c>
      <c r="R173" s="12" t="s">
        <v>91</v>
      </c>
      <c r="S173" s="10" t="n">
        <v>4220199</v>
      </c>
      <c r="T173" s="12" t="s">
        <v>92</v>
      </c>
      <c r="U173" s="13" t="n">
        <v>500</v>
      </c>
      <c r="W173" s="13" t="n">
        <v>0</v>
      </c>
      <c r="X173" s="12" t="s">
        <v>333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82</v>
      </c>
      <c r="F174" s="10" t="n">
        <v>34</v>
      </c>
      <c r="G174" s="12" t="s">
        <v>71</v>
      </c>
      <c r="H174" s="10" t="n">
        <v>1110202</v>
      </c>
      <c r="I174" s="12" t="s">
        <v>285</v>
      </c>
      <c r="J174" s="10" t="n">
        <v>1207186</v>
      </c>
      <c r="L174" s="10" t="n">
        <v>502160</v>
      </c>
      <c r="M174" s="12" t="s">
        <v>41</v>
      </c>
      <c r="N174" s="12" t="s">
        <v>42</v>
      </c>
      <c r="P174" s="10" t="n">
        <v>101</v>
      </c>
      <c r="Q174" s="12" t="s">
        <v>84</v>
      </c>
      <c r="R174" s="12" t="s">
        <v>85</v>
      </c>
      <c r="S174" s="10" t="n">
        <v>4210309</v>
      </c>
      <c r="T174" s="12" t="s">
        <v>86</v>
      </c>
      <c r="U174" s="13" t="n">
        <v>520</v>
      </c>
      <c r="W174" s="13" t="n">
        <v>0</v>
      </c>
      <c r="X174" s="12" t="s">
        <v>334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70</v>
      </c>
      <c r="F175" s="10" t="n">
        <v>34</v>
      </c>
      <c r="G175" s="12" t="s">
        <v>71</v>
      </c>
      <c r="H175" s="10" t="n">
        <v>2110101</v>
      </c>
      <c r="I175" s="12" t="s">
        <v>33</v>
      </c>
      <c r="J175" s="10" t="n">
        <v>1207923</v>
      </c>
      <c r="L175" s="10" t="n">
        <v>5086</v>
      </c>
      <c r="M175" s="12" t="s">
        <v>41</v>
      </c>
      <c r="N175" s="12" t="s">
        <v>35</v>
      </c>
      <c r="P175" s="10" t="n">
        <v>104</v>
      </c>
      <c r="Q175" s="12" t="s">
        <v>99</v>
      </c>
      <c r="R175" s="12" t="s">
        <v>37</v>
      </c>
      <c r="S175" s="10" t="n">
        <v>1130101</v>
      </c>
      <c r="T175" s="12" t="s">
        <v>38</v>
      </c>
      <c r="U175" s="13" t="n">
        <v>3602.44</v>
      </c>
      <c r="W175" s="13" t="n">
        <v>0</v>
      </c>
      <c r="X175" s="12" t="s">
        <v>172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82</v>
      </c>
      <c r="F176" s="10" t="n">
        <v>34</v>
      </c>
      <c r="G176" s="12" t="s">
        <v>71</v>
      </c>
      <c r="H176" s="10" t="n">
        <v>2110405</v>
      </c>
      <c r="I176" s="12" t="s">
        <v>83</v>
      </c>
      <c r="J176" s="10" t="n">
        <v>1208274</v>
      </c>
      <c r="L176" s="10" t="n">
        <v>502516</v>
      </c>
      <c r="M176" s="12" t="s">
        <v>41</v>
      </c>
      <c r="N176" s="12" t="s">
        <v>42</v>
      </c>
      <c r="P176" s="10" t="n">
        <v>101</v>
      </c>
      <c r="Q176" s="12" t="s">
        <v>84</v>
      </c>
      <c r="R176" s="12" t="s">
        <v>85</v>
      </c>
      <c r="S176" s="10" t="n">
        <v>4210301</v>
      </c>
      <c r="T176" s="12" t="s">
        <v>295</v>
      </c>
      <c r="U176" s="13" t="n">
        <v>16970.11</v>
      </c>
      <c r="W176" s="13" t="n">
        <v>0</v>
      </c>
      <c r="X176" s="12" t="s">
        <v>335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336</v>
      </c>
      <c r="F177" s="10" t="n">
        <v>13</v>
      </c>
      <c r="G177" s="12" t="s">
        <v>98</v>
      </c>
      <c r="H177" s="10" t="n">
        <v>2110101</v>
      </c>
      <c r="I177" s="12" t="s">
        <v>33</v>
      </c>
      <c r="J177" s="10" t="n">
        <v>1228363</v>
      </c>
      <c r="L177" s="10" t="n">
        <v>296</v>
      </c>
      <c r="M177" s="12" t="s">
        <v>41</v>
      </c>
      <c r="N177" s="12" t="s">
        <v>35</v>
      </c>
      <c r="P177" s="10" t="n">
        <v>104</v>
      </c>
      <c r="Q177" s="12" t="s">
        <v>99</v>
      </c>
      <c r="R177" s="12" t="s">
        <v>37</v>
      </c>
      <c r="S177" s="10" t="n">
        <v>1130101</v>
      </c>
      <c r="T177" s="12" t="s">
        <v>38</v>
      </c>
      <c r="U177" s="13" t="n">
        <v>381</v>
      </c>
      <c r="W177" s="13" t="n">
        <v>0</v>
      </c>
      <c r="X177" s="12" t="s">
        <v>337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102</v>
      </c>
      <c r="F178" s="10" t="n">
        <v>13</v>
      </c>
      <c r="G178" s="12" t="s">
        <v>98</v>
      </c>
      <c r="H178" s="10" t="n">
        <v>2110101</v>
      </c>
      <c r="I178" s="12" t="s">
        <v>33</v>
      </c>
      <c r="J178" s="10" t="n">
        <v>1228408</v>
      </c>
      <c r="L178" s="10" t="n">
        <v>5943</v>
      </c>
      <c r="M178" s="12" t="s">
        <v>41</v>
      </c>
      <c r="N178" s="12" t="s">
        <v>35</v>
      </c>
      <c r="P178" s="10" t="n">
        <v>104</v>
      </c>
      <c r="Q178" s="12" t="s">
        <v>99</v>
      </c>
      <c r="R178" s="12" t="s">
        <v>37</v>
      </c>
      <c r="S178" s="10" t="n">
        <v>1130101</v>
      </c>
      <c r="T178" s="12" t="s">
        <v>38</v>
      </c>
      <c r="U178" s="13" t="n">
        <v>520</v>
      </c>
      <c r="W178" s="13" t="n">
        <v>0</v>
      </c>
      <c r="X178" s="12" t="s">
        <v>338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182</v>
      </c>
      <c r="F179" s="10" t="n">
        <v>24</v>
      </c>
      <c r="G179" s="12" t="s">
        <v>32</v>
      </c>
      <c r="H179" s="10" t="n">
        <v>2110101</v>
      </c>
      <c r="I179" s="12" t="s">
        <v>33</v>
      </c>
      <c r="J179" s="10" t="n">
        <v>1028242</v>
      </c>
      <c r="L179" s="10" t="n">
        <v>10262</v>
      </c>
      <c r="M179" s="12" t="s">
        <v>34</v>
      </c>
      <c r="N179" s="12" t="s">
        <v>35</v>
      </c>
      <c r="P179" s="10" t="n">
        <v>103</v>
      </c>
      <c r="Q179" s="12" t="s">
        <v>36</v>
      </c>
      <c r="R179" s="12" t="s">
        <v>37</v>
      </c>
      <c r="S179" s="10" t="n">
        <v>1130101</v>
      </c>
      <c r="T179" s="12" t="s">
        <v>38</v>
      </c>
      <c r="U179" s="13" t="n">
        <v>1488.3</v>
      </c>
      <c r="W179" s="13" t="n">
        <v>0</v>
      </c>
      <c r="X179" s="12" t="s">
        <v>339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340</v>
      </c>
      <c r="F180" s="10" t="n">
        <v>24</v>
      </c>
      <c r="G180" s="12" t="s">
        <v>32</v>
      </c>
      <c r="H180" s="10" t="n">
        <v>2110101</v>
      </c>
      <c r="I180" s="12" t="s">
        <v>33</v>
      </c>
      <c r="J180" s="10" t="n">
        <v>1101724</v>
      </c>
      <c r="L180" s="10" t="n">
        <v>461526</v>
      </c>
      <c r="M180" s="12" t="s">
        <v>34</v>
      </c>
      <c r="N180" s="12" t="s">
        <v>42</v>
      </c>
      <c r="P180" s="10" t="n">
        <v>103</v>
      </c>
      <c r="Q180" s="12" t="s">
        <v>36</v>
      </c>
      <c r="R180" s="12" t="s">
        <v>37</v>
      </c>
      <c r="S180" s="10" t="n">
        <v>1130101</v>
      </c>
      <c r="T180" s="12" t="s">
        <v>38</v>
      </c>
      <c r="U180" s="13" t="n">
        <v>1703.51</v>
      </c>
      <c r="W180" s="13" t="n">
        <v>0</v>
      </c>
      <c r="X180" s="12" t="s">
        <v>341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148</v>
      </c>
      <c r="F181" s="10" t="n">
        <v>24</v>
      </c>
      <c r="G181" s="12" t="s">
        <v>32</v>
      </c>
      <c r="H181" s="10" t="n">
        <v>2110101</v>
      </c>
      <c r="I181" s="12" t="s">
        <v>33</v>
      </c>
      <c r="J181" s="10" t="n">
        <v>1141489</v>
      </c>
      <c r="L181" s="10" t="n">
        <v>1133761</v>
      </c>
      <c r="M181" s="12" t="s">
        <v>41</v>
      </c>
      <c r="N181" s="12" t="s">
        <v>35</v>
      </c>
      <c r="P181" s="10" t="n">
        <v>103</v>
      </c>
      <c r="Q181" s="12" t="s">
        <v>36</v>
      </c>
      <c r="R181" s="12" t="s">
        <v>37</v>
      </c>
      <c r="S181" s="10" t="n">
        <v>1130101</v>
      </c>
      <c r="T181" s="12" t="s">
        <v>38</v>
      </c>
      <c r="U181" s="13" t="n">
        <v>1942.1</v>
      </c>
      <c r="W181" s="13" t="n">
        <v>0</v>
      </c>
      <c r="X181" s="12" t="s">
        <v>342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148</v>
      </c>
      <c r="F182" s="10" t="n">
        <v>24</v>
      </c>
      <c r="G182" s="12" t="s">
        <v>32</v>
      </c>
      <c r="H182" s="10" t="n">
        <v>2110101</v>
      </c>
      <c r="I182" s="12" t="s">
        <v>33</v>
      </c>
      <c r="J182" s="10" t="n">
        <v>1141555</v>
      </c>
      <c r="L182" s="10" t="n">
        <v>1845122</v>
      </c>
      <c r="M182" s="12" t="s">
        <v>41</v>
      </c>
      <c r="N182" s="12" t="s">
        <v>35</v>
      </c>
      <c r="P182" s="10" t="n">
        <v>103</v>
      </c>
      <c r="Q182" s="12" t="s">
        <v>36</v>
      </c>
      <c r="R182" s="12" t="s">
        <v>37</v>
      </c>
      <c r="S182" s="10" t="n">
        <v>1130101</v>
      </c>
      <c r="T182" s="12" t="s">
        <v>38</v>
      </c>
      <c r="U182" s="13" t="n">
        <v>1554.81</v>
      </c>
      <c r="W182" s="13" t="n">
        <v>0</v>
      </c>
      <c r="X182" s="12" t="s">
        <v>343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211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1156814</v>
      </c>
      <c r="L183" s="10" t="n">
        <v>14304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6977.6</v>
      </c>
      <c r="W183" s="13" t="n">
        <v>0</v>
      </c>
      <c r="X183" s="12" t="s">
        <v>344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264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1166335</v>
      </c>
      <c r="L184" s="10" t="n">
        <v>170654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2658.6</v>
      </c>
      <c r="W184" s="13" t="n">
        <v>0</v>
      </c>
      <c r="X184" s="12" t="s">
        <v>345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211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1188385</v>
      </c>
      <c r="L185" s="10" t="n">
        <v>14363</v>
      </c>
      <c r="M185" s="12" t="s">
        <v>41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11363.2</v>
      </c>
      <c r="W185" s="13" t="n">
        <v>0</v>
      </c>
      <c r="X185" s="12" t="s">
        <v>346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157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1188444</v>
      </c>
      <c r="L186" s="10" t="n">
        <v>30770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3055.2</v>
      </c>
      <c r="W186" s="13" t="n">
        <v>0</v>
      </c>
      <c r="X186" s="12" t="s">
        <v>347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155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1193391</v>
      </c>
      <c r="L187" s="10" t="n">
        <v>3284</v>
      </c>
      <c r="M187" s="12" t="s">
        <v>41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331</v>
      </c>
      <c r="W187" s="13" t="n">
        <v>0</v>
      </c>
      <c r="X187" s="12" t="s">
        <v>348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70</v>
      </c>
      <c r="F188" s="10" t="n">
        <v>34</v>
      </c>
      <c r="G188" s="12" t="s">
        <v>71</v>
      </c>
      <c r="H188" s="10" t="n">
        <v>2110101</v>
      </c>
      <c r="I188" s="12" t="s">
        <v>33</v>
      </c>
      <c r="J188" s="10" t="n">
        <v>1207605</v>
      </c>
      <c r="L188" s="10" t="n">
        <v>5081</v>
      </c>
      <c r="M188" s="12" t="s">
        <v>41</v>
      </c>
      <c r="N188" s="12" t="s">
        <v>35</v>
      </c>
      <c r="P188" s="10" t="n">
        <v>104</v>
      </c>
      <c r="Q188" s="12" t="s">
        <v>99</v>
      </c>
      <c r="R188" s="12" t="s">
        <v>37</v>
      </c>
      <c r="S188" s="10" t="n">
        <v>1130101</v>
      </c>
      <c r="T188" s="12" t="s">
        <v>38</v>
      </c>
      <c r="U188" s="13" t="n">
        <v>3701</v>
      </c>
      <c r="W188" s="13" t="n">
        <v>0</v>
      </c>
      <c r="X188" s="12" t="s">
        <v>220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221</v>
      </c>
      <c r="F189" s="10" t="n">
        <v>34</v>
      </c>
      <c r="G189" s="12" t="s">
        <v>71</v>
      </c>
      <c r="H189" s="10" t="n">
        <v>2110101</v>
      </c>
      <c r="I189" s="12" t="s">
        <v>33</v>
      </c>
      <c r="J189" s="10" t="n">
        <v>1207696</v>
      </c>
      <c r="L189" s="10" t="n">
        <v>14623</v>
      </c>
      <c r="M189" s="12" t="s">
        <v>41</v>
      </c>
      <c r="N189" s="12" t="s">
        <v>35</v>
      </c>
      <c r="P189" s="10" t="n">
        <v>104</v>
      </c>
      <c r="Q189" s="12" t="s">
        <v>99</v>
      </c>
      <c r="R189" s="12" t="s">
        <v>37</v>
      </c>
      <c r="S189" s="10" t="n">
        <v>1130101</v>
      </c>
      <c r="T189" s="12" t="s">
        <v>38</v>
      </c>
      <c r="U189" s="13" t="n">
        <v>1210</v>
      </c>
      <c r="W189" s="13" t="n">
        <v>0</v>
      </c>
      <c r="X189" s="12" t="s">
        <v>349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70</v>
      </c>
      <c r="F190" s="10" t="n">
        <v>34</v>
      </c>
      <c r="G190" s="12" t="s">
        <v>71</v>
      </c>
      <c r="H190" s="10" t="n">
        <v>2110101</v>
      </c>
      <c r="I190" s="12" t="s">
        <v>33</v>
      </c>
      <c r="J190" s="10" t="n">
        <v>1207725</v>
      </c>
      <c r="L190" s="10" t="n">
        <v>502325</v>
      </c>
      <c r="M190" s="12" t="s">
        <v>41</v>
      </c>
      <c r="N190" s="12" t="s">
        <v>42</v>
      </c>
      <c r="P190" s="10" t="n">
        <v>104</v>
      </c>
      <c r="Q190" s="12" t="s">
        <v>99</v>
      </c>
      <c r="R190" s="12" t="s">
        <v>37</v>
      </c>
      <c r="S190" s="10" t="n">
        <v>1130101</v>
      </c>
      <c r="T190" s="12" t="s">
        <v>38</v>
      </c>
      <c r="U190" s="13" t="n">
        <v>70</v>
      </c>
      <c r="W190" s="13" t="n">
        <v>0</v>
      </c>
      <c r="X190" s="12" t="s">
        <v>223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102</v>
      </c>
      <c r="F191" s="10" t="n">
        <v>13</v>
      </c>
      <c r="G191" s="12" t="s">
        <v>98</v>
      </c>
      <c r="H191" s="10" t="n">
        <v>2110101</v>
      </c>
      <c r="I191" s="12" t="s">
        <v>33</v>
      </c>
      <c r="J191" s="10" t="n">
        <v>1228430</v>
      </c>
      <c r="L191" s="10" t="n">
        <v>5948</v>
      </c>
      <c r="M191" s="12" t="s">
        <v>41</v>
      </c>
      <c r="N191" s="12" t="s">
        <v>35</v>
      </c>
      <c r="P191" s="10" t="n">
        <v>104</v>
      </c>
      <c r="Q191" s="12" t="s">
        <v>99</v>
      </c>
      <c r="R191" s="12" t="s">
        <v>37</v>
      </c>
      <c r="S191" s="10" t="n">
        <v>1130101</v>
      </c>
      <c r="T191" s="12" t="s">
        <v>38</v>
      </c>
      <c r="U191" s="13" t="n">
        <v>512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195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1127609</v>
      </c>
      <c r="L192" s="10" t="n">
        <v>835311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1317.33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352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1187486</v>
      </c>
      <c r="L193" s="10" t="n">
        <v>88280</v>
      </c>
      <c r="M193" s="12" t="s">
        <v>41</v>
      </c>
      <c r="N193" s="12" t="s">
        <v>35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390.66</v>
      </c>
      <c r="W193" s="13" t="n">
        <v>0</v>
      </c>
      <c r="X193" s="12" t="s">
        <v>353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182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1057743</v>
      </c>
      <c r="L194" s="10" t="n">
        <v>10336</v>
      </c>
      <c r="M194" s="12" t="s">
        <v>34</v>
      </c>
      <c r="N194" s="12" t="s">
        <v>35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250.35</v>
      </c>
      <c r="W194" s="13" t="n">
        <v>0</v>
      </c>
      <c r="X194" s="12" t="s">
        <v>354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44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1062204</v>
      </c>
      <c r="L195" s="10" t="n">
        <v>1869852</v>
      </c>
      <c r="M195" s="12" t="s">
        <v>41</v>
      </c>
      <c r="N195" s="12" t="s">
        <v>35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1148.1</v>
      </c>
      <c r="W195" s="13" t="n">
        <v>0</v>
      </c>
      <c r="X195" s="12" t="s">
        <v>355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51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1085321</v>
      </c>
      <c r="L196" s="10" t="n">
        <v>1651895</v>
      </c>
      <c r="M196" s="12" t="s">
        <v>34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1171.71</v>
      </c>
      <c r="W196" s="13" t="n">
        <v>0</v>
      </c>
      <c r="X196" s="12" t="s">
        <v>356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189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1089077</v>
      </c>
      <c r="L197" s="10" t="n">
        <v>33621</v>
      </c>
      <c r="M197" s="12" t="s">
        <v>34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2792.58</v>
      </c>
      <c r="W197" s="13" t="n">
        <v>0</v>
      </c>
      <c r="X197" s="12" t="s">
        <v>357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1121828</v>
      </c>
      <c r="L198" s="10" t="n">
        <v>872189</v>
      </c>
      <c r="M198" s="12" t="s">
        <v>34</v>
      </c>
      <c r="N198" s="12" t="s">
        <v>35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872.56</v>
      </c>
      <c r="W198" s="13" t="n">
        <v>0</v>
      </c>
      <c r="X198" s="12" t="s">
        <v>358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359</v>
      </c>
      <c r="F199" s="10" t="n">
        <v>24</v>
      </c>
      <c r="G199" s="12" t="s">
        <v>32</v>
      </c>
      <c r="H199" s="10" t="n">
        <v>2110101</v>
      </c>
      <c r="I199" s="12" t="s">
        <v>33</v>
      </c>
      <c r="J199" s="10" t="n">
        <v>1127723</v>
      </c>
      <c r="L199" s="10" t="n">
        <v>47024</v>
      </c>
      <c r="M199" s="12" t="s">
        <v>41</v>
      </c>
      <c r="N199" s="12" t="s">
        <v>35</v>
      </c>
      <c r="P199" s="10" t="n">
        <v>103</v>
      </c>
      <c r="Q199" s="12" t="s">
        <v>36</v>
      </c>
      <c r="R199" s="12" t="s">
        <v>37</v>
      </c>
      <c r="S199" s="10" t="n">
        <v>1130101</v>
      </c>
      <c r="T199" s="12" t="s">
        <v>38</v>
      </c>
      <c r="U199" s="13" t="n">
        <v>1059</v>
      </c>
      <c r="W199" s="13" t="n">
        <v>0</v>
      </c>
      <c r="X199" s="12" t="s">
        <v>360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44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1127977</v>
      </c>
      <c r="L200" s="10" t="n">
        <v>1880853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977.13</v>
      </c>
      <c r="W200" s="13" t="n">
        <v>0</v>
      </c>
      <c r="X200" s="12" t="s">
        <v>361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44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1127987</v>
      </c>
      <c r="L201" s="10" t="n">
        <v>1880854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1148.4</v>
      </c>
      <c r="W201" s="13" t="n">
        <v>0</v>
      </c>
      <c r="X201" s="12" t="s">
        <v>362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40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1136194</v>
      </c>
      <c r="L202" s="10" t="n">
        <v>474578</v>
      </c>
      <c r="M202" s="12" t="s">
        <v>34</v>
      </c>
      <c r="N202" s="12" t="s">
        <v>42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1172.3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68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1136636</v>
      </c>
      <c r="L203" s="10" t="n">
        <v>474644</v>
      </c>
      <c r="M203" s="12" t="s">
        <v>41</v>
      </c>
      <c r="N203" s="12" t="s">
        <v>42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1179.33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31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1138081</v>
      </c>
      <c r="L204" s="10" t="n">
        <v>475008</v>
      </c>
      <c r="M204" s="12" t="s">
        <v>34</v>
      </c>
      <c r="N204" s="12" t="s">
        <v>42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4925.67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366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1142259</v>
      </c>
      <c r="L205" s="10" t="n">
        <v>201120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1003.43</v>
      </c>
      <c r="W205" s="13" t="n">
        <v>0</v>
      </c>
      <c r="X205" s="12" t="s">
        <v>367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366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1142270</v>
      </c>
      <c r="L206" s="10" t="n">
        <v>215323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382.02</v>
      </c>
      <c r="W206" s="13" t="n">
        <v>0</v>
      </c>
      <c r="X206" s="12" t="s">
        <v>368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68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1161081</v>
      </c>
      <c r="L207" s="10" t="n">
        <v>484463</v>
      </c>
      <c r="M207" s="12" t="s">
        <v>34</v>
      </c>
      <c r="N207" s="12" t="s">
        <v>42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2763.7</v>
      </c>
      <c r="W207" s="13" t="n">
        <v>0</v>
      </c>
      <c r="X207" s="12" t="s">
        <v>369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94</v>
      </c>
      <c r="F208" s="10" t="n">
        <v>24</v>
      </c>
      <c r="G208" s="12" t="s">
        <v>32</v>
      </c>
      <c r="H208" s="10" t="n">
        <v>2110405</v>
      </c>
      <c r="I208" s="12" t="s">
        <v>83</v>
      </c>
      <c r="J208" s="10" t="n">
        <v>1166770</v>
      </c>
      <c r="L208" s="10" t="n">
        <v>486451</v>
      </c>
      <c r="M208" s="12" t="s">
        <v>41</v>
      </c>
      <c r="N208" s="12" t="s">
        <v>42</v>
      </c>
      <c r="P208" s="10" t="n">
        <v>101</v>
      </c>
      <c r="Q208" s="12" t="s">
        <v>84</v>
      </c>
      <c r="R208" s="12" t="s">
        <v>91</v>
      </c>
      <c r="S208" s="10" t="n">
        <v>4220199</v>
      </c>
      <c r="T208" s="12" t="s">
        <v>92</v>
      </c>
      <c r="U208" s="13" t="n">
        <v>651.19</v>
      </c>
      <c r="W208" s="13" t="n">
        <v>0</v>
      </c>
      <c r="X208" s="12" t="s">
        <v>370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371</v>
      </c>
      <c r="F209" s="10" t="n">
        <v>24</v>
      </c>
      <c r="G209" s="12" t="s">
        <v>32</v>
      </c>
      <c r="H209" s="10" t="n">
        <v>2110101</v>
      </c>
      <c r="I209" s="12" t="s">
        <v>33</v>
      </c>
      <c r="J209" s="10" t="n">
        <v>1167667</v>
      </c>
      <c r="L209" s="10" t="n">
        <v>302506</v>
      </c>
      <c r="M209" s="12" t="s">
        <v>41</v>
      </c>
      <c r="N209" s="12" t="s">
        <v>35</v>
      </c>
      <c r="P209" s="10" t="n">
        <v>103</v>
      </c>
      <c r="Q209" s="12" t="s">
        <v>36</v>
      </c>
      <c r="R209" s="12" t="s">
        <v>37</v>
      </c>
      <c r="S209" s="10" t="n">
        <v>1130101</v>
      </c>
      <c r="T209" s="12" t="s">
        <v>38</v>
      </c>
      <c r="U209" s="13" t="n">
        <v>332.25</v>
      </c>
      <c r="W209" s="13" t="n">
        <v>0</v>
      </c>
      <c r="X209" s="12" t="s">
        <v>372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373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1168472</v>
      </c>
      <c r="L210" s="10" t="n">
        <v>11295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671.7</v>
      </c>
      <c r="W210" s="13" t="n">
        <v>0</v>
      </c>
      <c r="X210" s="12" t="s">
        <v>374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80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1170944</v>
      </c>
      <c r="L211" s="10" t="n">
        <v>490451</v>
      </c>
      <c r="M211" s="12" t="s">
        <v>34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1518.18</v>
      </c>
      <c r="W211" s="13" t="n">
        <v>0</v>
      </c>
      <c r="X211" s="12" t="s">
        <v>375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66</v>
      </c>
      <c r="F212" s="10" t="n">
        <v>24</v>
      </c>
      <c r="G212" s="12" t="s">
        <v>32</v>
      </c>
      <c r="H212" s="10" t="n">
        <v>2110101</v>
      </c>
      <c r="I212" s="12" t="s">
        <v>33</v>
      </c>
      <c r="J212" s="10" t="n">
        <v>1191273</v>
      </c>
      <c r="L212" s="10" t="n">
        <v>11208</v>
      </c>
      <c r="M212" s="12" t="s">
        <v>34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327.84</v>
      </c>
      <c r="W212" s="13" t="n">
        <v>0</v>
      </c>
      <c r="X212" s="12" t="s">
        <v>376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323</v>
      </c>
      <c r="F213" s="10" t="n">
        <v>24</v>
      </c>
      <c r="G213" s="12" t="s">
        <v>32</v>
      </c>
      <c r="H213" s="10" t="n">
        <v>2110101</v>
      </c>
      <c r="I213" s="12" t="s">
        <v>33</v>
      </c>
      <c r="J213" s="10" t="n">
        <v>1191624</v>
      </c>
      <c r="L213" s="10" t="n">
        <v>3610</v>
      </c>
      <c r="M213" s="12" t="s">
        <v>41</v>
      </c>
      <c r="N213" s="12" t="s">
        <v>35</v>
      </c>
      <c r="P213" s="10" t="n">
        <v>103</v>
      </c>
      <c r="Q213" s="12" t="s">
        <v>36</v>
      </c>
      <c r="R213" s="12" t="s">
        <v>37</v>
      </c>
      <c r="S213" s="10" t="n">
        <v>1130101</v>
      </c>
      <c r="T213" s="12" t="s">
        <v>38</v>
      </c>
      <c r="U213" s="13" t="n">
        <v>213</v>
      </c>
      <c r="W213" s="13" t="n">
        <v>0</v>
      </c>
      <c r="X213" s="12" t="s">
        <v>377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1191705</v>
      </c>
      <c r="L214" s="10" t="n">
        <v>222385</v>
      </c>
      <c r="M214" s="12" t="s">
        <v>41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577.25</v>
      </c>
      <c r="W214" s="13" t="n">
        <v>0</v>
      </c>
      <c r="X214" s="12" t="s">
        <v>378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379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1193035</v>
      </c>
      <c r="L215" s="10" t="n">
        <v>3482</v>
      </c>
      <c r="M215" s="12" t="s">
        <v>41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1747.29</v>
      </c>
      <c r="W215" s="13" t="n">
        <v>0</v>
      </c>
      <c r="X215" s="12" t="s">
        <v>380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381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1208293</v>
      </c>
      <c r="L216" s="10" t="n">
        <v>138853</v>
      </c>
      <c r="M216" s="12" t="s">
        <v>41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1110</v>
      </c>
      <c r="W216" s="13" t="n">
        <v>0</v>
      </c>
      <c r="X216" s="12" t="s">
        <v>382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383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1208373</v>
      </c>
      <c r="L217" s="10" t="n">
        <v>2846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1068.5</v>
      </c>
      <c r="W217" s="13" t="n">
        <v>0</v>
      </c>
      <c r="X217" s="12" t="s">
        <v>384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70</v>
      </c>
      <c r="F218" s="10" t="n">
        <v>13</v>
      </c>
      <c r="G218" s="12" t="s">
        <v>98</v>
      </c>
      <c r="H218" s="10" t="n">
        <v>2110101</v>
      </c>
      <c r="I218" s="12" t="s">
        <v>33</v>
      </c>
      <c r="J218" s="10" t="n">
        <v>1221276</v>
      </c>
      <c r="L218" s="10" t="n">
        <v>5097</v>
      </c>
      <c r="M218" s="12" t="s">
        <v>41</v>
      </c>
      <c r="N218" s="12" t="s">
        <v>35</v>
      </c>
      <c r="P218" s="10" t="n">
        <v>104</v>
      </c>
      <c r="Q218" s="12" t="s">
        <v>99</v>
      </c>
      <c r="R218" s="12" t="s">
        <v>37</v>
      </c>
      <c r="S218" s="10" t="n">
        <v>1130101</v>
      </c>
      <c r="T218" s="12" t="s">
        <v>38</v>
      </c>
      <c r="U218" s="13" t="n">
        <v>340</v>
      </c>
      <c r="W218" s="13" t="n">
        <v>340</v>
      </c>
      <c r="X218" s="12" t="s">
        <v>385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66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1221579</v>
      </c>
      <c r="L219" s="10" t="n">
        <v>11227</v>
      </c>
      <c r="M219" s="12" t="s">
        <v>41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572.4</v>
      </c>
      <c r="W219" s="13" t="n">
        <v>0</v>
      </c>
      <c r="X219" s="12" t="s">
        <v>386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321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1222142</v>
      </c>
      <c r="L220" s="10" t="n">
        <v>3318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2562.75</v>
      </c>
      <c r="W220" s="13" t="n">
        <v>0</v>
      </c>
      <c r="X220" s="12" t="s">
        <v>387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388</v>
      </c>
      <c r="F221" s="10" t="n">
        <v>34</v>
      </c>
      <c r="G221" s="12" t="s">
        <v>71</v>
      </c>
      <c r="H221" s="10" t="n">
        <v>2110101</v>
      </c>
      <c r="I221" s="12" t="s">
        <v>33</v>
      </c>
      <c r="J221" s="10" t="n">
        <v>1223092</v>
      </c>
      <c r="L221" s="10" t="n">
        <v>399</v>
      </c>
      <c r="M221" s="12" t="s">
        <v>41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779.4</v>
      </c>
      <c r="W221" s="13" t="n">
        <v>0</v>
      </c>
      <c r="X221" s="12" t="s">
        <v>389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97</v>
      </c>
      <c r="F222" s="10" t="n">
        <v>13</v>
      </c>
      <c r="G222" s="12" t="s">
        <v>98</v>
      </c>
      <c r="H222" s="10" t="n">
        <v>2110101</v>
      </c>
      <c r="I222" s="12" t="s">
        <v>33</v>
      </c>
      <c r="J222" s="10" t="n">
        <v>1228519</v>
      </c>
      <c r="L222" s="10" t="n">
        <v>259</v>
      </c>
      <c r="M222" s="12" t="s">
        <v>41</v>
      </c>
      <c r="N222" s="12" t="s">
        <v>35</v>
      </c>
      <c r="P222" s="10" t="n">
        <v>104</v>
      </c>
      <c r="Q222" s="12" t="s">
        <v>99</v>
      </c>
      <c r="R222" s="12" t="s">
        <v>37</v>
      </c>
      <c r="S222" s="10" t="n">
        <v>1130101</v>
      </c>
      <c r="T222" s="12" t="s">
        <v>38</v>
      </c>
      <c r="U222" s="13" t="n">
        <v>409</v>
      </c>
      <c r="W222" s="13" t="n">
        <v>0</v>
      </c>
      <c r="X222" s="12" t="s">
        <v>390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182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862229</v>
      </c>
      <c r="L223" s="10" t="n">
        <v>9949</v>
      </c>
      <c r="M223" s="12" t="s">
        <v>391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649.63</v>
      </c>
      <c r="W223" s="13" t="n">
        <v>0</v>
      </c>
      <c r="X223" s="12" t="s">
        <v>392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130</v>
      </c>
      <c r="F224" s="10" t="n">
        <v>24</v>
      </c>
      <c r="G224" s="12" t="s">
        <v>32</v>
      </c>
      <c r="H224" s="10" t="n">
        <v>2110101</v>
      </c>
      <c r="I224" s="12" t="s">
        <v>33</v>
      </c>
      <c r="J224" s="10" t="n">
        <v>1092319</v>
      </c>
      <c r="L224" s="10" t="n">
        <v>401029</v>
      </c>
      <c r="M224" s="12" t="s">
        <v>34</v>
      </c>
      <c r="N224" s="12" t="s">
        <v>35</v>
      </c>
      <c r="P224" s="10" t="n">
        <v>103</v>
      </c>
      <c r="Q224" s="12" t="s">
        <v>36</v>
      </c>
      <c r="R224" s="12" t="s">
        <v>37</v>
      </c>
      <c r="S224" s="10" t="n">
        <v>1130101</v>
      </c>
      <c r="T224" s="12" t="s">
        <v>38</v>
      </c>
      <c r="U224" s="13" t="n">
        <v>2467.24</v>
      </c>
      <c r="W224" s="13" t="n">
        <v>0</v>
      </c>
      <c r="X224" s="12" t="s">
        <v>393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132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1029489</v>
      </c>
      <c r="L225" s="10" t="n">
        <v>19342</v>
      </c>
      <c r="M225" s="12" t="s">
        <v>394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1287.25</v>
      </c>
      <c r="W225" s="13" t="n">
        <v>0</v>
      </c>
      <c r="X225" s="12" t="s">
        <v>395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396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1132229</v>
      </c>
      <c r="L226" s="10" t="n">
        <v>69749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425.26</v>
      </c>
      <c r="W226" s="13" t="n">
        <v>0</v>
      </c>
      <c r="X226" s="12" t="s">
        <v>397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51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1133077</v>
      </c>
      <c r="L227" s="10" t="n">
        <v>1656781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2234.88</v>
      </c>
      <c r="W227" s="13" t="n">
        <v>0</v>
      </c>
      <c r="X227" s="12" t="s">
        <v>398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153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1142142</v>
      </c>
      <c r="L228" s="10" t="n">
        <v>259091</v>
      </c>
      <c r="M228" s="12" t="s">
        <v>34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381.99</v>
      </c>
      <c r="W228" s="13" t="n">
        <v>0</v>
      </c>
      <c r="X228" s="12" t="s">
        <v>399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1167580</v>
      </c>
      <c r="L229" s="10" t="n">
        <v>1832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89.51</v>
      </c>
      <c r="W229" s="13" t="n">
        <v>0</v>
      </c>
      <c r="X229" s="12" t="s">
        <v>401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208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1167896</v>
      </c>
      <c r="L230" s="10" t="n">
        <v>1591095</v>
      </c>
      <c r="M230" s="12" t="s">
        <v>34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416.19</v>
      </c>
      <c r="W230" s="13" t="n">
        <v>0</v>
      </c>
      <c r="X230" s="12" t="s">
        <v>402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319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1168569</v>
      </c>
      <c r="L231" s="10" t="n">
        <v>9958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972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1168580</v>
      </c>
      <c r="L232" s="10" t="n">
        <v>36783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3522.3</v>
      </c>
      <c r="W232" s="13" t="n">
        <v>0</v>
      </c>
      <c r="X232" s="12" t="s">
        <v>404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405</v>
      </c>
      <c r="F233" s="10" t="n">
        <v>24</v>
      </c>
      <c r="G233" s="12" t="s">
        <v>32</v>
      </c>
      <c r="H233" s="10" t="n">
        <v>2110102</v>
      </c>
      <c r="I233" s="12" t="s">
        <v>59</v>
      </c>
      <c r="J233" s="10" t="n">
        <v>1187627</v>
      </c>
      <c r="L233" s="10" t="n">
        <v>3372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60</v>
      </c>
      <c r="S233" s="10" t="n">
        <v>4210204</v>
      </c>
      <c r="T233" s="12" t="s">
        <v>61</v>
      </c>
      <c r="U233" s="13" t="n">
        <v>5050.31</v>
      </c>
      <c r="W233" s="13" t="n">
        <v>0</v>
      </c>
      <c r="X233" s="12" t="s">
        <v>406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325</v>
      </c>
      <c r="F234" s="10" t="n">
        <v>24</v>
      </c>
      <c r="G234" s="12" t="s">
        <v>32</v>
      </c>
      <c r="H234" s="10" t="n">
        <v>2110101</v>
      </c>
      <c r="I234" s="12" t="s">
        <v>33</v>
      </c>
      <c r="J234" s="10" t="n">
        <v>1192775</v>
      </c>
      <c r="L234" s="10" t="n">
        <v>7862</v>
      </c>
      <c r="M234" s="12" t="s">
        <v>41</v>
      </c>
      <c r="N234" s="12" t="s">
        <v>35</v>
      </c>
      <c r="P234" s="10" t="n">
        <v>103</v>
      </c>
      <c r="Q234" s="12" t="s">
        <v>36</v>
      </c>
      <c r="R234" s="12" t="s">
        <v>37</v>
      </c>
      <c r="S234" s="10" t="n">
        <v>1130101</v>
      </c>
      <c r="T234" s="12" t="s">
        <v>38</v>
      </c>
      <c r="U234" s="13" t="n">
        <v>1695.9</v>
      </c>
      <c r="W234" s="13" t="n">
        <v>0</v>
      </c>
      <c r="X234" s="12" t="s">
        <v>407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74</v>
      </c>
      <c r="F235" s="10" t="n">
        <v>24</v>
      </c>
      <c r="G235" s="12" t="s">
        <v>32</v>
      </c>
      <c r="H235" s="10" t="n">
        <v>2110101</v>
      </c>
      <c r="I235" s="12" t="s">
        <v>33</v>
      </c>
      <c r="J235" s="10" t="n">
        <v>1208563</v>
      </c>
      <c r="L235" s="10" t="n">
        <v>650</v>
      </c>
      <c r="M235" s="12" t="s">
        <v>41</v>
      </c>
      <c r="N235" s="12" t="s">
        <v>35</v>
      </c>
      <c r="P235" s="10" t="n">
        <v>103</v>
      </c>
      <c r="Q235" s="12" t="s">
        <v>36</v>
      </c>
      <c r="R235" s="12" t="s">
        <v>37</v>
      </c>
      <c r="S235" s="10" t="n">
        <v>1130101</v>
      </c>
      <c r="T235" s="12" t="s">
        <v>38</v>
      </c>
      <c r="U235" s="13" t="n">
        <v>544.45</v>
      </c>
      <c r="W235" s="13" t="n">
        <v>0</v>
      </c>
      <c r="X235" s="12" t="s">
        <v>408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323</v>
      </c>
      <c r="F236" s="10" t="n">
        <v>24</v>
      </c>
      <c r="G236" s="12" t="s">
        <v>32</v>
      </c>
      <c r="H236" s="10" t="n">
        <v>2110101</v>
      </c>
      <c r="I236" s="12" t="s">
        <v>33</v>
      </c>
      <c r="J236" s="10" t="n">
        <v>1208597</v>
      </c>
      <c r="L236" s="10" t="n">
        <v>3639</v>
      </c>
      <c r="M236" s="12" t="s">
        <v>41</v>
      </c>
      <c r="N236" s="12" t="s">
        <v>35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241.6</v>
      </c>
      <c r="W236" s="13" t="n">
        <v>0</v>
      </c>
      <c r="X236" s="12" t="s">
        <v>409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159</v>
      </c>
      <c r="F237" s="10" t="n">
        <v>24</v>
      </c>
      <c r="G237" s="12" t="s">
        <v>32</v>
      </c>
      <c r="H237" s="10" t="n">
        <v>2110101</v>
      </c>
      <c r="I237" s="12" t="s">
        <v>33</v>
      </c>
      <c r="J237" s="10" t="n">
        <v>1208610</v>
      </c>
      <c r="L237" s="10" t="n">
        <v>1025113</v>
      </c>
      <c r="M237" s="12" t="s">
        <v>41</v>
      </c>
      <c r="N237" s="12" t="s">
        <v>35</v>
      </c>
      <c r="P237" s="10" t="n">
        <v>103</v>
      </c>
      <c r="Q237" s="12" t="s">
        <v>36</v>
      </c>
      <c r="R237" s="12" t="s">
        <v>37</v>
      </c>
      <c r="S237" s="10" t="n">
        <v>1130101</v>
      </c>
      <c r="T237" s="12" t="s">
        <v>38</v>
      </c>
      <c r="U237" s="13" t="n">
        <v>1290.24</v>
      </c>
      <c r="W237" s="13" t="n">
        <v>0</v>
      </c>
      <c r="X237" s="12" t="s">
        <v>410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74</v>
      </c>
      <c r="F238" s="10" t="n">
        <v>24</v>
      </c>
      <c r="G238" s="12" t="s">
        <v>32</v>
      </c>
      <c r="H238" s="10" t="n">
        <v>2110101</v>
      </c>
      <c r="I238" s="12" t="s">
        <v>33</v>
      </c>
      <c r="J238" s="10" t="n">
        <v>1208634</v>
      </c>
      <c r="L238" s="10" t="n">
        <v>646</v>
      </c>
      <c r="M238" s="12" t="s">
        <v>41</v>
      </c>
      <c r="N238" s="12" t="s">
        <v>35</v>
      </c>
      <c r="P238" s="10" t="n">
        <v>103</v>
      </c>
      <c r="Q238" s="12" t="s">
        <v>36</v>
      </c>
      <c r="R238" s="12" t="s">
        <v>37</v>
      </c>
      <c r="S238" s="10" t="n">
        <v>1130101</v>
      </c>
      <c r="T238" s="12" t="s">
        <v>38</v>
      </c>
      <c r="U238" s="13" t="n">
        <v>1400</v>
      </c>
      <c r="W238" s="13" t="n">
        <v>0</v>
      </c>
      <c r="X238" s="12" t="s">
        <v>411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319</v>
      </c>
      <c r="F239" s="10" t="n">
        <v>24</v>
      </c>
      <c r="G239" s="12" t="s">
        <v>32</v>
      </c>
      <c r="H239" s="10" t="n">
        <v>2110101</v>
      </c>
      <c r="I239" s="12" t="s">
        <v>33</v>
      </c>
      <c r="J239" s="10" t="n">
        <v>1208637</v>
      </c>
      <c r="L239" s="10" t="n">
        <v>10011</v>
      </c>
      <c r="M239" s="12" t="s">
        <v>41</v>
      </c>
      <c r="N239" s="12" t="s">
        <v>35</v>
      </c>
      <c r="P239" s="10" t="n">
        <v>103</v>
      </c>
      <c r="Q239" s="12" t="s">
        <v>36</v>
      </c>
      <c r="R239" s="12" t="s">
        <v>37</v>
      </c>
      <c r="S239" s="10" t="n">
        <v>1130101</v>
      </c>
      <c r="T239" s="12" t="s">
        <v>38</v>
      </c>
      <c r="U239" s="13" t="n">
        <v>1188</v>
      </c>
      <c r="W239" s="13" t="n">
        <v>0</v>
      </c>
      <c r="X239" s="12" t="s">
        <v>412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161</v>
      </c>
      <c r="F240" s="10" t="n">
        <v>24</v>
      </c>
      <c r="G240" s="12" t="s">
        <v>32</v>
      </c>
      <c r="H240" s="10" t="n">
        <v>2110101</v>
      </c>
      <c r="I240" s="12" t="s">
        <v>33</v>
      </c>
      <c r="J240" s="10" t="n">
        <v>1210899</v>
      </c>
      <c r="L240" s="10" t="n">
        <v>486</v>
      </c>
      <c r="M240" s="12" t="s">
        <v>41</v>
      </c>
      <c r="N240" s="12" t="s">
        <v>35</v>
      </c>
      <c r="P240" s="10" t="n">
        <v>103</v>
      </c>
      <c r="Q240" s="12" t="s">
        <v>36</v>
      </c>
      <c r="R240" s="12" t="s">
        <v>37</v>
      </c>
      <c r="S240" s="10" t="n">
        <v>1130101</v>
      </c>
      <c r="T240" s="12" t="s">
        <v>38</v>
      </c>
      <c r="U240" s="13" t="n">
        <v>864</v>
      </c>
      <c r="W240" s="13" t="n">
        <v>0</v>
      </c>
      <c r="X240" s="12" t="s">
        <v>413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78</v>
      </c>
      <c r="F241" s="10" t="n">
        <v>24</v>
      </c>
      <c r="G241" s="12" t="s">
        <v>32</v>
      </c>
      <c r="H241" s="10" t="n">
        <v>2110101</v>
      </c>
      <c r="I241" s="12" t="s">
        <v>33</v>
      </c>
      <c r="J241" s="10" t="n">
        <v>1211080</v>
      </c>
      <c r="L241" s="10" t="n">
        <v>14980</v>
      </c>
      <c r="M241" s="12" t="s">
        <v>41</v>
      </c>
      <c r="N241" s="12" t="s">
        <v>35</v>
      </c>
      <c r="P241" s="10" t="n">
        <v>103</v>
      </c>
      <c r="Q241" s="12" t="s">
        <v>36</v>
      </c>
      <c r="R241" s="12" t="s">
        <v>37</v>
      </c>
      <c r="S241" s="10" t="n">
        <v>1130101</v>
      </c>
      <c r="T241" s="12" t="s">
        <v>38</v>
      </c>
      <c r="U241" s="13" t="n">
        <v>709.32</v>
      </c>
      <c r="W241" s="13" t="n">
        <v>0</v>
      </c>
      <c r="X241" s="12" t="s">
        <v>414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328</v>
      </c>
      <c r="F242" s="10" t="n">
        <v>34</v>
      </c>
      <c r="G242" s="12" t="s">
        <v>71</v>
      </c>
      <c r="H242" s="10" t="n">
        <v>2110101</v>
      </c>
      <c r="I242" s="12" t="s">
        <v>33</v>
      </c>
      <c r="J242" s="10" t="n">
        <v>1211170</v>
      </c>
      <c r="L242" s="10" t="n">
        <v>293</v>
      </c>
      <c r="M242" s="12" t="s">
        <v>41</v>
      </c>
      <c r="N242" s="12" t="s">
        <v>35</v>
      </c>
      <c r="P242" s="10" t="n">
        <v>103</v>
      </c>
      <c r="Q242" s="12" t="s">
        <v>36</v>
      </c>
      <c r="R242" s="12" t="s">
        <v>37</v>
      </c>
      <c r="S242" s="10" t="n">
        <v>1130101</v>
      </c>
      <c r="T242" s="12" t="s">
        <v>38</v>
      </c>
      <c r="U242" s="13" t="n">
        <v>3105</v>
      </c>
      <c r="W242" s="13" t="n">
        <v>0</v>
      </c>
      <c r="X242" s="12" t="s">
        <v>415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94</v>
      </c>
      <c r="F243" s="10" t="n">
        <v>34</v>
      </c>
      <c r="G243" s="12" t="s">
        <v>71</v>
      </c>
      <c r="H243" s="10" t="n">
        <v>2110405</v>
      </c>
      <c r="I243" s="12" t="s">
        <v>83</v>
      </c>
      <c r="J243" s="10" t="n">
        <v>1227248</v>
      </c>
      <c r="L243" s="10" t="n">
        <v>510013</v>
      </c>
      <c r="M243" s="12" t="s">
        <v>41</v>
      </c>
      <c r="N243" s="12" t="s">
        <v>42</v>
      </c>
      <c r="P243" s="10" t="n">
        <v>101</v>
      </c>
      <c r="Q243" s="12" t="s">
        <v>84</v>
      </c>
      <c r="R243" s="12" t="s">
        <v>91</v>
      </c>
      <c r="S243" s="10" t="n">
        <v>4220199</v>
      </c>
      <c r="T243" s="12" t="s">
        <v>92</v>
      </c>
      <c r="U243" s="13" t="n">
        <v>1507.62</v>
      </c>
      <c r="W243" s="13" t="n">
        <v>0</v>
      </c>
      <c r="X243" s="12" t="s">
        <v>416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417</v>
      </c>
      <c r="F244" s="10" t="n">
        <v>11</v>
      </c>
      <c r="G244" s="12" t="s">
        <v>170</v>
      </c>
      <c r="H244" s="10" t="n">
        <v>2110405</v>
      </c>
      <c r="I244" s="12" t="s">
        <v>83</v>
      </c>
      <c r="J244" s="10" t="n">
        <v>1227327</v>
      </c>
      <c r="L244" s="10" t="n">
        <v>510025</v>
      </c>
      <c r="M244" s="12" t="s">
        <v>41</v>
      </c>
      <c r="N244" s="12" t="s">
        <v>42</v>
      </c>
      <c r="P244" s="10" t="n">
        <v>101</v>
      </c>
      <c r="Q244" s="12" t="s">
        <v>84</v>
      </c>
      <c r="R244" s="12" t="s">
        <v>60</v>
      </c>
      <c r="S244" s="10" t="n">
        <v>4210227</v>
      </c>
      <c r="T244" s="12" t="s">
        <v>418</v>
      </c>
      <c r="U244" s="13" t="n">
        <v>419.94</v>
      </c>
      <c r="W244" s="13" t="n">
        <v>0</v>
      </c>
      <c r="X244" s="12" t="s">
        <v>419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420</v>
      </c>
      <c r="F245" s="10" t="n">
        <v>34</v>
      </c>
      <c r="G245" s="12" t="s">
        <v>71</v>
      </c>
      <c r="H245" s="10" t="n">
        <v>2110101</v>
      </c>
      <c r="I245" s="12" t="s">
        <v>33</v>
      </c>
      <c r="J245" s="10" t="n">
        <v>1227444</v>
      </c>
      <c r="L245" s="10" t="n">
        <v>510060</v>
      </c>
      <c r="M245" s="12" t="s">
        <v>41</v>
      </c>
      <c r="N245" s="12" t="s">
        <v>42</v>
      </c>
      <c r="P245" s="10" t="n">
        <v>103</v>
      </c>
      <c r="Q245" s="12" t="s">
        <v>36</v>
      </c>
      <c r="R245" s="12" t="s">
        <v>37</v>
      </c>
      <c r="S245" s="10" t="n">
        <v>1130101</v>
      </c>
      <c r="T245" s="12" t="s">
        <v>38</v>
      </c>
      <c r="U245" s="13" t="n">
        <v>500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70</v>
      </c>
      <c r="F246" s="10" t="n">
        <v>34</v>
      </c>
      <c r="G246" s="12" t="s">
        <v>71</v>
      </c>
      <c r="H246" s="10" t="n">
        <v>2110101</v>
      </c>
      <c r="I246" s="12" t="s">
        <v>33</v>
      </c>
      <c r="J246" s="10" t="n">
        <v>1228045</v>
      </c>
      <c r="L246" s="10" t="n">
        <v>5111</v>
      </c>
      <c r="M246" s="12" t="s">
        <v>41</v>
      </c>
      <c r="N246" s="12" t="s">
        <v>35</v>
      </c>
      <c r="P246" s="10" t="n">
        <v>104</v>
      </c>
      <c r="Q246" s="12" t="s">
        <v>99</v>
      </c>
      <c r="R246" s="12" t="s">
        <v>37</v>
      </c>
      <c r="S246" s="10" t="n">
        <v>1130101</v>
      </c>
      <c r="T246" s="12" t="s">
        <v>38</v>
      </c>
      <c r="U246" s="13" t="n">
        <v>2608.29</v>
      </c>
      <c r="W246" s="13" t="n">
        <v>0</v>
      </c>
      <c r="X246" s="12" t="s">
        <v>422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102</v>
      </c>
      <c r="F247" s="10" t="n">
        <v>13</v>
      </c>
      <c r="G247" s="12" t="s">
        <v>98</v>
      </c>
      <c r="H247" s="10" t="n">
        <v>2110101</v>
      </c>
      <c r="I247" s="12" t="s">
        <v>33</v>
      </c>
      <c r="J247" s="10" t="n">
        <v>1230733</v>
      </c>
      <c r="L247" s="10" t="n">
        <v>5962</v>
      </c>
      <c r="M247" s="12" t="s">
        <v>41</v>
      </c>
      <c r="N247" s="12" t="s">
        <v>35</v>
      </c>
      <c r="P247" s="10" t="n">
        <v>104</v>
      </c>
      <c r="Q247" s="12" t="s">
        <v>99</v>
      </c>
      <c r="R247" s="12" t="s">
        <v>37</v>
      </c>
      <c r="S247" s="10" t="n">
        <v>1130101</v>
      </c>
      <c r="T247" s="12" t="s">
        <v>38</v>
      </c>
      <c r="U247" s="13" t="n">
        <v>300</v>
      </c>
      <c r="W247" s="13" t="n">
        <v>0</v>
      </c>
      <c r="X247" s="12" t="s">
        <v>423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424</v>
      </c>
      <c r="F248" s="10" t="n">
        <v>13</v>
      </c>
      <c r="G248" s="12" t="s">
        <v>98</v>
      </c>
      <c r="H248" s="10" t="n">
        <v>2110101</v>
      </c>
      <c r="I248" s="12" t="s">
        <v>33</v>
      </c>
      <c r="J248" s="10" t="n">
        <v>1231618</v>
      </c>
      <c r="L248" s="10" t="n">
        <v>215</v>
      </c>
      <c r="M248" s="12" t="s">
        <v>41</v>
      </c>
      <c r="N248" s="12" t="s">
        <v>35</v>
      </c>
      <c r="P248" s="10" t="n">
        <v>104</v>
      </c>
      <c r="Q248" s="12" t="s">
        <v>99</v>
      </c>
      <c r="R248" s="12" t="s">
        <v>37</v>
      </c>
      <c r="S248" s="10" t="n">
        <v>1130101</v>
      </c>
      <c r="T248" s="12" t="s">
        <v>38</v>
      </c>
      <c r="U248" s="13" t="n">
        <v>750</v>
      </c>
      <c r="W248" s="13" t="n">
        <v>0</v>
      </c>
      <c r="X248" s="12" t="s">
        <v>425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106</v>
      </c>
      <c r="F249" s="10" t="n">
        <v>34</v>
      </c>
      <c r="G249" s="12" t="s">
        <v>71</v>
      </c>
      <c r="H249" s="10" t="n">
        <v>2110405</v>
      </c>
      <c r="I249" s="12" t="s">
        <v>83</v>
      </c>
      <c r="J249" s="10" t="n">
        <v>1237374</v>
      </c>
      <c r="L249" s="10" t="n">
        <v>513941</v>
      </c>
      <c r="M249" s="12" t="s">
        <v>41</v>
      </c>
      <c r="N249" s="12" t="s">
        <v>42</v>
      </c>
      <c r="P249" s="10" t="n">
        <v>102</v>
      </c>
      <c r="Q249" s="12" t="s">
        <v>107</v>
      </c>
      <c r="R249" s="12" t="s">
        <v>91</v>
      </c>
      <c r="S249" s="10" t="n">
        <v>4220199</v>
      </c>
      <c r="T249" s="12" t="s">
        <v>92</v>
      </c>
      <c r="U249" s="13" t="n">
        <v>1783.76</v>
      </c>
      <c r="W249" s="13" t="n">
        <v>0</v>
      </c>
      <c r="X249" s="12" t="s">
        <v>426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427</v>
      </c>
      <c r="F250" s="10" t="n">
        <v>46</v>
      </c>
      <c r="G250" s="12" t="s">
        <v>428</v>
      </c>
      <c r="H250" s="10" t="n">
        <v>2110405</v>
      </c>
      <c r="I250" s="12" t="s">
        <v>83</v>
      </c>
      <c r="J250" s="10" t="n">
        <v>651504</v>
      </c>
      <c r="L250" s="10" t="n">
        <v>287048</v>
      </c>
      <c r="M250" s="12" t="s">
        <v>234</v>
      </c>
      <c r="N250" s="12" t="s">
        <v>42</v>
      </c>
      <c r="P250" s="10" t="n">
        <v>101</v>
      </c>
      <c r="Q250" s="12" t="s">
        <v>84</v>
      </c>
      <c r="R250" s="12" t="s">
        <v>91</v>
      </c>
      <c r="S250" s="10" t="n">
        <v>4220199</v>
      </c>
      <c r="T250" s="12" t="s">
        <v>92</v>
      </c>
      <c r="U250" s="13" t="n">
        <v>1567.08</v>
      </c>
      <c r="W250" s="13" t="n">
        <v>0</v>
      </c>
      <c r="X250" s="12" t="s">
        <v>429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430</v>
      </c>
      <c r="F251" s="10" t="n">
        <v>46</v>
      </c>
      <c r="G251" s="12" t="s">
        <v>428</v>
      </c>
      <c r="H251" s="10" t="n">
        <v>2110405</v>
      </c>
      <c r="I251" s="12" t="s">
        <v>83</v>
      </c>
      <c r="J251" s="10" t="n">
        <v>651770</v>
      </c>
      <c r="L251" s="10" t="n">
        <v>287133</v>
      </c>
      <c r="M251" s="12" t="s">
        <v>394</v>
      </c>
      <c r="N251" s="12" t="s">
        <v>42</v>
      </c>
      <c r="P251" s="10" t="n">
        <v>101</v>
      </c>
      <c r="Q251" s="12" t="s">
        <v>84</v>
      </c>
      <c r="R251" s="12" t="s">
        <v>60</v>
      </c>
      <c r="S251" s="10" t="n">
        <v>4210232</v>
      </c>
      <c r="T251" s="12" t="s">
        <v>431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433</v>
      </c>
      <c r="F252" s="10" t="n">
        <v>46</v>
      </c>
      <c r="G252" s="12" t="s">
        <v>428</v>
      </c>
      <c r="H252" s="10" t="n">
        <v>2110405</v>
      </c>
      <c r="I252" s="12" t="s">
        <v>83</v>
      </c>
      <c r="J252" s="10" t="n">
        <v>722109</v>
      </c>
      <c r="L252" s="10" t="n">
        <v>98825</v>
      </c>
      <c r="M252" s="12" t="s">
        <v>128</v>
      </c>
      <c r="N252" s="12" t="s">
        <v>42</v>
      </c>
      <c r="P252" s="10" t="n">
        <v>101</v>
      </c>
      <c r="Q252" s="12" t="s">
        <v>84</v>
      </c>
      <c r="R252" s="12" t="s">
        <v>60</v>
      </c>
      <c r="S252" s="10" t="n">
        <v>4210228</v>
      </c>
      <c r="T252" s="12" t="s">
        <v>434</v>
      </c>
      <c r="U252" s="13" t="n">
        <v>295.66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274</v>
      </c>
      <c r="F253" s="10" t="n">
        <v>46</v>
      </c>
      <c r="G253" s="12" t="s">
        <v>428</v>
      </c>
      <c r="H253" s="10" t="n">
        <v>2110405</v>
      </c>
      <c r="I253" s="12" t="s">
        <v>83</v>
      </c>
      <c r="J253" s="10" t="n">
        <v>776840</v>
      </c>
      <c r="L253" s="10" t="n">
        <v>3022026</v>
      </c>
      <c r="M253" s="12" t="s">
        <v>394</v>
      </c>
      <c r="N253" s="12" t="s">
        <v>42</v>
      </c>
      <c r="P253" s="10" t="n">
        <v>101</v>
      </c>
      <c r="Q253" s="12" t="s">
        <v>84</v>
      </c>
      <c r="R253" s="12" t="s">
        <v>60</v>
      </c>
      <c r="S253" s="10" t="n">
        <v>4210232</v>
      </c>
      <c r="T253" s="12" t="s">
        <v>431</v>
      </c>
      <c r="U253" s="13" t="n">
        <v>332</v>
      </c>
      <c r="W253" s="13" t="n">
        <v>0</v>
      </c>
      <c r="X253" s="12" t="s">
        <v>436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274</v>
      </c>
      <c r="F254" s="10" t="n">
        <v>46</v>
      </c>
      <c r="G254" s="12" t="s">
        <v>428</v>
      </c>
      <c r="H254" s="10" t="n">
        <v>2110405</v>
      </c>
      <c r="I254" s="12" t="s">
        <v>83</v>
      </c>
      <c r="J254" s="10" t="n">
        <v>776951</v>
      </c>
      <c r="L254" s="10" t="n">
        <v>302</v>
      </c>
      <c r="M254" s="12" t="s">
        <v>394</v>
      </c>
      <c r="N254" s="12" t="s">
        <v>42</v>
      </c>
      <c r="P254" s="10" t="n">
        <v>101</v>
      </c>
      <c r="Q254" s="12" t="s">
        <v>84</v>
      </c>
      <c r="R254" s="12" t="s">
        <v>60</v>
      </c>
      <c r="S254" s="10" t="n">
        <v>4210232</v>
      </c>
      <c r="T254" s="12" t="s">
        <v>431</v>
      </c>
      <c r="U254" s="13" t="n">
        <v>332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433</v>
      </c>
      <c r="F255" s="10" t="n">
        <v>46</v>
      </c>
      <c r="G255" s="12" t="s">
        <v>428</v>
      </c>
      <c r="H255" s="10" t="n">
        <v>2110405</v>
      </c>
      <c r="I255" s="12" t="s">
        <v>83</v>
      </c>
      <c r="J255" s="10" t="n">
        <v>794811</v>
      </c>
      <c r="L255" s="10" t="n">
        <v>343084</v>
      </c>
      <c r="M255" s="12" t="s">
        <v>128</v>
      </c>
      <c r="N255" s="12" t="s">
        <v>42</v>
      </c>
      <c r="P255" s="10" t="n">
        <v>101</v>
      </c>
      <c r="Q255" s="12" t="s">
        <v>84</v>
      </c>
      <c r="R255" s="12" t="s">
        <v>60</v>
      </c>
      <c r="S255" s="10" t="n">
        <v>4210226</v>
      </c>
      <c r="T255" s="12" t="s">
        <v>438</v>
      </c>
      <c r="U255" s="13" t="n">
        <v>192.48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433</v>
      </c>
      <c r="F256" s="10" t="n">
        <v>46</v>
      </c>
      <c r="G256" s="12" t="s">
        <v>428</v>
      </c>
      <c r="H256" s="10" t="n">
        <v>2110102</v>
      </c>
      <c r="I256" s="12" t="s">
        <v>59</v>
      </c>
      <c r="J256" s="10" t="n">
        <v>818388</v>
      </c>
      <c r="L256" s="10" t="n">
        <v>100241</v>
      </c>
      <c r="M256" s="12" t="s">
        <v>128</v>
      </c>
      <c r="N256" s="12" t="s">
        <v>35</v>
      </c>
      <c r="P256" s="10" t="n">
        <v>103</v>
      </c>
      <c r="Q256" s="12" t="s">
        <v>36</v>
      </c>
      <c r="R256" s="12" t="s">
        <v>60</v>
      </c>
      <c r="S256" s="10" t="n">
        <v>4210204</v>
      </c>
      <c r="T256" s="12" t="s">
        <v>61</v>
      </c>
      <c r="U256" s="13" t="n">
        <v>300.27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441</v>
      </c>
      <c r="F257" s="10" t="n">
        <v>46</v>
      </c>
      <c r="G257" s="12" t="s">
        <v>428</v>
      </c>
      <c r="H257" s="10" t="n">
        <v>2110405</v>
      </c>
      <c r="I257" s="12" t="s">
        <v>83</v>
      </c>
      <c r="J257" s="10" t="n">
        <v>861502</v>
      </c>
      <c r="L257" s="10" t="n">
        <v>5400</v>
      </c>
      <c r="M257" s="12" t="s">
        <v>34</v>
      </c>
      <c r="N257" s="12" t="s">
        <v>42</v>
      </c>
      <c r="P257" s="10" t="n">
        <v>101</v>
      </c>
      <c r="Q257" s="12" t="s">
        <v>84</v>
      </c>
      <c r="R257" s="12" t="s">
        <v>60</v>
      </c>
      <c r="S257" s="10" t="n">
        <v>4210205</v>
      </c>
      <c r="T257" s="12" t="s">
        <v>442</v>
      </c>
      <c r="U257" s="13" t="n">
        <v>105.26</v>
      </c>
      <c r="W257" s="13" t="n">
        <v>0</v>
      </c>
      <c r="X257" s="12" t="s">
        <v>443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444</v>
      </c>
      <c r="F258" s="10" t="n">
        <v>36</v>
      </c>
      <c r="G258" s="12" t="s">
        <v>445</v>
      </c>
      <c r="H258" s="10" t="n">
        <v>2110405</v>
      </c>
      <c r="I258" s="12" t="s">
        <v>83</v>
      </c>
      <c r="J258" s="10" t="n">
        <v>926391</v>
      </c>
      <c r="L258" s="10" t="n">
        <v>2403</v>
      </c>
      <c r="M258" s="12" t="s">
        <v>34</v>
      </c>
      <c r="N258" s="12" t="s">
        <v>42</v>
      </c>
      <c r="P258" s="10" t="n">
        <v>101</v>
      </c>
      <c r="Q258" s="12" t="s">
        <v>84</v>
      </c>
      <c r="R258" s="12" t="s">
        <v>60</v>
      </c>
      <c r="S258" s="10" t="n">
        <v>4210228</v>
      </c>
      <c r="T258" s="12" t="s">
        <v>434</v>
      </c>
      <c r="U258" s="13" t="n">
        <v>286.87</v>
      </c>
      <c r="W258" s="13" t="n">
        <v>0</v>
      </c>
      <c r="X258" s="12" t="s">
        <v>446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94</v>
      </c>
      <c r="F259" s="10" t="n">
        <v>34</v>
      </c>
      <c r="G259" s="12" t="s">
        <v>71</v>
      </c>
      <c r="H259" s="10" t="n">
        <v>2110405</v>
      </c>
      <c r="I259" s="12" t="s">
        <v>83</v>
      </c>
      <c r="J259" s="10" t="n">
        <v>926565</v>
      </c>
      <c r="L259" s="10" t="n">
        <v>394302</v>
      </c>
      <c r="M259" s="12" t="s">
        <v>128</v>
      </c>
      <c r="N259" s="12" t="s">
        <v>42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</v>
      </c>
      <c r="W259" s="13" t="n">
        <v>0</v>
      </c>
      <c r="X259" s="12" t="s">
        <v>447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274</v>
      </c>
      <c r="F260" s="10" t="n">
        <v>46</v>
      </c>
      <c r="G260" s="12" t="s">
        <v>428</v>
      </c>
      <c r="H260" s="10" t="n">
        <v>2110405</v>
      </c>
      <c r="I260" s="12" t="s">
        <v>83</v>
      </c>
      <c r="J260" s="10" t="n">
        <v>927114</v>
      </c>
      <c r="L260" s="10" t="n">
        <v>394484</v>
      </c>
      <c r="M260" s="12" t="s">
        <v>128</v>
      </c>
      <c r="N260" s="12" t="s">
        <v>42</v>
      </c>
      <c r="P260" s="10" t="n">
        <v>101</v>
      </c>
      <c r="Q260" s="12" t="s">
        <v>84</v>
      </c>
      <c r="R260" s="12" t="s">
        <v>60</v>
      </c>
      <c r="S260" s="10" t="n">
        <v>4210232</v>
      </c>
      <c r="T260" s="12" t="s">
        <v>431</v>
      </c>
      <c r="U260" s="13" t="n">
        <v>332</v>
      </c>
      <c r="W260" s="13" t="n">
        <v>0</v>
      </c>
      <c r="X260" s="12" t="s">
        <v>448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433</v>
      </c>
      <c r="F261" s="10" t="n">
        <v>46</v>
      </c>
      <c r="G261" s="12" t="s">
        <v>428</v>
      </c>
      <c r="H261" s="10" t="n">
        <v>2110405</v>
      </c>
      <c r="I261" s="12" t="s">
        <v>83</v>
      </c>
      <c r="J261" s="10" t="n">
        <v>927300</v>
      </c>
      <c r="L261" s="10" t="n">
        <v>99886</v>
      </c>
      <c r="M261" s="12" t="s">
        <v>128</v>
      </c>
      <c r="N261" s="12" t="s">
        <v>42</v>
      </c>
      <c r="P261" s="10" t="n">
        <v>101</v>
      </c>
      <c r="Q261" s="12" t="s">
        <v>84</v>
      </c>
      <c r="R261" s="12" t="s">
        <v>60</v>
      </c>
      <c r="S261" s="10" t="n">
        <v>4210228</v>
      </c>
      <c r="T261" s="12" t="s">
        <v>434</v>
      </c>
      <c r="U261" s="13" t="n">
        <v>225.14</v>
      </c>
      <c r="W261" s="13" t="n">
        <v>0</v>
      </c>
      <c r="X261" s="12" t="s">
        <v>449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51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1092559</v>
      </c>
      <c r="L262" s="10" t="n">
        <v>1653661</v>
      </c>
      <c r="M262" s="12" t="s">
        <v>41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2193.88</v>
      </c>
      <c r="W262" s="13" t="n">
        <v>0</v>
      </c>
      <c r="X262" s="12" t="s">
        <v>450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451</v>
      </c>
      <c r="F263" s="10" t="n">
        <v>46</v>
      </c>
      <c r="G263" s="12" t="s">
        <v>428</v>
      </c>
      <c r="H263" s="10" t="n">
        <v>2110405</v>
      </c>
      <c r="I263" s="12" t="s">
        <v>83</v>
      </c>
      <c r="J263" s="10" t="n">
        <v>993744</v>
      </c>
      <c r="L263" s="10" t="n">
        <v>420093</v>
      </c>
      <c r="M263" s="12" t="s">
        <v>34</v>
      </c>
      <c r="N263" s="12" t="s">
        <v>42</v>
      </c>
      <c r="P263" s="10" t="n">
        <v>101</v>
      </c>
      <c r="Q263" s="12" t="s">
        <v>84</v>
      </c>
      <c r="R263" s="12" t="s">
        <v>91</v>
      </c>
      <c r="S263" s="10" t="n">
        <v>4220199</v>
      </c>
      <c r="T263" s="12" t="s">
        <v>92</v>
      </c>
      <c r="U263" s="13" t="n">
        <v>130</v>
      </c>
      <c r="W263" s="13" t="n">
        <v>0</v>
      </c>
      <c r="X263" s="12" t="s">
        <v>452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433</v>
      </c>
      <c r="F264" s="10" t="n">
        <v>46</v>
      </c>
      <c r="G264" s="12" t="s">
        <v>428</v>
      </c>
      <c r="H264" s="10" t="n">
        <v>2110405</v>
      </c>
      <c r="I264" s="12" t="s">
        <v>83</v>
      </c>
      <c r="J264" s="10" t="n">
        <v>993822</v>
      </c>
      <c r="L264" s="10" t="n">
        <v>420133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60</v>
      </c>
      <c r="S264" s="10" t="n">
        <v>4210227</v>
      </c>
      <c r="T264" s="12" t="s">
        <v>418</v>
      </c>
      <c r="U264" s="13" t="n">
        <v>126.6</v>
      </c>
      <c r="W264" s="13" t="n">
        <v>0</v>
      </c>
      <c r="X264" s="12" t="s">
        <v>453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433</v>
      </c>
      <c r="F265" s="10" t="n">
        <v>46</v>
      </c>
      <c r="G265" s="12" t="s">
        <v>428</v>
      </c>
      <c r="H265" s="10" t="n">
        <v>2110405</v>
      </c>
      <c r="I265" s="12" t="s">
        <v>83</v>
      </c>
      <c r="J265" s="10" t="n">
        <v>1014538</v>
      </c>
      <c r="L265" s="10" t="n">
        <v>102658</v>
      </c>
      <c r="M265" s="12" t="s">
        <v>41</v>
      </c>
      <c r="N265" s="12" t="s">
        <v>42</v>
      </c>
      <c r="P265" s="10" t="n">
        <v>101</v>
      </c>
      <c r="Q265" s="12" t="s">
        <v>84</v>
      </c>
      <c r="R265" s="12" t="s">
        <v>60</v>
      </c>
      <c r="S265" s="10" t="n">
        <v>4210227</v>
      </c>
      <c r="T265" s="12" t="s">
        <v>418</v>
      </c>
      <c r="U265" s="13" t="n">
        <v>103.11</v>
      </c>
      <c r="W265" s="13" t="n">
        <v>0</v>
      </c>
      <c r="X265" s="12" t="s">
        <v>454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455</v>
      </c>
      <c r="F266" s="10" t="n">
        <v>46</v>
      </c>
      <c r="G266" s="12" t="s">
        <v>428</v>
      </c>
      <c r="H266" s="10" t="n">
        <v>2110102</v>
      </c>
      <c r="I266" s="12" t="s">
        <v>59</v>
      </c>
      <c r="J266" s="10" t="n">
        <v>1096860</v>
      </c>
      <c r="L266" s="10" t="n">
        <v>442757</v>
      </c>
      <c r="M266" s="12" t="s">
        <v>41</v>
      </c>
      <c r="N266" s="12" t="s">
        <v>35</v>
      </c>
      <c r="P266" s="10" t="n">
        <v>101</v>
      </c>
      <c r="Q266" s="12" t="s">
        <v>84</v>
      </c>
      <c r="R266" s="12" t="s">
        <v>60</v>
      </c>
      <c r="S266" s="10" t="n">
        <v>4210204</v>
      </c>
      <c r="T266" s="12" t="s">
        <v>61</v>
      </c>
      <c r="U266" s="13" t="n">
        <v>274</v>
      </c>
      <c r="W266" s="13" t="n">
        <v>0</v>
      </c>
      <c r="X266" s="12" t="s">
        <v>456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444</v>
      </c>
      <c r="F267" s="10" t="n">
        <v>46</v>
      </c>
      <c r="G267" s="12" t="s">
        <v>428</v>
      </c>
      <c r="H267" s="10" t="n">
        <v>2110405</v>
      </c>
      <c r="I267" s="12" t="s">
        <v>83</v>
      </c>
      <c r="J267" s="10" t="n">
        <v>1096875</v>
      </c>
      <c r="L267" s="10" t="n">
        <v>23761</v>
      </c>
      <c r="M267" s="12" t="s">
        <v>41</v>
      </c>
      <c r="N267" s="12" t="s">
        <v>42</v>
      </c>
      <c r="P267" s="10" t="n">
        <v>101</v>
      </c>
      <c r="Q267" s="12" t="s">
        <v>84</v>
      </c>
      <c r="R267" s="12" t="s">
        <v>85</v>
      </c>
      <c r="S267" s="10" t="n">
        <v>4210317</v>
      </c>
      <c r="T267" s="12" t="s">
        <v>457</v>
      </c>
      <c r="U267" s="13" t="n">
        <v>84</v>
      </c>
      <c r="W267" s="13" t="n">
        <v>0</v>
      </c>
      <c r="X267" s="12" t="s">
        <v>458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274</v>
      </c>
      <c r="F268" s="10" t="n">
        <v>46</v>
      </c>
      <c r="G268" s="12" t="s">
        <v>428</v>
      </c>
      <c r="H268" s="10" t="n">
        <v>2110405</v>
      </c>
      <c r="I268" s="12" t="s">
        <v>83</v>
      </c>
      <c r="J268" s="10" t="n">
        <v>1085756</v>
      </c>
      <c r="L268" s="10" t="n">
        <v>455404</v>
      </c>
      <c r="M268" s="12" t="s">
        <v>34</v>
      </c>
      <c r="N268" s="12" t="s">
        <v>42</v>
      </c>
      <c r="P268" s="10" t="n">
        <v>101</v>
      </c>
      <c r="Q268" s="12" t="s">
        <v>84</v>
      </c>
      <c r="R268" s="12" t="s">
        <v>60</v>
      </c>
      <c r="S268" s="10" t="n">
        <v>4210232</v>
      </c>
      <c r="T268" s="12" t="s">
        <v>431</v>
      </c>
      <c r="U268" s="13" t="n">
        <v>375</v>
      </c>
      <c r="W268" s="13" t="n">
        <v>0</v>
      </c>
      <c r="X268" s="12" t="s">
        <v>459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274</v>
      </c>
      <c r="F269" s="10" t="n">
        <v>46</v>
      </c>
      <c r="G269" s="12" t="s">
        <v>428</v>
      </c>
      <c r="H269" s="10" t="n">
        <v>2110405</v>
      </c>
      <c r="I269" s="12" t="s">
        <v>83</v>
      </c>
      <c r="J269" s="10" t="n">
        <v>1085763</v>
      </c>
      <c r="L269" s="10" t="n">
        <v>455410</v>
      </c>
      <c r="M269" s="12" t="s">
        <v>34</v>
      </c>
      <c r="N269" s="12" t="s">
        <v>42</v>
      </c>
      <c r="P269" s="10" t="n">
        <v>101</v>
      </c>
      <c r="Q269" s="12" t="s">
        <v>84</v>
      </c>
      <c r="R269" s="12" t="s">
        <v>60</v>
      </c>
      <c r="S269" s="10" t="n">
        <v>4210232</v>
      </c>
      <c r="T269" s="12" t="s">
        <v>431</v>
      </c>
      <c r="U269" s="13" t="n">
        <v>425</v>
      </c>
      <c r="W269" s="13" t="n">
        <v>0</v>
      </c>
      <c r="X269" s="12" t="s">
        <v>460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433</v>
      </c>
      <c r="F270" s="10" t="n">
        <v>46</v>
      </c>
      <c r="G270" s="12" t="s">
        <v>428</v>
      </c>
      <c r="H270" s="10" t="n">
        <v>2110405</v>
      </c>
      <c r="I270" s="12" t="s">
        <v>83</v>
      </c>
      <c r="J270" s="10" t="n">
        <v>1085815</v>
      </c>
      <c r="L270" s="10" t="n">
        <v>455433</v>
      </c>
      <c r="M270" s="12" t="s">
        <v>34</v>
      </c>
      <c r="N270" s="12" t="s">
        <v>42</v>
      </c>
      <c r="P270" s="10" t="n">
        <v>101</v>
      </c>
      <c r="Q270" s="12" t="s">
        <v>84</v>
      </c>
      <c r="R270" s="12" t="s">
        <v>60</v>
      </c>
      <c r="S270" s="10" t="n">
        <v>4210226</v>
      </c>
      <c r="T270" s="12" t="s">
        <v>438</v>
      </c>
      <c r="U270" s="13" t="n">
        <v>269.47</v>
      </c>
      <c r="W270" s="13" t="n">
        <v>0</v>
      </c>
      <c r="X270" s="12" t="s">
        <v>461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195</v>
      </c>
      <c r="F271" s="10" t="n">
        <v>24</v>
      </c>
      <c r="G271" s="12" t="s">
        <v>32</v>
      </c>
      <c r="H271" s="10" t="n">
        <v>2110101</v>
      </c>
      <c r="I271" s="12" t="s">
        <v>33</v>
      </c>
      <c r="J271" s="10" t="n">
        <v>1098503</v>
      </c>
      <c r="L271" s="10" t="n">
        <v>834106</v>
      </c>
      <c r="M271" s="12" t="s">
        <v>128</v>
      </c>
      <c r="N271" s="12" t="s">
        <v>35</v>
      </c>
      <c r="P271" s="10" t="n">
        <v>103</v>
      </c>
      <c r="Q271" s="12" t="s">
        <v>36</v>
      </c>
      <c r="R271" s="12" t="s">
        <v>37</v>
      </c>
      <c r="S271" s="10" t="n">
        <v>1130101</v>
      </c>
      <c r="T271" s="12" t="s">
        <v>38</v>
      </c>
      <c r="U271" s="13" t="n">
        <v>1298.56</v>
      </c>
      <c r="W271" s="13" t="n">
        <v>0</v>
      </c>
      <c r="X271" s="12" t="s">
        <v>462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68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1102480</v>
      </c>
      <c r="L272" s="10" t="n">
        <v>3186741</v>
      </c>
      <c r="M272" s="12" t="s">
        <v>41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1305.12</v>
      </c>
      <c r="W272" s="13" t="n">
        <v>0</v>
      </c>
      <c r="X272" s="12" t="s">
        <v>463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68</v>
      </c>
      <c r="F273" s="10" t="n">
        <v>24</v>
      </c>
      <c r="G273" s="12" t="s">
        <v>32</v>
      </c>
      <c r="H273" s="10" t="n">
        <v>2110101</v>
      </c>
      <c r="I273" s="12" t="s">
        <v>33</v>
      </c>
      <c r="J273" s="10" t="n">
        <v>1102661</v>
      </c>
      <c r="L273" s="10" t="n">
        <v>461754</v>
      </c>
      <c r="M273" s="12" t="s">
        <v>34</v>
      </c>
      <c r="N273" s="12" t="s">
        <v>42</v>
      </c>
      <c r="P273" s="10" t="n">
        <v>103</v>
      </c>
      <c r="Q273" s="12" t="s">
        <v>36</v>
      </c>
      <c r="R273" s="12" t="s">
        <v>37</v>
      </c>
      <c r="S273" s="10" t="n">
        <v>1130101</v>
      </c>
      <c r="T273" s="12" t="s">
        <v>38</v>
      </c>
      <c r="U273" s="13" t="n">
        <v>2460</v>
      </c>
      <c r="W273" s="13" t="n">
        <v>0</v>
      </c>
      <c r="X273" s="12" t="s">
        <v>464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465</v>
      </c>
      <c r="F274" s="10" t="n">
        <v>46</v>
      </c>
      <c r="G274" s="12" t="s">
        <v>428</v>
      </c>
      <c r="H274" s="10" t="n">
        <v>2110405</v>
      </c>
      <c r="I274" s="12" t="s">
        <v>83</v>
      </c>
      <c r="J274" s="10" t="n">
        <v>1106974</v>
      </c>
      <c r="L274" s="10" t="n">
        <v>463274</v>
      </c>
      <c r="M274" s="12" t="s">
        <v>41</v>
      </c>
      <c r="N274" s="12" t="s">
        <v>42</v>
      </c>
      <c r="P274" s="10" t="n">
        <v>101</v>
      </c>
      <c r="Q274" s="12" t="s">
        <v>84</v>
      </c>
      <c r="R274" s="12" t="s">
        <v>60</v>
      </c>
      <c r="S274" s="10" t="n">
        <v>4210227</v>
      </c>
      <c r="T274" s="12" t="s">
        <v>418</v>
      </c>
      <c r="U274" s="13" t="n">
        <v>61.6</v>
      </c>
      <c r="W274" s="13" t="n">
        <v>0</v>
      </c>
      <c r="X274" s="12" t="s">
        <v>466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204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1131679</v>
      </c>
      <c r="L275" s="10" t="n">
        <v>1952294</v>
      </c>
      <c r="M275" s="12" t="s">
        <v>34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2899.4</v>
      </c>
      <c r="W275" s="13" t="n">
        <v>0</v>
      </c>
      <c r="X275" s="12" t="s">
        <v>467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206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1136494</v>
      </c>
      <c r="L276" s="10" t="n">
        <v>474613</v>
      </c>
      <c r="M276" s="12" t="s">
        <v>128</v>
      </c>
      <c r="N276" s="12" t="s">
        <v>42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678.54</v>
      </c>
      <c r="W276" s="13" t="n">
        <v>0</v>
      </c>
      <c r="X276" s="12" t="s">
        <v>468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469</v>
      </c>
      <c r="F277" s="10" t="n">
        <v>46</v>
      </c>
      <c r="G277" s="12" t="s">
        <v>428</v>
      </c>
      <c r="H277" s="10" t="n">
        <v>2110405</v>
      </c>
      <c r="I277" s="12" t="s">
        <v>83</v>
      </c>
      <c r="J277" s="10" t="n">
        <v>1137541</v>
      </c>
      <c r="L277" s="10" t="n">
        <v>474855</v>
      </c>
      <c r="M277" s="12" t="s">
        <v>41</v>
      </c>
      <c r="N277" s="12" t="s">
        <v>42</v>
      </c>
      <c r="P277" s="10" t="n">
        <v>101</v>
      </c>
      <c r="Q277" s="12" t="s">
        <v>84</v>
      </c>
      <c r="R277" s="12" t="s">
        <v>60</v>
      </c>
      <c r="S277" s="10" t="n">
        <v>4210227</v>
      </c>
      <c r="T277" s="12" t="s">
        <v>418</v>
      </c>
      <c r="U277" s="13" t="n">
        <v>9</v>
      </c>
      <c r="W277" s="13" t="n">
        <v>0</v>
      </c>
      <c r="X277" s="12" t="s">
        <v>470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208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1137762</v>
      </c>
      <c r="L278" s="10" t="n">
        <v>1588698</v>
      </c>
      <c r="M278" s="12" t="s">
        <v>128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1670.17</v>
      </c>
      <c r="W278" s="13" t="n">
        <v>0</v>
      </c>
      <c r="X278" s="12" t="s">
        <v>471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472</v>
      </c>
      <c r="F279" s="10" t="n">
        <v>46</v>
      </c>
      <c r="G279" s="12" t="s">
        <v>428</v>
      </c>
      <c r="H279" s="10" t="n">
        <v>2110405</v>
      </c>
      <c r="I279" s="12" t="s">
        <v>83</v>
      </c>
      <c r="J279" s="10" t="n">
        <v>1137794</v>
      </c>
      <c r="L279" s="10" t="n">
        <v>474914</v>
      </c>
      <c r="M279" s="12" t="s">
        <v>41</v>
      </c>
      <c r="N279" s="12" t="s">
        <v>42</v>
      </c>
      <c r="P279" s="10" t="n">
        <v>101</v>
      </c>
      <c r="Q279" s="12" t="s">
        <v>84</v>
      </c>
      <c r="R279" s="12" t="s">
        <v>60</v>
      </c>
      <c r="S279" s="10" t="n">
        <v>4210208</v>
      </c>
      <c r="T279" s="12" t="s">
        <v>473</v>
      </c>
      <c r="U279" s="13" t="n">
        <v>272</v>
      </c>
      <c r="W279" s="13" t="n">
        <v>0</v>
      </c>
      <c r="X279" s="12" t="s">
        <v>474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472</v>
      </c>
      <c r="F280" s="10" t="n">
        <v>46</v>
      </c>
      <c r="G280" s="12" t="s">
        <v>428</v>
      </c>
      <c r="H280" s="10" t="n">
        <v>2110405</v>
      </c>
      <c r="I280" s="12" t="s">
        <v>83</v>
      </c>
      <c r="J280" s="10" t="n">
        <v>1137821</v>
      </c>
      <c r="L280" s="10" t="n">
        <v>474926</v>
      </c>
      <c r="M280" s="12" t="s">
        <v>41</v>
      </c>
      <c r="N280" s="12" t="s">
        <v>42</v>
      </c>
      <c r="P280" s="10" t="n">
        <v>101</v>
      </c>
      <c r="Q280" s="12" t="s">
        <v>84</v>
      </c>
      <c r="R280" s="12" t="s">
        <v>60</v>
      </c>
      <c r="S280" s="10" t="n">
        <v>4210208</v>
      </c>
      <c r="T280" s="12" t="s">
        <v>473</v>
      </c>
      <c r="U280" s="13" t="n">
        <v>35</v>
      </c>
      <c r="W280" s="13" t="n">
        <v>0</v>
      </c>
      <c r="X280" s="12" t="s">
        <v>475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57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1168251</v>
      </c>
      <c r="L281" s="10" t="n">
        <v>27274</v>
      </c>
      <c r="M281" s="12" t="s">
        <v>34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105.47</v>
      </c>
      <c r="W281" s="13" t="n">
        <v>0</v>
      </c>
      <c r="X281" s="12" t="s">
        <v>476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266</v>
      </c>
      <c r="F282" s="10" t="n">
        <v>24</v>
      </c>
      <c r="G282" s="12" t="s">
        <v>32</v>
      </c>
      <c r="H282" s="10" t="n">
        <v>2110405</v>
      </c>
      <c r="I282" s="12" t="s">
        <v>83</v>
      </c>
      <c r="J282" s="10" t="n">
        <v>1176228</v>
      </c>
      <c r="L282" s="10" t="n">
        <v>490011</v>
      </c>
      <c r="M282" s="12" t="s">
        <v>41</v>
      </c>
      <c r="N282" s="12" t="s">
        <v>42</v>
      </c>
      <c r="P282" s="10" t="n">
        <v>101</v>
      </c>
      <c r="Q282" s="12" t="s">
        <v>84</v>
      </c>
      <c r="R282" s="12" t="s">
        <v>60</v>
      </c>
      <c r="S282" s="10" t="n">
        <v>4210207</v>
      </c>
      <c r="T282" s="12" t="s">
        <v>267</v>
      </c>
      <c r="U282" s="13" t="n">
        <v>273.13</v>
      </c>
      <c r="W282" s="13" t="n">
        <v>0</v>
      </c>
      <c r="X282" s="12" t="s">
        <v>477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478</v>
      </c>
      <c r="F283" s="10" t="n">
        <v>24</v>
      </c>
      <c r="G283" s="12" t="s">
        <v>32</v>
      </c>
      <c r="H283" s="10" t="n">
        <v>2110101</v>
      </c>
      <c r="I283" s="12" t="s">
        <v>33</v>
      </c>
      <c r="J283" s="10" t="n">
        <v>1176242</v>
      </c>
      <c r="L283" s="10" t="n">
        <v>438</v>
      </c>
      <c r="M283" s="12" t="s">
        <v>41</v>
      </c>
      <c r="N283" s="12" t="s">
        <v>35</v>
      </c>
      <c r="P283" s="10" t="n">
        <v>103</v>
      </c>
      <c r="Q283" s="12" t="s">
        <v>36</v>
      </c>
      <c r="R283" s="12" t="s">
        <v>37</v>
      </c>
      <c r="S283" s="10" t="n">
        <v>1130101</v>
      </c>
      <c r="T283" s="12" t="s">
        <v>38</v>
      </c>
      <c r="U283" s="13" t="n">
        <v>345</v>
      </c>
      <c r="W283" s="13" t="n">
        <v>0</v>
      </c>
      <c r="X283" s="12" t="s">
        <v>479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371</v>
      </c>
      <c r="F284" s="10" t="n">
        <v>24</v>
      </c>
      <c r="G284" s="12" t="s">
        <v>32</v>
      </c>
      <c r="H284" s="10" t="n">
        <v>2110101</v>
      </c>
      <c r="I284" s="12" t="s">
        <v>33</v>
      </c>
      <c r="J284" s="10" t="n">
        <v>1176382</v>
      </c>
      <c r="L284" s="10" t="n">
        <v>302701</v>
      </c>
      <c r="M284" s="12" t="s">
        <v>41</v>
      </c>
      <c r="N284" s="12" t="s">
        <v>35</v>
      </c>
      <c r="P284" s="10" t="n">
        <v>103</v>
      </c>
      <c r="Q284" s="12" t="s">
        <v>36</v>
      </c>
      <c r="R284" s="12" t="s">
        <v>37</v>
      </c>
      <c r="S284" s="10" t="n">
        <v>1130101</v>
      </c>
      <c r="T284" s="12" t="s">
        <v>38</v>
      </c>
      <c r="U284" s="13" t="n">
        <v>890</v>
      </c>
      <c r="W284" s="13" t="n">
        <v>0</v>
      </c>
      <c r="X284" s="12" t="s">
        <v>480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208</v>
      </c>
      <c r="F285" s="10" t="n">
        <v>24</v>
      </c>
      <c r="G285" s="12" t="s">
        <v>32</v>
      </c>
      <c r="H285" s="10" t="n">
        <v>2110101</v>
      </c>
      <c r="I285" s="12" t="s">
        <v>33</v>
      </c>
      <c r="J285" s="10" t="n">
        <v>1176490</v>
      </c>
      <c r="L285" s="10" t="n">
        <v>1591358</v>
      </c>
      <c r="M285" s="12" t="s">
        <v>41</v>
      </c>
      <c r="N285" s="12" t="s">
        <v>35</v>
      </c>
      <c r="P285" s="10" t="n">
        <v>103</v>
      </c>
      <c r="Q285" s="12" t="s">
        <v>36</v>
      </c>
      <c r="R285" s="12" t="s">
        <v>37</v>
      </c>
      <c r="S285" s="10" t="n">
        <v>1130101</v>
      </c>
      <c r="T285" s="12" t="s">
        <v>38</v>
      </c>
      <c r="U285" s="13" t="n">
        <v>3011.77</v>
      </c>
      <c r="W285" s="13" t="n">
        <v>0</v>
      </c>
      <c r="X285" s="12" t="s">
        <v>481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482</v>
      </c>
      <c r="F286" s="10" t="n">
        <v>46</v>
      </c>
      <c r="G286" s="12" t="s">
        <v>428</v>
      </c>
      <c r="H286" s="10" t="n">
        <v>2110102</v>
      </c>
      <c r="I286" s="12" t="s">
        <v>59</v>
      </c>
      <c r="J286" s="10" t="n">
        <v>1187952</v>
      </c>
      <c r="L286" s="10" t="n">
        <v>106513</v>
      </c>
      <c r="M286" s="12" t="s">
        <v>41</v>
      </c>
      <c r="N286" s="12" t="s">
        <v>35</v>
      </c>
      <c r="P286" s="10" t="n">
        <v>103</v>
      </c>
      <c r="Q286" s="12" t="s">
        <v>36</v>
      </c>
      <c r="R286" s="12" t="s">
        <v>60</v>
      </c>
      <c r="S286" s="10" t="n">
        <v>4210204</v>
      </c>
      <c r="T286" s="12" t="s">
        <v>61</v>
      </c>
      <c r="U286" s="13" t="n">
        <v>218.36</v>
      </c>
      <c r="W286" s="13" t="n">
        <v>0</v>
      </c>
      <c r="X286" s="12" t="s">
        <v>483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70</v>
      </c>
      <c r="F287" s="10" t="n">
        <v>24</v>
      </c>
      <c r="G287" s="12" t="s">
        <v>32</v>
      </c>
      <c r="H287" s="10" t="n">
        <v>2110101</v>
      </c>
      <c r="I287" s="12" t="s">
        <v>33</v>
      </c>
      <c r="J287" s="10" t="n">
        <v>1198147</v>
      </c>
      <c r="L287" s="10" t="n">
        <v>5077</v>
      </c>
      <c r="M287" s="12" t="s">
        <v>41</v>
      </c>
      <c r="N287" s="12" t="s">
        <v>35</v>
      </c>
      <c r="P287" s="10" t="n">
        <v>103</v>
      </c>
      <c r="Q287" s="12" t="s">
        <v>36</v>
      </c>
      <c r="R287" s="12" t="s">
        <v>37</v>
      </c>
      <c r="S287" s="10" t="n">
        <v>1130101</v>
      </c>
      <c r="T287" s="12" t="s">
        <v>38</v>
      </c>
      <c r="U287" s="13" t="n">
        <v>290</v>
      </c>
      <c r="W287" s="13" t="n">
        <v>0</v>
      </c>
      <c r="X287" s="12" t="s">
        <v>484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70</v>
      </c>
      <c r="F288" s="10" t="n">
        <v>34</v>
      </c>
      <c r="G288" s="12" t="s">
        <v>71</v>
      </c>
      <c r="H288" s="10" t="n">
        <v>2110101</v>
      </c>
      <c r="I288" s="12" t="s">
        <v>33</v>
      </c>
      <c r="J288" s="10" t="n">
        <v>1207551</v>
      </c>
      <c r="L288" s="10" t="n">
        <v>5080</v>
      </c>
      <c r="M288" s="12" t="s">
        <v>41</v>
      </c>
      <c r="N288" s="12" t="s">
        <v>35</v>
      </c>
      <c r="P288" s="10" t="n">
        <v>103</v>
      </c>
      <c r="Q288" s="12" t="s">
        <v>36</v>
      </c>
      <c r="R288" s="12" t="s">
        <v>37</v>
      </c>
      <c r="S288" s="10" t="n">
        <v>1130101</v>
      </c>
      <c r="T288" s="12" t="s">
        <v>38</v>
      </c>
      <c r="U288" s="13" t="n">
        <v>1100</v>
      </c>
      <c r="W288" s="13" t="n">
        <v>0</v>
      </c>
      <c r="X288" s="12" t="s">
        <v>485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157</v>
      </c>
      <c r="F289" s="10" t="n">
        <v>24</v>
      </c>
      <c r="G289" s="12" t="s">
        <v>32</v>
      </c>
      <c r="H289" s="10" t="n">
        <v>2110101</v>
      </c>
      <c r="I289" s="12" t="s">
        <v>33</v>
      </c>
      <c r="J289" s="10" t="n">
        <v>1207832</v>
      </c>
      <c r="L289" s="10" t="n">
        <v>30865</v>
      </c>
      <c r="M289" s="12" t="s">
        <v>41</v>
      </c>
      <c r="N289" s="12" t="s">
        <v>35</v>
      </c>
      <c r="P289" s="10" t="n">
        <v>103</v>
      </c>
      <c r="Q289" s="12" t="s">
        <v>36</v>
      </c>
      <c r="R289" s="12" t="s">
        <v>37</v>
      </c>
      <c r="S289" s="10" t="n">
        <v>1130101</v>
      </c>
      <c r="T289" s="12" t="s">
        <v>38</v>
      </c>
      <c r="U289" s="13" t="n">
        <v>3547.5</v>
      </c>
      <c r="W289" s="13" t="n">
        <v>0</v>
      </c>
      <c r="X289" s="12" t="s">
        <v>486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278</v>
      </c>
      <c r="F290" s="10" t="n">
        <v>24</v>
      </c>
      <c r="G290" s="12" t="s">
        <v>32</v>
      </c>
      <c r="H290" s="10" t="n">
        <v>2110101</v>
      </c>
      <c r="I290" s="12" t="s">
        <v>33</v>
      </c>
      <c r="J290" s="10" t="n">
        <v>1210916</v>
      </c>
      <c r="L290" s="10" t="n">
        <v>30796</v>
      </c>
      <c r="M290" s="12" t="s">
        <v>41</v>
      </c>
      <c r="N290" s="12" t="s">
        <v>35</v>
      </c>
      <c r="P290" s="10" t="n">
        <v>103</v>
      </c>
      <c r="Q290" s="12" t="s">
        <v>36</v>
      </c>
      <c r="R290" s="12" t="s">
        <v>37</v>
      </c>
      <c r="S290" s="10" t="n">
        <v>1130101</v>
      </c>
      <c r="T290" s="12" t="s">
        <v>38</v>
      </c>
      <c r="U290" s="13" t="n">
        <v>233.5</v>
      </c>
      <c r="W290" s="13" t="n">
        <v>0</v>
      </c>
      <c r="X290" s="12" t="s">
        <v>487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70</v>
      </c>
      <c r="F291" s="10" t="n">
        <v>34</v>
      </c>
      <c r="G291" s="12" t="s">
        <v>71</v>
      </c>
      <c r="H291" s="10" t="n">
        <v>2110101</v>
      </c>
      <c r="I291" s="12" t="s">
        <v>33</v>
      </c>
      <c r="J291" s="10" t="n">
        <v>1227584</v>
      </c>
      <c r="L291" s="10" t="n">
        <v>5110</v>
      </c>
      <c r="M291" s="12" t="s">
        <v>41</v>
      </c>
      <c r="N291" s="12" t="s">
        <v>35</v>
      </c>
      <c r="P291" s="10" t="n">
        <v>104</v>
      </c>
      <c r="Q291" s="12" t="s">
        <v>99</v>
      </c>
      <c r="R291" s="12" t="s">
        <v>37</v>
      </c>
      <c r="S291" s="10" t="n">
        <v>1130101</v>
      </c>
      <c r="T291" s="12" t="s">
        <v>38</v>
      </c>
      <c r="U291" s="13" t="n">
        <v>2130</v>
      </c>
      <c r="W291" s="13" t="n">
        <v>0</v>
      </c>
      <c r="X291" s="12" t="s">
        <v>220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221</v>
      </c>
      <c r="F292" s="10" t="n">
        <v>34</v>
      </c>
      <c r="G292" s="12" t="s">
        <v>71</v>
      </c>
      <c r="H292" s="10" t="n">
        <v>2110101</v>
      </c>
      <c r="I292" s="12" t="s">
        <v>33</v>
      </c>
      <c r="J292" s="10" t="n">
        <v>1227699</v>
      </c>
      <c r="L292" s="10" t="n">
        <v>14649</v>
      </c>
      <c r="M292" s="12" t="s">
        <v>41</v>
      </c>
      <c r="N292" s="12" t="s">
        <v>35</v>
      </c>
      <c r="P292" s="10" t="n">
        <v>104</v>
      </c>
      <c r="Q292" s="12" t="s">
        <v>99</v>
      </c>
      <c r="R292" s="12" t="s">
        <v>37</v>
      </c>
      <c r="S292" s="10" t="n">
        <v>1130101</v>
      </c>
      <c r="T292" s="12" t="s">
        <v>38</v>
      </c>
      <c r="U292" s="13" t="n">
        <v>760</v>
      </c>
      <c r="W292" s="13" t="n">
        <v>0</v>
      </c>
      <c r="X292" s="12" t="s">
        <v>488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441</v>
      </c>
      <c r="F293" s="10" t="n">
        <v>46</v>
      </c>
      <c r="G293" s="12" t="s">
        <v>428</v>
      </c>
      <c r="H293" s="10" t="n">
        <v>2110405</v>
      </c>
      <c r="I293" s="12" t="s">
        <v>83</v>
      </c>
      <c r="J293" s="10" t="n">
        <v>1230688</v>
      </c>
      <c r="L293" s="10" t="n">
        <v>5484</v>
      </c>
      <c r="M293" s="12" t="s">
        <v>41</v>
      </c>
      <c r="N293" s="12" t="s">
        <v>42</v>
      </c>
      <c r="P293" s="10" t="n">
        <v>101</v>
      </c>
      <c r="Q293" s="12" t="s">
        <v>84</v>
      </c>
      <c r="R293" s="12" t="s">
        <v>60</v>
      </c>
      <c r="S293" s="10" t="n">
        <v>4210205</v>
      </c>
      <c r="T293" s="12" t="s">
        <v>442</v>
      </c>
      <c r="U293" s="13" t="n">
        <v>120.13</v>
      </c>
      <c r="W293" s="13" t="n">
        <v>0</v>
      </c>
      <c r="X293" s="12" t="s">
        <v>489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490</v>
      </c>
      <c r="F294" s="10" t="n">
        <v>46</v>
      </c>
      <c r="G294" s="12" t="s">
        <v>428</v>
      </c>
      <c r="H294" s="10" t="n">
        <v>2110405</v>
      </c>
      <c r="I294" s="12" t="s">
        <v>83</v>
      </c>
      <c r="J294" s="10" t="n">
        <v>1230775</v>
      </c>
      <c r="L294" s="10" t="n">
        <v>511484</v>
      </c>
      <c r="M294" s="12" t="s">
        <v>41</v>
      </c>
      <c r="N294" s="12" t="s">
        <v>42</v>
      </c>
      <c r="P294" s="10" t="n">
        <v>101</v>
      </c>
      <c r="Q294" s="12" t="s">
        <v>84</v>
      </c>
      <c r="R294" s="12" t="s">
        <v>60</v>
      </c>
      <c r="S294" s="10" t="n">
        <v>4210209</v>
      </c>
      <c r="T294" s="12" t="s">
        <v>491</v>
      </c>
      <c r="U294" s="13" t="n">
        <v>90.17</v>
      </c>
      <c r="W294" s="13" t="n">
        <v>0</v>
      </c>
      <c r="X294" s="12" t="s">
        <v>492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493</v>
      </c>
      <c r="F295" s="10" t="n">
        <v>46</v>
      </c>
      <c r="G295" s="12" t="s">
        <v>428</v>
      </c>
      <c r="H295" s="10" t="n">
        <v>2110405</v>
      </c>
      <c r="I295" s="12" t="s">
        <v>83</v>
      </c>
      <c r="J295" s="10" t="n">
        <v>1230780</v>
      </c>
      <c r="L295" s="10" t="n">
        <v>511489</v>
      </c>
      <c r="M295" s="12" t="s">
        <v>41</v>
      </c>
      <c r="N295" s="12" t="s">
        <v>42</v>
      </c>
      <c r="P295" s="10" t="n">
        <v>101</v>
      </c>
      <c r="Q295" s="12" t="s">
        <v>84</v>
      </c>
      <c r="R295" s="12" t="s">
        <v>60</v>
      </c>
      <c r="S295" s="10" t="n">
        <v>4210208</v>
      </c>
      <c r="T295" s="12" t="s">
        <v>473</v>
      </c>
      <c r="U295" s="13" t="n">
        <v>209.63</v>
      </c>
      <c r="W295" s="13" t="n">
        <v>0</v>
      </c>
      <c r="X295" s="12" t="s">
        <v>494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490</v>
      </c>
      <c r="F296" s="10" t="n">
        <v>46</v>
      </c>
      <c r="G296" s="12" t="s">
        <v>428</v>
      </c>
      <c r="H296" s="10" t="n">
        <v>2110405</v>
      </c>
      <c r="I296" s="12" t="s">
        <v>83</v>
      </c>
      <c r="J296" s="10" t="n">
        <v>1230786</v>
      </c>
      <c r="L296" s="10" t="n">
        <v>511491</v>
      </c>
      <c r="M296" s="12" t="s">
        <v>41</v>
      </c>
      <c r="N296" s="12" t="s">
        <v>42</v>
      </c>
      <c r="P296" s="10" t="n">
        <v>101</v>
      </c>
      <c r="Q296" s="12" t="s">
        <v>84</v>
      </c>
      <c r="R296" s="12" t="s">
        <v>60</v>
      </c>
      <c r="S296" s="10" t="n">
        <v>4210209</v>
      </c>
      <c r="T296" s="12" t="s">
        <v>491</v>
      </c>
      <c r="U296" s="13" t="n">
        <v>79.21</v>
      </c>
      <c r="W296" s="13" t="n">
        <v>0</v>
      </c>
      <c r="X296" s="12" t="s">
        <v>492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490</v>
      </c>
      <c r="F297" s="10" t="n">
        <v>46</v>
      </c>
      <c r="G297" s="12" t="s">
        <v>428</v>
      </c>
      <c r="H297" s="10" t="n">
        <v>2110405</v>
      </c>
      <c r="I297" s="12" t="s">
        <v>83</v>
      </c>
      <c r="J297" s="10" t="n">
        <v>1230787</v>
      </c>
      <c r="L297" s="10" t="n">
        <v>511492</v>
      </c>
      <c r="M297" s="12" t="s">
        <v>41</v>
      </c>
      <c r="N297" s="12" t="s">
        <v>42</v>
      </c>
      <c r="P297" s="10" t="n">
        <v>101</v>
      </c>
      <c r="Q297" s="12" t="s">
        <v>84</v>
      </c>
      <c r="R297" s="12" t="s">
        <v>60</v>
      </c>
      <c r="S297" s="10" t="n">
        <v>4210209</v>
      </c>
      <c r="T297" s="12" t="s">
        <v>491</v>
      </c>
      <c r="U297" s="13" t="n">
        <v>65.92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495</v>
      </c>
      <c r="F298" s="10" t="n">
        <v>46</v>
      </c>
      <c r="G298" s="12" t="s">
        <v>428</v>
      </c>
      <c r="H298" s="10" t="n">
        <v>2110405</v>
      </c>
      <c r="I298" s="12" t="s">
        <v>83</v>
      </c>
      <c r="J298" s="10" t="n">
        <v>1230794</v>
      </c>
      <c r="L298" s="10" t="n">
        <v>511493</v>
      </c>
      <c r="M298" s="12" t="s">
        <v>41</v>
      </c>
      <c r="N298" s="12" t="s">
        <v>42</v>
      </c>
      <c r="P298" s="10" t="n">
        <v>101</v>
      </c>
      <c r="Q298" s="12" t="s">
        <v>84</v>
      </c>
      <c r="R298" s="12" t="s">
        <v>60</v>
      </c>
      <c r="S298" s="10" t="n">
        <v>4210227</v>
      </c>
      <c r="T298" s="12" t="s">
        <v>418</v>
      </c>
      <c r="U298" s="13" t="n">
        <v>9</v>
      </c>
      <c r="W298" s="13" t="n">
        <v>0</v>
      </c>
      <c r="X298" s="12" t="s">
        <v>496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70</v>
      </c>
      <c r="F299" s="10" t="n">
        <v>13</v>
      </c>
      <c r="G299" s="12" t="s">
        <v>98</v>
      </c>
      <c r="H299" s="10" t="n">
        <v>2110101</v>
      </c>
      <c r="I299" s="12" t="s">
        <v>33</v>
      </c>
      <c r="J299" s="10" t="n">
        <v>1232087</v>
      </c>
      <c r="L299" s="10" t="n">
        <v>5112</v>
      </c>
      <c r="M299" s="12" t="s">
        <v>41</v>
      </c>
      <c r="N299" s="12" t="s">
        <v>35</v>
      </c>
      <c r="P299" s="10" t="n">
        <v>104</v>
      </c>
      <c r="Q299" s="12" t="s">
        <v>99</v>
      </c>
      <c r="R299" s="12" t="s">
        <v>37</v>
      </c>
      <c r="S299" s="10" t="n">
        <v>1130101</v>
      </c>
      <c r="T299" s="12" t="s">
        <v>38</v>
      </c>
      <c r="U299" s="13" t="n">
        <v>279</v>
      </c>
      <c r="W299" s="13" t="n">
        <v>279</v>
      </c>
      <c r="X299" s="12" t="s">
        <v>497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106</v>
      </c>
      <c r="F300" s="10" t="n">
        <v>34</v>
      </c>
      <c r="G300" s="12" t="s">
        <v>71</v>
      </c>
      <c r="H300" s="10" t="n">
        <v>2110405</v>
      </c>
      <c r="I300" s="12" t="s">
        <v>83</v>
      </c>
      <c r="J300" s="10" t="n">
        <v>1233023</v>
      </c>
      <c r="L300" s="10" t="n">
        <v>512253</v>
      </c>
      <c r="M300" s="12" t="s">
        <v>41</v>
      </c>
      <c r="N300" s="12" t="s">
        <v>42</v>
      </c>
      <c r="P300" s="10" t="n">
        <v>101</v>
      </c>
      <c r="Q300" s="12" t="s">
        <v>84</v>
      </c>
      <c r="R300" s="12" t="s">
        <v>498</v>
      </c>
      <c r="S300" s="10" t="n">
        <v>22103</v>
      </c>
      <c r="T300" s="12" t="s">
        <v>498</v>
      </c>
      <c r="U300" s="13" t="n">
        <v>13500</v>
      </c>
      <c r="W300" s="13" t="n">
        <v>0</v>
      </c>
      <c r="X300" s="12" t="s">
        <v>499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500</v>
      </c>
      <c r="F301" s="10" t="n">
        <v>34</v>
      </c>
      <c r="G301" s="12" t="s">
        <v>71</v>
      </c>
      <c r="H301" s="10" t="n">
        <v>2110405</v>
      </c>
      <c r="I301" s="12" t="s">
        <v>83</v>
      </c>
      <c r="J301" s="10" t="n">
        <v>1309535</v>
      </c>
      <c r="L301" s="10" t="n">
        <v>541980</v>
      </c>
      <c r="M301" s="12" t="s">
        <v>394</v>
      </c>
      <c r="N301" s="12" t="s">
        <v>42</v>
      </c>
      <c r="P301" s="10" t="n">
        <v>101</v>
      </c>
      <c r="Q301" s="12" t="s">
        <v>84</v>
      </c>
      <c r="R301" s="12" t="s">
        <v>60</v>
      </c>
      <c r="S301" s="10" t="n">
        <v>4210206</v>
      </c>
      <c r="T301" s="12" t="s">
        <v>232</v>
      </c>
      <c r="U301" s="13" t="n">
        <v>209.99</v>
      </c>
      <c r="W301" s="13" t="n">
        <v>0</v>
      </c>
      <c r="X301" s="12" t="s">
        <v>501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502</v>
      </c>
      <c r="F302" s="10" t="n">
        <v>24</v>
      </c>
      <c r="G302" s="12" t="s">
        <v>32</v>
      </c>
      <c r="H302" s="10" t="n">
        <v>2110405</v>
      </c>
      <c r="I302" s="12" t="s">
        <v>83</v>
      </c>
      <c r="J302" s="10" t="n">
        <v>310123</v>
      </c>
      <c r="L302" s="10" t="n">
        <v>1212</v>
      </c>
      <c r="M302" s="12" t="s">
        <v>34</v>
      </c>
      <c r="N302" s="12" t="s">
        <v>42</v>
      </c>
      <c r="P302" s="10" t="n">
        <v>102</v>
      </c>
      <c r="Q302" s="12" t="s">
        <v>107</v>
      </c>
      <c r="R302" s="12" t="s">
        <v>85</v>
      </c>
      <c r="S302" s="10" t="n">
        <v>4210315</v>
      </c>
      <c r="T302" s="12" t="s">
        <v>503</v>
      </c>
      <c r="U302" s="13" t="n">
        <v>199.8</v>
      </c>
      <c r="W302" s="13" t="n">
        <v>0</v>
      </c>
      <c r="X302" s="12" t="s">
        <v>504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90</v>
      </c>
      <c r="F303" s="10" t="n">
        <v>34</v>
      </c>
      <c r="G303" s="12" t="s">
        <v>71</v>
      </c>
      <c r="H303" s="10" t="n">
        <v>2110405</v>
      </c>
      <c r="I303" s="12" t="s">
        <v>83</v>
      </c>
      <c r="J303" s="10" t="n">
        <v>784488</v>
      </c>
      <c r="L303" s="10" t="n">
        <v>338625</v>
      </c>
      <c r="M303" s="12" t="s">
        <v>34</v>
      </c>
      <c r="N303" s="12" t="s">
        <v>42</v>
      </c>
      <c r="P303" s="10" t="n">
        <v>101</v>
      </c>
      <c r="Q303" s="12" t="s">
        <v>84</v>
      </c>
      <c r="R303" s="12" t="s">
        <v>91</v>
      </c>
      <c r="S303" s="10" t="n">
        <v>4220199</v>
      </c>
      <c r="T303" s="12" t="s">
        <v>92</v>
      </c>
      <c r="U303" s="13" t="n">
        <v>8000</v>
      </c>
      <c r="W303" s="13" t="n">
        <v>0</v>
      </c>
      <c r="X303" s="12" t="s">
        <v>505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44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1060991</v>
      </c>
      <c r="L304" s="10" t="n">
        <v>1872669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611.75</v>
      </c>
      <c r="W304" s="13" t="n">
        <v>0</v>
      </c>
      <c r="X304" s="12" t="s">
        <v>506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44</v>
      </c>
      <c r="F305" s="10" t="n">
        <v>24</v>
      </c>
      <c r="G305" s="12" t="s">
        <v>32</v>
      </c>
      <c r="H305" s="10" t="n">
        <v>2110101</v>
      </c>
      <c r="I305" s="12" t="s">
        <v>33</v>
      </c>
      <c r="J305" s="10" t="n">
        <v>1061289</v>
      </c>
      <c r="L305" s="10" t="n">
        <v>1872668</v>
      </c>
      <c r="M305" s="12" t="s">
        <v>41</v>
      </c>
      <c r="N305" s="12" t="s">
        <v>35</v>
      </c>
      <c r="P305" s="10" t="n">
        <v>103</v>
      </c>
      <c r="Q305" s="12" t="s">
        <v>36</v>
      </c>
      <c r="R305" s="12" t="s">
        <v>37</v>
      </c>
      <c r="S305" s="10" t="n">
        <v>1130101</v>
      </c>
      <c r="T305" s="12" t="s">
        <v>38</v>
      </c>
      <c r="U305" s="13" t="n">
        <v>1271.1</v>
      </c>
      <c r="W305" s="13" t="n">
        <v>0</v>
      </c>
      <c r="X305" s="12" t="s">
        <v>507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244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1107368</v>
      </c>
      <c r="L306" s="10" t="n">
        <v>653787</v>
      </c>
      <c r="M306" s="12" t="s">
        <v>34</v>
      </c>
      <c r="N306" s="12" t="s">
        <v>35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2249.86</v>
      </c>
      <c r="W306" s="13" t="n">
        <v>0</v>
      </c>
      <c r="X306" s="12" t="s">
        <v>508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246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1122700</v>
      </c>
      <c r="L307" s="10" t="n">
        <v>341630</v>
      </c>
      <c r="M307" s="12" t="s">
        <v>128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2468.1</v>
      </c>
      <c r="W307" s="13" t="n">
        <v>0</v>
      </c>
      <c r="X307" s="12" t="s">
        <v>509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1132582</v>
      </c>
      <c r="L308" s="10" t="n">
        <v>66698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1145.26</v>
      </c>
      <c r="W308" s="13" t="n">
        <v>0</v>
      </c>
      <c r="X308" s="12" t="s">
        <v>511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258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1137427</v>
      </c>
      <c r="L309" s="10" t="n">
        <v>1228856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999.03</v>
      </c>
      <c r="W309" s="13" t="n">
        <v>0</v>
      </c>
      <c r="X309" s="12" t="s">
        <v>512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106</v>
      </c>
      <c r="F310" s="10" t="n">
        <v>34</v>
      </c>
      <c r="G310" s="12" t="s">
        <v>71</v>
      </c>
      <c r="H310" s="10" t="n">
        <v>2110405</v>
      </c>
      <c r="I310" s="12" t="s">
        <v>83</v>
      </c>
      <c r="J310" s="10" t="n">
        <v>1137849</v>
      </c>
      <c r="L310" s="10" t="n">
        <v>474941</v>
      </c>
      <c r="M310" s="12" t="s">
        <v>41</v>
      </c>
      <c r="N310" s="12" t="s">
        <v>42</v>
      </c>
      <c r="P310" s="10" t="n">
        <v>101</v>
      </c>
      <c r="Q310" s="12" t="s">
        <v>84</v>
      </c>
      <c r="R310" s="12" t="s">
        <v>165</v>
      </c>
      <c r="S310" s="10" t="n">
        <v>2110901</v>
      </c>
      <c r="T310" s="12" t="s">
        <v>166</v>
      </c>
      <c r="U310" s="13" t="n">
        <v>15770.14</v>
      </c>
      <c r="W310" s="13" t="n">
        <v>0</v>
      </c>
      <c r="X310" s="12" t="s">
        <v>513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514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1150946</v>
      </c>
      <c r="L311" s="10" t="n">
        <v>24963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828</v>
      </c>
      <c r="W311" s="13" t="n">
        <v>0</v>
      </c>
      <c r="X311" s="12" t="s">
        <v>515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1156884</v>
      </c>
      <c r="L312" s="10" t="n">
        <v>573</v>
      </c>
      <c r="M312" s="12" t="s">
        <v>128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503.26</v>
      </c>
      <c r="W312" s="13" t="n">
        <v>0</v>
      </c>
      <c r="X312" s="12" t="s">
        <v>516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517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1157756</v>
      </c>
      <c r="L313" s="10" t="n">
        <v>642821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1890.86</v>
      </c>
      <c r="W313" s="13" t="n">
        <v>0</v>
      </c>
      <c r="X313" s="12" t="s">
        <v>518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519</v>
      </c>
      <c r="F314" s="10" t="n">
        <v>24</v>
      </c>
      <c r="G314" s="12" t="s">
        <v>32</v>
      </c>
      <c r="H314" s="10" t="n">
        <v>2110405</v>
      </c>
      <c r="I314" s="12" t="s">
        <v>83</v>
      </c>
      <c r="J314" s="10" t="n">
        <v>1166326</v>
      </c>
      <c r="L314" s="10" t="n">
        <v>486339</v>
      </c>
      <c r="M314" s="12" t="s">
        <v>41</v>
      </c>
      <c r="N314" s="12" t="s">
        <v>42</v>
      </c>
      <c r="P314" s="10" t="n">
        <v>101</v>
      </c>
      <c r="Q314" s="12" t="s">
        <v>84</v>
      </c>
      <c r="R314" s="12" t="s">
        <v>85</v>
      </c>
      <c r="S314" s="10" t="n">
        <v>4210311</v>
      </c>
      <c r="T314" s="12" t="s">
        <v>301</v>
      </c>
      <c r="U314" s="13" t="n">
        <v>126.03</v>
      </c>
      <c r="W314" s="13" t="n">
        <v>0</v>
      </c>
      <c r="X314" s="12" t="s">
        <v>520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206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1171433</v>
      </c>
      <c r="L315" s="10" t="n">
        <v>488192</v>
      </c>
      <c r="M315" s="12" t="s">
        <v>34</v>
      </c>
      <c r="N315" s="12" t="s">
        <v>42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4056.85</v>
      </c>
      <c r="W315" s="13" t="n">
        <v>0</v>
      </c>
      <c r="X315" s="12" t="s">
        <v>521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148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1176788</v>
      </c>
      <c r="L316" s="10" t="n">
        <v>1850202</v>
      </c>
      <c r="M316" s="12" t="s">
        <v>41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260.61</v>
      </c>
      <c r="W316" s="13" t="n">
        <v>0</v>
      </c>
      <c r="X316" s="12" t="s">
        <v>522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148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1176805</v>
      </c>
      <c r="L317" s="10" t="n">
        <v>1850205</v>
      </c>
      <c r="M317" s="12" t="s">
        <v>41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3191.93</v>
      </c>
      <c r="W317" s="13" t="n">
        <v>0</v>
      </c>
      <c r="X317" s="12" t="s">
        <v>523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148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1176839</v>
      </c>
      <c r="L318" s="10" t="n">
        <v>1137626</v>
      </c>
      <c r="M318" s="12" t="s">
        <v>41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1885.18</v>
      </c>
      <c r="W318" s="13" t="n">
        <v>0</v>
      </c>
      <c r="X318" s="12" t="s">
        <v>524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264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1191245</v>
      </c>
      <c r="L319" s="10" t="n">
        <v>170852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2569.25</v>
      </c>
      <c r="W319" s="13" t="n">
        <v>0</v>
      </c>
      <c r="X319" s="12" t="s">
        <v>525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74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1210926</v>
      </c>
      <c r="L320" s="10" t="n">
        <v>653</v>
      </c>
      <c r="M320" s="12" t="s">
        <v>41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684.35</v>
      </c>
      <c r="W320" s="13" t="n">
        <v>0</v>
      </c>
      <c r="X320" s="12" t="s">
        <v>526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74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1223438</v>
      </c>
      <c r="L321" s="10" t="n">
        <v>657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840</v>
      </c>
      <c r="W321" s="13" t="n">
        <v>0</v>
      </c>
      <c r="X321" s="12" t="s">
        <v>527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161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1226930</v>
      </c>
      <c r="L322" s="10" t="n">
        <v>492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828</v>
      </c>
      <c r="W322" s="13" t="n">
        <v>0</v>
      </c>
      <c r="X322" s="12" t="s">
        <v>528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1107211</v>
      </c>
      <c r="L323" s="10" t="n">
        <v>1655460</v>
      </c>
      <c r="M323" s="12" t="s">
        <v>34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1761.42</v>
      </c>
      <c r="W323" s="13" t="n">
        <v>0</v>
      </c>
      <c r="X323" s="12" t="s">
        <v>529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193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1122094</v>
      </c>
      <c r="L324" s="10" t="n">
        <v>2284331</v>
      </c>
      <c r="M324" s="12" t="s">
        <v>128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1137.4</v>
      </c>
      <c r="W324" s="13" t="n">
        <v>0</v>
      </c>
      <c r="X324" s="12" t="s">
        <v>530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258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1137452</v>
      </c>
      <c r="L325" s="10" t="n">
        <v>1226733</v>
      </c>
      <c r="M325" s="12" t="s">
        <v>34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2987.73</v>
      </c>
      <c r="W325" s="13" t="n">
        <v>0</v>
      </c>
      <c r="X325" s="12" t="s">
        <v>531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306</v>
      </c>
      <c r="F326" s="10" t="n">
        <v>24</v>
      </c>
      <c r="G326" s="12" t="s">
        <v>32</v>
      </c>
      <c r="H326" s="10" t="n">
        <v>2110101</v>
      </c>
      <c r="I326" s="12" t="s">
        <v>33</v>
      </c>
      <c r="J326" s="10" t="n">
        <v>1137545</v>
      </c>
      <c r="L326" s="10" t="n">
        <v>100830</v>
      </c>
      <c r="M326" s="12" t="s">
        <v>34</v>
      </c>
      <c r="N326" s="12" t="s">
        <v>35</v>
      </c>
      <c r="P326" s="10" t="n">
        <v>103</v>
      </c>
      <c r="Q326" s="12" t="s">
        <v>36</v>
      </c>
      <c r="R326" s="12" t="s">
        <v>37</v>
      </c>
      <c r="S326" s="10" t="n">
        <v>1130101</v>
      </c>
      <c r="T326" s="12" t="s">
        <v>38</v>
      </c>
      <c r="U326" s="13" t="n">
        <v>1358.58</v>
      </c>
      <c r="W326" s="13" t="n">
        <v>0</v>
      </c>
      <c r="X326" s="12" t="s">
        <v>532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31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1138081</v>
      </c>
      <c r="L327" s="10" t="n">
        <v>475008</v>
      </c>
      <c r="M327" s="12" t="s">
        <v>128</v>
      </c>
      <c r="N327" s="12" t="s">
        <v>42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5074.94</v>
      </c>
      <c r="W327" s="13" t="n">
        <v>0</v>
      </c>
      <c r="X327" s="12" t="s">
        <v>533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293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1138279</v>
      </c>
      <c r="L328" s="10" t="n">
        <v>2707</v>
      </c>
      <c r="M328" s="12" t="s">
        <v>34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1267</v>
      </c>
      <c r="W328" s="13" t="n">
        <v>0</v>
      </c>
      <c r="X328" s="12" t="s">
        <v>534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535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1162093</v>
      </c>
      <c r="L329" s="10" t="n">
        <v>155121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1118.58</v>
      </c>
      <c r="W329" s="13" t="n">
        <v>0</v>
      </c>
      <c r="X329" s="12" t="s">
        <v>536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371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1167683</v>
      </c>
      <c r="L330" s="10" t="n">
        <v>302508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769.83</v>
      </c>
      <c r="W330" s="13" t="n">
        <v>0</v>
      </c>
      <c r="X330" s="12" t="s">
        <v>537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31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1170738</v>
      </c>
      <c r="L331" s="10" t="n">
        <v>561905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3874.39</v>
      </c>
      <c r="W331" s="13" t="n">
        <v>0</v>
      </c>
      <c r="X331" s="12" t="s">
        <v>538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144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1176324</v>
      </c>
      <c r="L332" s="10" t="n">
        <v>37014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5516.12</v>
      </c>
      <c r="W332" s="13" t="n">
        <v>0</v>
      </c>
      <c r="X332" s="12" t="s">
        <v>539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540</v>
      </c>
      <c r="F333" s="10" t="n">
        <v>24</v>
      </c>
      <c r="G333" s="12" t="s">
        <v>32</v>
      </c>
      <c r="H333" s="10" t="n">
        <v>2110101</v>
      </c>
      <c r="I333" s="12" t="s">
        <v>33</v>
      </c>
      <c r="J333" s="10" t="n">
        <v>1177340</v>
      </c>
      <c r="L333" s="10" t="n">
        <v>2068</v>
      </c>
      <c r="M333" s="12" t="s">
        <v>41</v>
      </c>
      <c r="N333" s="12" t="s">
        <v>35</v>
      </c>
      <c r="P333" s="10" t="n">
        <v>103</v>
      </c>
      <c r="Q333" s="12" t="s">
        <v>36</v>
      </c>
      <c r="R333" s="12" t="s">
        <v>37</v>
      </c>
      <c r="S333" s="10" t="n">
        <v>1130101</v>
      </c>
      <c r="T333" s="12" t="s">
        <v>38</v>
      </c>
      <c r="U333" s="13" t="n">
        <v>1609.45</v>
      </c>
      <c r="W333" s="13" t="n">
        <v>0</v>
      </c>
      <c r="X333" s="12" t="s">
        <v>541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264</v>
      </c>
      <c r="F334" s="10" t="n">
        <v>24</v>
      </c>
      <c r="G334" s="12" t="s">
        <v>32</v>
      </c>
      <c r="H334" s="10" t="n">
        <v>2110101</v>
      </c>
      <c r="I334" s="12" t="s">
        <v>33</v>
      </c>
      <c r="J334" s="10" t="n">
        <v>1193353</v>
      </c>
      <c r="L334" s="10" t="n">
        <v>170905</v>
      </c>
      <c r="M334" s="12" t="s">
        <v>41</v>
      </c>
      <c r="N334" s="12" t="s">
        <v>35</v>
      </c>
      <c r="P334" s="10" t="n">
        <v>103</v>
      </c>
      <c r="Q334" s="12" t="s">
        <v>36</v>
      </c>
      <c r="R334" s="12" t="s">
        <v>37</v>
      </c>
      <c r="S334" s="10" t="n">
        <v>1130101</v>
      </c>
      <c r="T334" s="12" t="s">
        <v>38</v>
      </c>
      <c r="U334" s="13" t="n">
        <v>4425.75</v>
      </c>
      <c r="W334" s="13" t="n">
        <v>0</v>
      </c>
      <c r="X334" s="12" t="s">
        <v>542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543</v>
      </c>
      <c r="F335" s="10" t="n">
        <v>24</v>
      </c>
      <c r="G335" s="12" t="s">
        <v>32</v>
      </c>
      <c r="H335" s="10" t="n">
        <v>2110405</v>
      </c>
      <c r="I335" s="12" t="s">
        <v>83</v>
      </c>
      <c r="J335" s="10" t="n">
        <v>1206876</v>
      </c>
      <c r="L335" s="10" t="n">
        <v>502094</v>
      </c>
      <c r="M335" s="12" t="s">
        <v>41</v>
      </c>
      <c r="N335" s="12" t="s">
        <v>42</v>
      </c>
      <c r="P335" s="10" t="n">
        <v>101</v>
      </c>
      <c r="Q335" s="12" t="s">
        <v>84</v>
      </c>
      <c r="R335" s="12" t="s">
        <v>290</v>
      </c>
      <c r="S335" s="10" t="n">
        <v>4210112</v>
      </c>
      <c r="T335" s="12" t="s">
        <v>544</v>
      </c>
      <c r="U335" s="13" t="n">
        <v>21041.22</v>
      </c>
      <c r="W335" s="13" t="n">
        <v>0</v>
      </c>
      <c r="X335" s="12" t="s">
        <v>545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64</v>
      </c>
      <c r="F336" s="10" t="n">
        <v>24</v>
      </c>
      <c r="G336" s="12" t="s">
        <v>32</v>
      </c>
      <c r="H336" s="10" t="n">
        <v>2110101</v>
      </c>
      <c r="I336" s="12" t="s">
        <v>33</v>
      </c>
      <c r="J336" s="10" t="n">
        <v>1210942</v>
      </c>
      <c r="L336" s="10" t="n">
        <v>5619</v>
      </c>
      <c r="M336" s="12" t="s">
        <v>41</v>
      </c>
      <c r="N336" s="12" t="s">
        <v>35</v>
      </c>
      <c r="P336" s="10" t="n">
        <v>103</v>
      </c>
      <c r="Q336" s="12" t="s">
        <v>36</v>
      </c>
      <c r="R336" s="12" t="s">
        <v>37</v>
      </c>
      <c r="S336" s="10" t="n">
        <v>1130101</v>
      </c>
      <c r="T336" s="12" t="s">
        <v>38</v>
      </c>
      <c r="U336" s="13" t="n">
        <v>430.3</v>
      </c>
      <c r="W336" s="13" t="n">
        <v>0</v>
      </c>
      <c r="X336" s="12" t="s">
        <v>546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155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1210990</v>
      </c>
      <c r="L337" s="10" t="n">
        <v>3319</v>
      </c>
      <c r="M337" s="12" t="s">
        <v>41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410</v>
      </c>
      <c r="W337" s="13" t="n">
        <v>0</v>
      </c>
      <c r="X337" s="12" t="s">
        <v>547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319</v>
      </c>
      <c r="F338" s="10" t="n">
        <v>24</v>
      </c>
      <c r="G338" s="12" t="s">
        <v>32</v>
      </c>
      <c r="H338" s="10" t="n">
        <v>2110101</v>
      </c>
      <c r="I338" s="12" t="s">
        <v>33</v>
      </c>
      <c r="J338" s="10" t="n">
        <v>1211212</v>
      </c>
      <c r="L338" s="10" t="n">
        <v>10024</v>
      </c>
      <c r="M338" s="12" t="s">
        <v>41</v>
      </c>
      <c r="N338" s="12" t="s">
        <v>35</v>
      </c>
      <c r="P338" s="10" t="n">
        <v>103</v>
      </c>
      <c r="Q338" s="12" t="s">
        <v>36</v>
      </c>
      <c r="R338" s="12" t="s">
        <v>37</v>
      </c>
      <c r="S338" s="10" t="n">
        <v>1130101</v>
      </c>
      <c r="T338" s="12" t="s">
        <v>38</v>
      </c>
      <c r="U338" s="13" t="n">
        <v>1296</v>
      </c>
      <c r="W338" s="13" t="n">
        <v>0</v>
      </c>
      <c r="X338" s="12" t="s">
        <v>548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311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1222718</v>
      </c>
      <c r="L339" s="10" t="n">
        <v>841669</v>
      </c>
      <c r="M339" s="12" t="s">
        <v>41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2181.83</v>
      </c>
      <c r="W339" s="13" t="n">
        <v>0</v>
      </c>
      <c r="X339" s="12" t="s">
        <v>549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323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1226935</v>
      </c>
      <c r="L340" s="10" t="n">
        <v>3669</v>
      </c>
      <c r="M340" s="12" t="s">
        <v>41</v>
      </c>
      <c r="N340" s="12" t="s">
        <v>35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276.6</v>
      </c>
      <c r="W340" s="13" t="n">
        <v>0</v>
      </c>
      <c r="X340" s="12" t="s">
        <v>550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551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1228300</v>
      </c>
      <c r="L341" s="10" t="n">
        <v>385264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1777.43</v>
      </c>
      <c r="W341" s="13" t="n">
        <v>0</v>
      </c>
      <c r="X341" s="12" t="s">
        <v>552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553</v>
      </c>
      <c r="F342" s="10" t="n">
        <v>34</v>
      </c>
      <c r="G342" s="12" t="s">
        <v>71</v>
      </c>
      <c r="H342" s="10" t="n">
        <v>2110405</v>
      </c>
      <c r="I342" s="12" t="s">
        <v>83</v>
      </c>
      <c r="J342" s="10" t="n">
        <v>1240146</v>
      </c>
      <c r="L342" s="10" t="n">
        <v>515078</v>
      </c>
      <c r="M342" s="12" t="s">
        <v>41</v>
      </c>
      <c r="N342" s="12" t="s">
        <v>42</v>
      </c>
      <c r="P342" s="10" t="n">
        <v>102</v>
      </c>
      <c r="Q342" s="12" t="s">
        <v>107</v>
      </c>
      <c r="R342" s="12" t="s">
        <v>60</v>
      </c>
      <c r="S342" s="10" t="n">
        <v>4210202</v>
      </c>
      <c r="T342" s="12" t="s">
        <v>554</v>
      </c>
      <c r="U342" s="13" t="n">
        <v>2431.5</v>
      </c>
      <c r="W342" s="13" t="n">
        <v>0</v>
      </c>
      <c r="X342" s="12" t="s">
        <v>555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70</v>
      </c>
      <c r="F343" s="10" t="n">
        <v>34</v>
      </c>
      <c r="G343" s="12" t="s">
        <v>71</v>
      </c>
      <c r="H343" s="10" t="n">
        <v>2110101</v>
      </c>
      <c r="I343" s="12" t="s">
        <v>33</v>
      </c>
      <c r="J343" s="10" t="n">
        <v>1241422</v>
      </c>
      <c r="L343" s="10" t="n">
        <v>5114</v>
      </c>
      <c r="M343" s="12" t="s">
        <v>41</v>
      </c>
      <c r="N343" s="12" t="s">
        <v>35</v>
      </c>
      <c r="P343" s="10" t="n">
        <v>104</v>
      </c>
      <c r="Q343" s="12" t="s">
        <v>99</v>
      </c>
      <c r="R343" s="12" t="s">
        <v>37</v>
      </c>
      <c r="S343" s="10" t="n">
        <v>1130101</v>
      </c>
      <c r="T343" s="12" t="s">
        <v>38</v>
      </c>
      <c r="U343" s="13" t="n">
        <v>2966</v>
      </c>
      <c r="W343" s="13" t="n">
        <v>0</v>
      </c>
      <c r="X343" s="12" t="s">
        <v>172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102</v>
      </c>
      <c r="F344" s="10" t="n">
        <v>13</v>
      </c>
      <c r="G344" s="12" t="s">
        <v>98</v>
      </c>
      <c r="H344" s="10" t="n">
        <v>2110101</v>
      </c>
      <c r="I344" s="12" t="s">
        <v>33</v>
      </c>
      <c r="J344" s="10" t="n">
        <v>1260938</v>
      </c>
      <c r="L344" s="10" t="n">
        <v>5974</v>
      </c>
      <c r="M344" s="12" t="s">
        <v>41</v>
      </c>
      <c r="N344" s="12" t="s">
        <v>35</v>
      </c>
      <c r="P344" s="10" t="n">
        <v>104</v>
      </c>
      <c r="Q344" s="12" t="s">
        <v>99</v>
      </c>
      <c r="R344" s="12" t="s">
        <v>37</v>
      </c>
      <c r="S344" s="10" t="n">
        <v>1130101</v>
      </c>
      <c r="T344" s="12" t="s">
        <v>38</v>
      </c>
      <c r="U344" s="13" t="n">
        <v>420</v>
      </c>
      <c r="W344" s="13" t="n">
        <v>0</v>
      </c>
      <c r="X344" s="12" t="s">
        <v>556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336</v>
      </c>
      <c r="F345" s="10" t="n">
        <v>13</v>
      </c>
      <c r="G345" s="12" t="s">
        <v>98</v>
      </c>
      <c r="H345" s="10" t="n">
        <v>2110101</v>
      </c>
      <c r="I345" s="12" t="s">
        <v>33</v>
      </c>
      <c r="J345" s="10" t="n">
        <v>1261004</v>
      </c>
      <c r="L345" s="10" t="n">
        <v>307</v>
      </c>
      <c r="M345" s="12" t="s">
        <v>41</v>
      </c>
      <c r="N345" s="12" t="s">
        <v>35</v>
      </c>
      <c r="P345" s="10" t="n">
        <v>104</v>
      </c>
      <c r="Q345" s="12" t="s">
        <v>99</v>
      </c>
      <c r="R345" s="12" t="s">
        <v>37</v>
      </c>
      <c r="S345" s="10" t="n">
        <v>1130101</v>
      </c>
      <c r="T345" s="12" t="s">
        <v>38</v>
      </c>
      <c r="U345" s="13" t="n">
        <v>381</v>
      </c>
      <c r="W345" s="13" t="n">
        <v>0</v>
      </c>
      <c r="X345" s="12" t="s">
        <v>557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182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848141</v>
      </c>
      <c r="L346" s="10" t="n">
        <v>9409</v>
      </c>
      <c r="M346" s="12" t="s">
        <v>558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2195.35</v>
      </c>
      <c r="W346" s="13" t="n">
        <v>0</v>
      </c>
      <c r="X346" s="12" t="s">
        <v>559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560</v>
      </c>
      <c r="F347" s="10" t="n">
        <v>42</v>
      </c>
      <c r="G347" s="12" t="s">
        <v>561</v>
      </c>
      <c r="H347" s="10" t="n">
        <v>2110405</v>
      </c>
      <c r="I347" s="12" t="s">
        <v>83</v>
      </c>
      <c r="J347" s="10" t="n">
        <v>848843</v>
      </c>
      <c r="L347" s="10" t="n">
        <v>363960</v>
      </c>
      <c r="M347" s="12" t="s">
        <v>128</v>
      </c>
      <c r="N347" s="12" t="s">
        <v>42</v>
      </c>
      <c r="P347" s="10" t="n">
        <v>101</v>
      </c>
      <c r="Q347" s="12" t="s">
        <v>84</v>
      </c>
      <c r="R347" s="12" t="s">
        <v>91</v>
      </c>
      <c r="S347" s="10" t="n">
        <v>4220199</v>
      </c>
      <c r="T347" s="12" t="s">
        <v>92</v>
      </c>
      <c r="U347" s="13" t="n">
        <v>333.33</v>
      </c>
      <c r="W347" s="13" t="n">
        <v>0</v>
      </c>
      <c r="X347" s="12" t="s">
        <v>562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189</v>
      </c>
      <c r="F348" s="10" t="n">
        <v>24</v>
      </c>
      <c r="G348" s="12" t="s">
        <v>32</v>
      </c>
      <c r="H348" s="10" t="n">
        <v>2110101</v>
      </c>
      <c r="I348" s="12" t="s">
        <v>33</v>
      </c>
      <c r="J348" s="10" t="n">
        <v>1088997</v>
      </c>
      <c r="L348" s="10" t="n">
        <v>33622</v>
      </c>
      <c r="M348" s="12" t="s">
        <v>34</v>
      </c>
      <c r="N348" s="12" t="s">
        <v>35</v>
      </c>
      <c r="P348" s="10" t="n">
        <v>103</v>
      </c>
      <c r="Q348" s="12" t="s">
        <v>36</v>
      </c>
      <c r="R348" s="12" t="s">
        <v>37</v>
      </c>
      <c r="S348" s="10" t="n">
        <v>1130101</v>
      </c>
      <c r="T348" s="12" t="s">
        <v>38</v>
      </c>
      <c r="U348" s="13" t="n">
        <v>1326</v>
      </c>
      <c r="W348" s="13" t="n">
        <v>0</v>
      </c>
      <c r="X348" s="12" t="s">
        <v>563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340</v>
      </c>
      <c r="F349" s="10" t="n">
        <v>24</v>
      </c>
      <c r="G349" s="12" t="s">
        <v>32</v>
      </c>
      <c r="H349" s="10" t="n">
        <v>2110101</v>
      </c>
      <c r="I349" s="12" t="s">
        <v>33</v>
      </c>
      <c r="J349" s="10" t="n">
        <v>1101724</v>
      </c>
      <c r="L349" s="10" t="n">
        <v>461526</v>
      </c>
      <c r="M349" s="12" t="s">
        <v>128</v>
      </c>
      <c r="N349" s="12" t="s">
        <v>42</v>
      </c>
      <c r="P349" s="10" t="n">
        <v>103</v>
      </c>
      <c r="Q349" s="12" t="s">
        <v>36</v>
      </c>
      <c r="R349" s="12" t="s">
        <v>37</v>
      </c>
      <c r="S349" s="10" t="n">
        <v>1130101</v>
      </c>
      <c r="T349" s="12" t="s">
        <v>38</v>
      </c>
      <c r="U349" s="13" t="n">
        <v>1703.51</v>
      </c>
      <c r="W349" s="13" t="n">
        <v>0</v>
      </c>
      <c r="X349" s="12" t="s">
        <v>564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54</v>
      </c>
      <c r="F350" s="10" t="n">
        <v>24</v>
      </c>
      <c r="G350" s="12" t="s">
        <v>32</v>
      </c>
      <c r="H350" s="10" t="n">
        <v>2110101</v>
      </c>
      <c r="I350" s="12" t="s">
        <v>33</v>
      </c>
      <c r="J350" s="10" t="n">
        <v>1168612</v>
      </c>
      <c r="L350" s="10" t="n">
        <v>875267</v>
      </c>
      <c r="M350" s="12" t="s">
        <v>41</v>
      </c>
      <c r="N350" s="12" t="s">
        <v>35</v>
      </c>
      <c r="P350" s="10" t="n">
        <v>103</v>
      </c>
      <c r="Q350" s="12" t="s">
        <v>36</v>
      </c>
      <c r="R350" s="12" t="s">
        <v>37</v>
      </c>
      <c r="S350" s="10" t="n">
        <v>1130101</v>
      </c>
      <c r="T350" s="12" t="s">
        <v>38</v>
      </c>
      <c r="U350" s="13" t="n">
        <v>769.96</v>
      </c>
      <c r="W350" s="13" t="n">
        <v>0</v>
      </c>
      <c r="X350" s="12" t="s">
        <v>565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148</v>
      </c>
      <c r="F351" s="10" t="n">
        <v>24</v>
      </c>
      <c r="G351" s="12" t="s">
        <v>32</v>
      </c>
      <c r="H351" s="10" t="n">
        <v>2110101</v>
      </c>
      <c r="I351" s="12" t="s">
        <v>33</v>
      </c>
      <c r="J351" s="10" t="n">
        <v>1176865</v>
      </c>
      <c r="L351" s="10" t="n">
        <v>1857025</v>
      </c>
      <c r="M351" s="12" t="s">
        <v>41</v>
      </c>
      <c r="N351" s="12" t="s">
        <v>35</v>
      </c>
      <c r="P351" s="10" t="n">
        <v>103</v>
      </c>
      <c r="Q351" s="12" t="s">
        <v>36</v>
      </c>
      <c r="R351" s="12" t="s">
        <v>37</v>
      </c>
      <c r="S351" s="10" t="n">
        <v>1130101</v>
      </c>
      <c r="T351" s="12" t="s">
        <v>38</v>
      </c>
      <c r="U351" s="13" t="n">
        <v>813.83</v>
      </c>
      <c r="W351" s="13" t="n">
        <v>0</v>
      </c>
      <c r="X351" s="12" t="s">
        <v>566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1197903</v>
      </c>
      <c r="L352" s="10" t="n">
        <v>170970</v>
      </c>
      <c r="M352" s="12" t="s">
        <v>41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2028.6</v>
      </c>
      <c r="W352" s="13" t="n">
        <v>0</v>
      </c>
      <c r="X352" s="12" t="s">
        <v>567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568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1222097</v>
      </c>
      <c r="L353" s="10" t="n">
        <v>18532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807.41</v>
      </c>
      <c r="W353" s="13" t="n">
        <v>0</v>
      </c>
      <c r="X353" s="12" t="s">
        <v>569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388</v>
      </c>
      <c r="F354" s="10" t="n">
        <v>34</v>
      </c>
      <c r="G354" s="12" t="s">
        <v>71</v>
      </c>
      <c r="H354" s="10" t="n">
        <v>2110101</v>
      </c>
      <c r="I354" s="12" t="s">
        <v>33</v>
      </c>
      <c r="J354" s="10" t="n">
        <v>1223157</v>
      </c>
      <c r="L354" s="10" t="n">
        <v>400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550.34</v>
      </c>
      <c r="W354" s="13" t="n">
        <v>0</v>
      </c>
      <c r="X354" s="12" t="s">
        <v>570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157</v>
      </c>
      <c r="F355" s="10" t="n">
        <v>24</v>
      </c>
      <c r="G355" s="12" t="s">
        <v>32</v>
      </c>
      <c r="H355" s="10" t="n">
        <v>2110101</v>
      </c>
      <c r="I355" s="12" t="s">
        <v>33</v>
      </c>
      <c r="J355" s="10" t="n">
        <v>1227145</v>
      </c>
      <c r="L355" s="10" t="n">
        <v>30943</v>
      </c>
      <c r="M355" s="12" t="s">
        <v>41</v>
      </c>
      <c r="N355" s="12" t="s">
        <v>35</v>
      </c>
      <c r="P355" s="10" t="n">
        <v>103</v>
      </c>
      <c r="Q355" s="12" t="s">
        <v>36</v>
      </c>
      <c r="R355" s="12" t="s">
        <v>37</v>
      </c>
      <c r="S355" s="10" t="n">
        <v>1130101</v>
      </c>
      <c r="T355" s="12" t="s">
        <v>38</v>
      </c>
      <c r="U355" s="13" t="n">
        <v>4032.5</v>
      </c>
      <c r="W355" s="13" t="n">
        <v>0</v>
      </c>
      <c r="X355" s="12" t="s">
        <v>571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70</v>
      </c>
      <c r="F356" s="10" t="n">
        <v>34</v>
      </c>
      <c r="G356" s="12" t="s">
        <v>71</v>
      </c>
      <c r="H356" s="10" t="n">
        <v>2110101</v>
      </c>
      <c r="I356" s="12" t="s">
        <v>33</v>
      </c>
      <c r="J356" s="10" t="n">
        <v>1241243</v>
      </c>
      <c r="L356" s="10" t="n">
        <v>5113</v>
      </c>
      <c r="M356" s="12" t="s">
        <v>41</v>
      </c>
      <c r="N356" s="12" t="s">
        <v>35</v>
      </c>
      <c r="P356" s="10" t="n">
        <v>104</v>
      </c>
      <c r="Q356" s="12" t="s">
        <v>99</v>
      </c>
      <c r="R356" s="12" t="s">
        <v>37</v>
      </c>
      <c r="S356" s="10" t="n">
        <v>1130101</v>
      </c>
      <c r="T356" s="12" t="s">
        <v>38</v>
      </c>
      <c r="U356" s="13" t="n">
        <v>2963</v>
      </c>
      <c r="W356" s="13" t="n">
        <v>0</v>
      </c>
      <c r="X356" s="12" t="s">
        <v>220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221</v>
      </c>
      <c r="F357" s="10" t="n">
        <v>34</v>
      </c>
      <c r="G357" s="12" t="s">
        <v>71</v>
      </c>
      <c r="H357" s="10" t="n">
        <v>2110101</v>
      </c>
      <c r="I357" s="12" t="s">
        <v>33</v>
      </c>
      <c r="J357" s="10" t="n">
        <v>1241271</v>
      </c>
      <c r="L357" s="10" t="n">
        <v>14671</v>
      </c>
      <c r="M357" s="12" t="s">
        <v>41</v>
      </c>
      <c r="N357" s="12" t="s">
        <v>35</v>
      </c>
      <c r="P357" s="10" t="n">
        <v>104</v>
      </c>
      <c r="Q357" s="12" t="s">
        <v>99</v>
      </c>
      <c r="R357" s="12" t="s">
        <v>37</v>
      </c>
      <c r="S357" s="10" t="n">
        <v>1130101</v>
      </c>
      <c r="T357" s="12" t="s">
        <v>38</v>
      </c>
      <c r="U357" s="13" t="n">
        <v>840</v>
      </c>
      <c r="W357" s="13" t="n">
        <v>0</v>
      </c>
      <c r="X357" s="12" t="s">
        <v>572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70</v>
      </c>
      <c r="F358" s="10" t="n">
        <v>34</v>
      </c>
      <c r="G358" s="12" t="s">
        <v>71</v>
      </c>
      <c r="H358" s="10" t="n">
        <v>2110101</v>
      </c>
      <c r="I358" s="12" t="s">
        <v>33</v>
      </c>
      <c r="J358" s="10" t="n">
        <v>1241282</v>
      </c>
      <c r="L358" s="10" t="n">
        <v>515355</v>
      </c>
      <c r="M358" s="12" t="s">
        <v>41</v>
      </c>
      <c r="N358" s="12" t="s">
        <v>42</v>
      </c>
      <c r="P358" s="10" t="n">
        <v>104</v>
      </c>
      <c r="Q358" s="12" t="s">
        <v>99</v>
      </c>
      <c r="R358" s="12" t="s">
        <v>37</v>
      </c>
      <c r="S358" s="10" t="n">
        <v>1130101</v>
      </c>
      <c r="T358" s="12" t="s">
        <v>38</v>
      </c>
      <c r="U358" s="13" t="n">
        <v>235</v>
      </c>
      <c r="W358" s="13" t="n">
        <v>0</v>
      </c>
      <c r="X358" s="12" t="s">
        <v>573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102</v>
      </c>
      <c r="F359" s="10" t="n">
        <v>13</v>
      </c>
      <c r="G359" s="12" t="s">
        <v>98</v>
      </c>
      <c r="H359" s="10" t="n">
        <v>2110101</v>
      </c>
      <c r="I359" s="12" t="s">
        <v>33</v>
      </c>
      <c r="J359" s="10" t="n">
        <v>1260984</v>
      </c>
      <c r="L359" s="10" t="n">
        <v>5978</v>
      </c>
      <c r="M359" s="12" t="s">
        <v>41</v>
      </c>
      <c r="N359" s="12" t="s">
        <v>35</v>
      </c>
      <c r="P359" s="10" t="n">
        <v>104</v>
      </c>
      <c r="Q359" s="12" t="s">
        <v>99</v>
      </c>
      <c r="R359" s="12" t="s">
        <v>37</v>
      </c>
      <c r="S359" s="10" t="n">
        <v>1130101</v>
      </c>
      <c r="T359" s="12" t="s">
        <v>38</v>
      </c>
      <c r="U359" s="13" t="n">
        <v>360</v>
      </c>
      <c r="W359" s="13" t="n">
        <v>0</v>
      </c>
      <c r="X359" s="12" t="s">
        <v>574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97</v>
      </c>
      <c r="F360" s="10" t="n">
        <v>13</v>
      </c>
      <c r="G360" s="12" t="s">
        <v>98</v>
      </c>
      <c r="H360" s="10" t="n">
        <v>2110101</v>
      </c>
      <c r="I360" s="12" t="s">
        <v>33</v>
      </c>
      <c r="J360" s="10" t="n">
        <v>1261036</v>
      </c>
      <c r="L360" s="10" t="n">
        <v>276</v>
      </c>
      <c r="M360" s="12" t="s">
        <v>41</v>
      </c>
      <c r="N360" s="12" t="s">
        <v>35</v>
      </c>
      <c r="P360" s="10" t="n">
        <v>104</v>
      </c>
      <c r="Q360" s="12" t="s">
        <v>99</v>
      </c>
      <c r="R360" s="12" t="s">
        <v>37</v>
      </c>
      <c r="S360" s="10" t="n">
        <v>1130101</v>
      </c>
      <c r="T360" s="12" t="s">
        <v>38</v>
      </c>
      <c r="U360" s="13" t="n">
        <v>416.5</v>
      </c>
      <c r="W360" s="13" t="n">
        <v>0</v>
      </c>
      <c r="X360" s="12" t="s">
        <v>575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132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915375</v>
      </c>
      <c r="L361" s="10" t="n">
        <v>18727</v>
      </c>
      <c r="M361" s="12" t="s">
        <v>234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4049.8</v>
      </c>
      <c r="W361" s="13" t="n">
        <v>0</v>
      </c>
      <c r="X361" s="12" t="s">
        <v>576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182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1177249</v>
      </c>
      <c r="L362" s="10" t="n">
        <v>10589</v>
      </c>
      <c r="M362" s="12" t="s">
        <v>41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1060.9</v>
      </c>
      <c r="W362" s="13" t="n">
        <v>0</v>
      </c>
      <c r="X362" s="12" t="s">
        <v>577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264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1207979</v>
      </c>
      <c r="L363" s="10" t="n">
        <v>171046</v>
      </c>
      <c r="M363" s="12" t="s">
        <v>41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4428.9</v>
      </c>
      <c r="W363" s="13" t="n">
        <v>0</v>
      </c>
      <c r="X363" s="12" t="s">
        <v>578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579</v>
      </c>
      <c r="F364" s="10" t="n">
        <v>24</v>
      </c>
      <c r="G364" s="12" t="s">
        <v>32</v>
      </c>
      <c r="H364" s="10" t="n">
        <v>2110405</v>
      </c>
      <c r="I364" s="12" t="s">
        <v>83</v>
      </c>
      <c r="J364" s="10" t="n">
        <v>809298</v>
      </c>
      <c r="L364" s="10" t="n">
        <v>100914</v>
      </c>
      <c r="M364" s="12" t="s">
        <v>394</v>
      </c>
      <c r="N364" s="12" t="s">
        <v>42</v>
      </c>
      <c r="P364" s="10" t="n">
        <v>101</v>
      </c>
      <c r="Q364" s="12" t="s">
        <v>84</v>
      </c>
      <c r="R364" s="12" t="s">
        <v>580</v>
      </c>
      <c r="S364" s="10" t="n">
        <v>4210401</v>
      </c>
      <c r="T364" s="12" t="s">
        <v>581</v>
      </c>
      <c r="U364" s="13" t="n">
        <v>134.55</v>
      </c>
      <c r="W364" s="13" t="n">
        <v>0</v>
      </c>
      <c r="X364" s="12" t="s">
        <v>582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579</v>
      </c>
      <c r="F365" s="10" t="n">
        <v>24</v>
      </c>
      <c r="G365" s="12" t="s">
        <v>32</v>
      </c>
      <c r="H365" s="10" t="n">
        <v>2110405</v>
      </c>
      <c r="I365" s="12" t="s">
        <v>83</v>
      </c>
      <c r="J365" s="10" t="n">
        <v>809315</v>
      </c>
      <c r="L365" s="10" t="n">
        <v>100910</v>
      </c>
      <c r="M365" s="12" t="s">
        <v>394</v>
      </c>
      <c r="N365" s="12" t="s">
        <v>42</v>
      </c>
      <c r="P365" s="10" t="n">
        <v>101</v>
      </c>
      <c r="Q365" s="12" t="s">
        <v>84</v>
      </c>
      <c r="R365" s="12" t="s">
        <v>580</v>
      </c>
      <c r="S365" s="10" t="n">
        <v>4210401</v>
      </c>
      <c r="T365" s="12" t="s">
        <v>581</v>
      </c>
      <c r="U365" s="13" t="n">
        <v>185.89</v>
      </c>
      <c r="W365" s="13" t="n">
        <v>0</v>
      </c>
      <c r="X365" s="12" t="s">
        <v>583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94</v>
      </c>
      <c r="F366" s="10" t="n">
        <v>24</v>
      </c>
      <c r="G366" s="12" t="s">
        <v>32</v>
      </c>
      <c r="H366" s="10" t="n">
        <v>2110405</v>
      </c>
      <c r="I366" s="12" t="s">
        <v>83</v>
      </c>
      <c r="J366" s="10" t="n">
        <v>809413</v>
      </c>
      <c r="L366" s="10" t="n">
        <v>2115476</v>
      </c>
      <c r="M366" s="12" t="s">
        <v>394</v>
      </c>
      <c r="N366" s="12" t="s">
        <v>42</v>
      </c>
      <c r="P366" s="10" t="n">
        <v>101</v>
      </c>
      <c r="Q366" s="12" t="s">
        <v>84</v>
      </c>
      <c r="R366" s="12" t="s">
        <v>91</v>
      </c>
      <c r="S366" s="10" t="n">
        <v>4220199</v>
      </c>
      <c r="T366" s="12" t="s">
        <v>92</v>
      </c>
      <c r="U366" s="13" t="n">
        <v>102.14</v>
      </c>
      <c r="W366" s="13" t="n">
        <v>0</v>
      </c>
      <c r="X366" s="12" t="s">
        <v>584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54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1121828</v>
      </c>
      <c r="L367" s="10" t="n">
        <v>872189</v>
      </c>
      <c r="M367" s="12" t="s">
        <v>128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872.56</v>
      </c>
      <c r="W367" s="13" t="n">
        <v>0</v>
      </c>
      <c r="X367" s="12" t="s">
        <v>585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68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1136636</v>
      </c>
      <c r="L368" s="10" t="n">
        <v>474644</v>
      </c>
      <c r="M368" s="12" t="s">
        <v>34</v>
      </c>
      <c r="N368" s="12" t="s">
        <v>42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1181.23</v>
      </c>
      <c r="W368" s="13" t="n">
        <v>0</v>
      </c>
      <c r="X368" s="12" t="s">
        <v>586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68</v>
      </c>
      <c r="F369" s="10" t="n">
        <v>24</v>
      </c>
      <c r="G369" s="12" t="s">
        <v>32</v>
      </c>
      <c r="H369" s="10" t="n">
        <v>2110101</v>
      </c>
      <c r="I369" s="12" t="s">
        <v>33</v>
      </c>
      <c r="J369" s="10" t="n">
        <v>1161081</v>
      </c>
      <c r="L369" s="10" t="n">
        <v>484463</v>
      </c>
      <c r="M369" s="12" t="s">
        <v>128</v>
      </c>
      <c r="N369" s="12" t="s">
        <v>42</v>
      </c>
      <c r="P369" s="10" t="n">
        <v>103</v>
      </c>
      <c r="Q369" s="12" t="s">
        <v>36</v>
      </c>
      <c r="R369" s="12" t="s">
        <v>37</v>
      </c>
      <c r="S369" s="10" t="n">
        <v>1130101</v>
      </c>
      <c r="T369" s="12" t="s">
        <v>38</v>
      </c>
      <c r="U369" s="13" t="n">
        <v>2763.7</v>
      </c>
      <c r="W369" s="13" t="n">
        <v>0</v>
      </c>
      <c r="X369" s="12" t="s">
        <v>587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371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1167667</v>
      </c>
      <c r="L370" s="10" t="n">
        <v>302506</v>
      </c>
      <c r="M370" s="12" t="s">
        <v>34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332.25</v>
      </c>
      <c r="W370" s="13" t="n">
        <v>0</v>
      </c>
      <c r="X370" s="12" t="s">
        <v>588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31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1170738</v>
      </c>
      <c r="L371" s="10" t="n">
        <v>561905</v>
      </c>
      <c r="M371" s="12" t="s">
        <v>34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3874.39</v>
      </c>
      <c r="W371" s="13" t="n">
        <v>0</v>
      </c>
      <c r="X371" s="12" t="s">
        <v>589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80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1170944</v>
      </c>
      <c r="L372" s="10" t="n">
        <v>490451</v>
      </c>
      <c r="M372" s="12" t="s">
        <v>128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1518.18</v>
      </c>
      <c r="W372" s="13" t="n">
        <v>0</v>
      </c>
      <c r="X372" s="12" t="s">
        <v>590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591</v>
      </c>
      <c r="F373" s="10" t="n">
        <v>34</v>
      </c>
      <c r="G373" s="12" t="s">
        <v>71</v>
      </c>
      <c r="H373" s="10" t="n">
        <v>2110101</v>
      </c>
      <c r="I373" s="12" t="s">
        <v>33</v>
      </c>
      <c r="J373" s="10" t="n">
        <v>1186671</v>
      </c>
      <c r="L373" s="10" t="n">
        <v>1624524</v>
      </c>
      <c r="M373" s="12" t="s">
        <v>41</v>
      </c>
      <c r="N373" s="12" t="s">
        <v>35</v>
      </c>
      <c r="P373" s="10" t="n">
        <v>104</v>
      </c>
      <c r="Q373" s="12" t="s">
        <v>99</v>
      </c>
      <c r="R373" s="12" t="s">
        <v>37</v>
      </c>
      <c r="S373" s="10" t="n">
        <v>1130101</v>
      </c>
      <c r="T373" s="12" t="s">
        <v>38</v>
      </c>
      <c r="U373" s="13" t="n">
        <v>261</v>
      </c>
      <c r="W373" s="13" t="n">
        <v>0</v>
      </c>
      <c r="X373" s="12" t="s">
        <v>592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591</v>
      </c>
      <c r="F374" s="10" t="n">
        <v>34</v>
      </c>
      <c r="G374" s="12" t="s">
        <v>71</v>
      </c>
      <c r="H374" s="10" t="n">
        <v>2110101</v>
      </c>
      <c r="I374" s="12" t="s">
        <v>33</v>
      </c>
      <c r="J374" s="10" t="n">
        <v>1191272</v>
      </c>
      <c r="L374" s="10" t="n">
        <v>1625398</v>
      </c>
      <c r="M374" s="12" t="s">
        <v>41</v>
      </c>
      <c r="N374" s="12" t="s">
        <v>35</v>
      </c>
      <c r="P374" s="10" t="n">
        <v>104</v>
      </c>
      <c r="Q374" s="12" t="s">
        <v>99</v>
      </c>
      <c r="R374" s="12" t="s">
        <v>37</v>
      </c>
      <c r="S374" s="10" t="n">
        <v>1130101</v>
      </c>
      <c r="T374" s="12" t="s">
        <v>38</v>
      </c>
      <c r="U374" s="13" t="n">
        <v>180</v>
      </c>
      <c r="W374" s="13" t="n">
        <v>0</v>
      </c>
      <c r="X374" s="12" t="s">
        <v>593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264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1208222</v>
      </c>
      <c r="L375" s="10" t="n">
        <v>171072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5578.7</v>
      </c>
      <c r="W375" s="13" t="n">
        <v>0</v>
      </c>
      <c r="X375" s="12" t="s">
        <v>594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66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1221579</v>
      </c>
      <c r="L376" s="10" t="n">
        <v>11227</v>
      </c>
      <c r="M376" s="12" t="s">
        <v>34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572.4</v>
      </c>
      <c r="W376" s="13" t="n">
        <v>0</v>
      </c>
      <c r="X376" s="12" t="s">
        <v>595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321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1223402</v>
      </c>
      <c r="L377" s="10" t="n">
        <v>3352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1548.5</v>
      </c>
      <c r="W377" s="13" t="n">
        <v>0</v>
      </c>
      <c r="X377" s="12" t="s">
        <v>596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597</v>
      </c>
      <c r="F378" s="10" t="n">
        <v>24</v>
      </c>
      <c r="G378" s="12" t="s">
        <v>32</v>
      </c>
      <c r="H378" s="10" t="n">
        <v>2110405</v>
      </c>
      <c r="I378" s="12" t="s">
        <v>83</v>
      </c>
      <c r="J378" s="10" t="n">
        <v>1226735</v>
      </c>
      <c r="L378" s="10" t="n">
        <v>509866</v>
      </c>
      <c r="M378" s="12" t="s">
        <v>41</v>
      </c>
      <c r="N378" s="12" t="s">
        <v>42</v>
      </c>
      <c r="P378" s="10" t="n">
        <v>101</v>
      </c>
      <c r="Q378" s="12" t="s">
        <v>84</v>
      </c>
      <c r="R378" s="12" t="s">
        <v>85</v>
      </c>
      <c r="S378" s="10" t="n">
        <v>4210315</v>
      </c>
      <c r="T378" s="12" t="s">
        <v>503</v>
      </c>
      <c r="U378" s="13" t="n">
        <v>167.03</v>
      </c>
      <c r="W378" s="13" t="n">
        <v>0</v>
      </c>
      <c r="X378" s="12" t="s">
        <v>598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211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1227207</v>
      </c>
      <c r="L379" s="10" t="n">
        <v>14426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2371.2</v>
      </c>
      <c r="W379" s="13" t="n">
        <v>0</v>
      </c>
      <c r="X379" s="12" t="s">
        <v>599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78</v>
      </c>
      <c r="F380" s="10" t="n">
        <v>24</v>
      </c>
      <c r="G380" s="12" t="s">
        <v>32</v>
      </c>
      <c r="H380" s="10" t="n">
        <v>2110101</v>
      </c>
      <c r="I380" s="12" t="s">
        <v>33</v>
      </c>
      <c r="J380" s="10" t="n">
        <v>1228126</v>
      </c>
      <c r="L380" s="10" t="n">
        <v>14998</v>
      </c>
      <c r="M380" s="12" t="s">
        <v>41</v>
      </c>
      <c r="N380" s="12" t="s">
        <v>35</v>
      </c>
      <c r="P380" s="10" t="n">
        <v>103</v>
      </c>
      <c r="Q380" s="12" t="s">
        <v>36</v>
      </c>
      <c r="R380" s="12" t="s">
        <v>37</v>
      </c>
      <c r="S380" s="10" t="n">
        <v>1130101</v>
      </c>
      <c r="T380" s="12" t="s">
        <v>38</v>
      </c>
      <c r="U380" s="13" t="n">
        <v>563.85</v>
      </c>
      <c r="W380" s="13" t="n">
        <v>0</v>
      </c>
      <c r="X380" s="12" t="s">
        <v>600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76</v>
      </c>
      <c r="F381" s="10" t="n">
        <v>24</v>
      </c>
      <c r="G381" s="12" t="s">
        <v>32</v>
      </c>
      <c r="H381" s="10" t="n">
        <v>2110101</v>
      </c>
      <c r="I381" s="12" t="s">
        <v>33</v>
      </c>
      <c r="J381" s="10" t="n">
        <v>1228179</v>
      </c>
      <c r="L381" s="10" t="n">
        <v>222921</v>
      </c>
      <c r="M381" s="12" t="s">
        <v>41</v>
      </c>
      <c r="N381" s="12" t="s">
        <v>35</v>
      </c>
      <c r="P381" s="10" t="n">
        <v>103</v>
      </c>
      <c r="Q381" s="12" t="s">
        <v>36</v>
      </c>
      <c r="R381" s="12" t="s">
        <v>37</v>
      </c>
      <c r="S381" s="10" t="n">
        <v>1130101</v>
      </c>
      <c r="T381" s="12" t="s">
        <v>38</v>
      </c>
      <c r="U381" s="13" t="n">
        <v>922.9</v>
      </c>
      <c r="W381" s="13" t="n">
        <v>0</v>
      </c>
      <c r="X381" s="12" t="s">
        <v>601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215</v>
      </c>
      <c r="F382" s="10" t="n">
        <v>24</v>
      </c>
      <c r="G382" s="12" t="s">
        <v>32</v>
      </c>
      <c r="H382" s="10" t="n">
        <v>2110101</v>
      </c>
      <c r="I382" s="12" t="s">
        <v>33</v>
      </c>
      <c r="J382" s="10" t="n">
        <v>1228195</v>
      </c>
      <c r="L382" s="10" t="n">
        <v>40822</v>
      </c>
      <c r="M382" s="12" t="s">
        <v>41</v>
      </c>
      <c r="N382" s="12" t="s">
        <v>35</v>
      </c>
      <c r="P382" s="10" t="n">
        <v>103</v>
      </c>
      <c r="Q382" s="12" t="s">
        <v>36</v>
      </c>
      <c r="R382" s="12" t="s">
        <v>37</v>
      </c>
      <c r="S382" s="10" t="n">
        <v>1130101</v>
      </c>
      <c r="T382" s="12" t="s">
        <v>38</v>
      </c>
      <c r="U382" s="13" t="n">
        <v>1380</v>
      </c>
      <c r="W382" s="13" t="n">
        <v>0</v>
      </c>
      <c r="X382" s="12" t="s">
        <v>602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603</v>
      </c>
      <c r="F383" s="10" t="n">
        <v>24</v>
      </c>
      <c r="G383" s="12" t="s">
        <v>32</v>
      </c>
      <c r="H383" s="10" t="n">
        <v>2110101</v>
      </c>
      <c r="I383" s="12" t="s">
        <v>33</v>
      </c>
      <c r="J383" s="10" t="n">
        <v>1228251</v>
      </c>
      <c r="L383" s="10" t="n">
        <v>7726</v>
      </c>
      <c r="M383" s="12" t="s">
        <v>41</v>
      </c>
      <c r="N383" s="12" t="s">
        <v>35</v>
      </c>
      <c r="P383" s="10" t="n">
        <v>103</v>
      </c>
      <c r="Q383" s="12" t="s">
        <v>36</v>
      </c>
      <c r="R383" s="12" t="s">
        <v>37</v>
      </c>
      <c r="S383" s="10" t="n">
        <v>1130101</v>
      </c>
      <c r="T383" s="12" t="s">
        <v>38</v>
      </c>
      <c r="U383" s="13" t="n">
        <v>287.8</v>
      </c>
      <c r="W383" s="13" t="n">
        <v>0</v>
      </c>
      <c r="X383" s="12" t="s">
        <v>604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74</v>
      </c>
      <c r="F384" s="10" t="n">
        <v>24</v>
      </c>
      <c r="G384" s="12" t="s">
        <v>32</v>
      </c>
      <c r="H384" s="10" t="n">
        <v>2110101</v>
      </c>
      <c r="I384" s="12" t="s">
        <v>33</v>
      </c>
      <c r="J384" s="10" t="n">
        <v>1228359</v>
      </c>
      <c r="L384" s="10" t="n">
        <v>655</v>
      </c>
      <c r="M384" s="12" t="s">
        <v>41</v>
      </c>
      <c r="N384" s="12" t="s">
        <v>35</v>
      </c>
      <c r="P384" s="10" t="n">
        <v>103</v>
      </c>
      <c r="Q384" s="12" t="s">
        <v>36</v>
      </c>
      <c r="R384" s="12" t="s">
        <v>37</v>
      </c>
      <c r="S384" s="10" t="n">
        <v>1130101</v>
      </c>
      <c r="T384" s="12" t="s">
        <v>38</v>
      </c>
      <c r="U384" s="13" t="n">
        <v>447.1</v>
      </c>
      <c r="W384" s="13" t="n">
        <v>0</v>
      </c>
      <c r="X384" s="12" t="s">
        <v>605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323</v>
      </c>
      <c r="F385" s="10" t="n">
        <v>24</v>
      </c>
      <c r="G385" s="12" t="s">
        <v>32</v>
      </c>
      <c r="H385" s="10" t="n">
        <v>2110101</v>
      </c>
      <c r="I385" s="12" t="s">
        <v>33</v>
      </c>
      <c r="J385" s="10" t="n">
        <v>1228368</v>
      </c>
      <c r="L385" s="10" t="n">
        <v>3701</v>
      </c>
      <c r="M385" s="12" t="s">
        <v>41</v>
      </c>
      <c r="N385" s="12" t="s">
        <v>35</v>
      </c>
      <c r="P385" s="10" t="n">
        <v>103</v>
      </c>
      <c r="Q385" s="12" t="s">
        <v>36</v>
      </c>
      <c r="R385" s="12" t="s">
        <v>37</v>
      </c>
      <c r="S385" s="10" t="n">
        <v>1130101</v>
      </c>
      <c r="T385" s="12" t="s">
        <v>38</v>
      </c>
      <c r="U385" s="13" t="n">
        <v>283.6</v>
      </c>
      <c r="W385" s="13" t="n">
        <v>0</v>
      </c>
      <c r="X385" s="12" t="s">
        <v>606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74</v>
      </c>
      <c r="F386" s="10" t="n">
        <v>24</v>
      </c>
      <c r="G386" s="12" t="s">
        <v>32</v>
      </c>
      <c r="H386" s="10" t="n">
        <v>2110101</v>
      </c>
      <c r="I386" s="12" t="s">
        <v>33</v>
      </c>
      <c r="J386" s="10" t="n">
        <v>1230722</v>
      </c>
      <c r="L386" s="10" t="n">
        <v>658</v>
      </c>
      <c r="M386" s="12" t="s">
        <v>41</v>
      </c>
      <c r="N386" s="12" t="s">
        <v>35</v>
      </c>
      <c r="P386" s="10" t="n">
        <v>103</v>
      </c>
      <c r="Q386" s="12" t="s">
        <v>36</v>
      </c>
      <c r="R386" s="12" t="s">
        <v>37</v>
      </c>
      <c r="S386" s="10" t="n">
        <v>1130101</v>
      </c>
      <c r="T386" s="12" t="s">
        <v>38</v>
      </c>
      <c r="U386" s="13" t="n">
        <v>472.05</v>
      </c>
      <c r="W386" s="13" t="n">
        <v>0</v>
      </c>
      <c r="X386" s="12" t="s">
        <v>607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608</v>
      </c>
      <c r="F387" s="10" t="n">
        <v>24</v>
      </c>
      <c r="G387" s="12" t="s">
        <v>32</v>
      </c>
      <c r="H387" s="10" t="n">
        <v>2110102</v>
      </c>
      <c r="I387" s="12" t="s">
        <v>59</v>
      </c>
      <c r="J387" s="10" t="n">
        <v>1231571</v>
      </c>
      <c r="L387" s="10" t="n">
        <v>278802</v>
      </c>
      <c r="M387" s="12" t="s">
        <v>41</v>
      </c>
      <c r="N387" s="12" t="s">
        <v>35</v>
      </c>
      <c r="P387" s="10" t="n">
        <v>103</v>
      </c>
      <c r="Q387" s="12" t="s">
        <v>36</v>
      </c>
      <c r="R387" s="12" t="s">
        <v>60</v>
      </c>
      <c r="S387" s="10" t="n">
        <v>4210204</v>
      </c>
      <c r="T387" s="12" t="s">
        <v>61</v>
      </c>
      <c r="U387" s="13" t="n">
        <v>474.05</v>
      </c>
      <c r="W387" s="13" t="n">
        <v>0</v>
      </c>
      <c r="X387" s="12" t="s">
        <v>609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66</v>
      </c>
      <c r="F388" s="10" t="n">
        <v>24</v>
      </c>
      <c r="G388" s="12" t="s">
        <v>32</v>
      </c>
      <c r="H388" s="10" t="n">
        <v>2110101</v>
      </c>
      <c r="I388" s="12" t="s">
        <v>33</v>
      </c>
      <c r="J388" s="10" t="n">
        <v>1243964</v>
      </c>
      <c r="L388" s="10" t="n">
        <v>11250</v>
      </c>
      <c r="M388" s="12" t="s">
        <v>41</v>
      </c>
      <c r="N388" s="12" t="s">
        <v>35</v>
      </c>
      <c r="P388" s="10" t="n">
        <v>103</v>
      </c>
      <c r="Q388" s="12" t="s">
        <v>36</v>
      </c>
      <c r="R388" s="12" t="s">
        <v>37</v>
      </c>
      <c r="S388" s="10" t="n">
        <v>1130101</v>
      </c>
      <c r="T388" s="12" t="s">
        <v>38</v>
      </c>
      <c r="U388" s="13" t="n">
        <v>566.19</v>
      </c>
      <c r="W388" s="13" t="n">
        <v>0</v>
      </c>
      <c r="X388" s="12" t="s">
        <v>610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591</v>
      </c>
      <c r="F389" s="10" t="n">
        <v>34</v>
      </c>
      <c r="G389" s="12" t="s">
        <v>71</v>
      </c>
      <c r="H389" s="10" t="n">
        <v>2110101</v>
      </c>
      <c r="I389" s="12" t="s">
        <v>33</v>
      </c>
      <c r="J389" s="10" t="n">
        <v>1255899</v>
      </c>
      <c r="L389" s="10" t="n">
        <v>1629621</v>
      </c>
      <c r="M389" s="12" t="s">
        <v>41</v>
      </c>
      <c r="N389" s="12" t="s">
        <v>35</v>
      </c>
      <c r="P389" s="10" t="n">
        <v>104</v>
      </c>
      <c r="Q389" s="12" t="s">
        <v>99</v>
      </c>
      <c r="R389" s="12" t="s">
        <v>37</v>
      </c>
      <c r="S389" s="10" t="n">
        <v>1130101</v>
      </c>
      <c r="T389" s="12" t="s">
        <v>38</v>
      </c>
      <c r="U389" s="13" t="n">
        <v>330</v>
      </c>
      <c r="W389" s="13" t="n">
        <v>0</v>
      </c>
      <c r="X389" s="12" t="s">
        <v>611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591</v>
      </c>
      <c r="F390" s="10" t="n">
        <v>34</v>
      </c>
      <c r="G390" s="12" t="s">
        <v>71</v>
      </c>
      <c r="H390" s="10" t="n">
        <v>2110101</v>
      </c>
      <c r="I390" s="12" t="s">
        <v>33</v>
      </c>
      <c r="J390" s="10" t="n">
        <v>1255919</v>
      </c>
      <c r="L390" s="10" t="n">
        <v>1629632</v>
      </c>
      <c r="M390" s="12" t="s">
        <v>41</v>
      </c>
      <c r="N390" s="12" t="s">
        <v>35</v>
      </c>
      <c r="P390" s="10" t="n">
        <v>104</v>
      </c>
      <c r="Q390" s="12" t="s">
        <v>99</v>
      </c>
      <c r="R390" s="12" t="s">
        <v>37</v>
      </c>
      <c r="S390" s="10" t="n">
        <v>1130101</v>
      </c>
      <c r="T390" s="12" t="s">
        <v>38</v>
      </c>
      <c r="U390" s="13" t="n">
        <v>90</v>
      </c>
      <c r="W390" s="13" t="n">
        <v>0</v>
      </c>
      <c r="X390" s="12" t="s">
        <v>612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591</v>
      </c>
      <c r="F391" s="10" t="n">
        <v>34</v>
      </c>
      <c r="G391" s="12" t="s">
        <v>71</v>
      </c>
      <c r="H391" s="10" t="n">
        <v>2110101</v>
      </c>
      <c r="I391" s="12" t="s">
        <v>33</v>
      </c>
      <c r="J391" s="10" t="n">
        <v>1255948</v>
      </c>
      <c r="L391" s="10" t="n">
        <v>1629645</v>
      </c>
      <c r="M391" s="12" t="s">
        <v>41</v>
      </c>
      <c r="N391" s="12" t="s">
        <v>35</v>
      </c>
      <c r="P391" s="10" t="n">
        <v>104</v>
      </c>
      <c r="Q391" s="12" t="s">
        <v>99</v>
      </c>
      <c r="R391" s="12" t="s">
        <v>37</v>
      </c>
      <c r="S391" s="10" t="n">
        <v>1130101</v>
      </c>
      <c r="T391" s="12" t="s">
        <v>38</v>
      </c>
      <c r="U391" s="13" t="n">
        <v>300</v>
      </c>
      <c r="W391" s="13" t="n">
        <v>0</v>
      </c>
      <c r="X391" s="12" t="s">
        <v>613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591</v>
      </c>
      <c r="F392" s="10" t="n">
        <v>34</v>
      </c>
      <c r="G392" s="12" t="s">
        <v>71</v>
      </c>
      <c r="H392" s="10" t="n">
        <v>2110101</v>
      </c>
      <c r="I392" s="12" t="s">
        <v>33</v>
      </c>
      <c r="J392" s="10" t="n">
        <v>1256309</v>
      </c>
      <c r="L392" s="10" t="n">
        <v>1629661</v>
      </c>
      <c r="M392" s="12" t="s">
        <v>41</v>
      </c>
      <c r="N392" s="12" t="s">
        <v>35</v>
      </c>
      <c r="P392" s="10" t="n">
        <v>104</v>
      </c>
      <c r="Q392" s="12" t="s">
        <v>99</v>
      </c>
      <c r="R392" s="12" t="s">
        <v>37</v>
      </c>
      <c r="S392" s="10" t="n">
        <v>1130101</v>
      </c>
      <c r="T392" s="12" t="s">
        <v>38</v>
      </c>
      <c r="U392" s="13" t="n">
        <v>174</v>
      </c>
      <c r="W392" s="13" t="n">
        <v>0</v>
      </c>
      <c r="X392" s="12" t="s">
        <v>614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591</v>
      </c>
      <c r="F393" s="10" t="n">
        <v>34</v>
      </c>
      <c r="G393" s="12" t="s">
        <v>71</v>
      </c>
      <c r="H393" s="10" t="n">
        <v>2110101</v>
      </c>
      <c r="I393" s="12" t="s">
        <v>33</v>
      </c>
      <c r="J393" s="10" t="n">
        <v>1256329</v>
      </c>
      <c r="L393" s="10" t="n">
        <v>1629707</v>
      </c>
      <c r="M393" s="12" t="s">
        <v>41</v>
      </c>
      <c r="N393" s="12" t="s">
        <v>35</v>
      </c>
      <c r="P393" s="10" t="n">
        <v>104</v>
      </c>
      <c r="Q393" s="12" t="s">
        <v>99</v>
      </c>
      <c r="R393" s="12" t="s">
        <v>37</v>
      </c>
      <c r="S393" s="10" t="n">
        <v>1130101</v>
      </c>
      <c r="T393" s="12" t="s">
        <v>38</v>
      </c>
      <c r="U393" s="13" t="n">
        <v>180</v>
      </c>
      <c r="W393" s="13" t="n">
        <v>0</v>
      </c>
      <c r="X393" s="12" t="s">
        <v>615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104</v>
      </c>
      <c r="F394" s="10" t="n">
        <v>24</v>
      </c>
      <c r="G394" s="12" t="s">
        <v>32</v>
      </c>
      <c r="H394" s="10" t="n">
        <v>2110405</v>
      </c>
      <c r="I394" s="12" t="s">
        <v>83</v>
      </c>
      <c r="J394" s="10" t="n">
        <v>1256550</v>
      </c>
      <c r="L394" s="10" t="n">
        <v>853</v>
      </c>
      <c r="M394" s="12" t="s">
        <v>41</v>
      </c>
      <c r="N394" s="12" t="s">
        <v>42</v>
      </c>
      <c r="P394" s="10" t="n">
        <v>101</v>
      </c>
      <c r="Q394" s="12" t="s">
        <v>84</v>
      </c>
      <c r="R394" s="12" t="s">
        <v>91</v>
      </c>
      <c r="S394" s="10" t="n">
        <v>4220199</v>
      </c>
      <c r="T394" s="12" t="s">
        <v>92</v>
      </c>
      <c r="U394" s="13" t="n">
        <v>284</v>
      </c>
      <c r="W394" s="13" t="n">
        <v>0</v>
      </c>
      <c r="X394" s="12" t="s">
        <v>616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104</v>
      </c>
      <c r="F395" s="10" t="n">
        <v>24</v>
      </c>
      <c r="G395" s="12" t="s">
        <v>32</v>
      </c>
      <c r="H395" s="10" t="n">
        <v>2110405</v>
      </c>
      <c r="I395" s="12" t="s">
        <v>83</v>
      </c>
      <c r="J395" s="10" t="n">
        <v>1256556</v>
      </c>
      <c r="L395" s="10" t="n">
        <v>521448</v>
      </c>
      <c r="M395" s="12" t="s">
        <v>41</v>
      </c>
      <c r="N395" s="12" t="s">
        <v>42</v>
      </c>
      <c r="P395" s="10" t="n">
        <v>101</v>
      </c>
      <c r="Q395" s="12" t="s">
        <v>84</v>
      </c>
      <c r="R395" s="12" t="s">
        <v>85</v>
      </c>
      <c r="S395" s="10" t="n">
        <v>4210319</v>
      </c>
      <c r="T395" s="12" t="s">
        <v>617</v>
      </c>
      <c r="U395" s="13" t="n">
        <v>93</v>
      </c>
      <c r="W395" s="13" t="n">
        <v>0</v>
      </c>
      <c r="X395" s="12" t="s">
        <v>618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591</v>
      </c>
      <c r="F396" s="10" t="n">
        <v>34</v>
      </c>
      <c r="G396" s="12" t="s">
        <v>71</v>
      </c>
      <c r="H396" s="10" t="n">
        <v>2110101</v>
      </c>
      <c r="I396" s="12" t="s">
        <v>33</v>
      </c>
      <c r="J396" s="10" t="n">
        <v>1260370</v>
      </c>
      <c r="L396" s="10" t="n">
        <v>1632114</v>
      </c>
      <c r="M396" s="12" t="s">
        <v>41</v>
      </c>
      <c r="N396" s="12" t="s">
        <v>35</v>
      </c>
      <c r="P396" s="10" t="n">
        <v>104</v>
      </c>
      <c r="Q396" s="12" t="s">
        <v>99</v>
      </c>
      <c r="R396" s="12" t="s">
        <v>37</v>
      </c>
      <c r="S396" s="10" t="n">
        <v>1130101</v>
      </c>
      <c r="T396" s="12" t="s">
        <v>38</v>
      </c>
      <c r="U396" s="13" t="n">
        <v>270</v>
      </c>
      <c r="W396" s="13" t="n">
        <v>0</v>
      </c>
      <c r="X396" s="12" t="s">
        <v>619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591</v>
      </c>
      <c r="F397" s="10" t="n">
        <v>34</v>
      </c>
      <c r="G397" s="12" t="s">
        <v>71</v>
      </c>
      <c r="H397" s="10" t="n">
        <v>2110101</v>
      </c>
      <c r="I397" s="12" t="s">
        <v>33</v>
      </c>
      <c r="J397" s="10" t="n">
        <v>1260456</v>
      </c>
      <c r="L397" s="10" t="n">
        <v>1632018</v>
      </c>
      <c r="M397" s="12" t="s">
        <v>41</v>
      </c>
      <c r="N397" s="12" t="s">
        <v>35</v>
      </c>
      <c r="P397" s="10" t="n">
        <v>104</v>
      </c>
      <c r="Q397" s="12" t="s">
        <v>99</v>
      </c>
      <c r="R397" s="12" t="s">
        <v>37</v>
      </c>
      <c r="S397" s="10" t="n">
        <v>1130101</v>
      </c>
      <c r="T397" s="12" t="s">
        <v>38</v>
      </c>
      <c r="U397" s="13" t="n">
        <v>174</v>
      </c>
      <c r="W397" s="13" t="n">
        <v>0</v>
      </c>
      <c r="X397" s="12" t="s">
        <v>620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591</v>
      </c>
      <c r="F398" s="10" t="n">
        <v>34</v>
      </c>
      <c r="G398" s="12" t="s">
        <v>71</v>
      </c>
      <c r="H398" s="10" t="n">
        <v>2110101</v>
      </c>
      <c r="I398" s="12" t="s">
        <v>33</v>
      </c>
      <c r="J398" s="10" t="n">
        <v>1260483</v>
      </c>
      <c r="L398" s="10" t="n">
        <v>1632012</v>
      </c>
      <c r="M398" s="12" t="s">
        <v>41</v>
      </c>
      <c r="N398" s="12" t="s">
        <v>35</v>
      </c>
      <c r="P398" s="10" t="n">
        <v>104</v>
      </c>
      <c r="Q398" s="12" t="s">
        <v>99</v>
      </c>
      <c r="R398" s="12" t="s">
        <v>37</v>
      </c>
      <c r="S398" s="10" t="n">
        <v>1130101</v>
      </c>
      <c r="T398" s="12" t="s">
        <v>38</v>
      </c>
      <c r="U398" s="13" t="n">
        <v>189</v>
      </c>
      <c r="W398" s="13" t="n">
        <v>0</v>
      </c>
      <c r="X398" s="12" t="s">
        <v>621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388</v>
      </c>
      <c r="F399" s="10" t="n">
        <v>13</v>
      </c>
      <c r="G399" s="12" t="s">
        <v>98</v>
      </c>
      <c r="H399" s="10" t="n">
        <v>2110101</v>
      </c>
      <c r="I399" s="12" t="s">
        <v>33</v>
      </c>
      <c r="J399" s="10" t="n">
        <v>1261046</v>
      </c>
      <c r="L399" s="10" t="n">
        <v>401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180</v>
      </c>
      <c r="W399" s="13" t="n">
        <v>180</v>
      </c>
      <c r="X399" s="12" t="s">
        <v>622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130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1092319</v>
      </c>
      <c r="L400" s="10" t="n">
        <v>401029</v>
      </c>
      <c r="M400" s="12" t="s">
        <v>128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2467.24</v>
      </c>
      <c r="W400" s="13" t="n">
        <v>0</v>
      </c>
      <c r="X400" s="12" t="s">
        <v>623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182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1028242</v>
      </c>
      <c r="L401" s="10" t="n">
        <v>10262</v>
      </c>
      <c r="M401" s="12" t="s">
        <v>128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1488.3</v>
      </c>
      <c r="W401" s="13" t="n">
        <v>0</v>
      </c>
      <c r="X401" s="12" t="s">
        <v>624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130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1138344</v>
      </c>
      <c r="L402" s="10" t="n">
        <v>404673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1947.59</v>
      </c>
      <c r="W402" s="13" t="n">
        <v>0</v>
      </c>
      <c r="X402" s="12" t="s">
        <v>625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400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1167580</v>
      </c>
      <c r="L403" s="10" t="n">
        <v>1832</v>
      </c>
      <c r="M403" s="12" t="s">
        <v>34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89.5</v>
      </c>
      <c r="W403" s="13" t="n">
        <v>0</v>
      </c>
      <c r="X403" s="12" t="s">
        <v>626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208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1167896</v>
      </c>
      <c r="L404" s="10" t="n">
        <v>1591095</v>
      </c>
      <c r="M404" s="12" t="s">
        <v>128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416.3</v>
      </c>
      <c r="W404" s="13" t="n">
        <v>0</v>
      </c>
      <c r="X404" s="12" t="s">
        <v>627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628</v>
      </c>
      <c r="F405" s="10" t="n">
        <v>24</v>
      </c>
      <c r="G405" s="12" t="s">
        <v>32</v>
      </c>
      <c r="H405" s="10" t="n">
        <v>2110102</v>
      </c>
      <c r="I405" s="12" t="s">
        <v>59</v>
      </c>
      <c r="J405" s="10" t="n">
        <v>1177019</v>
      </c>
      <c r="L405" s="10" t="n">
        <v>3070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60</v>
      </c>
      <c r="S405" s="10" t="n">
        <v>4210204</v>
      </c>
      <c r="T405" s="12" t="s">
        <v>61</v>
      </c>
      <c r="U405" s="13" t="n">
        <v>1382.3</v>
      </c>
      <c r="W405" s="13" t="n">
        <v>0</v>
      </c>
      <c r="X405" s="12" t="s">
        <v>629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630</v>
      </c>
      <c r="F406" s="10" t="n">
        <v>24</v>
      </c>
      <c r="G406" s="12" t="s">
        <v>32</v>
      </c>
      <c r="H406" s="10" t="n">
        <v>2110102</v>
      </c>
      <c r="I406" s="12" t="s">
        <v>59</v>
      </c>
      <c r="J406" s="10" t="n">
        <v>1177040</v>
      </c>
      <c r="L406" s="10" t="n">
        <v>7422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60</v>
      </c>
      <c r="S406" s="10" t="n">
        <v>4210204</v>
      </c>
      <c r="T406" s="12" t="s">
        <v>61</v>
      </c>
      <c r="U406" s="13" t="n">
        <v>350</v>
      </c>
      <c r="W406" s="13" t="n">
        <v>0</v>
      </c>
      <c r="X406" s="12" t="s">
        <v>631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325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1192775</v>
      </c>
      <c r="L407" s="10" t="n">
        <v>7862</v>
      </c>
      <c r="M407" s="12" t="s">
        <v>34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1695.9</v>
      </c>
      <c r="W407" s="13" t="n">
        <v>0</v>
      </c>
      <c r="X407" s="12" t="s">
        <v>632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144</v>
      </c>
      <c r="F408" s="10" t="n">
        <v>24</v>
      </c>
      <c r="G408" s="12" t="s">
        <v>32</v>
      </c>
      <c r="H408" s="10" t="n">
        <v>2110101</v>
      </c>
      <c r="I408" s="12" t="s">
        <v>33</v>
      </c>
      <c r="J408" s="10" t="n">
        <v>1211417</v>
      </c>
      <c r="L408" s="10" t="n">
        <v>37407</v>
      </c>
      <c r="M408" s="12" t="s">
        <v>41</v>
      </c>
      <c r="N408" s="12" t="s">
        <v>35</v>
      </c>
      <c r="P408" s="10" t="n">
        <v>103</v>
      </c>
      <c r="Q408" s="12" t="s">
        <v>36</v>
      </c>
      <c r="R408" s="12" t="s">
        <v>37</v>
      </c>
      <c r="S408" s="10" t="n">
        <v>1130101</v>
      </c>
      <c r="T408" s="12" t="s">
        <v>38</v>
      </c>
      <c r="U408" s="13" t="n">
        <v>5110.55</v>
      </c>
      <c r="W408" s="13" t="n">
        <v>0</v>
      </c>
      <c r="X408" s="12" t="s">
        <v>633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264</v>
      </c>
      <c r="F409" s="10" t="n">
        <v>24</v>
      </c>
      <c r="G409" s="12" t="s">
        <v>32</v>
      </c>
      <c r="H409" s="10" t="n">
        <v>2110101</v>
      </c>
      <c r="I409" s="12" t="s">
        <v>33</v>
      </c>
      <c r="J409" s="10" t="n">
        <v>1212044</v>
      </c>
      <c r="L409" s="10" t="n">
        <v>171135</v>
      </c>
      <c r="M409" s="12" t="s">
        <v>41</v>
      </c>
      <c r="N409" s="12" t="s">
        <v>35</v>
      </c>
      <c r="P409" s="10" t="n">
        <v>103</v>
      </c>
      <c r="Q409" s="12" t="s">
        <v>36</v>
      </c>
      <c r="R409" s="12" t="s">
        <v>37</v>
      </c>
      <c r="S409" s="10" t="n">
        <v>1130101</v>
      </c>
      <c r="T409" s="12" t="s">
        <v>38</v>
      </c>
      <c r="U409" s="13" t="n">
        <v>6167.15</v>
      </c>
      <c r="W409" s="13" t="n">
        <v>0</v>
      </c>
      <c r="X409" s="12" t="s">
        <v>634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211</v>
      </c>
      <c r="F410" s="10" t="n">
        <v>24</v>
      </c>
      <c r="G410" s="12" t="s">
        <v>32</v>
      </c>
      <c r="H410" s="10" t="n">
        <v>2110101</v>
      </c>
      <c r="I410" s="12" t="s">
        <v>33</v>
      </c>
      <c r="J410" s="10" t="n">
        <v>1227270</v>
      </c>
      <c r="L410" s="10" t="n">
        <v>14436</v>
      </c>
      <c r="M410" s="12" t="s">
        <v>41</v>
      </c>
      <c r="N410" s="12" t="s">
        <v>35</v>
      </c>
      <c r="P410" s="10" t="n">
        <v>103</v>
      </c>
      <c r="Q410" s="12" t="s">
        <v>36</v>
      </c>
      <c r="R410" s="12" t="s">
        <v>37</v>
      </c>
      <c r="S410" s="10" t="n">
        <v>1130101</v>
      </c>
      <c r="T410" s="12" t="s">
        <v>38</v>
      </c>
      <c r="U410" s="13" t="n">
        <v>6787.8</v>
      </c>
      <c r="W410" s="13" t="n">
        <v>0</v>
      </c>
      <c r="X410" s="12" t="s">
        <v>635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159</v>
      </c>
      <c r="F411" s="10" t="n">
        <v>24</v>
      </c>
      <c r="G411" s="12" t="s">
        <v>32</v>
      </c>
      <c r="H411" s="10" t="n">
        <v>2110101</v>
      </c>
      <c r="I411" s="12" t="s">
        <v>33</v>
      </c>
      <c r="J411" s="10" t="n">
        <v>1230690</v>
      </c>
      <c r="L411" s="10" t="n">
        <v>1026088</v>
      </c>
      <c r="M411" s="12" t="s">
        <v>41</v>
      </c>
      <c r="N411" s="12" t="s">
        <v>35</v>
      </c>
      <c r="P411" s="10" t="n">
        <v>103</v>
      </c>
      <c r="Q411" s="12" t="s">
        <v>36</v>
      </c>
      <c r="R411" s="12" t="s">
        <v>37</v>
      </c>
      <c r="S411" s="10" t="n">
        <v>1130101</v>
      </c>
      <c r="T411" s="12" t="s">
        <v>38</v>
      </c>
      <c r="U411" s="13" t="n">
        <v>644.15</v>
      </c>
      <c r="W411" s="13" t="n">
        <v>0</v>
      </c>
      <c r="X411" s="12" t="s">
        <v>636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155</v>
      </c>
      <c r="F412" s="10" t="n">
        <v>24</v>
      </c>
      <c r="G412" s="12" t="s">
        <v>32</v>
      </c>
      <c r="H412" s="10" t="n">
        <v>2110101</v>
      </c>
      <c r="I412" s="12" t="s">
        <v>33</v>
      </c>
      <c r="J412" s="10" t="n">
        <v>1230731</v>
      </c>
      <c r="L412" s="10" t="n">
        <v>3339</v>
      </c>
      <c r="M412" s="12" t="s">
        <v>41</v>
      </c>
      <c r="N412" s="12" t="s">
        <v>35</v>
      </c>
      <c r="P412" s="10" t="n">
        <v>103</v>
      </c>
      <c r="Q412" s="12" t="s">
        <v>36</v>
      </c>
      <c r="R412" s="12" t="s">
        <v>37</v>
      </c>
      <c r="S412" s="10" t="n">
        <v>1130101</v>
      </c>
      <c r="T412" s="12" t="s">
        <v>38</v>
      </c>
      <c r="U412" s="13" t="n">
        <v>260</v>
      </c>
      <c r="W412" s="13" t="n">
        <v>0</v>
      </c>
      <c r="X412" s="12" t="s">
        <v>637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319</v>
      </c>
      <c r="F413" s="10" t="n">
        <v>24</v>
      </c>
      <c r="G413" s="12" t="s">
        <v>32</v>
      </c>
      <c r="H413" s="10" t="n">
        <v>2110101</v>
      </c>
      <c r="I413" s="12" t="s">
        <v>33</v>
      </c>
      <c r="J413" s="10" t="n">
        <v>1230747</v>
      </c>
      <c r="L413" s="10" t="n">
        <v>10060</v>
      </c>
      <c r="M413" s="12" t="s">
        <v>41</v>
      </c>
      <c r="N413" s="12" t="s">
        <v>35</v>
      </c>
      <c r="P413" s="10" t="n">
        <v>103</v>
      </c>
      <c r="Q413" s="12" t="s">
        <v>36</v>
      </c>
      <c r="R413" s="12" t="s">
        <v>37</v>
      </c>
      <c r="S413" s="10" t="n">
        <v>1130101</v>
      </c>
      <c r="T413" s="12" t="s">
        <v>38</v>
      </c>
      <c r="U413" s="13" t="n">
        <v>1566</v>
      </c>
      <c r="W413" s="13" t="n">
        <v>0</v>
      </c>
      <c r="X413" s="12" t="s">
        <v>638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328</v>
      </c>
      <c r="F414" s="10" t="n">
        <v>34</v>
      </c>
      <c r="G414" s="12" t="s">
        <v>71</v>
      </c>
      <c r="H414" s="10" t="n">
        <v>2110101</v>
      </c>
      <c r="I414" s="12" t="s">
        <v>33</v>
      </c>
      <c r="J414" s="10" t="n">
        <v>1231130</v>
      </c>
      <c r="L414" s="10" t="n">
        <v>296</v>
      </c>
      <c r="M414" s="12" t="s">
        <v>41</v>
      </c>
      <c r="N414" s="12" t="s">
        <v>35</v>
      </c>
      <c r="P414" s="10" t="n">
        <v>103</v>
      </c>
      <c r="Q414" s="12" t="s">
        <v>36</v>
      </c>
      <c r="R414" s="12" t="s">
        <v>37</v>
      </c>
      <c r="S414" s="10" t="n">
        <v>1130101</v>
      </c>
      <c r="T414" s="12" t="s">
        <v>38</v>
      </c>
      <c r="U414" s="13" t="n">
        <v>2213.39</v>
      </c>
      <c r="W414" s="13" t="n">
        <v>0</v>
      </c>
      <c r="X414" s="12" t="s">
        <v>639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161</v>
      </c>
      <c r="F415" s="10" t="n">
        <v>24</v>
      </c>
      <c r="G415" s="12" t="s">
        <v>32</v>
      </c>
      <c r="H415" s="10" t="n">
        <v>2110101</v>
      </c>
      <c r="I415" s="12" t="s">
        <v>33</v>
      </c>
      <c r="J415" s="10" t="n">
        <v>1243938</v>
      </c>
      <c r="L415" s="10" t="n">
        <v>495</v>
      </c>
      <c r="M415" s="12" t="s">
        <v>41</v>
      </c>
      <c r="N415" s="12" t="s">
        <v>35</v>
      </c>
      <c r="P415" s="10" t="n">
        <v>103</v>
      </c>
      <c r="Q415" s="12" t="s">
        <v>36</v>
      </c>
      <c r="R415" s="12" t="s">
        <v>37</v>
      </c>
      <c r="S415" s="10" t="n">
        <v>1130101</v>
      </c>
      <c r="T415" s="12" t="s">
        <v>38</v>
      </c>
      <c r="U415" s="13" t="n">
        <v>960</v>
      </c>
      <c r="W415" s="13" t="n">
        <v>0</v>
      </c>
      <c r="X415" s="12" t="s">
        <v>640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74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1254895</v>
      </c>
      <c r="L416" s="10" t="n">
        <v>660</v>
      </c>
      <c r="M416" s="12" t="s">
        <v>41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1400</v>
      </c>
      <c r="W416" s="13" t="n">
        <v>0</v>
      </c>
      <c r="X416" s="12" t="s">
        <v>641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70</v>
      </c>
      <c r="F417" s="10" t="n">
        <v>34</v>
      </c>
      <c r="G417" s="12" t="s">
        <v>71</v>
      </c>
      <c r="H417" s="10" t="n">
        <v>2110101</v>
      </c>
      <c r="I417" s="12" t="s">
        <v>33</v>
      </c>
      <c r="J417" s="10" t="n">
        <v>1260608</v>
      </c>
      <c r="L417" s="10" t="n">
        <v>5132</v>
      </c>
      <c r="M417" s="12" t="s">
        <v>41</v>
      </c>
      <c r="N417" s="12" t="s">
        <v>35</v>
      </c>
      <c r="P417" s="10" t="n">
        <v>104</v>
      </c>
      <c r="Q417" s="12" t="s">
        <v>99</v>
      </c>
      <c r="R417" s="12" t="s">
        <v>37</v>
      </c>
      <c r="S417" s="10" t="n">
        <v>1130101</v>
      </c>
      <c r="T417" s="12" t="s">
        <v>38</v>
      </c>
      <c r="U417" s="13" t="n">
        <v>600</v>
      </c>
      <c r="W417" s="13" t="n">
        <v>600</v>
      </c>
      <c r="X417" s="12" t="s">
        <v>642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643</v>
      </c>
      <c r="F418" s="10" t="n">
        <v>34</v>
      </c>
      <c r="G418" s="12" t="s">
        <v>71</v>
      </c>
      <c r="H418" s="10" t="n">
        <v>2110405</v>
      </c>
      <c r="I418" s="12" t="s">
        <v>83</v>
      </c>
      <c r="J418" s="10" t="n">
        <v>1261523</v>
      </c>
      <c r="L418" s="10" t="n">
        <v>523232</v>
      </c>
      <c r="M418" s="12" t="s">
        <v>41</v>
      </c>
      <c r="N418" s="12" t="s">
        <v>42</v>
      </c>
      <c r="P418" s="10" t="n">
        <v>102</v>
      </c>
      <c r="Q418" s="12" t="s">
        <v>107</v>
      </c>
      <c r="R418" s="12" t="s">
        <v>60</v>
      </c>
      <c r="S418" s="10" t="n">
        <v>4210210</v>
      </c>
      <c r="T418" s="12" t="s">
        <v>644</v>
      </c>
      <c r="U418" s="13" t="n">
        <v>689.17</v>
      </c>
      <c r="W418" s="13" t="n">
        <v>0</v>
      </c>
      <c r="X418" s="12" t="s">
        <v>645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70</v>
      </c>
      <c r="F419" s="10" t="n">
        <v>34</v>
      </c>
      <c r="G419" s="12" t="s">
        <v>71</v>
      </c>
      <c r="H419" s="10" t="n">
        <v>2110101</v>
      </c>
      <c r="I419" s="12" t="s">
        <v>33</v>
      </c>
      <c r="J419" s="10" t="n">
        <v>1261694</v>
      </c>
      <c r="L419" s="10" t="n">
        <v>5134</v>
      </c>
      <c r="M419" s="12" t="s">
        <v>41</v>
      </c>
      <c r="N419" s="12" t="s">
        <v>35</v>
      </c>
      <c r="P419" s="10" t="n">
        <v>104</v>
      </c>
      <c r="Q419" s="12" t="s">
        <v>99</v>
      </c>
      <c r="R419" s="12" t="s">
        <v>37</v>
      </c>
      <c r="S419" s="10" t="n">
        <v>1130101</v>
      </c>
      <c r="T419" s="12" t="s">
        <v>38</v>
      </c>
      <c r="U419" s="13" t="n">
        <v>3238.73</v>
      </c>
      <c r="W419" s="13" t="n">
        <v>0</v>
      </c>
      <c r="X419" s="12" t="s">
        <v>172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168</v>
      </c>
      <c r="F420" s="10" t="n">
        <v>34</v>
      </c>
      <c r="G420" s="12" t="s">
        <v>71</v>
      </c>
      <c r="H420" s="10" t="n">
        <v>1110202</v>
      </c>
      <c r="I420" s="12" t="s">
        <v>285</v>
      </c>
      <c r="J420" s="10" t="n">
        <v>1370412</v>
      </c>
      <c r="L420" s="10" t="n">
        <v>565665</v>
      </c>
      <c r="M420" s="12" t="s">
        <v>41</v>
      </c>
      <c r="N420" s="12" t="s">
        <v>42</v>
      </c>
      <c r="P420" s="10" t="n">
        <v>102</v>
      </c>
      <c r="Q420" s="12" t="s">
        <v>107</v>
      </c>
      <c r="R420" s="12" t="s">
        <v>91</v>
      </c>
      <c r="S420" s="10" t="n">
        <v>4220199</v>
      </c>
      <c r="T420" s="12" t="s">
        <v>92</v>
      </c>
      <c r="U420" s="13" t="n">
        <v>2927.27</v>
      </c>
      <c r="W420" s="13" t="n">
        <v>0</v>
      </c>
      <c r="X420" s="12" t="s">
        <v>646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647</v>
      </c>
      <c r="F421" s="10" t="n">
        <v>24</v>
      </c>
      <c r="G421" s="12" t="s">
        <v>32</v>
      </c>
      <c r="H421" s="10" t="n">
        <v>1110202</v>
      </c>
      <c r="I421" s="12" t="s">
        <v>285</v>
      </c>
      <c r="J421" s="10" t="n">
        <v>1450084</v>
      </c>
      <c r="L421" s="10" t="n">
        <v>596446</v>
      </c>
      <c r="M421" s="12" t="s">
        <v>41</v>
      </c>
      <c r="N421" s="12" t="s">
        <v>42</v>
      </c>
      <c r="P421" s="10" t="n">
        <v>101</v>
      </c>
      <c r="Q421" s="12" t="s">
        <v>84</v>
      </c>
      <c r="R421" s="12" t="s">
        <v>91</v>
      </c>
      <c r="S421" s="10" t="n">
        <v>4220199</v>
      </c>
      <c r="T421" s="12" t="s">
        <v>92</v>
      </c>
      <c r="U421" s="13" t="n">
        <v>500</v>
      </c>
      <c r="W421" s="13" t="n">
        <v>0</v>
      </c>
      <c r="X421" s="12" t="s">
        <v>648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82</v>
      </c>
      <c r="F422" s="10" t="n">
        <v>34</v>
      </c>
      <c r="G422" s="12" t="s">
        <v>71</v>
      </c>
      <c r="H422" s="10" t="n">
        <v>1110202</v>
      </c>
      <c r="I422" s="12" t="s">
        <v>285</v>
      </c>
      <c r="J422" s="10" t="n">
        <v>1450118</v>
      </c>
      <c r="L422" s="10" t="n">
        <v>596458</v>
      </c>
      <c r="M422" s="12" t="s">
        <v>41</v>
      </c>
      <c r="N422" s="12" t="s">
        <v>42</v>
      </c>
      <c r="P422" s="10" t="n">
        <v>101</v>
      </c>
      <c r="Q422" s="12" t="s">
        <v>84</v>
      </c>
      <c r="R422" s="12" t="s">
        <v>85</v>
      </c>
      <c r="S422" s="10" t="n">
        <v>4210301</v>
      </c>
      <c r="T422" s="12" t="s">
        <v>295</v>
      </c>
      <c r="U422" s="13" t="n">
        <v>8050</v>
      </c>
      <c r="W422" s="13" t="n">
        <v>0</v>
      </c>
      <c r="X422" s="12" t="s">
        <v>649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647</v>
      </c>
      <c r="F423" s="10" t="n">
        <v>24</v>
      </c>
      <c r="G423" s="12" t="s">
        <v>32</v>
      </c>
      <c r="H423" s="10" t="n">
        <v>1110202</v>
      </c>
      <c r="I423" s="12" t="s">
        <v>285</v>
      </c>
      <c r="J423" s="10" t="n">
        <v>1450145</v>
      </c>
      <c r="L423" s="10" t="n">
        <v>596464</v>
      </c>
      <c r="M423" s="12" t="s">
        <v>41</v>
      </c>
      <c r="N423" s="12" t="s">
        <v>42</v>
      </c>
      <c r="P423" s="10" t="n">
        <v>101</v>
      </c>
      <c r="Q423" s="12" t="s">
        <v>84</v>
      </c>
      <c r="R423" s="12" t="s">
        <v>225</v>
      </c>
      <c r="S423" s="10" t="n">
        <v>1140101</v>
      </c>
      <c r="T423" s="12" t="s">
        <v>650</v>
      </c>
      <c r="U423" s="13" t="n">
        <v>169.58</v>
      </c>
      <c r="W423" s="13" t="n">
        <v>0</v>
      </c>
      <c r="X423" s="12" t="s">
        <v>651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652</v>
      </c>
      <c r="F424" s="10" t="n">
        <v>34</v>
      </c>
      <c r="G424" s="12" t="s">
        <v>71</v>
      </c>
      <c r="H424" s="10" t="n">
        <v>2110405</v>
      </c>
      <c r="I424" s="12" t="s">
        <v>83</v>
      </c>
      <c r="J424" s="10" t="n">
        <v>1117358</v>
      </c>
      <c r="L424" s="10" t="n">
        <v>467458</v>
      </c>
      <c r="M424" s="12" t="s">
        <v>41</v>
      </c>
      <c r="N424" s="12" t="s">
        <v>42</v>
      </c>
      <c r="P424" s="10" t="n">
        <v>101</v>
      </c>
      <c r="Q424" s="12" t="s">
        <v>84</v>
      </c>
      <c r="R424" s="12" t="s">
        <v>165</v>
      </c>
      <c r="S424" s="10" t="n">
        <v>2110901</v>
      </c>
      <c r="T424" s="12" t="s">
        <v>166</v>
      </c>
      <c r="U424" s="13" t="n">
        <v>6000</v>
      </c>
      <c r="W424" s="13" t="n">
        <v>0</v>
      </c>
      <c r="X424" s="12" t="s">
        <v>653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204</v>
      </c>
      <c r="F425" s="10" t="n">
        <v>24</v>
      </c>
      <c r="G425" s="12" t="s">
        <v>32</v>
      </c>
      <c r="H425" s="10" t="n">
        <v>2110101</v>
      </c>
      <c r="I425" s="12" t="s">
        <v>33</v>
      </c>
      <c r="J425" s="10" t="n">
        <v>1131679</v>
      </c>
      <c r="L425" s="10" t="n">
        <v>1952294</v>
      </c>
      <c r="M425" s="12" t="s">
        <v>128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2899.4</v>
      </c>
      <c r="W425" s="13" t="n">
        <v>0</v>
      </c>
      <c r="X425" s="12" t="s">
        <v>654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51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1136135</v>
      </c>
      <c r="L426" s="10" t="n">
        <v>1658392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1593.66</v>
      </c>
      <c r="W426" s="13" t="n">
        <v>0</v>
      </c>
      <c r="X426" s="12" t="s">
        <v>655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136</v>
      </c>
      <c r="F427" s="10" t="n">
        <v>24</v>
      </c>
      <c r="G427" s="12" t="s">
        <v>32</v>
      </c>
      <c r="H427" s="10" t="n">
        <v>2110101</v>
      </c>
      <c r="I427" s="12" t="s">
        <v>33</v>
      </c>
      <c r="J427" s="10" t="n">
        <v>1167923</v>
      </c>
      <c r="L427" s="10" t="n">
        <v>517179</v>
      </c>
      <c r="M427" s="12" t="s">
        <v>41</v>
      </c>
      <c r="N427" s="12" t="s">
        <v>35</v>
      </c>
      <c r="P427" s="10" t="n">
        <v>103</v>
      </c>
      <c r="Q427" s="12" t="s">
        <v>36</v>
      </c>
      <c r="R427" s="12" t="s">
        <v>37</v>
      </c>
      <c r="S427" s="10" t="n">
        <v>1130101</v>
      </c>
      <c r="T427" s="12" t="s">
        <v>38</v>
      </c>
      <c r="U427" s="13" t="n">
        <v>1398</v>
      </c>
      <c r="W427" s="13" t="n">
        <v>0</v>
      </c>
      <c r="X427" s="12" t="s">
        <v>656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57</v>
      </c>
      <c r="F428" s="10" t="n">
        <v>24</v>
      </c>
      <c r="G428" s="12" t="s">
        <v>32</v>
      </c>
      <c r="H428" s="10" t="n">
        <v>2110101</v>
      </c>
      <c r="I428" s="12" t="s">
        <v>33</v>
      </c>
      <c r="J428" s="10" t="n">
        <v>1168251</v>
      </c>
      <c r="L428" s="10" t="n">
        <v>27274</v>
      </c>
      <c r="M428" s="12" t="s">
        <v>128</v>
      </c>
      <c r="N428" s="12" t="s">
        <v>35</v>
      </c>
      <c r="P428" s="10" t="n">
        <v>103</v>
      </c>
      <c r="Q428" s="12" t="s">
        <v>36</v>
      </c>
      <c r="R428" s="12" t="s">
        <v>37</v>
      </c>
      <c r="S428" s="10" t="n">
        <v>1130101</v>
      </c>
      <c r="T428" s="12" t="s">
        <v>38</v>
      </c>
      <c r="U428" s="13" t="n">
        <v>105.48</v>
      </c>
      <c r="W428" s="13" t="n">
        <v>0</v>
      </c>
      <c r="X428" s="12" t="s">
        <v>657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371</v>
      </c>
      <c r="F429" s="10" t="n">
        <v>24</v>
      </c>
      <c r="G429" s="12" t="s">
        <v>32</v>
      </c>
      <c r="H429" s="10" t="n">
        <v>2110101</v>
      </c>
      <c r="I429" s="12" t="s">
        <v>33</v>
      </c>
      <c r="J429" s="10" t="n">
        <v>1176382</v>
      </c>
      <c r="L429" s="10" t="n">
        <v>302701</v>
      </c>
      <c r="M429" s="12" t="s">
        <v>34</v>
      </c>
      <c r="N429" s="12" t="s">
        <v>35</v>
      </c>
      <c r="P429" s="10" t="n">
        <v>103</v>
      </c>
      <c r="Q429" s="12" t="s">
        <v>36</v>
      </c>
      <c r="R429" s="12" t="s">
        <v>37</v>
      </c>
      <c r="S429" s="10" t="n">
        <v>1130101</v>
      </c>
      <c r="T429" s="12" t="s">
        <v>38</v>
      </c>
      <c r="U429" s="13" t="n">
        <v>890</v>
      </c>
      <c r="W429" s="13" t="n">
        <v>0</v>
      </c>
      <c r="X429" s="12" t="s">
        <v>658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208</v>
      </c>
      <c r="F430" s="10" t="n">
        <v>24</v>
      </c>
      <c r="G430" s="12" t="s">
        <v>32</v>
      </c>
      <c r="H430" s="10" t="n">
        <v>2110101</v>
      </c>
      <c r="I430" s="12" t="s">
        <v>33</v>
      </c>
      <c r="J430" s="10" t="n">
        <v>1176490</v>
      </c>
      <c r="L430" s="10" t="n">
        <v>1591358</v>
      </c>
      <c r="M430" s="12" t="s">
        <v>34</v>
      </c>
      <c r="N430" s="12" t="s">
        <v>35</v>
      </c>
      <c r="P430" s="10" t="n">
        <v>103</v>
      </c>
      <c r="Q430" s="12" t="s">
        <v>36</v>
      </c>
      <c r="R430" s="12" t="s">
        <v>37</v>
      </c>
      <c r="S430" s="10" t="n">
        <v>1130101</v>
      </c>
      <c r="T430" s="12" t="s">
        <v>38</v>
      </c>
      <c r="U430" s="13" t="n">
        <v>3011.77</v>
      </c>
      <c r="W430" s="13" t="n">
        <v>0</v>
      </c>
      <c r="X430" s="12" t="s">
        <v>659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540</v>
      </c>
      <c r="F431" s="10" t="n">
        <v>24</v>
      </c>
      <c r="G431" s="12" t="s">
        <v>32</v>
      </c>
      <c r="H431" s="10" t="n">
        <v>2110101</v>
      </c>
      <c r="I431" s="12" t="s">
        <v>33</v>
      </c>
      <c r="J431" s="10" t="n">
        <v>1187048</v>
      </c>
      <c r="L431" s="10" t="n">
        <v>2069</v>
      </c>
      <c r="M431" s="12" t="s">
        <v>41</v>
      </c>
      <c r="N431" s="12" t="s">
        <v>35</v>
      </c>
      <c r="P431" s="10" t="n">
        <v>103</v>
      </c>
      <c r="Q431" s="12" t="s">
        <v>36</v>
      </c>
      <c r="R431" s="12" t="s">
        <v>37</v>
      </c>
      <c r="S431" s="10" t="n">
        <v>1130101</v>
      </c>
      <c r="T431" s="12" t="s">
        <v>38</v>
      </c>
      <c r="U431" s="13" t="n">
        <v>1751.27</v>
      </c>
      <c r="W431" s="13" t="n">
        <v>0</v>
      </c>
      <c r="X431" s="12" t="s">
        <v>660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661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1226943</v>
      </c>
      <c r="L432" s="10" t="n">
        <v>269857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528</v>
      </c>
      <c r="W432" s="13" t="n">
        <v>0</v>
      </c>
      <c r="X432" s="12" t="s">
        <v>662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157</v>
      </c>
      <c r="F433" s="10" t="n">
        <v>24</v>
      </c>
      <c r="G433" s="12" t="s">
        <v>32</v>
      </c>
      <c r="H433" s="10" t="n">
        <v>2110101</v>
      </c>
      <c r="I433" s="12" t="s">
        <v>33</v>
      </c>
      <c r="J433" s="10" t="n">
        <v>1245200</v>
      </c>
      <c r="L433" s="10" t="n">
        <v>31021</v>
      </c>
      <c r="M433" s="12" t="s">
        <v>41</v>
      </c>
      <c r="N433" s="12" t="s">
        <v>35</v>
      </c>
      <c r="P433" s="10" t="n">
        <v>103</v>
      </c>
      <c r="Q433" s="12" t="s">
        <v>36</v>
      </c>
      <c r="R433" s="12" t="s">
        <v>37</v>
      </c>
      <c r="S433" s="10" t="n">
        <v>1130101</v>
      </c>
      <c r="T433" s="12" t="s">
        <v>38</v>
      </c>
      <c r="U433" s="13" t="n">
        <v>3715</v>
      </c>
      <c r="W433" s="13" t="n">
        <v>0</v>
      </c>
      <c r="X433" s="12" t="s">
        <v>663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328</v>
      </c>
      <c r="F434" s="10" t="n">
        <v>34</v>
      </c>
      <c r="G434" s="12" t="s">
        <v>71</v>
      </c>
      <c r="H434" s="10" t="n">
        <v>2110101</v>
      </c>
      <c r="I434" s="12" t="s">
        <v>33</v>
      </c>
      <c r="J434" s="10" t="n">
        <v>1254822</v>
      </c>
      <c r="L434" s="10" t="n">
        <v>298</v>
      </c>
      <c r="M434" s="12" t="s">
        <v>41</v>
      </c>
      <c r="N434" s="12" t="s">
        <v>35</v>
      </c>
      <c r="P434" s="10" t="n">
        <v>103</v>
      </c>
      <c r="Q434" s="12" t="s">
        <v>36</v>
      </c>
      <c r="R434" s="12" t="s">
        <v>37</v>
      </c>
      <c r="S434" s="10" t="n">
        <v>1130101</v>
      </c>
      <c r="T434" s="12" t="s">
        <v>38</v>
      </c>
      <c r="U434" s="13" t="n">
        <v>2660</v>
      </c>
      <c r="W434" s="13" t="n">
        <v>0</v>
      </c>
      <c r="X434" s="12" t="s">
        <v>664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66</v>
      </c>
      <c r="F435" s="10" t="n">
        <v>24</v>
      </c>
      <c r="G435" s="12" t="s">
        <v>32</v>
      </c>
      <c r="H435" s="10" t="n">
        <v>2110101</v>
      </c>
      <c r="I435" s="12" t="s">
        <v>33</v>
      </c>
      <c r="J435" s="10" t="n">
        <v>1255457</v>
      </c>
      <c r="L435" s="10" t="n">
        <v>11267</v>
      </c>
      <c r="M435" s="12" t="s">
        <v>41</v>
      </c>
      <c r="N435" s="12" t="s">
        <v>35</v>
      </c>
      <c r="P435" s="10" t="n">
        <v>103</v>
      </c>
      <c r="Q435" s="12" t="s">
        <v>36</v>
      </c>
      <c r="R435" s="12" t="s">
        <v>37</v>
      </c>
      <c r="S435" s="10" t="n">
        <v>1130101</v>
      </c>
      <c r="T435" s="12" t="s">
        <v>38</v>
      </c>
      <c r="U435" s="13" t="n">
        <v>396.96</v>
      </c>
      <c r="W435" s="13" t="n">
        <v>0</v>
      </c>
      <c r="X435" s="12" t="s">
        <v>665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70</v>
      </c>
      <c r="F436" s="10" t="n">
        <v>34</v>
      </c>
      <c r="G436" s="12" t="s">
        <v>71</v>
      </c>
      <c r="H436" s="10" t="n">
        <v>2110101</v>
      </c>
      <c r="I436" s="12" t="s">
        <v>33</v>
      </c>
      <c r="J436" s="10" t="n">
        <v>1261388</v>
      </c>
      <c r="L436" s="10" t="n">
        <v>5133</v>
      </c>
      <c r="M436" s="12" t="s">
        <v>41</v>
      </c>
      <c r="N436" s="12" t="s">
        <v>35</v>
      </c>
      <c r="P436" s="10" t="n">
        <v>104</v>
      </c>
      <c r="Q436" s="12" t="s">
        <v>99</v>
      </c>
      <c r="R436" s="12" t="s">
        <v>37</v>
      </c>
      <c r="S436" s="10" t="n">
        <v>1130101</v>
      </c>
      <c r="T436" s="12" t="s">
        <v>38</v>
      </c>
      <c r="U436" s="13" t="n">
        <v>1446</v>
      </c>
      <c r="W436" s="13" t="n">
        <v>0</v>
      </c>
      <c r="X436" s="12" t="s">
        <v>220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221</v>
      </c>
      <c r="F437" s="10" t="n">
        <v>34</v>
      </c>
      <c r="G437" s="12" t="s">
        <v>71</v>
      </c>
      <c r="H437" s="10" t="n">
        <v>2110101</v>
      </c>
      <c r="I437" s="12" t="s">
        <v>33</v>
      </c>
      <c r="J437" s="10" t="n">
        <v>1261482</v>
      </c>
      <c r="L437" s="10" t="n">
        <v>14692</v>
      </c>
      <c r="M437" s="12" t="s">
        <v>41</v>
      </c>
      <c r="N437" s="12" t="s">
        <v>35</v>
      </c>
      <c r="P437" s="10" t="n">
        <v>104</v>
      </c>
      <c r="Q437" s="12" t="s">
        <v>99</v>
      </c>
      <c r="R437" s="12" t="s">
        <v>37</v>
      </c>
      <c r="S437" s="10" t="n">
        <v>1130101</v>
      </c>
      <c r="T437" s="12" t="s">
        <v>38</v>
      </c>
      <c r="U437" s="13" t="n">
        <v>880</v>
      </c>
      <c r="W437" s="13" t="n">
        <v>0</v>
      </c>
      <c r="X437" s="12" t="s">
        <v>666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70</v>
      </c>
      <c r="F438" s="10" t="n">
        <v>34</v>
      </c>
      <c r="G438" s="12" t="s">
        <v>71</v>
      </c>
      <c r="H438" s="10" t="n">
        <v>2110101</v>
      </c>
      <c r="I438" s="12" t="s">
        <v>33</v>
      </c>
      <c r="J438" s="10" t="n">
        <v>1262590</v>
      </c>
      <c r="L438" s="10" t="n">
        <v>5143</v>
      </c>
      <c r="M438" s="12" t="s">
        <v>41</v>
      </c>
      <c r="N438" s="12" t="s">
        <v>35</v>
      </c>
      <c r="P438" s="10" t="n">
        <v>104</v>
      </c>
      <c r="Q438" s="12" t="s">
        <v>99</v>
      </c>
      <c r="R438" s="12" t="s">
        <v>37</v>
      </c>
      <c r="S438" s="10" t="n">
        <v>1130101</v>
      </c>
      <c r="T438" s="12" t="s">
        <v>38</v>
      </c>
      <c r="U438" s="13" t="n">
        <v>1800</v>
      </c>
      <c r="W438" s="13" t="n">
        <v>0</v>
      </c>
      <c r="X438" s="12" t="s">
        <v>667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70</v>
      </c>
      <c r="F439" s="10" t="n">
        <v>13</v>
      </c>
      <c r="G439" s="12" t="s">
        <v>98</v>
      </c>
      <c r="H439" s="10" t="n">
        <v>2110101</v>
      </c>
      <c r="I439" s="12" t="s">
        <v>33</v>
      </c>
      <c r="J439" s="10" t="n">
        <v>1265003</v>
      </c>
      <c r="L439" s="10" t="n">
        <v>5144</v>
      </c>
      <c r="M439" s="12" t="s">
        <v>41</v>
      </c>
      <c r="N439" s="12" t="s">
        <v>35</v>
      </c>
      <c r="P439" s="10" t="n">
        <v>104</v>
      </c>
      <c r="Q439" s="12" t="s">
        <v>99</v>
      </c>
      <c r="R439" s="12" t="s">
        <v>37</v>
      </c>
      <c r="S439" s="10" t="n">
        <v>1130101</v>
      </c>
      <c r="T439" s="12" t="s">
        <v>38</v>
      </c>
      <c r="U439" s="13" t="n">
        <v>221</v>
      </c>
      <c r="W439" s="13" t="n">
        <v>221</v>
      </c>
      <c r="X439" s="12" t="s">
        <v>101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70</v>
      </c>
      <c r="F440" s="10" t="n">
        <v>13</v>
      </c>
      <c r="G440" s="12" t="s">
        <v>98</v>
      </c>
      <c r="H440" s="10" t="n">
        <v>2110101</v>
      </c>
      <c r="I440" s="12" t="s">
        <v>33</v>
      </c>
      <c r="J440" s="10" t="n">
        <v>1265184</v>
      </c>
      <c r="L440" s="10" t="n">
        <v>5145</v>
      </c>
      <c r="M440" s="12" t="s">
        <v>41</v>
      </c>
      <c r="N440" s="12" t="s">
        <v>35</v>
      </c>
      <c r="P440" s="10" t="n">
        <v>104</v>
      </c>
      <c r="Q440" s="12" t="s">
        <v>99</v>
      </c>
      <c r="R440" s="12" t="s">
        <v>37</v>
      </c>
      <c r="S440" s="10" t="n">
        <v>1130101</v>
      </c>
      <c r="T440" s="12" t="s">
        <v>38</v>
      </c>
      <c r="U440" s="13" t="n">
        <v>325</v>
      </c>
      <c r="W440" s="13" t="n">
        <v>325</v>
      </c>
      <c r="X440" s="12" t="s">
        <v>101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201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1265196</v>
      </c>
      <c r="L441" s="10" t="n">
        <v>1414636</v>
      </c>
      <c r="M441" s="12" t="s">
        <v>41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1397.26</v>
      </c>
      <c r="W441" s="13" t="n">
        <v>0</v>
      </c>
      <c r="X441" s="12" t="s">
        <v>668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70</v>
      </c>
      <c r="F442" s="10" t="n">
        <v>13</v>
      </c>
      <c r="G442" s="12" t="s">
        <v>98</v>
      </c>
      <c r="H442" s="10" t="n">
        <v>2110101</v>
      </c>
      <c r="I442" s="12" t="s">
        <v>33</v>
      </c>
      <c r="J442" s="10" t="n">
        <v>1265303</v>
      </c>
      <c r="L442" s="10" t="n">
        <v>5146</v>
      </c>
      <c r="M442" s="12" t="s">
        <v>41</v>
      </c>
      <c r="N442" s="12" t="s">
        <v>35</v>
      </c>
      <c r="P442" s="10" t="n">
        <v>104</v>
      </c>
      <c r="Q442" s="12" t="s">
        <v>99</v>
      </c>
      <c r="R442" s="12" t="s">
        <v>37</v>
      </c>
      <c r="S442" s="10" t="n">
        <v>1130101</v>
      </c>
      <c r="T442" s="12" t="s">
        <v>38</v>
      </c>
      <c r="U442" s="13" t="n">
        <v>390</v>
      </c>
      <c r="W442" s="13" t="n">
        <v>390</v>
      </c>
      <c r="X442" s="12" t="s">
        <v>101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70</v>
      </c>
      <c r="F443" s="10" t="n">
        <v>13</v>
      </c>
      <c r="G443" s="12" t="s">
        <v>98</v>
      </c>
      <c r="H443" s="10" t="n">
        <v>2110101</v>
      </c>
      <c r="I443" s="12" t="s">
        <v>33</v>
      </c>
      <c r="J443" s="10" t="n">
        <v>1265341</v>
      </c>
      <c r="L443" s="10" t="n">
        <v>5147</v>
      </c>
      <c r="M443" s="12" t="s">
        <v>41</v>
      </c>
      <c r="N443" s="12" t="s">
        <v>35</v>
      </c>
      <c r="P443" s="10" t="n">
        <v>104</v>
      </c>
      <c r="Q443" s="12" t="s">
        <v>99</v>
      </c>
      <c r="R443" s="12" t="s">
        <v>37</v>
      </c>
      <c r="S443" s="10" t="n">
        <v>1130101</v>
      </c>
      <c r="T443" s="12" t="s">
        <v>38</v>
      </c>
      <c r="U443" s="13" t="n">
        <v>260</v>
      </c>
      <c r="W443" s="13" t="n">
        <v>260</v>
      </c>
      <c r="X443" s="12" t="s">
        <v>101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70</v>
      </c>
      <c r="F444" s="10" t="n">
        <v>13</v>
      </c>
      <c r="G444" s="12" t="s">
        <v>98</v>
      </c>
      <c r="H444" s="10" t="n">
        <v>2110101</v>
      </c>
      <c r="I444" s="12" t="s">
        <v>33</v>
      </c>
      <c r="J444" s="10" t="n">
        <v>1265382</v>
      </c>
      <c r="L444" s="10" t="n">
        <v>5148</v>
      </c>
      <c r="M444" s="12" t="s">
        <v>41</v>
      </c>
      <c r="N444" s="12" t="s">
        <v>35</v>
      </c>
      <c r="P444" s="10" t="n">
        <v>104</v>
      </c>
      <c r="Q444" s="12" t="s">
        <v>99</v>
      </c>
      <c r="R444" s="12" t="s">
        <v>37</v>
      </c>
      <c r="S444" s="10" t="n">
        <v>1130101</v>
      </c>
      <c r="T444" s="12" t="s">
        <v>38</v>
      </c>
      <c r="U444" s="13" t="n">
        <v>260</v>
      </c>
      <c r="W444" s="13" t="n">
        <v>260</v>
      </c>
      <c r="X444" s="12" t="s">
        <v>101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70</v>
      </c>
      <c r="F445" s="10" t="n">
        <v>13</v>
      </c>
      <c r="G445" s="12" t="s">
        <v>98</v>
      </c>
      <c r="H445" s="10" t="n">
        <v>2110101</v>
      </c>
      <c r="I445" s="12" t="s">
        <v>33</v>
      </c>
      <c r="J445" s="10" t="n">
        <v>1265457</v>
      </c>
      <c r="L445" s="10" t="n">
        <v>5149</v>
      </c>
      <c r="M445" s="12" t="s">
        <v>41</v>
      </c>
      <c r="N445" s="12" t="s">
        <v>35</v>
      </c>
      <c r="P445" s="10" t="n">
        <v>104</v>
      </c>
      <c r="Q445" s="12" t="s">
        <v>99</v>
      </c>
      <c r="R445" s="12" t="s">
        <v>37</v>
      </c>
      <c r="S445" s="10" t="n">
        <v>1130101</v>
      </c>
      <c r="T445" s="12" t="s">
        <v>38</v>
      </c>
      <c r="U445" s="13" t="n">
        <v>260</v>
      </c>
      <c r="W445" s="13" t="n">
        <v>260</v>
      </c>
      <c r="X445" s="12" t="s">
        <v>101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70</v>
      </c>
      <c r="F446" s="10" t="n">
        <v>13</v>
      </c>
      <c r="G446" s="12" t="s">
        <v>98</v>
      </c>
      <c r="H446" s="10" t="n">
        <v>2110101</v>
      </c>
      <c r="I446" s="12" t="s">
        <v>33</v>
      </c>
      <c r="J446" s="10" t="n">
        <v>1265764</v>
      </c>
      <c r="L446" s="10" t="n">
        <v>5150</v>
      </c>
      <c r="M446" s="12" t="s">
        <v>41</v>
      </c>
      <c r="N446" s="12" t="s">
        <v>35</v>
      </c>
      <c r="P446" s="10" t="n">
        <v>104</v>
      </c>
      <c r="Q446" s="12" t="s">
        <v>99</v>
      </c>
      <c r="R446" s="12" t="s">
        <v>37</v>
      </c>
      <c r="S446" s="10" t="n">
        <v>1130101</v>
      </c>
      <c r="T446" s="12" t="s">
        <v>38</v>
      </c>
      <c r="U446" s="13" t="n">
        <v>325</v>
      </c>
      <c r="W446" s="13" t="n">
        <v>325</v>
      </c>
      <c r="X446" s="12" t="s">
        <v>101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70</v>
      </c>
      <c r="F447" s="10" t="n">
        <v>13</v>
      </c>
      <c r="G447" s="12" t="s">
        <v>98</v>
      </c>
      <c r="H447" s="10" t="n">
        <v>2110101</v>
      </c>
      <c r="I447" s="12" t="s">
        <v>33</v>
      </c>
      <c r="J447" s="10" t="n">
        <v>1265892</v>
      </c>
      <c r="L447" s="10" t="n">
        <v>5151</v>
      </c>
      <c r="M447" s="12" t="s">
        <v>41</v>
      </c>
      <c r="N447" s="12" t="s">
        <v>35</v>
      </c>
      <c r="P447" s="10" t="n">
        <v>104</v>
      </c>
      <c r="Q447" s="12" t="s">
        <v>99</v>
      </c>
      <c r="R447" s="12" t="s">
        <v>37</v>
      </c>
      <c r="S447" s="10" t="n">
        <v>1130101</v>
      </c>
      <c r="T447" s="12" t="s">
        <v>38</v>
      </c>
      <c r="U447" s="13" t="n">
        <v>350</v>
      </c>
      <c r="W447" s="13" t="n">
        <v>350</v>
      </c>
      <c r="X447" s="12" t="s">
        <v>101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643</v>
      </c>
      <c r="F448" s="10" t="n">
        <v>34</v>
      </c>
      <c r="G448" s="12" t="s">
        <v>71</v>
      </c>
      <c r="H448" s="10" t="n">
        <v>1110202</v>
      </c>
      <c r="I448" s="12" t="s">
        <v>285</v>
      </c>
      <c r="J448" s="10" t="n">
        <v>1370198</v>
      </c>
      <c r="L448" s="10" t="n">
        <v>565616</v>
      </c>
      <c r="M448" s="12" t="s">
        <v>41</v>
      </c>
      <c r="N448" s="12" t="s">
        <v>42</v>
      </c>
      <c r="P448" s="10" t="n">
        <v>102</v>
      </c>
      <c r="Q448" s="12" t="s">
        <v>107</v>
      </c>
      <c r="R448" s="12" t="s">
        <v>91</v>
      </c>
      <c r="S448" s="10" t="n">
        <v>4220199</v>
      </c>
      <c r="T448" s="12" t="s">
        <v>92</v>
      </c>
      <c r="U448" s="13" t="n">
        <v>690</v>
      </c>
      <c r="W448" s="13" t="n">
        <v>0</v>
      </c>
      <c r="X448" s="12" t="s">
        <v>669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597</v>
      </c>
      <c r="F449" s="10" t="n">
        <v>24</v>
      </c>
      <c r="G449" s="12" t="s">
        <v>32</v>
      </c>
      <c r="H449" s="10" t="n">
        <v>1110202</v>
      </c>
      <c r="I449" s="12" t="s">
        <v>285</v>
      </c>
      <c r="J449" s="10" t="n">
        <v>1464535</v>
      </c>
      <c r="L449" s="10" t="n">
        <v>602070</v>
      </c>
      <c r="M449" s="12" t="s">
        <v>41</v>
      </c>
      <c r="N449" s="12" t="s">
        <v>42</v>
      </c>
      <c r="P449" s="10" t="n">
        <v>102</v>
      </c>
      <c r="Q449" s="12" t="s">
        <v>107</v>
      </c>
      <c r="R449" s="12" t="s">
        <v>60</v>
      </c>
      <c r="S449" s="10" t="n">
        <v>4210206</v>
      </c>
      <c r="T449" s="12" t="s">
        <v>232</v>
      </c>
      <c r="U449" s="13" t="n">
        <v>27.93</v>
      </c>
      <c r="W449" s="13" t="n">
        <v>0</v>
      </c>
      <c r="X449" s="12" t="s">
        <v>670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182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1057743</v>
      </c>
      <c r="L450" s="10" t="n">
        <v>10336</v>
      </c>
      <c r="M450" s="12" t="s">
        <v>128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250.35</v>
      </c>
      <c r="W450" s="13" t="n">
        <v>0</v>
      </c>
      <c r="X450" s="12" t="s">
        <v>671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189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1089077</v>
      </c>
      <c r="L451" s="10" t="n">
        <v>33621</v>
      </c>
      <c r="M451" s="12" t="s">
        <v>128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2792.58</v>
      </c>
      <c r="W451" s="13" t="n">
        <v>0</v>
      </c>
      <c r="X451" s="12" t="s">
        <v>672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244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1107368</v>
      </c>
      <c r="L452" s="10" t="n">
        <v>653787</v>
      </c>
      <c r="M452" s="12" t="s">
        <v>128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2249.86</v>
      </c>
      <c r="W452" s="13" t="n">
        <v>0</v>
      </c>
      <c r="X452" s="12" t="s">
        <v>673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51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1131052</v>
      </c>
      <c r="L453" s="10" t="n">
        <v>1658555</v>
      </c>
      <c r="M453" s="12" t="s">
        <v>41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1405.43</v>
      </c>
      <c r="W453" s="13" t="n">
        <v>0</v>
      </c>
      <c r="X453" s="12" t="s">
        <v>674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260</v>
      </c>
      <c r="F454" s="10" t="n">
        <v>24</v>
      </c>
      <c r="G454" s="12" t="s">
        <v>32</v>
      </c>
      <c r="H454" s="10" t="n">
        <v>2110101</v>
      </c>
      <c r="I454" s="12" t="s">
        <v>33</v>
      </c>
      <c r="J454" s="10" t="n">
        <v>1156884</v>
      </c>
      <c r="L454" s="10" t="n">
        <v>573</v>
      </c>
      <c r="M454" s="12" t="s">
        <v>394</v>
      </c>
      <c r="N454" s="12" t="s">
        <v>35</v>
      </c>
      <c r="P454" s="10" t="n">
        <v>103</v>
      </c>
      <c r="Q454" s="12" t="s">
        <v>36</v>
      </c>
      <c r="R454" s="12" t="s">
        <v>37</v>
      </c>
      <c r="S454" s="10" t="n">
        <v>1130101</v>
      </c>
      <c r="T454" s="12" t="s">
        <v>38</v>
      </c>
      <c r="U454" s="13" t="n">
        <v>503.26</v>
      </c>
      <c r="W454" s="13" t="n">
        <v>0</v>
      </c>
      <c r="X454" s="12" t="s">
        <v>675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517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1157756</v>
      </c>
      <c r="L455" s="10" t="n">
        <v>642821</v>
      </c>
      <c r="M455" s="12" t="s">
        <v>34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1890.87</v>
      </c>
      <c r="W455" s="13" t="n">
        <v>0</v>
      </c>
      <c r="X455" s="12" t="s">
        <v>676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258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1167981</v>
      </c>
      <c r="L456" s="10" t="n">
        <v>1231083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37</v>
      </c>
      <c r="S456" s="10" t="n">
        <v>1130101</v>
      </c>
      <c r="T456" s="12" t="s">
        <v>38</v>
      </c>
      <c r="U456" s="13" t="n">
        <v>853.29</v>
      </c>
      <c r="W456" s="13" t="n">
        <v>0</v>
      </c>
      <c r="X456" s="12" t="s">
        <v>677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206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1171433</v>
      </c>
      <c r="L457" s="10" t="n">
        <v>488192</v>
      </c>
      <c r="M457" s="12" t="s">
        <v>128</v>
      </c>
      <c r="N457" s="12" t="s">
        <v>42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4056.85</v>
      </c>
      <c r="W457" s="13" t="n">
        <v>0</v>
      </c>
      <c r="X457" s="12" t="s">
        <v>678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1227398</v>
      </c>
      <c r="L458" s="10" t="n">
        <v>20167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4521.75</v>
      </c>
      <c r="W458" s="13" t="n">
        <v>0</v>
      </c>
      <c r="X458" s="12" t="s">
        <v>679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148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1227988</v>
      </c>
      <c r="L459" s="10" t="n">
        <v>1863100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4277.67</v>
      </c>
      <c r="W459" s="13" t="n">
        <v>0</v>
      </c>
      <c r="X459" s="12" t="s">
        <v>680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148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1228090</v>
      </c>
      <c r="L460" s="10" t="n">
        <v>1149037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4071.75</v>
      </c>
      <c r="W460" s="13" t="n">
        <v>0</v>
      </c>
      <c r="X460" s="12" t="s">
        <v>681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195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1236408</v>
      </c>
      <c r="L461" s="10" t="n">
        <v>843140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220.27</v>
      </c>
      <c r="W461" s="13" t="n">
        <v>0</v>
      </c>
      <c r="X461" s="12" t="s">
        <v>682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66</v>
      </c>
      <c r="F462" s="10" t="n">
        <v>24</v>
      </c>
      <c r="G462" s="12" t="s">
        <v>32</v>
      </c>
      <c r="H462" s="10" t="n">
        <v>2110101</v>
      </c>
      <c r="I462" s="12" t="s">
        <v>33</v>
      </c>
      <c r="J462" s="10" t="n">
        <v>1243964</v>
      </c>
      <c r="L462" s="10" t="n">
        <v>11250</v>
      </c>
      <c r="M462" s="12" t="s">
        <v>34</v>
      </c>
      <c r="N462" s="12" t="s">
        <v>35</v>
      </c>
      <c r="P462" s="10" t="n">
        <v>103</v>
      </c>
      <c r="Q462" s="12" t="s">
        <v>36</v>
      </c>
      <c r="R462" s="12" t="s">
        <v>37</v>
      </c>
      <c r="S462" s="10" t="n">
        <v>1130101</v>
      </c>
      <c r="T462" s="12" t="s">
        <v>38</v>
      </c>
      <c r="U462" s="13" t="n">
        <v>566.19</v>
      </c>
      <c r="W462" s="13" t="n">
        <v>0</v>
      </c>
      <c r="X462" s="12" t="s">
        <v>683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70</v>
      </c>
      <c r="F463" s="10" t="n">
        <v>34</v>
      </c>
      <c r="G463" s="12" t="s">
        <v>71</v>
      </c>
      <c r="H463" s="10" t="n">
        <v>2110101</v>
      </c>
      <c r="I463" s="12" t="s">
        <v>33</v>
      </c>
      <c r="J463" s="10" t="n">
        <v>1244611</v>
      </c>
      <c r="L463" s="10" t="n">
        <v>5115</v>
      </c>
      <c r="M463" s="12" t="s">
        <v>41</v>
      </c>
      <c r="N463" s="12" t="s">
        <v>35</v>
      </c>
      <c r="P463" s="10" t="n">
        <v>104</v>
      </c>
      <c r="Q463" s="12" t="s">
        <v>99</v>
      </c>
      <c r="R463" s="12" t="s">
        <v>37</v>
      </c>
      <c r="S463" s="10" t="n">
        <v>1130101</v>
      </c>
      <c r="T463" s="12" t="s">
        <v>38</v>
      </c>
      <c r="U463" s="13" t="n">
        <v>1100</v>
      </c>
      <c r="W463" s="13" t="n">
        <v>0</v>
      </c>
      <c r="X463" s="12" t="s">
        <v>684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74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1254937</v>
      </c>
      <c r="L464" s="10" t="n">
        <v>663</v>
      </c>
      <c r="M464" s="12" t="s">
        <v>41</v>
      </c>
      <c r="N464" s="12" t="s">
        <v>35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851.65</v>
      </c>
      <c r="W464" s="13" t="n">
        <v>0</v>
      </c>
      <c r="X464" s="12" t="s">
        <v>685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1255298</v>
      </c>
      <c r="L465" s="10" t="n">
        <v>852034</v>
      </c>
      <c r="M465" s="12" t="s">
        <v>41</v>
      </c>
      <c r="N465" s="12" t="s">
        <v>35</v>
      </c>
      <c r="P465" s="10" t="n">
        <v>103</v>
      </c>
      <c r="Q465" s="12" t="s">
        <v>36</v>
      </c>
      <c r="R465" s="12" t="s">
        <v>108</v>
      </c>
      <c r="S465" s="10" t="n">
        <v>4210501</v>
      </c>
      <c r="T465" s="12" t="s">
        <v>686</v>
      </c>
      <c r="U465" s="13" t="n">
        <v>4129.32</v>
      </c>
      <c r="W465" s="13" t="n">
        <v>0</v>
      </c>
      <c r="X465" s="12" t="s">
        <v>687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688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1256431</v>
      </c>
      <c r="L466" s="10" t="n">
        <v>581434</v>
      </c>
      <c r="M466" s="12" t="s">
        <v>41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829</v>
      </c>
      <c r="W466" s="13" t="n">
        <v>0</v>
      </c>
      <c r="X466" s="12" t="s">
        <v>689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278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1256636</v>
      </c>
      <c r="L467" s="10" t="n">
        <v>30919</v>
      </c>
      <c r="M467" s="12" t="s">
        <v>41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493.5</v>
      </c>
      <c r="W467" s="13" t="n">
        <v>0</v>
      </c>
      <c r="X467" s="12" t="s">
        <v>690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157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1256963</v>
      </c>
      <c r="L468" s="10" t="n">
        <v>31049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3542.5</v>
      </c>
      <c r="W468" s="13" t="n">
        <v>0</v>
      </c>
      <c r="X468" s="12" t="s">
        <v>691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161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1261737</v>
      </c>
      <c r="L469" s="10" t="n">
        <v>500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540</v>
      </c>
      <c r="W469" s="13" t="n">
        <v>0</v>
      </c>
      <c r="X469" s="12" t="s">
        <v>692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74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1266173</v>
      </c>
      <c r="L470" s="10" t="n">
        <v>661</v>
      </c>
      <c r="M470" s="12" t="s">
        <v>41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750</v>
      </c>
      <c r="W470" s="13" t="n">
        <v>0</v>
      </c>
      <c r="X470" s="12" t="s">
        <v>693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643</v>
      </c>
      <c r="F471" s="10" t="n">
        <v>34</v>
      </c>
      <c r="G471" s="12" t="s">
        <v>71</v>
      </c>
      <c r="H471" s="10" t="n">
        <v>2110405</v>
      </c>
      <c r="I471" s="12" t="s">
        <v>83</v>
      </c>
      <c r="J471" s="10" t="n">
        <v>1309516</v>
      </c>
      <c r="L471" s="10" t="n">
        <v>541968</v>
      </c>
      <c r="M471" s="12" t="s">
        <v>41</v>
      </c>
      <c r="N471" s="12" t="s">
        <v>42</v>
      </c>
      <c r="P471" s="10" t="n">
        <v>101</v>
      </c>
      <c r="Q471" s="12" t="s">
        <v>84</v>
      </c>
      <c r="R471" s="12" t="s">
        <v>165</v>
      </c>
      <c r="S471" s="10" t="n">
        <v>2110901</v>
      </c>
      <c r="T471" s="12" t="s">
        <v>166</v>
      </c>
      <c r="U471" s="13" t="n">
        <v>3370.37</v>
      </c>
      <c r="W471" s="13" t="n">
        <v>0</v>
      </c>
      <c r="X471" s="12" t="s">
        <v>694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51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1107211</v>
      </c>
      <c r="L472" s="10" t="n">
        <v>1655460</v>
      </c>
      <c r="M472" s="12" t="s">
        <v>128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1761.42</v>
      </c>
      <c r="W472" s="13" t="n">
        <v>0</v>
      </c>
      <c r="X472" s="12" t="s">
        <v>695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148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1141589</v>
      </c>
      <c r="L473" s="10" t="n">
        <v>476457</v>
      </c>
      <c r="M473" s="12" t="s">
        <v>41</v>
      </c>
      <c r="N473" s="12" t="s">
        <v>42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185.19</v>
      </c>
      <c r="W473" s="13" t="n">
        <v>0</v>
      </c>
      <c r="X473" s="12" t="s">
        <v>696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1162093</v>
      </c>
      <c r="L474" s="10" t="n">
        <v>155121</v>
      </c>
      <c r="M474" s="12" t="s">
        <v>34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1118.57</v>
      </c>
      <c r="W474" s="13" t="n">
        <v>0</v>
      </c>
      <c r="X474" s="12" t="s">
        <v>697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371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1167683</v>
      </c>
      <c r="L475" s="10" t="n">
        <v>302508</v>
      </c>
      <c r="M475" s="12" t="s">
        <v>34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769.83</v>
      </c>
      <c r="W475" s="13" t="n">
        <v>0</v>
      </c>
      <c r="X475" s="12" t="s">
        <v>698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31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1170738</v>
      </c>
      <c r="L476" s="10" t="n">
        <v>561905</v>
      </c>
      <c r="M476" s="12" t="s">
        <v>128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3991.79</v>
      </c>
      <c r="W476" s="13" t="n">
        <v>0</v>
      </c>
      <c r="X476" s="12" t="s">
        <v>699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182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1177308</v>
      </c>
      <c r="L477" s="10" t="n">
        <v>10643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319.72</v>
      </c>
      <c r="W477" s="13" t="n">
        <v>0</v>
      </c>
      <c r="X477" s="12" t="s">
        <v>700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540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1177340</v>
      </c>
      <c r="L478" s="10" t="n">
        <v>2068</v>
      </c>
      <c r="M478" s="12" t="s">
        <v>34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1609.45</v>
      </c>
      <c r="W478" s="13" t="n">
        <v>0</v>
      </c>
      <c r="X478" s="12" t="s">
        <v>701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51</v>
      </c>
      <c r="F479" s="10" t="n">
        <v>24</v>
      </c>
      <c r="G479" s="12" t="s">
        <v>32</v>
      </c>
      <c r="H479" s="10" t="n">
        <v>2110101</v>
      </c>
      <c r="I479" s="12" t="s">
        <v>33</v>
      </c>
      <c r="J479" s="10" t="n">
        <v>1191825</v>
      </c>
      <c r="L479" s="10" t="n">
        <v>1664084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37</v>
      </c>
      <c r="S479" s="10" t="n">
        <v>1130101</v>
      </c>
      <c r="T479" s="12" t="s">
        <v>38</v>
      </c>
      <c r="U479" s="13" t="n">
        <v>2151.28</v>
      </c>
      <c r="W479" s="13" t="n">
        <v>0</v>
      </c>
      <c r="X479" s="12" t="s">
        <v>702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703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1212483</v>
      </c>
      <c r="L480" s="10" t="n">
        <v>1383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1857.2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309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1221640</v>
      </c>
      <c r="L481" s="10" t="n">
        <v>2488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574.5</v>
      </c>
      <c r="W481" s="13" t="n">
        <v>0</v>
      </c>
      <c r="X481" s="12" t="s">
        <v>705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371</v>
      </c>
      <c r="F482" s="10" t="n">
        <v>24</v>
      </c>
      <c r="G482" s="12" t="s">
        <v>32</v>
      </c>
      <c r="H482" s="10" t="n">
        <v>2110101</v>
      </c>
      <c r="I482" s="12" t="s">
        <v>33</v>
      </c>
      <c r="J482" s="10" t="n">
        <v>1222961</v>
      </c>
      <c r="L482" s="10" t="n">
        <v>303409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1037.83</v>
      </c>
      <c r="W482" s="13" t="n">
        <v>0</v>
      </c>
      <c r="X482" s="12" t="s">
        <v>706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144</v>
      </c>
      <c r="F483" s="10" t="n">
        <v>24</v>
      </c>
      <c r="G483" s="12" t="s">
        <v>32</v>
      </c>
      <c r="H483" s="10" t="n">
        <v>2110101</v>
      </c>
      <c r="I483" s="12" t="s">
        <v>33</v>
      </c>
      <c r="J483" s="10" t="n">
        <v>1227453</v>
      </c>
      <c r="L483" s="10" t="n">
        <v>37663</v>
      </c>
      <c r="M483" s="12" t="s">
        <v>41</v>
      </c>
      <c r="N483" s="12" t="s">
        <v>35</v>
      </c>
      <c r="P483" s="10" t="n">
        <v>103</v>
      </c>
      <c r="Q483" s="12" t="s">
        <v>36</v>
      </c>
      <c r="R483" s="12" t="s">
        <v>37</v>
      </c>
      <c r="S483" s="10" t="n">
        <v>1130101</v>
      </c>
      <c r="T483" s="12" t="s">
        <v>38</v>
      </c>
      <c r="U483" s="13" t="n">
        <v>3462.45</v>
      </c>
      <c r="W483" s="13" t="n">
        <v>0</v>
      </c>
      <c r="X483" s="12" t="s">
        <v>707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253</v>
      </c>
      <c r="F484" s="10" t="n">
        <v>24</v>
      </c>
      <c r="G484" s="12" t="s">
        <v>32</v>
      </c>
      <c r="H484" s="10" t="n">
        <v>2110101</v>
      </c>
      <c r="I484" s="12" t="s">
        <v>33</v>
      </c>
      <c r="J484" s="10" t="n">
        <v>1227461</v>
      </c>
      <c r="L484" s="10" t="n">
        <v>195679</v>
      </c>
      <c r="M484" s="12" t="s">
        <v>41</v>
      </c>
      <c r="N484" s="12" t="s">
        <v>35</v>
      </c>
      <c r="P484" s="10" t="n">
        <v>103</v>
      </c>
      <c r="Q484" s="12" t="s">
        <v>36</v>
      </c>
      <c r="R484" s="12" t="s">
        <v>37</v>
      </c>
      <c r="S484" s="10" t="n">
        <v>1130101</v>
      </c>
      <c r="T484" s="12" t="s">
        <v>38</v>
      </c>
      <c r="U484" s="13" t="n">
        <v>632.94</v>
      </c>
      <c r="W484" s="13" t="n">
        <v>0</v>
      </c>
      <c r="X484" s="12" t="s">
        <v>708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211</v>
      </c>
      <c r="F485" s="10" t="n">
        <v>34</v>
      </c>
      <c r="G485" s="12" t="s">
        <v>71</v>
      </c>
      <c r="H485" s="10" t="n">
        <v>2110101</v>
      </c>
      <c r="I485" s="12" t="s">
        <v>33</v>
      </c>
      <c r="J485" s="10" t="n">
        <v>1257059</v>
      </c>
      <c r="L485" s="10" t="n">
        <v>14472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5744.5</v>
      </c>
      <c r="W485" s="13" t="n">
        <v>0</v>
      </c>
      <c r="X485" s="12" t="s">
        <v>709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551</v>
      </c>
      <c r="F486" s="10" t="n">
        <v>24</v>
      </c>
      <c r="G486" s="12" t="s">
        <v>32</v>
      </c>
      <c r="H486" s="10" t="n">
        <v>2110101</v>
      </c>
      <c r="I486" s="12" t="s">
        <v>33</v>
      </c>
      <c r="J486" s="10" t="n">
        <v>1228300</v>
      </c>
      <c r="L486" s="10" t="n">
        <v>385264</v>
      </c>
      <c r="M486" s="12" t="s">
        <v>34</v>
      </c>
      <c r="N486" s="12" t="s">
        <v>35</v>
      </c>
      <c r="P486" s="10" t="n">
        <v>103</v>
      </c>
      <c r="Q486" s="12" t="s">
        <v>36</v>
      </c>
      <c r="R486" s="12" t="s">
        <v>37</v>
      </c>
      <c r="S486" s="10" t="n">
        <v>1130101</v>
      </c>
      <c r="T486" s="12" t="s">
        <v>38</v>
      </c>
      <c r="U486" s="13" t="n">
        <v>1777.43</v>
      </c>
      <c r="W486" s="13" t="n">
        <v>0</v>
      </c>
      <c r="X486" s="12" t="s">
        <v>710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323</v>
      </c>
      <c r="F487" s="10" t="n">
        <v>24</v>
      </c>
      <c r="G487" s="12" t="s">
        <v>32</v>
      </c>
      <c r="H487" s="10" t="n">
        <v>2110101</v>
      </c>
      <c r="I487" s="12" t="s">
        <v>33</v>
      </c>
      <c r="J487" s="10" t="n">
        <v>1254875</v>
      </c>
      <c r="L487" s="10" t="n">
        <v>3756</v>
      </c>
      <c r="M487" s="12" t="s">
        <v>41</v>
      </c>
      <c r="N487" s="12" t="s">
        <v>35</v>
      </c>
      <c r="P487" s="10" t="n">
        <v>103</v>
      </c>
      <c r="Q487" s="12" t="s">
        <v>36</v>
      </c>
      <c r="R487" s="12" t="s">
        <v>37</v>
      </c>
      <c r="S487" s="10" t="n">
        <v>1130101</v>
      </c>
      <c r="T487" s="12" t="s">
        <v>38</v>
      </c>
      <c r="U487" s="13" t="n">
        <v>290</v>
      </c>
      <c r="W487" s="13" t="n">
        <v>0</v>
      </c>
      <c r="X487" s="12" t="s">
        <v>711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319</v>
      </c>
      <c r="F488" s="10" t="n">
        <v>24</v>
      </c>
      <c r="G488" s="12" t="s">
        <v>32</v>
      </c>
      <c r="H488" s="10" t="n">
        <v>2110101</v>
      </c>
      <c r="I488" s="12" t="s">
        <v>33</v>
      </c>
      <c r="J488" s="10" t="n">
        <v>1255236</v>
      </c>
      <c r="L488" s="10" t="n">
        <v>10085</v>
      </c>
      <c r="M488" s="12" t="s">
        <v>41</v>
      </c>
      <c r="N488" s="12" t="s">
        <v>35</v>
      </c>
      <c r="P488" s="10" t="n">
        <v>103</v>
      </c>
      <c r="Q488" s="12" t="s">
        <v>36</v>
      </c>
      <c r="R488" s="12" t="s">
        <v>37</v>
      </c>
      <c r="S488" s="10" t="n">
        <v>1130101</v>
      </c>
      <c r="T488" s="12" t="s">
        <v>38</v>
      </c>
      <c r="U488" s="13" t="n">
        <v>1458</v>
      </c>
      <c r="W488" s="13" t="n">
        <v>0</v>
      </c>
      <c r="X488" s="12" t="s">
        <v>712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321</v>
      </c>
      <c r="F489" s="10" t="n">
        <v>24</v>
      </c>
      <c r="G489" s="12" t="s">
        <v>32</v>
      </c>
      <c r="H489" s="10" t="n">
        <v>2110102</v>
      </c>
      <c r="I489" s="12" t="s">
        <v>59</v>
      </c>
      <c r="J489" s="10" t="n">
        <v>1255264</v>
      </c>
      <c r="L489" s="10" t="n">
        <v>3396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60</v>
      </c>
      <c r="S489" s="10" t="n">
        <v>4210204</v>
      </c>
      <c r="T489" s="12" t="s">
        <v>61</v>
      </c>
      <c r="U489" s="13" t="n">
        <v>448.5</v>
      </c>
      <c r="W489" s="13" t="n">
        <v>0</v>
      </c>
      <c r="X489" s="12" t="s">
        <v>713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321</v>
      </c>
      <c r="F490" s="10" t="n">
        <v>24</v>
      </c>
      <c r="G490" s="12" t="s">
        <v>32</v>
      </c>
      <c r="H490" s="10" t="n">
        <v>2110101</v>
      </c>
      <c r="I490" s="12" t="s">
        <v>33</v>
      </c>
      <c r="J490" s="10" t="n">
        <v>1255280</v>
      </c>
      <c r="L490" s="10" t="n">
        <v>3395</v>
      </c>
      <c r="M490" s="12" t="s">
        <v>41</v>
      </c>
      <c r="N490" s="12" t="s">
        <v>35</v>
      </c>
      <c r="P490" s="10" t="n">
        <v>103</v>
      </c>
      <c r="Q490" s="12" t="s">
        <v>36</v>
      </c>
      <c r="R490" s="12" t="s">
        <v>37</v>
      </c>
      <c r="S490" s="10" t="n">
        <v>1130101</v>
      </c>
      <c r="T490" s="12" t="s">
        <v>38</v>
      </c>
      <c r="U490" s="13" t="n">
        <v>1548.5</v>
      </c>
      <c r="W490" s="13" t="n">
        <v>0</v>
      </c>
      <c r="X490" s="12" t="s">
        <v>714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311</v>
      </c>
      <c r="F491" s="10" t="n">
        <v>24</v>
      </c>
      <c r="G491" s="12" t="s">
        <v>32</v>
      </c>
      <c r="H491" s="10" t="n">
        <v>2110101</v>
      </c>
      <c r="I491" s="12" t="s">
        <v>33</v>
      </c>
      <c r="J491" s="10" t="n">
        <v>1255420</v>
      </c>
      <c r="L491" s="10" t="n">
        <v>854458</v>
      </c>
      <c r="M491" s="12" t="s">
        <v>41</v>
      </c>
      <c r="N491" s="12" t="s">
        <v>35</v>
      </c>
      <c r="P491" s="10" t="n">
        <v>103</v>
      </c>
      <c r="Q491" s="12" t="s">
        <v>36</v>
      </c>
      <c r="R491" s="12" t="s">
        <v>37</v>
      </c>
      <c r="S491" s="10" t="n">
        <v>1130101</v>
      </c>
      <c r="T491" s="12" t="s">
        <v>38</v>
      </c>
      <c r="U491" s="13" t="n">
        <v>1234.22</v>
      </c>
      <c r="W491" s="13" t="n">
        <v>0</v>
      </c>
      <c r="X491" s="12" t="s">
        <v>715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716</v>
      </c>
      <c r="F492" s="10" t="n">
        <v>34</v>
      </c>
      <c r="G492" s="12" t="s">
        <v>71</v>
      </c>
      <c r="H492" s="10" t="n">
        <v>2110405</v>
      </c>
      <c r="I492" s="12" t="s">
        <v>83</v>
      </c>
      <c r="J492" s="10" t="n">
        <v>1261579</v>
      </c>
      <c r="L492" s="10" t="n">
        <v>526</v>
      </c>
      <c r="M492" s="12" t="s">
        <v>41</v>
      </c>
      <c r="N492" s="12" t="s">
        <v>42</v>
      </c>
      <c r="P492" s="10" t="n">
        <v>101</v>
      </c>
      <c r="Q492" s="12" t="s">
        <v>84</v>
      </c>
      <c r="R492" s="12" t="s">
        <v>85</v>
      </c>
      <c r="S492" s="10" t="n">
        <v>4210303</v>
      </c>
      <c r="T492" s="12" t="s">
        <v>717</v>
      </c>
      <c r="U492" s="13" t="n">
        <v>3321.68</v>
      </c>
      <c r="W492" s="13" t="n">
        <v>0</v>
      </c>
      <c r="X492" s="12" t="s">
        <v>718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716</v>
      </c>
      <c r="F493" s="10" t="n">
        <v>34</v>
      </c>
      <c r="G493" s="12" t="s">
        <v>71</v>
      </c>
      <c r="H493" s="10" t="n">
        <v>2110405</v>
      </c>
      <c r="I493" s="12" t="s">
        <v>83</v>
      </c>
      <c r="J493" s="10" t="n">
        <v>1261584</v>
      </c>
      <c r="L493" s="10" t="n">
        <v>5</v>
      </c>
      <c r="M493" s="12" t="s">
        <v>41</v>
      </c>
      <c r="N493" s="12" t="s">
        <v>42</v>
      </c>
      <c r="P493" s="10" t="n">
        <v>101</v>
      </c>
      <c r="Q493" s="12" t="s">
        <v>84</v>
      </c>
      <c r="R493" s="12" t="s">
        <v>85</v>
      </c>
      <c r="S493" s="10" t="n">
        <v>4210302</v>
      </c>
      <c r="T493" s="12" t="s">
        <v>719</v>
      </c>
      <c r="U493" s="13" t="n">
        <v>6452.57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159</v>
      </c>
      <c r="F494" s="10" t="n">
        <v>24</v>
      </c>
      <c r="G494" s="12" t="s">
        <v>32</v>
      </c>
      <c r="H494" s="10" t="n">
        <v>2110101</v>
      </c>
      <c r="I494" s="12" t="s">
        <v>33</v>
      </c>
      <c r="J494" s="10" t="n">
        <v>1269474</v>
      </c>
      <c r="L494" s="10" t="n">
        <v>1026816</v>
      </c>
      <c r="M494" s="12" t="s">
        <v>41</v>
      </c>
      <c r="N494" s="12" t="s">
        <v>35</v>
      </c>
      <c r="P494" s="10" t="n">
        <v>103</v>
      </c>
      <c r="Q494" s="12" t="s">
        <v>36</v>
      </c>
      <c r="R494" s="12" t="s">
        <v>37</v>
      </c>
      <c r="S494" s="10" t="n">
        <v>1130101</v>
      </c>
      <c r="T494" s="12" t="s">
        <v>38</v>
      </c>
      <c r="U494" s="13" t="n">
        <v>726.08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722</v>
      </c>
      <c r="F495" s="10" t="n">
        <v>24</v>
      </c>
      <c r="G495" s="12" t="s">
        <v>32</v>
      </c>
      <c r="H495" s="10" t="n">
        <v>2110405</v>
      </c>
      <c r="I495" s="12" t="s">
        <v>83</v>
      </c>
      <c r="J495" s="10" t="n">
        <v>1273703</v>
      </c>
      <c r="L495" s="10" t="n">
        <v>528630</v>
      </c>
      <c r="M495" s="12" t="s">
        <v>41</v>
      </c>
      <c r="N495" s="12" t="s">
        <v>42</v>
      </c>
      <c r="P495" s="10" t="n">
        <v>101</v>
      </c>
      <c r="Q495" s="12" t="s">
        <v>84</v>
      </c>
      <c r="R495" s="12" t="s">
        <v>123</v>
      </c>
      <c r="S495" s="10" t="n">
        <v>1240203</v>
      </c>
      <c r="T495" s="12" t="s">
        <v>124</v>
      </c>
      <c r="U495" s="13" t="n">
        <v>666.67</v>
      </c>
      <c r="W495" s="13" t="n">
        <v>0</v>
      </c>
      <c r="X495" s="12" t="s">
        <v>723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722</v>
      </c>
      <c r="F496" s="10" t="n">
        <v>24</v>
      </c>
      <c r="G496" s="12" t="s">
        <v>32</v>
      </c>
      <c r="H496" s="10" t="n">
        <v>2110405</v>
      </c>
      <c r="I496" s="12" t="s">
        <v>83</v>
      </c>
      <c r="J496" s="10" t="n">
        <v>1273723</v>
      </c>
      <c r="L496" s="10" t="n">
        <v>528632</v>
      </c>
      <c r="M496" s="12" t="s">
        <v>41</v>
      </c>
      <c r="N496" s="12" t="s">
        <v>42</v>
      </c>
      <c r="P496" s="10" t="n">
        <v>101</v>
      </c>
      <c r="Q496" s="12" t="s">
        <v>84</v>
      </c>
      <c r="R496" s="12" t="s">
        <v>91</v>
      </c>
      <c r="S496" s="10" t="n">
        <v>4220199</v>
      </c>
      <c r="T496" s="12" t="s">
        <v>92</v>
      </c>
      <c r="U496" s="13" t="n">
        <v>2000</v>
      </c>
      <c r="W496" s="13" t="n">
        <v>0</v>
      </c>
      <c r="X496" s="12" t="s">
        <v>724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70</v>
      </c>
      <c r="F497" s="10" t="n">
        <v>34</v>
      </c>
      <c r="G497" s="12" t="s">
        <v>71</v>
      </c>
      <c r="H497" s="10" t="n">
        <v>2110101</v>
      </c>
      <c r="I497" s="12" t="s">
        <v>33</v>
      </c>
      <c r="J497" s="10" t="n">
        <v>1273837</v>
      </c>
      <c r="L497" s="10" t="n">
        <v>5152</v>
      </c>
      <c r="M497" s="12" t="s">
        <v>41</v>
      </c>
      <c r="N497" s="12" t="s">
        <v>35</v>
      </c>
      <c r="P497" s="10" t="n">
        <v>104</v>
      </c>
      <c r="Q497" s="12" t="s">
        <v>99</v>
      </c>
      <c r="R497" s="12" t="s">
        <v>37</v>
      </c>
      <c r="S497" s="10" t="n">
        <v>1130101</v>
      </c>
      <c r="T497" s="12" t="s">
        <v>38</v>
      </c>
      <c r="U497" s="13" t="n">
        <v>3499.95</v>
      </c>
      <c r="W497" s="13" t="n">
        <v>0</v>
      </c>
      <c r="X497" s="12" t="s">
        <v>172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388</v>
      </c>
      <c r="F498" s="10" t="n">
        <v>34</v>
      </c>
      <c r="G498" s="12" t="s">
        <v>71</v>
      </c>
      <c r="H498" s="10" t="n">
        <v>2110101</v>
      </c>
      <c r="I498" s="12" t="s">
        <v>33</v>
      </c>
      <c r="J498" s="10" t="n">
        <v>1289245</v>
      </c>
      <c r="L498" s="10" t="n">
        <v>402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37</v>
      </c>
      <c r="S498" s="10" t="n">
        <v>1130101</v>
      </c>
      <c r="T498" s="12" t="s">
        <v>38</v>
      </c>
      <c r="U498" s="13" t="n">
        <v>2485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97</v>
      </c>
      <c r="F499" s="10" t="n">
        <v>13</v>
      </c>
      <c r="G499" s="12" t="s">
        <v>98</v>
      </c>
      <c r="H499" s="10" t="n">
        <v>2110101</v>
      </c>
      <c r="I499" s="12" t="s">
        <v>33</v>
      </c>
      <c r="J499" s="10" t="n">
        <v>1309020</v>
      </c>
      <c r="L499" s="10" t="n">
        <v>298</v>
      </c>
      <c r="M499" s="12" t="s">
        <v>41</v>
      </c>
      <c r="N499" s="12" t="s">
        <v>35</v>
      </c>
      <c r="P499" s="10" t="n">
        <v>104</v>
      </c>
      <c r="Q499" s="12" t="s">
        <v>99</v>
      </c>
      <c r="R499" s="12" t="s">
        <v>37</v>
      </c>
      <c r="S499" s="10" t="n">
        <v>1130101</v>
      </c>
      <c r="T499" s="12" t="s">
        <v>38</v>
      </c>
      <c r="U499" s="13" t="n">
        <v>494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336</v>
      </c>
      <c r="F500" s="10" t="n">
        <v>34</v>
      </c>
      <c r="G500" s="12" t="s">
        <v>71</v>
      </c>
      <c r="H500" s="10" t="n">
        <v>2110101</v>
      </c>
      <c r="I500" s="12" t="s">
        <v>33</v>
      </c>
      <c r="J500" s="10" t="n">
        <v>1309128</v>
      </c>
      <c r="L500" s="10" t="n">
        <v>314</v>
      </c>
      <c r="M500" s="12" t="s">
        <v>41</v>
      </c>
      <c r="N500" s="12" t="s">
        <v>35</v>
      </c>
      <c r="P500" s="10" t="n">
        <v>104</v>
      </c>
      <c r="Q500" s="12" t="s">
        <v>99</v>
      </c>
      <c r="R500" s="12" t="s">
        <v>37</v>
      </c>
      <c r="S500" s="10" t="n">
        <v>1130101</v>
      </c>
      <c r="T500" s="12" t="s">
        <v>38</v>
      </c>
      <c r="U500" s="13" t="n">
        <v>837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728</v>
      </c>
      <c r="F501" s="10" t="n">
        <v>34</v>
      </c>
      <c r="G501" s="12" t="s">
        <v>71</v>
      </c>
      <c r="H501" s="10" t="n">
        <v>1110202</v>
      </c>
      <c r="I501" s="12" t="s">
        <v>285</v>
      </c>
      <c r="J501" s="10" t="n">
        <v>1449939</v>
      </c>
      <c r="L501" s="10" t="n">
        <v>596386</v>
      </c>
      <c r="M501" s="12" t="s">
        <v>41</v>
      </c>
      <c r="N501" s="12" t="s">
        <v>42</v>
      </c>
      <c r="P501" s="10" t="n">
        <v>101</v>
      </c>
      <c r="Q501" s="12" t="s">
        <v>84</v>
      </c>
      <c r="R501" s="12" t="s">
        <v>60</v>
      </c>
      <c r="S501" s="10" t="n">
        <v>4210232</v>
      </c>
      <c r="T501" s="12" t="s">
        <v>431</v>
      </c>
      <c r="U501" s="13" t="n">
        <v>285.68</v>
      </c>
      <c r="W501" s="13" t="n">
        <v>0</v>
      </c>
      <c r="X501" s="12" t="s">
        <v>729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82</v>
      </c>
      <c r="F502" s="10" t="n">
        <v>34</v>
      </c>
      <c r="G502" s="12" t="s">
        <v>71</v>
      </c>
      <c r="H502" s="10" t="n">
        <v>1110202</v>
      </c>
      <c r="I502" s="12" t="s">
        <v>285</v>
      </c>
      <c r="J502" s="10" t="n">
        <v>1449972</v>
      </c>
      <c r="L502" s="10" t="n">
        <v>596397</v>
      </c>
      <c r="M502" s="12" t="s">
        <v>41</v>
      </c>
      <c r="N502" s="12" t="s">
        <v>42</v>
      </c>
      <c r="P502" s="10" t="n">
        <v>101</v>
      </c>
      <c r="Q502" s="12" t="s">
        <v>84</v>
      </c>
      <c r="R502" s="12" t="s">
        <v>85</v>
      </c>
      <c r="S502" s="10" t="n">
        <v>4210309</v>
      </c>
      <c r="T502" s="12" t="s">
        <v>86</v>
      </c>
      <c r="U502" s="13" t="n">
        <v>220</v>
      </c>
      <c r="W502" s="13" t="n">
        <v>0</v>
      </c>
      <c r="X502" s="12" t="s">
        <v>730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94</v>
      </c>
      <c r="F503" s="10" t="n">
        <v>24</v>
      </c>
      <c r="G503" s="12" t="s">
        <v>32</v>
      </c>
      <c r="H503" s="10" t="n">
        <v>1110202</v>
      </c>
      <c r="I503" s="12" t="s">
        <v>285</v>
      </c>
      <c r="J503" s="10" t="n">
        <v>1450000</v>
      </c>
      <c r="L503" s="10" t="n">
        <v>596409</v>
      </c>
      <c r="M503" s="12" t="s">
        <v>41</v>
      </c>
      <c r="N503" s="12" t="s">
        <v>42</v>
      </c>
      <c r="P503" s="10" t="n">
        <v>101</v>
      </c>
      <c r="Q503" s="12" t="s">
        <v>84</v>
      </c>
      <c r="R503" s="12" t="s">
        <v>91</v>
      </c>
      <c r="S503" s="10" t="n">
        <v>4220199</v>
      </c>
      <c r="T503" s="12" t="s">
        <v>92</v>
      </c>
      <c r="U503" s="13" t="n">
        <v>448.38</v>
      </c>
      <c r="W503" s="13" t="n">
        <v>0</v>
      </c>
      <c r="X503" s="12" t="s">
        <v>731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340</v>
      </c>
      <c r="F504" s="10" t="n">
        <v>24</v>
      </c>
      <c r="G504" s="12" t="s">
        <v>32</v>
      </c>
      <c r="H504" s="10" t="n">
        <v>2110101</v>
      </c>
      <c r="I504" s="12" t="s">
        <v>33</v>
      </c>
      <c r="J504" s="10" t="n">
        <v>1101724</v>
      </c>
      <c r="L504" s="10" t="n">
        <v>461526</v>
      </c>
      <c r="M504" s="12" t="s">
        <v>394</v>
      </c>
      <c r="N504" s="12" t="s">
        <v>42</v>
      </c>
      <c r="P504" s="10" t="n">
        <v>103</v>
      </c>
      <c r="Q504" s="12" t="s">
        <v>36</v>
      </c>
      <c r="R504" s="12" t="s">
        <v>37</v>
      </c>
      <c r="S504" s="10" t="n">
        <v>1130101</v>
      </c>
      <c r="T504" s="12" t="s">
        <v>38</v>
      </c>
      <c r="U504" s="13" t="n">
        <v>1703.51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733</v>
      </c>
      <c r="F505" s="10" t="n">
        <v>24</v>
      </c>
      <c r="G505" s="12" t="s">
        <v>32</v>
      </c>
      <c r="H505" s="10" t="n">
        <v>2110405</v>
      </c>
      <c r="I505" s="12" t="s">
        <v>83</v>
      </c>
      <c r="J505" s="10" t="n">
        <v>890485</v>
      </c>
      <c r="L505" s="10" t="n">
        <v>380080</v>
      </c>
      <c r="M505" s="12" t="s">
        <v>128</v>
      </c>
      <c r="N505" s="12" t="s">
        <v>42</v>
      </c>
      <c r="P505" s="10" t="n">
        <v>102</v>
      </c>
      <c r="Q505" s="12" t="s">
        <v>107</v>
      </c>
      <c r="R505" s="12" t="s">
        <v>85</v>
      </c>
      <c r="S505" s="10" t="n">
        <v>4210311</v>
      </c>
      <c r="T505" s="12" t="s">
        <v>301</v>
      </c>
      <c r="U505" s="13" t="n">
        <v>6193.08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54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1168612</v>
      </c>
      <c r="L506" s="10" t="n">
        <v>875267</v>
      </c>
      <c r="M506" s="12" t="s">
        <v>34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769.97</v>
      </c>
      <c r="W506" s="13" t="n">
        <v>0</v>
      </c>
      <c r="X506" s="12" t="s">
        <v>735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68</v>
      </c>
      <c r="F507" s="10" t="n">
        <v>24</v>
      </c>
      <c r="G507" s="12" t="s">
        <v>32</v>
      </c>
      <c r="H507" s="10" t="n">
        <v>2110102</v>
      </c>
      <c r="I507" s="12" t="s">
        <v>59</v>
      </c>
      <c r="J507" s="10" t="n">
        <v>1176992</v>
      </c>
      <c r="L507" s="10" t="n">
        <v>3191311</v>
      </c>
      <c r="M507" s="12" t="s">
        <v>41</v>
      </c>
      <c r="N507" s="12" t="s">
        <v>35</v>
      </c>
      <c r="P507" s="10" t="n">
        <v>103</v>
      </c>
      <c r="Q507" s="12" t="s">
        <v>36</v>
      </c>
      <c r="R507" s="12" t="s">
        <v>60</v>
      </c>
      <c r="S507" s="10" t="n">
        <v>4210204</v>
      </c>
      <c r="T507" s="12" t="s">
        <v>61</v>
      </c>
      <c r="U507" s="13" t="n">
        <v>700.22</v>
      </c>
      <c r="W507" s="13" t="n">
        <v>0</v>
      </c>
      <c r="X507" s="12" t="s">
        <v>736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568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1222097</v>
      </c>
      <c r="L508" s="10" t="n">
        <v>18532</v>
      </c>
      <c r="M508" s="12" t="s">
        <v>34</v>
      </c>
      <c r="N508" s="12" t="s">
        <v>35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807.41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738</v>
      </c>
      <c r="F509" s="10" t="n">
        <v>34</v>
      </c>
      <c r="G509" s="12" t="s">
        <v>71</v>
      </c>
      <c r="H509" s="10" t="n">
        <v>2110405</v>
      </c>
      <c r="I509" s="12" t="s">
        <v>83</v>
      </c>
      <c r="J509" s="10" t="n">
        <v>1223656</v>
      </c>
      <c r="L509" s="10" t="n">
        <v>508652</v>
      </c>
      <c r="M509" s="12" t="s">
        <v>41</v>
      </c>
      <c r="N509" s="12" t="s">
        <v>42</v>
      </c>
      <c r="P509" s="10" t="n">
        <v>101</v>
      </c>
      <c r="Q509" s="12" t="s">
        <v>84</v>
      </c>
      <c r="R509" s="12" t="s">
        <v>290</v>
      </c>
      <c r="S509" s="10" t="n">
        <v>4210107</v>
      </c>
      <c r="T509" s="12" t="s">
        <v>739</v>
      </c>
      <c r="U509" s="13" t="n">
        <v>467.17</v>
      </c>
      <c r="W509" s="13" t="n">
        <v>0</v>
      </c>
      <c r="X509" s="12" t="s">
        <v>740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738</v>
      </c>
      <c r="F510" s="10" t="n">
        <v>34</v>
      </c>
      <c r="G510" s="12" t="s">
        <v>71</v>
      </c>
      <c r="H510" s="10" t="n">
        <v>2110405</v>
      </c>
      <c r="I510" s="12" t="s">
        <v>83</v>
      </c>
      <c r="J510" s="10" t="n">
        <v>1223659</v>
      </c>
      <c r="L510" s="10" t="n">
        <v>508655</v>
      </c>
      <c r="M510" s="12" t="s">
        <v>41</v>
      </c>
      <c r="N510" s="12" t="s">
        <v>42</v>
      </c>
      <c r="P510" s="10" t="n">
        <v>101</v>
      </c>
      <c r="Q510" s="12" t="s">
        <v>84</v>
      </c>
      <c r="R510" s="12" t="s">
        <v>91</v>
      </c>
      <c r="S510" s="10" t="n">
        <v>4220199</v>
      </c>
      <c r="T510" s="12" t="s">
        <v>92</v>
      </c>
      <c r="U510" s="13" t="n">
        <v>900</v>
      </c>
      <c r="W510" s="13" t="n">
        <v>0</v>
      </c>
      <c r="X510" s="12" t="s">
        <v>741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742</v>
      </c>
      <c r="F511" s="10" t="n">
        <v>24</v>
      </c>
      <c r="G511" s="12" t="s">
        <v>32</v>
      </c>
      <c r="H511" s="10" t="n">
        <v>2110405</v>
      </c>
      <c r="I511" s="12" t="s">
        <v>83</v>
      </c>
      <c r="J511" s="10" t="n">
        <v>1226688</v>
      </c>
      <c r="L511" s="10" t="n">
        <v>509853</v>
      </c>
      <c r="M511" s="12" t="s">
        <v>41</v>
      </c>
      <c r="N511" s="12" t="s">
        <v>42</v>
      </c>
      <c r="P511" s="10" t="n">
        <v>101</v>
      </c>
      <c r="Q511" s="12" t="s">
        <v>84</v>
      </c>
      <c r="R511" s="12" t="s">
        <v>85</v>
      </c>
      <c r="S511" s="10" t="n">
        <v>4210315</v>
      </c>
      <c r="T511" s="12" t="s">
        <v>503</v>
      </c>
      <c r="U511" s="13" t="n">
        <v>595.9</v>
      </c>
      <c r="W511" s="13" t="n">
        <v>0</v>
      </c>
      <c r="X511" s="12" t="s">
        <v>743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70</v>
      </c>
      <c r="F512" s="10" t="n">
        <v>34</v>
      </c>
      <c r="G512" s="12" t="s">
        <v>71</v>
      </c>
      <c r="H512" s="10" t="n">
        <v>2110101</v>
      </c>
      <c r="I512" s="12" t="s">
        <v>33</v>
      </c>
      <c r="J512" s="10" t="n">
        <v>1273979</v>
      </c>
      <c r="L512" s="10" t="n">
        <v>5153</v>
      </c>
      <c r="M512" s="12" t="s">
        <v>41</v>
      </c>
      <c r="N512" s="12" t="s">
        <v>35</v>
      </c>
      <c r="P512" s="10" t="n">
        <v>104</v>
      </c>
      <c r="Q512" s="12" t="s">
        <v>99</v>
      </c>
      <c r="R512" s="12" t="s">
        <v>37</v>
      </c>
      <c r="S512" s="10" t="n">
        <v>1130101</v>
      </c>
      <c r="T512" s="12" t="s">
        <v>38</v>
      </c>
      <c r="U512" s="13" t="n">
        <v>3182</v>
      </c>
      <c r="W512" s="13" t="n">
        <v>0</v>
      </c>
      <c r="X512" s="12" t="s">
        <v>220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221</v>
      </c>
      <c r="F513" s="10" t="n">
        <v>34</v>
      </c>
      <c r="G513" s="12" t="s">
        <v>71</v>
      </c>
      <c r="H513" s="10" t="n">
        <v>2110101</v>
      </c>
      <c r="I513" s="12" t="s">
        <v>33</v>
      </c>
      <c r="J513" s="10" t="n">
        <v>1274036</v>
      </c>
      <c r="L513" s="10" t="n">
        <v>14713</v>
      </c>
      <c r="M513" s="12" t="s">
        <v>41</v>
      </c>
      <c r="N513" s="12" t="s">
        <v>35</v>
      </c>
      <c r="P513" s="10" t="n">
        <v>104</v>
      </c>
      <c r="Q513" s="12" t="s">
        <v>99</v>
      </c>
      <c r="R513" s="12" t="s">
        <v>37</v>
      </c>
      <c r="S513" s="10" t="n">
        <v>1130101</v>
      </c>
      <c r="T513" s="12" t="s">
        <v>38</v>
      </c>
      <c r="U513" s="13" t="n">
        <v>870</v>
      </c>
      <c r="W513" s="13" t="n">
        <v>0</v>
      </c>
      <c r="X513" s="12" t="s">
        <v>744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70</v>
      </c>
      <c r="F514" s="10" t="n">
        <v>34</v>
      </c>
      <c r="G514" s="12" t="s">
        <v>71</v>
      </c>
      <c r="H514" s="10" t="n">
        <v>2110101</v>
      </c>
      <c r="I514" s="12" t="s">
        <v>33</v>
      </c>
      <c r="J514" s="10" t="n">
        <v>1274061</v>
      </c>
      <c r="L514" s="10" t="n">
        <v>528761</v>
      </c>
      <c r="M514" s="12" t="s">
        <v>41</v>
      </c>
      <c r="N514" s="12" t="s">
        <v>42</v>
      </c>
      <c r="P514" s="10" t="n">
        <v>104</v>
      </c>
      <c r="Q514" s="12" t="s">
        <v>99</v>
      </c>
      <c r="R514" s="12" t="s">
        <v>37</v>
      </c>
      <c r="S514" s="10" t="n">
        <v>1130101</v>
      </c>
      <c r="T514" s="12" t="s">
        <v>38</v>
      </c>
      <c r="U514" s="13" t="n">
        <v>160</v>
      </c>
      <c r="W514" s="13" t="n">
        <v>0</v>
      </c>
      <c r="X514" s="12" t="s">
        <v>573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745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1279942</v>
      </c>
      <c r="L515" s="10" t="n">
        <v>462083</v>
      </c>
      <c r="M515" s="12" t="s">
        <v>41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472.36</v>
      </c>
      <c r="W515" s="13" t="n">
        <v>0</v>
      </c>
      <c r="X515" s="12" t="s">
        <v>746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747</v>
      </c>
      <c r="F516" s="10" t="n">
        <v>24</v>
      </c>
      <c r="G516" s="12" t="s">
        <v>32</v>
      </c>
      <c r="H516" s="10" t="n">
        <v>2110405</v>
      </c>
      <c r="I516" s="12" t="s">
        <v>83</v>
      </c>
      <c r="J516" s="10" t="n">
        <v>1127049</v>
      </c>
      <c r="L516" s="10" t="n">
        <v>471110</v>
      </c>
      <c r="M516" s="12" t="s">
        <v>41</v>
      </c>
      <c r="N516" s="12" t="s">
        <v>42</v>
      </c>
      <c r="P516" s="10" t="n">
        <v>101</v>
      </c>
      <c r="Q516" s="12" t="s">
        <v>84</v>
      </c>
      <c r="R516" s="12" t="s">
        <v>85</v>
      </c>
      <c r="S516" s="10" t="n">
        <v>4210315</v>
      </c>
      <c r="T516" s="12" t="s">
        <v>503</v>
      </c>
      <c r="U516" s="13" t="n">
        <v>139.97</v>
      </c>
      <c r="W516" s="13" t="n">
        <v>0</v>
      </c>
      <c r="X516" s="12" t="s">
        <v>748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68</v>
      </c>
      <c r="F517" s="10" t="n">
        <v>24</v>
      </c>
      <c r="G517" s="12" t="s">
        <v>32</v>
      </c>
      <c r="H517" s="10" t="n">
        <v>2110101</v>
      </c>
      <c r="I517" s="12" t="s">
        <v>33</v>
      </c>
      <c r="J517" s="10" t="n">
        <v>1136636</v>
      </c>
      <c r="L517" s="10" t="n">
        <v>474644</v>
      </c>
      <c r="M517" s="12" t="s">
        <v>128</v>
      </c>
      <c r="N517" s="12" t="s">
        <v>42</v>
      </c>
      <c r="P517" s="10" t="n">
        <v>103</v>
      </c>
      <c r="Q517" s="12" t="s">
        <v>36</v>
      </c>
      <c r="R517" s="12" t="s">
        <v>37</v>
      </c>
      <c r="S517" s="10" t="n">
        <v>1130101</v>
      </c>
      <c r="T517" s="12" t="s">
        <v>38</v>
      </c>
      <c r="U517" s="13" t="n">
        <v>1181.23</v>
      </c>
      <c r="W517" s="13" t="n">
        <v>0</v>
      </c>
      <c r="X517" s="12" t="s">
        <v>749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750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1172006</v>
      </c>
      <c r="L518" s="10" t="n">
        <v>206086</v>
      </c>
      <c r="M518" s="12" t="s">
        <v>41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889.02</v>
      </c>
      <c r="W518" s="13" t="n">
        <v>0</v>
      </c>
      <c r="X518" s="12" t="s">
        <v>751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44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1176620</v>
      </c>
      <c r="L519" s="10" t="n">
        <v>1882653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1769.94</v>
      </c>
      <c r="W519" s="13" t="n">
        <v>0</v>
      </c>
      <c r="X519" s="12" t="s">
        <v>752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753</v>
      </c>
      <c r="F520" s="10" t="n">
        <v>24</v>
      </c>
      <c r="G520" s="12" t="s">
        <v>32</v>
      </c>
      <c r="H520" s="10" t="n">
        <v>2110101</v>
      </c>
      <c r="I520" s="12" t="s">
        <v>33</v>
      </c>
      <c r="J520" s="10" t="n">
        <v>1193162</v>
      </c>
      <c r="L520" s="10" t="n">
        <v>192998</v>
      </c>
      <c r="M520" s="12" t="s">
        <v>41</v>
      </c>
      <c r="N520" s="12" t="s">
        <v>35</v>
      </c>
      <c r="P520" s="10" t="n">
        <v>103</v>
      </c>
      <c r="Q520" s="12" t="s">
        <v>36</v>
      </c>
      <c r="R520" s="12" t="s">
        <v>37</v>
      </c>
      <c r="S520" s="10" t="n">
        <v>1130101</v>
      </c>
      <c r="T520" s="12" t="s">
        <v>38</v>
      </c>
      <c r="U520" s="13" t="n">
        <v>1864.49</v>
      </c>
      <c r="W520" s="13" t="n">
        <v>0</v>
      </c>
      <c r="X520" s="12" t="s">
        <v>754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1193234</v>
      </c>
      <c r="L521" s="10" t="n">
        <v>496470</v>
      </c>
      <c r="M521" s="12" t="s">
        <v>41</v>
      </c>
      <c r="N521" s="12" t="s">
        <v>42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903.06</v>
      </c>
      <c r="W521" s="13" t="n">
        <v>0</v>
      </c>
      <c r="X521" s="12" t="s">
        <v>755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54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1223005</v>
      </c>
      <c r="L522" s="10" t="n">
        <v>876740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584.19</v>
      </c>
      <c r="W522" s="13" t="n">
        <v>0</v>
      </c>
      <c r="X522" s="12" t="s">
        <v>756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31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1226844</v>
      </c>
      <c r="L523" s="10" t="n">
        <v>562604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4347.21</v>
      </c>
      <c r="W523" s="13" t="n">
        <v>0</v>
      </c>
      <c r="X523" s="12" t="s">
        <v>757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603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1228251</v>
      </c>
      <c r="L524" s="10" t="n">
        <v>7726</v>
      </c>
      <c r="M524" s="12" t="s">
        <v>34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287.8</v>
      </c>
      <c r="W524" s="13" t="n">
        <v>0</v>
      </c>
      <c r="X524" s="12" t="s">
        <v>758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325</v>
      </c>
      <c r="F525" s="10" t="n">
        <v>24</v>
      </c>
      <c r="G525" s="12" t="s">
        <v>32</v>
      </c>
      <c r="H525" s="10" t="n">
        <v>2110102</v>
      </c>
      <c r="I525" s="12" t="s">
        <v>59</v>
      </c>
      <c r="J525" s="10" t="n">
        <v>1228326</v>
      </c>
      <c r="L525" s="10" t="n">
        <v>8026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60</v>
      </c>
      <c r="S525" s="10" t="n">
        <v>4210204</v>
      </c>
      <c r="T525" s="12" t="s">
        <v>61</v>
      </c>
      <c r="U525" s="13" t="n">
        <v>575</v>
      </c>
      <c r="W525" s="13" t="n">
        <v>0</v>
      </c>
      <c r="X525" s="12" t="s">
        <v>759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608</v>
      </c>
      <c r="F526" s="10" t="n">
        <v>24</v>
      </c>
      <c r="G526" s="12" t="s">
        <v>32</v>
      </c>
      <c r="H526" s="10" t="n">
        <v>2110102</v>
      </c>
      <c r="I526" s="12" t="s">
        <v>59</v>
      </c>
      <c r="J526" s="10" t="n">
        <v>1231571</v>
      </c>
      <c r="L526" s="10" t="n">
        <v>278802</v>
      </c>
      <c r="M526" s="12" t="s">
        <v>34</v>
      </c>
      <c r="N526" s="12" t="s">
        <v>35</v>
      </c>
      <c r="P526" s="10" t="n">
        <v>103</v>
      </c>
      <c r="Q526" s="12" t="s">
        <v>36</v>
      </c>
      <c r="R526" s="12" t="s">
        <v>60</v>
      </c>
      <c r="S526" s="10" t="n">
        <v>4210204</v>
      </c>
      <c r="T526" s="12" t="s">
        <v>61</v>
      </c>
      <c r="U526" s="13" t="n">
        <v>474.05</v>
      </c>
      <c r="W526" s="13" t="n">
        <v>0</v>
      </c>
      <c r="X526" s="12" t="s">
        <v>760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66</v>
      </c>
      <c r="F527" s="10" t="n">
        <v>24</v>
      </c>
      <c r="G527" s="12" t="s">
        <v>32</v>
      </c>
      <c r="H527" s="10" t="n">
        <v>2110101</v>
      </c>
      <c r="I527" s="12" t="s">
        <v>33</v>
      </c>
      <c r="J527" s="10" t="n">
        <v>1255457</v>
      </c>
      <c r="L527" s="10" t="n">
        <v>11267</v>
      </c>
      <c r="M527" s="12" t="s">
        <v>34</v>
      </c>
      <c r="N527" s="12" t="s">
        <v>35</v>
      </c>
      <c r="P527" s="10" t="n">
        <v>103</v>
      </c>
      <c r="Q527" s="12" t="s">
        <v>36</v>
      </c>
      <c r="R527" s="12" t="s">
        <v>37</v>
      </c>
      <c r="S527" s="10" t="n">
        <v>1130101</v>
      </c>
      <c r="T527" s="12" t="s">
        <v>38</v>
      </c>
      <c r="U527" s="13" t="n">
        <v>396.96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66</v>
      </c>
      <c r="F528" s="10" t="n">
        <v>24</v>
      </c>
      <c r="G528" s="12" t="s">
        <v>32</v>
      </c>
      <c r="H528" s="10" t="n">
        <v>2110101</v>
      </c>
      <c r="I528" s="12" t="s">
        <v>33</v>
      </c>
      <c r="J528" s="10" t="n">
        <v>1274116</v>
      </c>
      <c r="L528" s="10" t="n">
        <v>11292</v>
      </c>
      <c r="M528" s="12" t="s">
        <v>41</v>
      </c>
      <c r="N528" s="12" t="s">
        <v>35</v>
      </c>
      <c r="P528" s="10" t="n">
        <v>103</v>
      </c>
      <c r="Q528" s="12" t="s">
        <v>36</v>
      </c>
      <c r="R528" s="12" t="s">
        <v>37</v>
      </c>
      <c r="S528" s="10" t="n">
        <v>1130101</v>
      </c>
      <c r="T528" s="12" t="s">
        <v>38</v>
      </c>
      <c r="U528" s="13" t="n">
        <v>516.96</v>
      </c>
      <c r="W528" s="13" t="n">
        <v>0</v>
      </c>
      <c r="X528" s="12" t="s">
        <v>762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323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1264922</v>
      </c>
      <c r="L529" s="10" t="n">
        <v>3784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213</v>
      </c>
      <c r="W529" s="13" t="n">
        <v>0</v>
      </c>
      <c r="X529" s="12" t="s">
        <v>763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764</v>
      </c>
      <c r="F530" s="10" t="n">
        <v>24</v>
      </c>
      <c r="G530" s="12" t="s">
        <v>32</v>
      </c>
      <c r="H530" s="10" t="n">
        <v>2110405</v>
      </c>
      <c r="I530" s="12" t="s">
        <v>83</v>
      </c>
      <c r="J530" s="10" t="n">
        <v>1265180</v>
      </c>
      <c r="L530" s="10" t="n">
        <v>524785</v>
      </c>
      <c r="M530" s="12" t="s">
        <v>41</v>
      </c>
      <c r="N530" s="12" t="s">
        <v>42</v>
      </c>
      <c r="P530" s="10" t="n">
        <v>101</v>
      </c>
      <c r="Q530" s="12" t="s">
        <v>84</v>
      </c>
      <c r="R530" s="12" t="s">
        <v>765</v>
      </c>
      <c r="S530" s="10" t="n">
        <v>1240105</v>
      </c>
      <c r="T530" s="12" t="s">
        <v>766</v>
      </c>
      <c r="U530" s="13" t="n">
        <v>129</v>
      </c>
      <c r="W530" s="13" t="n">
        <v>0</v>
      </c>
      <c r="X530" s="12" t="s">
        <v>767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74</v>
      </c>
      <c r="F531" s="10" t="n">
        <v>24</v>
      </c>
      <c r="G531" s="12" t="s">
        <v>32</v>
      </c>
      <c r="H531" s="10" t="n">
        <v>2110101</v>
      </c>
      <c r="I531" s="12" t="s">
        <v>33</v>
      </c>
      <c r="J531" s="10" t="n">
        <v>1266166</v>
      </c>
      <c r="L531" s="10" t="n">
        <v>667</v>
      </c>
      <c r="M531" s="12" t="s">
        <v>41</v>
      </c>
      <c r="N531" s="12" t="s">
        <v>35</v>
      </c>
      <c r="P531" s="10" t="n">
        <v>103</v>
      </c>
      <c r="Q531" s="12" t="s">
        <v>36</v>
      </c>
      <c r="R531" s="12" t="s">
        <v>37</v>
      </c>
      <c r="S531" s="10" t="n">
        <v>1130101</v>
      </c>
      <c r="T531" s="12" t="s">
        <v>38</v>
      </c>
      <c r="U531" s="13" t="n">
        <v>1400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74</v>
      </c>
      <c r="F532" s="10" t="n">
        <v>24</v>
      </c>
      <c r="G532" s="12" t="s">
        <v>32</v>
      </c>
      <c r="H532" s="10" t="n">
        <v>2110101</v>
      </c>
      <c r="I532" s="12" t="s">
        <v>33</v>
      </c>
      <c r="J532" s="10" t="n">
        <v>1266346</v>
      </c>
      <c r="L532" s="10" t="n">
        <v>665</v>
      </c>
      <c r="M532" s="12" t="s">
        <v>41</v>
      </c>
      <c r="N532" s="12" t="s">
        <v>35</v>
      </c>
      <c r="P532" s="10" t="n">
        <v>103</v>
      </c>
      <c r="Q532" s="12" t="s">
        <v>36</v>
      </c>
      <c r="R532" s="12" t="s">
        <v>37</v>
      </c>
      <c r="S532" s="10" t="n">
        <v>1130101</v>
      </c>
      <c r="T532" s="12" t="s">
        <v>38</v>
      </c>
      <c r="U532" s="13" t="n">
        <v>319.63</v>
      </c>
      <c r="W532" s="13" t="n">
        <v>0</v>
      </c>
      <c r="X532" s="12" t="s">
        <v>769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770</v>
      </c>
      <c r="F533" s="10" t="n">
        <v>24</v>
      </c>
      <c r="G533" s="12" t="s">
        <v>32</v>
      </c>
      <c r="H533" s="10" t="n">
        <v>2110101</v>
      </c>
      <c r="I533" s="12" t="s">
        <v>33</v>
      </c>
      <c r="J533" s="10" t="n">
        <v>1269922</v>
      </c>
      <c r="L533" s="10" t="n">
        <v>954</v>
      </c>
      <c r="M533" s="12" t="s">
        <v>41</v>
      </c>
      <c r="N533" s="12" t="s">
        <v>35</v>
      </c>
      <c r="P533" s="10" t="n">
        <v>103</v>
      </c>
      <c r="Q533" s="12" t="s">
        <v>36</v>
      </c>
      <c r="R533" s="12" t="s">
        <v>37</v>
      </c>
      <c r="S533" s="10" t="n">
        <v>1130101</v>
      </c>
      <c r="T533" s="12" t="s">
        <v>38</v>
      </c>
      <c r="U533" s="13" t="n">
        <v>990</v>
      </c>
      <c r="W533" s="13" t="n">
        <v>0</v>
      </c>
      <c r="X533" s="12" t="s">
        <v>771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78</v>
      </c>
      <c r="F534" s="10" t="n">
        <v>24</v>
      </c>
      <c r="G534" s="12" t="s">
        <v>32</v>
      </c>
      <c r="H534" s="10" t="n">
        <v>2110101</v>
      </c>
      <c r="I534" s="12" t="s">
        <v>33</v>
      </c>
      <c r="J534" s="10" t="n">
        <v>1269931</v>
      </c>
      <c r="L534" s="10" t="n">
        <v>15024</v>
      </c>
      <c r="M534" s="12" t="s">
        <v>41</v>
      </c>
      <c r="N534" s="12" t="s">
        <v>35</v>
      </c>
      <c r="P534" s="10" t="n">
        <v>103</v>
      </c>
      <c r="Q534" s="12" t="s">
        <v>36</v>
      </c>
      <c r="R534" s="12" t="s">
        <v>37</v>
      </c>
      <c r="S534" s="10" t="n">
        <v>1130101</v>
      </c>
      <c r="T534" s="12" t="s">
        <v>38</v>
      </c>
      <c r="U534" s="13" t="n">
        <v>614.59</v>
      </c>
      <c r="W534" s="13" t="n">
        <v>0</v>
      </c>
      <c r="X534" s="12" t="s">
        <v>772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76</v>
      </c>
      <c r="F535" s="10" t="n">
        <v>24</v>
      </c>
      <c r="G535" s="12" t="s">
        <v>32</v>
      </c>
      <c r="H535" s="10" t="n">
        <v>2110101</v>
      </c>
      <c r="I535" s="12" t="s">
        <v>33</v>
      </c>
      <c r="J535" s="10" t="n">
        <v>1269936</v>
      </c>
      <c r="L535" s="10" t="n">
        <v>223520</v>
      </c>
      <c r="M535" s="12" t="s">
        <v>41</v>
      </c>
      <c r="N535" s="12" t="s">
        <v>35</v>
      </c>
      <c r="P535" s="10" t="n">
        <v>103</v>
      </c>
      <c r="Q535" s="12" t="s">
        <v>36</v>
      </c>
      <c r="R535" s="12" t="s">
        <v>37</v>
      </c>
      <c r="S535" s="10" t="n">
        <v>1130101</v>
      </c>
      <c r="T535" s="12" t="s">
        <v>38</v>
      </c>
      <c r="U535" s="13" t="n">
        <v>590.84</v>
      </c>
      <c r="W535" s="13" t="n">
        <v>0</v>
      </c>
      <c r="X535" s="12" t="s">
        <v>773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328</v>
      </c>
      <c r="F536" s="10" t="n">
        <v>34</v>
      </c>
      <c r="G536" s="12" t="s">
        <v>71</v>
      </c>
      <c r="H536" s="10" t="n">
        <v>2110101</v>
      </c>
      <c r="I536" s="12" t="s">
        <v>33</v>
      </c>
      <c r="J536" s="10" t="n">
        <v>1270154</v>
      </c>
      <c r="L536" s="10" t="n">
        <v>302</v>
      </c>
      <c r="M536" s="12" t="s">
        <v>41</v>
      </c>
      <c r="N536" s="12" t="s">
        <v>35</v>
      </c>
      <c r="P536" s="10" t="n">
        <v>103</v>
      </c>
      <c r="Q536" s="12" t="s">
        <v>36</v>
      </c>
      <c r="R536" s="12" t="s">
        <v>37</v>
      </c>
      <c r="S536" s="10" t="n">
        <v>1130101</v>
      </c>
      <c r="T536" s="12" t="s">
        <v>38</v>
      </c>
      <c r="U536" s="13" t="n">
        <v>1850</v>
      </c>
      <c r="W536" s="13" t="n">
        <v>0</v>
      </c>
      <c r="X536" s="12" t="s">
        <v>774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716</v>
      </c>
      <c r="F537" s="10" t="n">
        <v>34</v>
      </c>
      <c r="G537" s="12" t="s">
        <v>71</v>
      </c>
      <c r="H537" s="10" t="n">
        <v>2110405</v>
      </c>
      <c r="I537" s="12" t="s">
        <v>83</v>
      </c>
      <c r="J537" s="10" t="n">
        <v>1273026</v>
      </c>
      <c r="L537" s="10" t="n">
        <v>528400</v>
      </c>
      <c r="M537" s="12" t="s">
        <v>41</v>
      </c>
      <c r="N537" s="12" t="s">
        <v>42</v>
      </c>
      <c r="P537" s="10" t="n">
        <v>101</v>
      </c>
      <c r="Q537" s="12" t="s">
        <v>84</v>
      </c>
      <c r="R537" s="12" t="s">
        <v>775</v>
      </c>
      <c r="S537" s="10" t="n">
        <v>2110707</v>
      </c>
      <c r="T537" s="12" t="s">
        <v>776</v>
      </c>
      <c r="U537" s="13" t="n">
        <v>5355.91</v>
      </c>
      <c r="W537" s="13" t="n">
        <v>0</v>
      </c>
      <c r="X537" s="12" t="s">
        <v>777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224</v>
      </c>
      <c r="F538" s="10" t="n">
        <v>24</v>
      </c>
      <c r="G538" s="12" t="s">
        <v>32</v>
      </c>
      <c r="H538" s="10" t="n">
        <v>2110405</v>
      </c>
      <c r="I538" s="12" t="s">
        <v>83</v>
      </c>
      <c r="J538" s="10" t="n">
        <v>1273104</v>
      </c>
      <c r="L538" s="10" t="n">
        <v>528435</v>
      </c>
      <c r="M538" s="12" t="s">
        <v>41</v>
      </c>
      <c r="N538" s="12" t="s">
        <v>42</v>
      </c>
      <c r="P538" s="10" t="n">
        <v>101</v>
      </c>
      <c r="Q538" s="12" t="s">
        <v>84</v>
      </c>
      <c r="R538" s="12" t="s">
        <v>775</v>
      </c>
      <c r="S538" s="10" t="n">
        <v>2110701</v>
      </c>
      <c r="T538" s="12" t="s">
        <v>778</v>
      </c>
      <c r="U538" s="13" t="n">
        <v>5171.19</v>
      </c>
      <c r="W538" s="13" t="n">
        <v>0</v>
      </c>
      <c r="X538" s="12" t="s">
        <v>779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780</v>
      </c>
      <c r="F539" s="10" t="n">
        <v>34</v>
      </c>
      <c r="G539" s="12" t="s">
        <v>71</v>
      </c>
      <c r="H539" s="10" t="n">
        <v>2110405</v>
      </c>
      <c r="I539" s="12" t="s">
        <v>83</v>
      </c>
      <c r="J539" s="10" t="n">
        <v>1289474</v>
      </c>
      <c r="L539" s="10" t="n">
        <v>534453</v>
      </c>
      <c r="M539" s="12" t="s">
        <v>41</v>
      </c>
      <c r="N539" s="12" t="s">
        <v>42</v>
      </c>
      <c r="P539" s="10" t="n">
        <v>102</v>
      </c>
      <c r="Q539" s="12" t="s">
        <v>107</v>
      </c>
      <c r="R539" s="12" t="s">
        <v>91</v>
      </c>
      <c r="S539" s="10" t="n">
        <v>4220199</v>
      </c>
      <c r="T539" s="12" t="s">
        <v>92</v>
      </c>
      <c r="U539" s="13" t="n">
        <v>1000</v>
      </c>
      <c r="W539" s="13" t="n">
        <v>0</v>
      </c>
      <c r="X539" s="12" t="s">
        <v>781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782</v>
      </c>
      <c r="F540" s="10" t="n">
        <v>24</v>
      </c>
      <c r="G540" s="12" t="s">
        <v>32</v>
      </c>
      <c r="H540" s="10" t="n">
        <v>2110405</v>
      </c>
      <c r="I540" s="12" t="s">
        <v>83</v>
      </c>
      <c r="J540" s="10" t="n">
        <v>1289587</v>
      </c>
      <c r="L540" s="10" t="n">
        <v>534492</v>
      </c>
      <c r="M540" s="12" t="s">
        <v>41</v>
      </c>
      <c r="N540" s="12" t="s">
        <v>42</v>
      </c>
      <c r="P540" s="10" t="n">
        <v>102</v>
      </c>
      <c r="Q540" s="12" t="s">
        <v>107</v>
      </c>
      <c r="R540" s="12" t="s">
        <v>91</v>
      </c>
      <c r="S540" s="10" t="n">
        <v>4220199</v>
      </c>
      <c r="T540" s="12" t="s">
        <v>92</v>
      </c>
      <c r="U540" s="13" t="n">
        <v>142.9</v>
      </c>
      <c r="W540" s="13" t="n">
        <v>0</v>
      </c>
      <c r="X540" s="12" t="s">
        <v>783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782</v>
      </c>
      <c r="F541" s="10" t="n">
        <v>24</v>
      </c>
      <c r="G541" s="12" t="s">
        <v>32</v>
      </c>
      <c r="H541" s="10" t="n">
        <v>2110405</v>
      </c>
      <c r="I541" s="12" t="s">
        <v>83</v>
      </c>
      <c r="J541" s="10" t="n">
        <v>1289587</v>
      </c>
      <c r="L541" s="10" t="n">
        <v>534492</v>
      </c>
      <c r="M541" s="12" t="s">
        <v>34</v>
      </c>
      <c r="N541" s="12" t="s">
        <v>42</v>
      </c>
      <c r="P541" s="10" t="n">
        <v>102</v>
      </c>
      <c r="Q541" s="12" t="s">
        <v>107</v>
      </c>
      <c r="R541" s="12" t="s">
        <v>91</v>
      </c>
      <c r="S541" s="10" t="n">
        <v>4220199</v>
      </c>
      <c r="T541" s="12" t="s">
        <v>92</v>
      </c>
      <c r="U541" s="13" t="n">
        <v>589.29</v>
      </c>
      <c r="W541" s="13" t="n">
        <v>0</v>
      </c>
      <c r="X541" s="12" t="s">
        <v>783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782</v>
      </c>
      <c r="F542" s="10" t="n">
        <v>24</v>
      </c>
      <c r="G542" s="12" t="s">
        <v>32</v>
      </c>
      <c r="H542" s="10" t="n">
        <v>2110405</v>
      </c>
      <c r="I542" s="12" t="s">
        <v>83</v>
      </c>
      <c r="J542" s="10" t="n">
        <v>1289587</v>
      </c>
      <c r="L542" s="10" t="n">
        <v>534492</v>
      </c>
      <c r="M542" s="12" t="s">
        <v>128</v>
      </c>
      <c r="N542" s="12" t="s">
        <v>42</v>
      </c>
      <c r="P542" s="10" t="n">
        <v>102</v>
      </c>
      <c r="Q542" s="12" t="s">
        <v>107</v>
      </c>
      <c r="R542" s="12" t="s">
        <v>91</v>
      </c>
      <c r="S542" s="10" t="n">
        <v>4220199</v>
      </c>
      <c r="T542" s="12" t="s">
        <v>92</v>
      </c>
      <c r="U542" s="13" t="n">
        <v>1342.68</v>
      </c>
      <c r="W542" s="13" t="n">
        <v>0</v>
      </c>
      <c r="X542" s="12" t="s">
        <v>783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647</v>
      </c>
      <c r="F543" s="10" t="n">
        <v>24</v>
      </c>
      <c r="G543" s="12" t="s">
        <v>32</v>
      </c>
      <c r="H543" s="10" t="n">
        <v>1110202</v>
      </c>
      <c r="I543" s="12" t="s">
        <v>285</v>
      </c>
      <c r="J543" s="10" t="n">
        <v>1289597</v>
      </c>
      <c r="L543" s="10" t="n">
        <v>534500</v>
      </c>
      <c r="M543" s="12" t="s">
        <v>41</v>
      </c>
      <c r="N543" s="12" t="s">
        <v>42</v>
      </c>
      <c r="P543" s="10" t="n">
        <v>102</v>
      </c>
      <c r="Q543" s="12" t="s">
        <v>107</v>
      </c>
      <c r="R543" s="12" t="s">
        <v>91</v>
      </c>
      <c r="S543" s="10" t="n">
        <v>4220199</v>
      </c>
      <c r="T543" s="12" t="s">
        <v>92</v>
      </c>
      <c r="U543" s="13" t="n">
        <v>500</v>
      </c>
      <c r="W543" s="13" t="n">
        <v>0</v>
      </c>
      <c r="X543" s="12" t="s">
        <v>784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70</v>
      </c>
      <c r="F544" s="10" t="n">
        <v>13</v>
      </c>
      <c r="G544" s="12" t="s">
        <v>98</v>
      </c>
      <c r="H544" s="10" t="n">
        <v>2110101</v>
      </c>
      <c r="I544" s="12" t="s">
        <v>33</v>
      </c>
      <c r="J544" s="10" t="n">
        <v>1290725</v>
      </c>
      <c r="L544" s="10" t="n">
        <v>5168</v>
      </c>
      <c r="M544" s="12" t="s">
        <v>41</v>
      </c>
      <c r="N544" s="12" t="s">
        <v>35</v>
      </c>
      <c r="P544" s="10" t="n">
        <v>104</v>
      </c>
      <c r="Q544" s="12" t="s">
        <v>99</v>
      </c>
      <c r="R544" s="12" t="s">
        <v>37</v>
      </c>
      <c r="S544" s="10" t="n">
        <v>1130101</v>
      </c>
      <c r="T544" s="12" t="s">
        <v>38</v>
      </c>
      <c r="U544" s="13" t="n">
        <v>360</v>
      </c>
      <c r="W544" s="13" t="n">
        <v>360</v>
      </c>
      <c r="X544" s="12" t="s">
        <v>785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97</v>
      </c>
      <c r="F545" s="10" t="n">
        <v>13</v>
      </c>
      <c r="G545" s="12" t="s">
        <v>98</v>
      </c>
      <c r="H545" s="10" t="n">
        <v>2110101</v>
      </c>
      <c r="I545" s="12" t="s">
        <v>33</v>
      </c>
      <c r="J545" s="10" t="n">
        <v>1309027</v>
      </c>
      <c r="L545" s="10" t="n">
        <v>305</v>
      </c>
      <c r="M545" s="12" t="s">
        <v>41</v>
      </c>
      <c r="N545" s="12" t="s">
        <v>35</v>
      </c>
      <c r="P545" s="10" t="n">
        <v>104</v>
      </c>
      <c r="Q545" s="12" t="s">
        <v>99</v>
      </c>
      <c r="R545" s="12" t="s">
        <v>37</v>
      </c>
      <c r="S545" s="10" t="n">
        <v>1130101</v>
      </c>
      <c r="T545" s="12" t="s">
        <v>38</v>
      </c>
      <c r="U545" s="13" t="n">
        <v>405.5</v>
      </c>
      <c r="W545" s="13" t="n">
        <v>0</v>
      </c>
      <c r="X545" s="12" t="s">
        <v>786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787</v>
      </c>
      <c r="F546" s="10" t="n">
        <v>13</v>
      </c>
      <c r="G546" s="12" t="s">
        <v>98</v>
      </c>
      <c r="H546" s="10" t="n">
        <v>2110101</v>
      </c>
      <c r="I546" s="12" t="s">
        <v>33</v>
      </c>
      <c r="J546" s="10" t="n">
        <v>1309360</v>
      </c>
      <c r="L546" s="10" t="n">
        <v>9</v>
      </c>
      <c r="M546" s="12" t="s">
        <v>41</v>
      </c>
      <c r="N546" s="12" t="s">
        <v>35</v>
      </c>
      <c r="P546" s="10" t="n">
        <v>104</v>
      </c>
      <c r="Q546" s="12" t="s">
        <v>99</v>
      </c>
      <c r="R546" s="12" t="s">
        <v>37</v>
      </c>
      <c r="S546" s="10" t="n">
        <v>1130101</v>
      </c>
      <c r="T546" s="12" t="s">
        <v>38</v>
      </c>
      <c r="U546" s="13" t="n">
        <v>240</v>
      </c>
      <c r="W546" s="13" t="n">
        <v>0</v>
      </c>
      <c r="X546" s="12" t="s">
        <v>788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787</v>
      </c>
      <c r="F547" s="10" t="n">
        <v>13</v>
      </c>
      <c r="G547" s="12" t="s">
        <v>98</v>
      </c>
      <c r="H547" s="10" t="n">
        <v>2110101</v>
      </c>
      <c r="I547" s="12" t="s">
        <v>33</v>
      </c>
      <c r="J547" s="10" t="n">
        <v>1309398</v>
      </c>
      <c r="L547" s="10" t="n">
        <v>8</v>
      </c>
      <c r="M547" s="12" t="s">
        <v>41</v>
      </c>
      <c r="N547" s="12" t="s">
        <v>35</v>
      </c>
      <c r="P547" s="10" t="n">
        <v>104</v>
      </c>
      <c r="Q547" s="12" t="s">
        <v>99</v>
      </c>
      <c r="R547" s="12" t="s">
        <v>37</v>
      </c>
      <c r="S547" s="10" t="n">
        <v>1130101</v>
      </c>
      <c r="T547" s="12" t="s">
        <v>38</v>
      </c>
      <c r="U547" s="13" t="n">
        <v>640</v>
      </c>
      <c r="W547" s="13" t="n">
        <v>640</v>
      </c>
      <c r="X547" s="12" t="s">
        <v>789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787</v>
      </c>
      <c r="F548" s="10" t="n">
        <v>13</v>
      </c>
      <c r="G548" s="12" t="s">
        <v>98</v>
      </c>
      <c r="H548" s="10" t="n">
        <v>2110101</v>
      </c>
      <c r="I548" s="12" t="s">
        <v>33</v>
      </c>
      <c r="J548" s="10" t="n">
        <v>1309449</v>
      </c>
      <c r="L548" s="10" t="n">
        <v>7</v>
      </c>
      <c r="M548" s="12" t="s">
        <v>41</v>
      </c>
      <c r="N548" s="12" t="s">
        <v>35</v>
      </c>
      <c r="P548" s="10" t="n">
        <v>104</v>
      </c>
      <c r="Q548" s="12" t="s">
        <v>99</v>
      </c>
      <c r="R548" s="12" t="s">
        <v>37</v>
      </c>
      <c r="S548" s="10" t="n">
        <v>1130101</v>
      </c>
      <c r="T548" s="12" t="s">
        <v>38</v>
      </c>
      <c r="U548" s="13" t="n">
        <v>340</v>
      </c>
      <c r="W548" s="13" t="n">
        <v>340</v>
      </c>
      <c r="X548" s="12" t="s">
        <v>790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787</v>
      </c>
      <c r="F549" s="10" t="n">
        <v>13</v>
      </c>
      <c r="G549" s="12" t="s">
        <v>98</v>
      </c>
      <c r="H549" s="10" t="n">
        <v>2110101</v>
      </c>
      <c r="I549" s="12" t="s">
        <v>33</v>
      </c>
      <c r="J549" s="10" t="n">
        <v>1309532</v>
      </c>
      <c r="L549" s="10" t="n">
        <v>6</v>
      </c>
      <c r="M549" s="12" t="s">
        <v>41</v>
      </c>
      <c r="N549" s="12" t="s">
        <v>35</v>
      </c>
      <c r="P549" s="10" t="n">
        <v>104</v>
      </c>
      <c r="Q549" s="12" t="s">
        <v>99</v>
      </c>
      <c r="R549" s="12" t="s">
        <v>37</v>
      </c>
      <c r="S549" s="10" t="n">
        <v>1130101</v>
      </c>
      <c r="T549" s="12" t="s">
        <v>38</v>
      </c>
      <c r="U549" s="13" t="n">
        <v>280</v>
      </c>
      <c r="W549" s="13" t="n">
        <v>280</v>
      </c>
      <c r="X549" s="12" t="s">
        <v>791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106</v>
      </c>
      <c r="F550" s="10" t="n">
        <v>34</v>
      </c>
      <c r="G550" s="12" t="s">
        <v>71</v>
      </c>
      <c r="H550" s="10" t="n">
        <v>1110202</v>
      </c>
      <c r="I550" s="12" t="s">
        <v>285</v>
      </c>
      <c r="J550" s="10" t="n">
        <v>1340663</v>
      </c>
      <c r="L550" s="10" t="n">
        <v>553894</v>
      </c>
      <c r="M550" s="12" t="s">
        <v>41</v>
      </c>
      <c r="N550" s="12" t="s">
        <v>42</v>
      </c>
      <c r="P550" s="10" t="n">
        <v>102</v>
      </c>
      <c r="Q550" s="12" t="s">
        <v>107</v>
      </c>
      <c r="R550" s="12" t="s">
        <v>91</v>
      </c>
      <c r="S550" s="10" t="n">
        <v>4220199</v>
      </c>
      <c r="T550" s="12" t="s">
        <v>92</v>
      </c>
      <c r="U550" s="13" t="n">
        <v>40000</v>
      </c>
      <c r="W550" s="13" t="n">
        <v>0</v>
      </c>
      <c r="X550" s="12" t="s">
        <v>792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182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848141</v>
      </c>
      <c r="L551" s="10" t="n">
        <v>9409</v>
      </c>
      <c r="M551" s="12" t="s">
        <v>793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2195.35</v>
      </c>
      <c r="W551" s="13" t="n">
        <v>0</v>
      </c>
      <c r="X551" s="12" t="s">
        <v>794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94</v>
      </c>
      <c r="F552" s="10" t="n">
        <v>24</v>
      </c>
      <c r="G552" s="12" t="s">
        <v>32</v>
      </c>
      <c r="H552" s="10" t="n">
        <v>2110405</v>
      </c>
      <c r="I552" s="12" t="s">
        <v>83</v>
      </c>
      <c r="J552" s="10" t="n">
        <v>950724</v>
      </c>
      <c r="L552" s="10" t="n">
        <v>403362</v>
      </c>
      <c r="M552" s="12" t="s">
        <v>128</v>
      </c>
      <c r="N552" s="12" t="s">
        <v>42</v>
      </c>
      <c r="P552" s="10" t="n">
        <v>101</v>
      </c>
      <c r="Q552" s="12" t="s">
        <v>84</v>
      </c>
      <c r="R552" s="12" t="s">
        <v>91</v>
      </c>
      <c r="S552" s="10" t="n">
        <v>4220199</v>
      </c>
      <c r="T552" s="12" t="s">
        <v>92</v>
      </c>
      <c r="U552" s="13" t="n">
        <v>2720.81</v>
      </c>
      <c r="W552" s="13" t="n">
        <v>0</v>
      </c>
      <c r="X552" s="12" t="s">
        <v>795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189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1088997</v>
      </c>
      <c r="L553" s="10" t="n">
        <v>33622</v>
      </c>
      <c r="M553" s="12" t="s">
        <v>128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1326</v>
      </c>
      <c r="W553" s="13" t="n">
        <v>0</v>
      </c>
      <c r="X553" s="12" t="s">
        <v>796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1192775</v>
      </c>
      <c r="L554" s="10" t="n">
        <v>7862</v>
      </c>
      <c r="M554" s="12" t="s">
        <v>128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1695.9</v>
      </c>
      <c r="W554" s="13" t="n">
        <v>0</v>
      </c>
      <c r="X554" s="12" t="s">
        <v>797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144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1230698</v>
      </c>
      <c r="L555" s="10" t="n">
        <v>37950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5799.6</v>
      </c>
      <c r="W555" s="13" t="n">
        <v>0</v>
      </c>
      <c r="X555" s="12" t="s">
        <v>798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750</v>
      </c>
      <c r="F556" s="10" t="n">
        <v>24</v>
      </c>
      <c r="G556" s="12" t="s">
        <v>32</v>
      </c>
      <c r="H556" s="10" t="n">
        <v>2110102</v>
      </c>
      <c r="I556" s="12" t="s">
        <v>59</v>
      </c>
      <c r="J556" s="10" t="n">
        <v>1231622</v>
      </c>
      <c r="L556" s="10" t="n">
        <v>207140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60</v>
      </c>
      <c r="S556" s="10" t="n">
        <v>4210204</v>
      </c>
      <c r="T556" s="12" t="s">
        <v>61</v>
      </c>
      <c r="U556" s="13" t="n">
        <v>622.46</v>
      </c>
      <c r="W556" s="13" t="n">
        <v>0</v>
      </c>
      <c r="X556" s="12" t="s">
        <v>799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246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1236138</v>
      </c>
      <c r="L557" s="10" t="n">
        <v>346214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1199.99</v>
      </c>
      <c r="W557" s="13" t="n">
        <v>0</v>
      </c>
      <c r="X557" s="12" t="s">
        <v>800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264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1257667</v>
      </c>
      <c r="L558" s="10" t="n">
        <v>171508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9050.8</v>
      </c>
      <c r="W558" s="13" t="n">
        <v>0</v>
      </c>
      <c r="X558" s="12" t="s">
        <v>801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551</v>
      </c>
      <c r="F559" s="10" t="n">
        <v>24</v>
      </c>
      <c r="G559" s="12" t="s">
        <v>32</v>
      </c>
      <c r="H559" s="10" t="n">
        <v>2110101</v>
      </c>
      <c r="I559" s="12" t="s">
        <v>33</v>
      </c>
      <c r="J559" s="10" t="n">
        <v>1262226</v>
      </c>
      <c r="L559" s="10" t="n">
        <v>387396</v>
      </c>
      <c r="M559" s="12" t="s">
        <v>41</v>
      </c>
      <c r="N559" s="12" t="s">
        <v>35</v>
      </c>
      <c r="P559" s="10" t="n">
        <v>103</v>
      </c>
      <c r="Q559" s="12" t="s">
        <v>36</v>
      </c>
      <c r="R559" s="12" t="s">
        <v>37</v>
      </c>
      <c r="S559" s="10" t="n">
        <v>1130101</v>
      </c>
      <c r="T559" s="12" t="s">
        <v>38</v>
      </c>
      <c r="U559" s="13" t="n">
        <v>1107.75</v>
      </c>
      <c r="W559" s="13" t="n">
        <v>0</v>
      </c>
      <c r="X559" s="12" t="s">
        <v>802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159</v>
      </c>
      <c r="F560" s="10" t="n">
        <v>24</v>
      </c>
      <c r="G560" s="12" t="s">
        <v>32</v>
      </c>
      <c r="H560" s="10" t="n">
        <v>2110101</v>
      </c>
      <c r="I560" s="12" t="s">
        <v>33</v>
      </c>
      <c r="J560" s="10" t="n">
        <v>1266376</v>
      </c>
      <c r="L560" s="10" t="n">
        <v>1027236</v>
      </c>
      <c r="M560" s="12" t="s">
        <v>41</v>
      </c>
      <c r="N560" s="12" t="s">
        <v>35</v>
      </c>
      <c r="P560" s="10" t="n">
        <v>103</v>
      </c>
      <c r="Q560" s="12" t="s">
        <v>36</v>
      </c>
      <c r="R560" s="12" t="s">
        <v>37</v>
      </c>
      <c r="S560" s="10" t="n">
        <v>1130101</v>
      </c>
      <c r="T560" s="12" t="s">
        <v>38</v>
      </c>
      <c r="U560" s="13" t="n">
        <v>516.15</v>
      </c>
      <c r="W560" s="13" t="n">
        <v>0</v>
      </c>
      <c r="X560" s="12" t="s">
        <v>803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319</v>
      </c>
      <c r="F561" s="10" t="n">
        <v>24</v>
      </c>
      <c r="G561" s="12" t="s">
        <v>32</v>
      </c>
      <c r="H561" s="10" t="n">
        <v>2110101</v>
      </c>
      <c r="I561" s="12" t="s">
        <v>33</v>
      </c>
      <c r="J561" s="10" t="n">
        <v>1269852</v>
      </c>
      <c r="L561" s="10" t="n">
        <v>10108</v>
      </c>
      <c r="M561" s="12" t="s">
        <v>41</v>
      </c>
      <c r="N561" s="12" t="s">
        <v>35</v>
      </c>
      <c r="P561" s="10" t="n">
        <v>103</v>
      </c>
      <c r="Q561" s="12" t="s">
        <v>36</v>
      </c>
      <c r="R561" s="12" t="s">
        <v>37</v>
      </c>
      <c r="S561" s="10" t="n">
        <v>1130101</v>
      </c>
      <c r="T561" s="12" t="s">
        <v>38</v>
      </c>
      <c r="U561" s="13" t="n">
        <v>864</v>
      </c>
      <c r="W561" s="13" t="n">
        <v>0</v>
      </c>
      <c r="X561" s="12" t="s">
        <v>804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201</v>
      </c>
      <c r="F562" s="10" t="n">
        <v>24</v>
      </c>
      <c r="G562" s="12" t="s">
        <v>32</v>
      </c>
      <c r="H562" s="10" t="n">
        <v>2110101</v>
      </c>
      <c r="I562" s="12" t="s">
        <v>33</v>
      </c>
      <c r="J562" s="10" t="n">
        <v>1269942</v>
      </c>
      <c r="L562" s="10" t="n">
        <v>1414215</v>
      </c>
      <c r="M562" s="12" t="s">
        <v>41</v>
      </c>
      <c r="N562" s="12" t="s">
        <v>35</v>
      </c>
      <c r="P562" s="10" t="n">
        <v>103</v>
      </c>
      <c r="Q562" s="12" t="s">
        <v>36</v>
      </c>
      <c r="R562" s="12" t="s">
        <v>37</v>
      </c>
      <c r="S562" s="10" t="n">
        <v>1130101</v>
      </c>
      <c r="T562" s="12" t="s">
        <v>38</v>
      </c>
      <c r="U562" s="13" t="n">
        <v>414.93</v>
      </c>
      <c r="W562" s="13" t="n">
        <v>0</v>
      </c>
      <c r="X562" s="12" t="s">
        <v>805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201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1269964</v>
      </c>
      <c r="L563" s="10" t="n">
        <v>1414432</v>
      </c>
      <c r="M563" s="12" t="s">
        <v>41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1685.95</v>
      </c>
      <c r="W563" s="13" t="n">
        <v>0</v>
      </c>
      <c r="X563" s="12" t="s">
        <v>806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74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1272620</v>
      </c>
      <c r="L564" s="10" t="n">
        <v>668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362</v>
      </c>
      <c r="W564" s="13" t="n">
        <v>0</v>
      </c>
      <c r="X564" s="12" t="s">
        <v>807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321</v>
      </c>
      <c r="F565" s="10" t="n">
        <v>24</v>
      </c>
      <c r="G565" s="12" t="s">
        <v>32</v>
      </c>
      <c r="H565" s="10" t="n">
        <v>2110101</v>
      </c>
      <c r="I565" s="12" t="s">
        <v>33</v>
      </c>
      <c r="J565" s="10" t="n">
        <v>1272643</v>
      </c>
      <c r="L565" s="10" t="n">
        <v>3413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37</v>
      </c>
      <c r="S565" s="10" t="n">
        <v>1130101</v>
      </c>
      <c r="T565" s="12" t="s">
        <v>38</v>
      </c>
      <c r="U565" s="13" t="n">
        <v>1444</v>
      </c>
      <c r="W565" s="13" t="n">
        <v>0</v>
      </c>
      <c r="X565" s="12" t="s">
        <v>808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161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1279904</v>
      </c>
      <c r="L566" s="10" t="n">
        <v>503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900</v>
      </c>
      <c r="W566" s="13" t="n">
        <v>0</v>
      </c>
      <c r="X566" s="12" t="s">
        <v>809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74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1279917</v>
      </c>
      <c r="L567" s="10" t="n">
        <v>670</v>
      </c>
      <c r="M567" s="12" t="s">
        <v>41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384.5</v>
      </c>
      <c r="W567" s="13" t="n">
        <v>0</v>
      </c>
      <c r="X567" s="12" t="s">
        <v>810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811</v>
      </c>
      <c r="F568" s="10" t="n">
        <v>34</v>
      </c>
      <c r="G568" s="12" t="s">
        <v>71</v>
      </c>
      <c r="H568" s="10" t="n">
        <v>2110405</v>
      </c>
      <c r="I568" s="12" t="s">
        <v>83</v>
      </c>
      <c r="J568" s="10" t="n">
        <v>1295459</v>
      </c>
      <c r="L568" s="10" t="n">
        <v>536510</v>
      </c>
      <c r="M568" s="12" t="s">
        <v>41</v>
      </c>
      <c r="N568" s="12" t="s">
        <v>42</v>
      </c>
      <c r="P568" s="10" t="n">
        <v>101</v>
      </c>
      <c r="Q568" s="12" t="s">
        <v>84</v>
      </c>
      <c r="R568" s="12" t="s">
        <v>60</v>
      </c>
      <c r="S568" s="10" t="n">
        <v>4210223</v>
      </c>
      <c r="T568" s="12" t="s">
        <v>116</v>
      </c>
      <c r="U568" s="13" t="n">
        <v>615</v>
      </c>
      <c r="W568" s="13" t="n">
        <v>0</v>
      </c>
      <c r="X568" s="12" t="s">
        <v>812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70</v>
      </c>
      <c r="F569" s="10" t="n">
        <v>34</v>
      </c>
      <c r="G569" s="12" t="s">
        <v>71</v>
      </c>
      <c r="H569" s="10" t="n">
        <v>2110101</v>
      </c>
      <c r="I569" s="12" t="s">
        <v>33</v>
      </c>
      <c r="J569" s="10" t="n">
        <v>1295521</v>
      </c>
      <c r="L569" s="10" t="n">
        <v>5169</v>
      </c>
      <c r="M569" s="12" t="s">
        <v>41</v>
      </c>
      <c r="N569" s="12" t="s">
        <v>35</v>
      </c>
      <c r="P569" s="10" t="n">
        <v>104</v>
      </c>
      <c r="Q569" s="12" t="s">
        <v>99</v>
      </c>
      <c r="R569" s="12" t="s">
        <v>37</v>
      </c>
      <c r="S569" s="10" t="n">
        <v>1130101</v>
      </c>
      <c r="T569" s="12" t="s">
        <v>38</v>
      </c>
      <c r="U569" s="13" t="n">
        <v>2460</v>
      </c>
      <c r="W569" s="13" t="n">
        <v>0</v>
      </c>
      <c r="X569" s="12" t="s">
        <v>172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168</v>
      </c>
      <c r="F570" s="10" t="n">
        <v>34</v>
      </c>
      <c r="G570" s="12" t="s">
        <v>71</v>
      </c>
      <c r="H570" s="10" t="n">
        <v>2110405</v>
      </c>
      <c r="I570" s="12" t="s">
        <v>83</v>
      </c>
      <c r="J570" s="10" t="n">
        <v>1295741</v>
      </c>
      <c r="L570" s="10" t="n">
        <v>536589</v>
      </c>
      <c r="M570" s="12" t="s">
        <v>41</v>
      </c>
      <c r="N570" s="12" t="s">
        <v>42</v>
      </c>
      <c r="P570" s="10" t="n">
        <v>101</v>
      </c>
      <c r="Q570" s="12" t="s">
        <v>84</v>
      </c>
      <c r="R570" s="12" t="s">
        <v>91</v>
      </c>
      <c r="S570" s="10" t="n">
        <v>4220199</v>
      </c>
      <c r="T570" s="12" t="s">
        <v>92</v>
      </c>
      <c r="U570" s="13" t="n">
        <v>4103</v>
      </c>
      <c r="W570" s="13" t="n">
        <v>0</v>
      </c>
      <c r="X570" s="12" t="s">
        <v>813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787</v>
      </c>
      <c r="F571" s="10" t="n">
        <v>13</v>
      </c>
      <c r="G571" s="12" t="s">
        <v>98</v>
      </c>
      <c r="H571" s="10" t="n">
        <v>2110101</v>
      </c>
      <c r="I571" s="12" t="s">
        <v>33</v>
      </c>
      <c r="J571" s="10" t="n">
        <v>1309564</v>
      </c>
      <c r="L571" s="10" t="n">
        <v>32</v>
      </c>
      <c r="M571" s="12" t="s">
        <v>41</v>
      </c>
      <c r="N571" s="12" t="s">
        <v>35</v>
      </c>
      <c r="P571" s="10" t="n">
        <v>104</v>
      </c>
      <c r="Q571" s="12" t="s">
        <v>99</v>
      </c>
      <c r="R571" s="12" t="s">
        <v>37</v>
      </c>
      <c r="S571" s="10" t="n">
        <v>1130101</v>
      </c>
      <c r="T571" s="12" t="s">
        <v>38</v>
      </c>
      <c r="U571" s="13" t="n">
        <v>240</v>
      </c>
      <c r="W571" s="13" t="n">
        <v>0</v>
      </c>
      <c r="X571" s="12" t="s">
        <v>814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204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1131679</v>
      </c>
      <c r="L572" s="10" t="n">
        <v>1952294</v>
      </c>
      <c r="M572" s="12" t="s">
        <v>394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2899.41</v>
      </c>
      <c r="W572" s="13" t="n">
        <v>0</v>
      </c>
      <c r="X572" s="12" t="s">
        <v>815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1167056</v>
      </c>
      <c r="L573" s="10" t="n">
        <v>1662315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1176.19</v>
      </c>
      <c r="W573" s="13" t="n">
        <v>0</v>
      </c>
      <c r="X573" s="12" t="s">
        <v>816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57</v>
      </c>
      <c r="F574" s="10" t="n">
        <v>24</v>
      </c>
      <c r="G574" s="12" t="s">
        <v>32</v>
      </c>
      <c r="H574" s="10" t="n">
        <v>2110102</v>
      </c>
      <c r="I574" s="12" t="s">
        <v>59</v>
      </c>
      <c r="J574" s="10" t="n">
        <v>1167817</v>
      </c>
      <c r="L574" s="10" t="n">
        <v>722979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60</v>
      </c>
      <c r="S574" s="10" t="n">
        <v>4210204</v>
      </c>
      <c r="T574" s="12" t="s">
        <v>61</v>
      </c>
      <c r="U574" s="13" t="n">
        <v>1487.84</v>
      </c>
      <c r="W574" s="13" t="n">
        <v>0</v>
      </c>
      <c r="X574" s="12" t="s">
        <v>817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57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1172093</v>
      </c>
      <c r="L575" s="10" t="n">
        <v>722978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393.31</v>
      </c>
      <c r="W575" s="13" t="n">
        <v>0</v>
      </c>
      <c r="X575" s="12" t="s">
        <v>818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182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1177249</v>
      </c>
      <c r="L576" s="10" t="n">
        <v>10589</v>
      </c>
      <c r="M576" s="12" t="s">
        <v>34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1060.9</v>
      </c>
      <c r="W576" s="13" t="n">
        <v>0</v>
      </c>
      <c r="X576" s="12" t="s">
        <v>819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51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1207747</v>
      </c>
      <c r="L577" s="10" t="n">
        <v>1667674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1541.96</v>
      </c>
      <c r="W577" s="13" t="n">
        <v>0</v>
      </c>
      <c r="X577" s="12" t="s">
        <v>820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193</v>
      </c>
      <c r="F578" s="10" t="n">
        <v>24</v>
      </c>
      <c r="G578" s="12" t="s">
        <v>32</v>
      </c>
      <c r="H578" s="10" t="n">
        <v>2110101</v>
      </c>
      <c r="I578" s="12" t="s">
        <v>33</v>
      </c>
      <c r="J578" s="10" t="n">
        <v>1227467</v>
      </c>
      <c r="L578" s="10" t="n">
        <v>2290278</v>
      </c>
      <c r="M578" s="12" t="s">
        <v>41</v>
      </c>
      <c r="N578" s="12" t="s">
        <v>35</v>
      </c>
      <c r="P578" s="10" t="n">
        <v>103</v>
      </c>
      <c r="Q578" s="12" t="s">
        <v>36</v>
      </c>
      <c r="R578" s="12" t="s">
        <v>37</v>
      </c>
      <c r="S578" s="10" t="n">
        <v>1130101</v>
      </c>
      <c r="T578" s="12" t="s">
        <v>38</v>
      </c>
      <c r="U578" s="13" t="n">
        <v>1303.9</v>
      </c>
      <c r="W578" s="13" t="n">
        <v>0</v>
      </c>
      <c r="X578" s="12" t="s">
        <v>821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193</v>
      </c>
      <c r="F579" s="10" t="n">
        <v>24</v>
      </c>
      <c r="G579" s="12" t="s">
        <v>32</v>
      </c>
      <c r="H579" s="10" t="n">
        <v>2110101</v>
      </c>
      <c r="I579" s="12" t="s">
        <v>33</v>
      </c>
      <c r="J579" s="10" t="n">
        <v>1235909</v>
      </c>
      <c r="L579" s="10" t="n">
        <v>2291498</v>
      </c>
      <c r="M579" s="12" t="s">
        <v>41</v>
      </c>
      <c r="N579" s="12" t="s">
        <v>35</v>
      </c>
      <c r="P579" s="10" t="n">
        <v>103</v>
      </c>
      <c r="Q579" s="12" t="s">
        <v>36</v>
      </c>
      <c r="R579" s="12" t="s">
        <v>37</v>
      </c>
      <c r="S579" s="10" t="n">
        <v>1130101</v>
      </c>
      <c r="T579" s="12" t="s">
        <v>38</v>
      </c>
      <c r="U579" s="13" t="n">
        <v>786.11</v>
      </c>
      <c r="W579" s="13" t="n">
        <v>0</v>
      </c>
      <c r="X579" s="12" t="s">
        <v>822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208</v>
      </c>
      <c r="F580" s="10" t="n">
        <v>24</v>
      </c>
      <c r="G580" s="12" t="s">
        <v>32</v>
      </c>
      <c r="H580" s="10" t="n">
        <v>2110101</v>
      </c>
      <c r="I580" s="12" t="s">
        <v>33</v>
      </c>
      <c r="J580" s="10" t="n">
        <v>1260864</v>
      </c>
      <c r="L580" s="10" t="n">
        <v>1595987</v>
      </c>
      <c r="M580" s="12" t="s">
        <v>41</v>
      </c>
      <c r="N580" s="12" t="s">
        <v>35</v>
      </c>
      <c r="P580" s="10" t="n">
        <v>103</v>
      </c>
      <c r="Q580" s="12" t="s">
        <v>36</v>
      </c>
      <c r="R580" s="12" t="s">
        <v>37</v>
      </c>
      <c r="S580" s="10" t="n">
        <v>1130101</v>
      </c>
      <c r="T580" s="12" t="s">
        <v>38</v>
      </c>
      <c r="U580" s="13" t="n">
        <v>5942.06</v>
      </c>
      <c r="W580" s="13" t="n">
        <v>0</v>
      </c>
      <c r="X580" s="12" t="s">
        <v>823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201</v>
      </c>
      <c r="F581" s="10" t="n">
        <v>24</v>
      </c>
      <c r="G581" s="12" t="s">
        <v>32</v>
      </c>
      <c r="H581" s="10" t="n">
        <v>2110101</v>
      </c>
      <c r="I581" s="12" t="s">
        <v>33</v>
      </c>
      <c r="J581" s="10" t="n">
        <v>1265196</v>
      </c>
      <c r="L581" s="10" t="n">
        <v>1414636</v>
      </c>
      <c r="M581" s="12" t="s">
        <v>34</v>
      </c>
      <c r="N581" s="12" t="s">
        <v>35</v>
      </c>
      <c r="P581" s="10" t="n">
        <v>103</v>
      </c>
      <c r="Q581" s="12" t="s">
        <v>36</v>
      </c>
      <c r="R581" s="12" t="s">
        <v>37</v>
      </c>
      <c r="S581" s="10" t="n">
        <v>1130101</v>
      </c>
      <c r="T581" s="12" t="s">
        <v>38</v>
      </c>
      <c r="U581" s="13" t="n">
        <v>1356.17</v>
      </c>
      <c r="W581" s="13" t="n">
        <v>0</v>
      </c>
      <c r="X581" s="12" t="s">
        <v>824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825</v>
      </c>
      <c r="F582" s="10" t="n">
        <v>24</v>
      </c>
      <c r="G582" s="12" t="s">
        <v>32</v>
      </c>
      <c r="H582" s="10" t="n">
        <v>2110101</v>
      </c>
      <c r="I582" s="12" t="s">
        <v>33</v>
      </c>
      <c r="J582" s="10" t="n">
        <v>1266127</v>
      </c>
      <c r="L582" s="10" t="n">
        <v>58</v>
      </c>
      <c r="M582" s="12" t="s">
        <v>41</v>
      </c>
      <c r="N582" s="12" t="s">
        <v>35</v>
      </c>
      <c r="P582" s="10" t="n">
        <v>103</v>
      </c>
      <c r="Q582" s="12" t="s">
        <v>36</v>
      </c>
      <c r="R582" s="12" t="s">
        <v>37</v>
      </c>
      <c r="S582" s="10" t="n">
        <v>1130101</v>
      </c>
      <c r="T582" s="12" t="s">
        <v>38</v>
      </c>
      <c r="U582" s="13" t="n">
        <v>144</v>
      </c>
      <c r="W582" s="13" t="n">
        <v>0</v>
      </c>
      <c r="X582" s="12" t="s">
        <v>826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155</v>
      </c>
      <c r="F583" s="10" t="n">
        <v>24</v>
      </c>
      <c r="G583" s="12" t="s">
        <v>32</v>
      </c>
      <c r="H583" s="10" t="n">
        <v>2110101</v>
      </c>
      <c r="I583" s="12" t="s">
        <v>33</v>
      </c>
      <c r="J583" s="10" t="n">
        <v>1269857</v>
      </c>
      <c r="L583" s="10" t="n">
        <v>3394</v>
      </c>
      <c r="M583" s="12" t="s">
        <v>41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310</v>
      </c>
      <c r="W583" s="13" t="n">
        <v>0</v>
      </c>
      <c r="X583" s="12" t="s">
        <v>827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217</v>
      </c>
      <c r="F584" s="10" t="n">
        <v>24</v>
      </c>
      <c r="G584" s="12" t="s">
        <v>32</v>
      </c>
      <c r="H584" s="10" t="n">
        <v>2110101</v>
      </c>
      <c r="I584" s="12" t="s">
        <v>33</v>
      </c>
      <c r="J584" s="10" t="n">
        <v>1272440</v>
      </c>
      <c r="L584" s="10" t="n">
        <v>16062</v>
      </c>
      <c r="M584" s="12" t="s">
        <v>41</v>
      </c>
      <c r="N584" s="12" t="s">
        <v>35</v>
      </c>
      <c r="P584" s="10" t="n">
        <v>103</v>
      </c>
      <c r="Q584" s="12" t="s">
        <v>36</v>
      </c>
      <c r="R584" s="12" t="s">
        <v>37</v>
      </c>
      <c r="S584" s="10" t="n">
        <v>1130101</v>
      </c>
      <c r="T584" s="12" t="s">
        <v>38</v>
      </c>
      <c r="U584" s="13" t="n">
        <v>480</v>
      </c>
      <c r="W584" s="13" t="n">
        <v>0</v>
      </c>
      <c r="X584" s="12" t="s">
        <v>828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74</v>
      </c>
      <c r="F585" s="10" t="n">
        <v>24</v>
      </c>
      <c r="G585" s="12" t="s">
        <v>32</v>
      </c>
      <c r="H585" s="10" t="n">
        <v>2110101</v>
      </c>
      <c r="I585" s="12" t="s">
        <v>33</v>
      </c>
      <c r="J585" s="10" t="n">
        <v>1289255</v>
      </c>
      <c r="L585" s="10" t="n">
        <v>671</v>
      </c>
      <c r="M585" s="12" t="s">
        <v>41</v>
      </c>
      <c r="N585" s="12" t="s">
        <v>35</v>
      </c>
      <c r="P585" s="10" t="n">
        <v>103</v>
      </c>
      <c r="Q585" s="12" t="s">
        <v>36</v>
      </c>
      <c r="R585" s="12" t="s">
        <v>37</v>
      </c>
      <c r="S585" s="10" t="n">
        <v>1130101</v>
      </c>
      <c r="T585" s="12" t="s">
        <v>38</v>
      </c>
      <c r="U585" s="13" t="n">
        <v>750</v>
      </c>
      <c r="W585" s="13" t="n">
        <v>0</v>
      </c>
      <c r="X585" s="12" t="s">
        <v>829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66</v>
      </c>
      <c r="F586" s="10" t="n">
        <v>24</v>
      </c>
      <c r="G586" s="12" t="s">
        <v>32</v>
      </c>
      <c r="H586" s="10" t="n">
        <v>2110101</v>
      </c>
      <c r="I586" s="12" t="s">
        <v>33</v>
      </c>
      <c r="J586" s="10" t="n">
        <v>1289995</v>
      </c>
      <c r="L586" s="10" t="n">
        <v>11298</v>
      </c>
      <c r="M586" s="12" t="s">
        <v>41</v>
      </c>
      <c r="N586" s="12" t="s">
        <v>35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364.8</v>
      </c>
      <c r="W586" s="13" t="n">
        <v>0</v>
      </c>
      <c r="X586" s="12" t="s">
        <v>830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70</v>
      </c>
      <c r="F587" s="10" t="n">
        <v>34</v>
      </c>
      <c r="G587" s="12" t="s">
        <v>71</v>
      </c>
      <c r="H587" s="10" t="n">
        <v>2110101</v>
      </c>
      <c r="I587" s="12" t="s">
        <v>33</v>
      </c>
      <c r="J587" s="10" t="n">
        <v>1295699</v>
      </c>
      <c r="L587" s="10" t="n">
        <v>5170</v>
      </c>
      <c r="M587" s="12" t="s">
        <v>41</v>
      </c>
      <c r="N587" s="12" t="s">
        <v>35</v>
      </c>
      <c r="P587" s="10" t="n">
        <v>104</v>
      </c>
      <c r="Q587" s="12" t="s">
        <v>99</v>
      </c>
      <c r="R587" s="12" t="s">
        <v>37</v>
      </c>
      <c r="S587" s="10" t="n">
        <v>1130101</v>
      </c>
      <c r="T587" s="12" t="s">
        <v>38</v>
      </c>
      <c r="U587" s="13" t="n">
        <v>1323</v>
      </c>
      <c r="W587" s="13" t="n">
        <v>0</v>
      </c>
      <c r="X587" s="12" t="s">
        <v>220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221</v>
      </c>
      <c r="F588" s="10" t="n">
        <v>34</v>
      </c>
      <c r="G588" s="12" t="s">
        <v>71</v>
      </c>
      <c r="H588" s="10" t="n">
        <v>2110101</v>
      </c>
      <c r="I588" s="12" t="s">
        <v>33</v>
      </c>
      <c r="J588" s="10" t="n">
        <v>1295750</v>
      </c>
      <c r="L588" s="10" t="n">
        <v>14736</v>
      </c>
      <c r="M588" s="12" t="s">
        <v>41</v>
      </c>
      <c r="N588" s="12" t="s">
        <v>35</v>
      </c>
      <c r="P588" s="10" t="n">
        <v>104</v>
      </c>
      <c r="Q588" s="12" t="s">
        <v>99</v>
      </c>
      <c r="R588" s="12" t="s">
        <v>37</v>
      </c>
      <c r="S588" s="10" t="n">
        <v>1130101</v>
      </c>
      <c r="T588" s="12" t="s">
        <v>38</v>
      </c>
      <c r="U588" s="13" t="n">
        <v>390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832</v>
      </c>
      <c r="F589" s="10" t="n">
        <v>24</v>
      </c>
      <c r="G589" s="12" t="s">
        <v>32</v>
      </c>
      <c r="H589" s="10" t="n">
        <v>2110405</v>
      </c>
      <c r="I589" s="12" t="s">
        <v>83</v>
      </c>
      <c r="J589" s="10" t="n">
        <v>847424</v>
      </c>
      <c r="L589" s="10" t="n">
        <v>363545</v>
      </c>
      <c r="M589" s="12" t="s">
        <v>394</v>
      </c>
      <c r="N589" s="12" t="s">
        <v>42</v>
      </c>
      <c r="P589" s="10" t="n">
        <v>102</v>
      </c>
      <c r="Q589" s="12" t="s">
        <v>107</v>
      </c>
      <c r="R589" s="12" t="s">
        <v>60</v>
      </c>
      <c r="S589" s="10" t="n">
        <v>4210227</v>
      </c>
      <c r="T589" s="12" t="s">
        <v>418</v>
      </c>
      <c r="U589" s="13" t="n">
        <v>1001.34</v>
      </c>
      <c r="W589" s="13" t="n">
        <v>0</v>
      </c>
      <c r="X589" s="12" t="s">
        <v>833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787</v>
      </c>
      <c r="F590" s="10" t="n">
        <v>13</v>
      </c>
      <c r="G590" s="12" t="s">
        <v>98</v>
      </c>
      <c r="H590" s="10" t="n">
        <v>2110101</v>
      </c>
      <c r="I590" s="12" t="s">
        <v>33</v>
      </c>
      <c r="J590" s="10" t="n">
        <v>1309308</v>
      </c>
      <c r="L590" s="10" t="n">
        <v>35</v>
      </c>
      <c r="M590" s="12" t="s">
        <v>41</v>
      </c>
      <c r="N590" s="12" t="s">
        <v>35</v>
      </c>
      <c r="P590" s="10" t="n">
        <v>104</v>
      </c>
      <c r="Q590" s="12" t="s">
        <v>99</v>
      </c>
      <c r="R590" s="12" t="s">
        <v>37</v>
      </c>
      <c r="S590" s="10" t="n">
        <v>1130101</v>
      </c>
      <c r="T590" s="12" t="s">
        <v>38</v>
      </c>
      <c r="U590" s="13" t="n">
        <v>320</v>
      </c>
      <c r="W590" s="13" t="n">
        <v>0</v>
      </c>
      <c r="X590" s="12" t="s">
        <v>834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835</v>
      </c>
      <c r="F591" s="10" t="n">
        <v>36</v>
      </c>
      <c r="G591" s="12" t="s">
        <v>445</v>
      </c>
      <c r="H591" s="10" t="n">
        <v>2110102</v>
      </c>
      <c r="I591" s="12" t="s">
        <v>59</v>
      </c>
      <c r="J591" s="10" t="n">
        <v>532309</v>
      </c>
      <c r="L591" s="10" t="n">
        <v>2543</v>
      </c>
      <c r="M591" s="12" t="s">
        <v>391</v>
      </c>
      <c r="N591" s="12" t="s">
        <v>35</v>
      </c>
      <c r="P591" s="10" t="n">
        <v>101</v>
      </c>
      <c r="Q591" s="12" t="s">
        <v>84</v>
      </c>
      <c r="R591" s="12" t="s">
        <v>60</v>
      </c>
      <c r="S591" s="10" t="n">
        <v>4210204</v>
      </c>
      <c r="T591" s="12" t="s">
        <v>61</v>
      </c>
      <c r="U591" s="13" t="n">
        <v>285.77</v>
      </c>
      <c r="W591" s="13" t="n">
        <v>0</v>
      </c>
      <c r="X591" s="12" t="s">
        <v>836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837</v>
      </c>
      <c r="F592" s="10" t="n">
        <v>36</v>
      </c>
      <c r="G592" s="12" t="s">
        <v>445</v>
      </c>
      <c r="H592" s="10" t="n">
        <v>2110101</v>
      </c>
      <c r="I592" s="12" t="s">
        <v>33</v>
      </c>
      <c r="J592" s="10" t="n">
        <v>535198</v>
      </c>
      <c r="L592" s="10" t="n">
        <v>6277</v>
      </c>
      <c r="M592" s="12" t="s">
        <v>234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666.67</v>
      </c>
      <c r="W592" s="13" t="n">
        <v>0</v>
      </c>
      <c r="X592" s="12" t="s">
        <v>838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835</v>
      </c>
      <c r="F593" s="10" t="n">
        <v>36</v>
      </c>
      <c r="G593" s="12" t="s">
        <v>445</v>
      </c>
      <c r="H593" s="10" t="n">
        <v>2110405</v>
      </c>
      <c r="I593" s="12" t="s">
        <v>83</v>
      </c>
      <c r="J593" s="10" t="n">
        <v>717562</v>
      </c>
      <c r="L593" s="10" t="n">
        <v>313465</v>
      </c>
      <c r="M593" s="12" t="s">
        <v>234</v>
      </c>
      <c r="N593" s="12" t="s">
        <v>42</v>
      </c>
      <c r="P593" s="10" t="n">
        <v>103</v>
      </c>
      <c r="Q593" s="12" t="s">
        <v>36</v>
      </c>
      <c r="R593" s="12" t="s">
        <v>765</v>
      </c>
      <c r="S593" s="10" t="n">
        <v>1240103</v>
      </c>
      <c r="T593" s="12" t="s">
        <v>839</v>
      </c>
      <c r="U593" s="13" t="n">
        <v>212.45</v>
      </c>
      <c r="W593" s="13" t="n">
        <v>0</v>
      </c>
      <c r="X593" s="12" t="s">
        <v>840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444</v>
      </c>
      <c r="F594" s="10" t="n">
        <v>36</v>
      </c>
      <c r="G594" s="12" t="s">
        <v>445</v>
      </c>
      <c r="H594" s="10" t="n">
        <v>2110101</v>
      </c>
      <c r="I594" s="12" t="s">
        <v>33</v>
      </c>
      <c r="J594" s="10" t="n">
        <v>808801</v>
      </c>
      <c r="L594" s="10" t="n">
        <v>349045</v>
      </c>
      <c r="M594" s="12" t="s">
        <v>394</v>
      </c>
      <c r="N594" s="12" t="s">
        <v>42</v>
      </c>
      <c r="P594" s="10" t="n">
        <v>103</v>
      </c>
      <c r="Q594" s="12" t="s">
        <v>36</v>
      </c>
      <c r="R594" s="12" t="s">
        <v>83</v>
      </c>
      <c r="S594" s="10" t="n">
        <v>2110405</v>
      </c>
      <c r="T594" s="12" t="s">
        <v>83</v>
      </c>
      <c r="U594" s="13" t="n">
        <v>399.1</v>
      </c>
      <c r="W594" s="13" t="n">
        <v>0</v>
      </c>
      <c r="X594" s="12" t="s">
        <v>841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842</v>
      </c>
      <c r="F595" s="10" t="n">
        <v>36</v>
      </c>
      <c r="G595" s="12" t="s">
        <v>445</v>
      </c>
      <c r="H595" s="10" t="n">
        <v>2110101</v>
      </c>
      <c r="I595" s="12" t="s">
        <v>33</v>
      </c>
      <c r="J595" s="10" t="n">
        <v>826843</v>
      </c>
      <c r="L595" s="10" t="n">
        <v>355659</v>
      </c>
      <c r="M595" s="12" t="s">
        <v>128</v>
      </c>
      <c r="N595" s="12" t="s">
        <v>42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233.33</v>
      </c>
      <c r="W595" s="13" t="n">
        <v>0</v>
      </c>
      <c r="X595" s="12" t="s">
        <v>843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444</v>
      </c>
      <c r="F596" s="10" t="n">
        <v>36</v>
      </c>
      <c r="G596" s="12" t="s">
        <v>445</v>
      </c>
      <c r="H596" s="10" t="n">
        <v>2110405</v>
      </c>
      <c r="I596" s="12" t="s">
        <v>83</v>
      </c>
      <c r="J596" s="10" t="n">
        <v>920498</v>
      </c>
      <c r="L596" s="10" t="n">
        <v>391987</v>
      </c>
      <c r="M596" s="12" t="s">
        <v>128</v>
      </c>
      <c r="N596" s="12" t="s">
        <v>42</v>
      </c>
      <c r="P596" s="10" t="n">
        <v>103</v>
      </c>
      <c r="Q596" s="12" t="s">
        <v>36</v>
      </c>
      <c r="R596" s="12" t="s">
        <v>765</v>
      </c>
      <c r="S596" s="10" t="n">
        <v>1240103</v>
      </c>
      <c r="T596" s="12" t="s">
        <v>839</v>
      </c>
      <c r="U596" s="13" t="n">
        <v>4934.34</v>
      </c>
      <c r="W596" s="13" t="n">
        <v>0</v>
      </c>
      <c r="X596" s="12" t="s">
        <v>844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842</v>
      </c>
      <c r="F597" s="10" t="n">
        <v>36</v>
      </c>
      <c r="G597" s="12" t="s">
        <v>445</v>
      </c>
      <c r="H597" s="10" t="n">
        <v>2110405</v>
      </c>
      <c r="I597" s="12" t="s">
        <v>83</v>
      </c>
      <c r="J597" s="10" t="n">
        <v>1024118</v>
      </c>
      <c r="L597" s="10" t="n">
        <v>14289</v>
      </c>
      <c r="M597" s="12" t="s">
        <v>128</v>
      </c>
      <c r="N597" s="12" t="s">
        <v>42</v>
      </c>
      <c r="P597" s="10" t="n">
        <v>101</v>
      </c>
      <c r="Q597" s="12" t="s">
        <v>84</v>
      </c>
      <c r="R597" s="12" t="s">
        <v>765</v>
      </c>
      <c r="S597" s="10" t="n">
        <v>1240103</v>
      </c>
      <c r="T597" s="12" t="s">
        <v>839</v>
      </c>
      <c r="U597" s="13" t="n">
        <v>1197</v>
      </c>
      <c r="W597" s="13" t="n">
        <v>0</v>
      </c>
      <c r="X597" s="12" t="s">
        <v>845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1156884</v>
      </c>
      <c r="L598" s="10" t="n">
        <v>573</v>
      </c>
      <c r="M598" s="12" t="s">
        <v>234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503.26</v>
      </c>
      <c r="W598" s="13" t="n">
        <v>0</v>
      </c>
      <c r="X598" s="12" t="s">
        <v>846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31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1226844</v>
      </c>
      <c r="L599" s="10" t="n">
        <v>562604</v>
      </c>
      <c r="M599" s="12" t="s">
        <v>34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4347.22</v>
      </c>
      <c r="W599" s="13" t="n">
        <v>0</v>
      </c>
      <c r="X599" s="12" t="s">
        <v>847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195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1236408</v>
      </c>
      <c r="L600" s="10" t="n">
        <v>843140</v>
      </c>
      <c r="M600" s="12" t="s">
        <v>34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220.27</v>
      </c>
      <c r="W600" s="13" t="n">
        <v>0</v>
      </c>
      <c r="X600" s="12" t="s">
        <v>848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264</v>
      </c>
      <c r="F601" s="10" t="n">
        <v>24</v>
      </c>
      <c r="G601" s="12" t="s">
        <v>32</v>
      </c>
      <c r="H601" s="10" t="n">
        <v>2110101</v>
      </c>
      <c r="I601" s="12" t="s">
        <v>33</v>
      </c>
      <c r="J601" s="10" t="n">
        <v>1261851</v>
      </c>
      <c r="L601" s="10" t="n">
        <v>171572</v>
      </c>
      <c r="M601" s="12" t="s">
        <v>41</v>
      </c>
      <c r="N601" s="12" t="s">
        <v>35</v>
      </c>
      <c r="P601" s="10" t="n">
        <v>103</v>
      </c>
      <c r="Q601" s="12" t="s">
        <v>36</v>
      </c>
      <c r="R601" s="12" t="s">
        <v>37</v>
      </c>
      <c r="S601" s="10" t="n">
        <v>1130101</v>
      </c>
      <c r="T601" s="12" t="s">
        <v>38</v>
      </c>
      <c r="U601" s="13" t="n">
        <v>5792</v>
      </c>
      <c r="W601" s="13" t="n">
        <v>0</v>
      </c>
      <c r="X601" s="12" t="s">
        <v>849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311</v>
      </c>
      <c r="F602" s="10" t="n">
        <v>24</v>
      </c>
      <c r="G602" s="12" t="s">
        <v>32</v>
      </c>
      <c r="H602" s="10" t="n">
        <v>2110101</v>
      </c>
      <c r="I602" s="12" t="s">
        <v>33</v>
      </c>
      <c r="J602" s="10" t="n">
        <v>1273522</v>
      </c>
      <c r="L602" s="10" t="n">
        <v>863939</v>
      </c>
      <c r="M602" s="12" t="s">
        <v>41</v>
      </c>
      <c r="N602" s="12" t="s">
        <v>35</v>
      </c>
      <c r="P602" s="10" t="n">
        <v>103</v>
      </c>
      <c r="Q602" s="12" t="s">
        <v>36</v>
      </c>
      <c r="R602" s="12" t="s">
        <v>37</v>
      </c>
      <c r="S602" s="10" t="n">
        <v>1130101</v>
      </c>
      <c r="T602" s="12" t="s">
        <v>38</v>
      </c>
      <c r="U602" s="13" t="n">
        <v>4715.67</v>
      </c>
      <c r="W602" s="13" t="n">
        <v>0</v>
      </c>
      <c r="X602" s="12" t="s">
        <v>850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211</v>
      </c>
      <c r="F603" s="10" t="n">
        <v>24</v>
      </c>
      <c r="G603" s="12" t="s">
        <v>32</v>
      </c>
      <c r="H603" s="10" t="n">
        <v>2110101</v>
      </c>
      <c r="I603" s="12" t="s">
        <v>33</v>
      </c>
      <c r="J603" s="10" t="n">
        <v>1274336</v>
      </c>
      <c r="L603" s="10" t="n">
        <v>14506</v>
      </c>
      <c r="M603" s="12" t="s">
        <v>41</v>
      </c>
      <c r="N603" s="12" t="s">
        <v>35</v>
      </c>
      <c r="P603" s="10" t="n">
        <v>103</v>
      </c>
      <c r="Q603" s="12" t="s">
        <v>36</v>
      </c>
      <c r="R603" s="12" t="s">
        <v>37</v>
      </c>
      <c r="S603" s="10" t="n">
        <v>1130101</v>
      </c>
      <c r="T603" s="12" t="s">
        <v>38</v>
      </c>
      <c r="U603" s="13" t="n">
        <v>7700.86</v>
      </c>
      <c r="W603" s="13" t="n">
        <v>0</v>
      </c>
      <c r="X603" s="12" t="s">
        <v>851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74</v>
      </c>
      <c r="F604" s="10" t="n">
        <v>24</v>
      </c>
      <c r="G604" s="12" t="s">
        <v>32</v>
      </c>
      <c r="H604" s="10" t="n">
        <v>2110101</v>
      </c>
      <c r="I604" s="12" t="s">
        <v>33</v>
      </c>
      <c r="J604" s="10" t="n">
        <v>1289269</v>
      </c>
      <c r="L604" s="10" t="n">
        <v>673</v>
      </c>
      <c r="M604" s="12" t="s">
        <v>41</v>
      </c>
      <c r="N604" s="12" t="s">
        <v>35</v>
      </c>
      <c r="P604" s="10" t="n">
        <v>103</v>
      </c>
      <c r="Q604" s="12" t="s">
        <v>36</v>
      </c>
      <c r="R604" s="12" t="s">
        <v>37</v>
      </c>
      <c r="S604" s="10" t="n">
        <v>1130101</v>
      </c>
      <c r="T604" s="12" t="s">
        <v>38</v>
      </c>
      <c r="U604" s="13" t="n">
        <v>991.55</v>
      </c>
      <c r="W604" s="13" t="n">
        <v>0</v>
      </c>
      <c r="X604" s="12" t="s">
        <v>852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853</v>
      </c>
      <c r="F605" s="10" t="n">
        <v>24</v>
      </c>
      <c r="G605" s="12" t="s">
        <v>32</v>
      </c>
      <c r="H605" s="10" t="n">
        <v>2110101</v>
      </c>
      <c r="I605" s="12" t="s">
        <v>33</v>
      </c>
      <c r="J605" s="10" t="n">
        <v>1289427</v>
      </c>
      <c r="L605" s="10" t="n">
        <v>1693</v>
      </c>
      <c r="M605" s="12" t="s">
        <v>41</v>
      </c>
      <c r="N605" s="12" t="s">
        <v>35</v>
      </c>
      <c r="P605" s="10" t="n">
        <v>103</v>
      </c>
      <c r="Q605" s="12" t="s">
        <v>36</v>
      </c>
      <c r="R605" s="12" t="s">
        <v>37</v>
      </c>
      <c r="S605" s="10" t="n">
        <v>1130101</v>
      </c>
      <c r="T605" s="12" t="s">
        <v>38</v>
      </c>
      <c r="U605" s="13" t="n">
        <v>450</v>
      </c>
      <c r="W605" s="13" t="n">
        <v>0</v>
      </c>
      <c r="X605" s="12" t="s">
        <v>854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250</v>
      </c>
      <c r="F606" s="10" t="n">
        <v>24</v>
      </c>
      <c r="G606" s="12" t="s">
        <v>32</v>
      </c>
      <c r="H606" s="10" t="n">
        <v>2110101</v>
      </c>
      <c r="I606" s="12" t="s">
        <v>33</v>
      </c>
      <c r="J606" s="10" t="n">
        <v>1289498</v>
      </c>
      <c r="L606" s="10" t="n">
        <v>534462</v>
      </c>
      <c r="M606" s="12" t="s">
        <v>41</v>
      </c>
      <c r="N606" s="12" t="s">
        <v>42</v>
      </c>
      <c r="P606" s="10" t="n">
        <v>103</v>
      </c>
      <c r="Q606" s="12" t="s">
        <v>36</v>
      </c>
      <c r="R606" s="12" t="s">
        <v>37</v>
      </c>
      <c r="S606" s="10" t="n">
        <v>1130101</v>
      </c>
      <c r="T606" s="12" t="s">
        <v>38</v>
      </c>
      <c r="U606" s="13" t="n">
        <v>3066.5</v>
      </c>
      <c r="W606" s="13" t="n">
        <v>0</v>
      </c>
      <c r="X606" s="12" t="s">
        <v>855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64</v>
      </c>
      <c r="F607" s="10" t="n">
        <v>24</v>
      </c>
      <c r="G607" s="12" t="s">
        <v>32</v>
      </c>
      <c r="H607" s="10" t="n">
        <v>2110101</v>
      </c>
      <c r="I607" s="12" t="s">
        <v>33</v>
      </c>
      <c r="J607" s="10" t="n">
        <v>1289506</v>
      </c>
      <c r="L607" s="10" t="n">
        <v>5675</v>
      </c>
      <c r="M607" s="12" t="s">
        <v>41</v>
      </c>
      <c r="N607" s="12" t="s">
        <v>35</v>
      </c>
      <c r="P607" s="10" t="n">
        <v>103</v>
      </c>
      <c r="Q607" s="12" t="s">
        <v>36</v>
      </c>
      <c r="R607" s="12" t="s">
        <v>37</v>
      </c>
      <c r="S607" s="10" t="n">
        <v>1130101</v>
      </c>
      <c r="T607" s="12" t="s">
        <v>38</v>
      </c>
      <c r="U607" s="13" t="n">
        <v>567.3</v>
      </c>
      <c r="W607" s="13" t="n">
        <v>0</v>
      </c>
      <c r="X607" s="12" t="s">
        <v>856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278</v>
      </c>
      <c r="F608" s="10" t="n">
        <v>24</v>
      </c>
      <c r="G608" s="12" t="s">
        <v>32</v>
      </c>
      <c r="H608" s="10" t="n">
        <v>2110101</v>
      </c>
      <c r="I608" s="12" t="s">
        <v>33</v>
      </c>
      <c r="J608" s="10" t="n">
        <v>1289632</v>
      </c>
      <c r="L608" s="10" t="n">
        <v>31034</v>
      </c>
      <c r="M608" s="12" t="s">
        <v>41</v>
      </c>
      <c r="N608" s="12" t="s">
        <v>35</v>
      </c>
      <c r="P608" s="10" t="n">
        <v>103</v>
      </c>
      <c r="Q608" s="12" t="s">
        <v>36</v>
      </c>
      <c r="R608" s="12" t="s">
        <v>37</v>
      </c>
      <c r="S608" s="10" t="n">
        <v>1130101</v>
      </c>
      <c r="T608" s="12" t="s">
        <v>38</v>
      </c>
      <c r="U608" s="13" t="n">
        <v>233.5</v>
      </c>
      <c r="W608" s="13" t="n">
        <v>0</v>
      </c>
      <c r="X608" s="12" t="s">
        <v>857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161</v>
      </c>
      <c r="F609" s="10" t="n">
        <v>24</v>
      </c>
      <c r="G609" s="12" t="s">
        <v>32</v>
      </c>
      <c r="H609" s="10" t="n">
        <v>2110101</v>
      </c>
      <c r="I609" s="12" t="s">
        <v>33</v>
      </c>
      <c r="J609" s="10" t="n">
        <v>1299594</v>
      </c>
      <c r="L609" s="10" t="n">
        <v>508</v>
      </c>
      <c r="M609" s="12" t="s">
        <v>41</v>
      </c>
      <c r="N609" s="12" t="s">
        <v>35</v>
      </c>
      <c r="P609" s="10" t="n">
        <v>103</v>
      </c>
      <c r="Q609" s="12" t="s">
        <v>36</v>
      </c>
      <c r="R609" s="12" t="s">
        <v>37</v>
      </c>
      <c r="S609" s="10" t="n">
        <v>1130101</v>
      </c>
      <c r="T609" s="12" t="s">
        <v>38</v>
      </c>
      <c r="U609" s="13" t="n">
        <v>660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94</v>
      </c>
      <c r="F610" s="10" t="n">
        <v>34</v>
      </c>
      <c r="G610" s="12" t="s">
        <v>71</v>
      </c>
      <c r="H610" s="10" t="n">
        <v>2110405</v>
      </c>
      <c r="I610" s="12" t="s">
        <v>83</v>
      </c>
      <c r="J610" s="10" t="n">
        <v>1305866</v>
      </c>
      <c r="L610" s="10" t="n">
        <v>540359</v>
      </c>
      <c r="M610" s="12" t="s">
        <v>41</v>
      </c>
      <c r="N610" s="12" t="s">
        <v>42</v>
      </c>
      <c r="P610" s="10" t="n">
        <v>102</v>
      </c>
      <c r="Q610" s="12" t="s">
        <v>107</v>
      </c>
      <c r="R610" s="12" t="s">
        <v>91</v>
      </c>
      <c r="S610" s="10" t="n">
        <v>4220199</v>
      </c>
      <c r="T610" s="12" t="s">
        <v>92</v>
      </c>
      <c r="U610" s="13" t="n">
        <v>4800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860</v>
      </c>
      <c r="F611" s="10" t="n">
        <v>36</v>
      </c>
      <c r="G611" s="12" t="s">
        <v>445</v>
      </c>
      <c r="H611" s="10" t="n">
        <v>2110101</v>
      </c>
      <c r="I611" s="12" t="s">
        <v>33</v>
      </c>
      <c r="J611" s="10" t="n">
        <v>1305944</v>
      </c>
      <c r="L611" s="10" t="n">
        <v>540382</v>
      </c>
      <c r="M611" s="12" t="s">
        <v>41</v>
      </c>
      <c r="N611" s="12" t="s">
        <v>42</v>
      </c>
      <c r="P611" s="10" t="n">
        <v>102</v>
      </c>
      <c r="Q611" s="12" t="s">
        <v>107</v>
      </c>
      <c r="R611" s="12" t="s">
        <v>37</v>
      </c>
      <c r="S611" s="10" t="n">
        <v>1130101</v>
      </c>
      <c r="T611" s="12" t="s">
        <v>38</v>
      </c>
      <c r="U611" s="13" t="n">
        <v>2564.18</v>
      </c>
      <c r="W611" s="13" t="n">
        <v>0</v>
      </c>
      <c r="X611" s="12" t="s">
        <v>861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862</v>
      </c>
      <c r="F612" s="10" t="n">
        <v>36</v>
      </c>
      <c r="G612" s="12" t="s">
        <v>445</v>
      </c>
      <c r="H612" s="10" t="n">
        <v>2110405</v>
      </c>
      <c r="I612" s="12" t="s">
        <v>83</v>
      </c>
      <c r="J612" s="10" t="n">
        <v>1306019</v>
      </c>
      <c r="L612" s="10" t="n">
        <v>540403</v>
      </c>
      <c r="M612" s="12" t="s">
        <v>41</v>
      </c>
      <c r="N612" s="12" t="s">
        <v>42</v>
      </c>
      <c r="P612" s="10" t="n">
        <v>101</v>
      </c>
      <c r="Q612" s="12" t="s">
        <v>84</v>
      </c>
      <c r="R612" s="12" t="s">
        <v>60</v>
      </c>
      <c r="S612" s="10" t="n">
        <v>4210209</v>
      </c>
      <c r="T612" s="12" t="s">
        <v>491</v>
      </c>
      <c r="U612" s="13" t="n">
        <v>462.4</v>
      </c>
      <c r="W612" s="13" t="n">
        <v>0</v>
      </c>
      <c r="X612" s="12" t="s">
        <v>863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864</v>
      </c>
      <c r="F613" s="10" t="n">
        <v>34</v>
      </c>
      <c r="G613" s="12" t="s">
        <v>71</v>
      </c>
      <c r="H613" s="10" t="n">
        <v>2110405</v>
      </c>
      <c r="I613" s="12" t="s">
        <v>83</v>
      </c>
      <c r="J613" s="10" t="n">
        <v>1306041</v>
      </c>
      <c r="L613" s="10" t="n">
        <v>540409</v>
      </c>
      <c r="M613" s="12" t="s">
        <v>41</v>
      </c>
      <c r="N613" s="12" t="s">
        <v>42</v>
      </c>
      <c r="P613" s="10" t="n">
        <v>102</v>
      </c>
      <c r="Q613" s="12" t="s">
        <v>107</v>
      </c>
      <c r="R613" s="12" t="s">
        <v>91</v>
      </c>
      <c r="S613" s="10" t="n">
        <v>4220199</v>
      </c>
      <c r="T613" s="12" t="s">
        <v>92</v>
      </c>
      <c r="U613" s="13" t="n">
        <v>8700</v>
      </c>
      <c r="W613" s="13" t="n">
        <v>0</v>
      </c>
      <c r="X613" s="12" t="s">
        <v>865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97</v>
      </c>
      <c r="F614" s="10" t="n">
        <v>13</v>
      </c>
      <c r="G614" s="12" t="s">
        <v>98</v>
      </c>
      <c r="H614" s="10" t="n">
        <v>2110101</v>
      </c>
      <c r="I614" s="12" t="s">
        <v>33</v>
      </c>
      <c r="J614" s="10" t="n">
        <v>1308996</v>
      </c>
      <c r="L614" s="10" t="n">
        <v>318</v>
      </c>
      <c r="M614" s="12" t="s">
        <v>41</v>
      </c>
      <c r="N614" s="12" t="s">
        <v>35</v>
      </c>
      <c r="P614" s="10" t="n">
        <v>104</v>
      </c>
      <c r="Q614" s="12" t="s">
        <v>99</v>
      </c>
      <c r="R614" s="12" t="s">
        <v>37</v>
      </c>
      <c r="S614" s="10" t="n">
        <v>1130101</v>
      </c>
      <c r="T614" s="12" t="s">
        <v>38</v>
      </c>
      <c r="U614" s="13" t="n">
        <v>416.5</v>
      </c>
      <c r="W614" s="13" t="n">
        <v>0</v>
      </c>
      <c r="X614" s="12" t="s">
        <v>866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867</v>
      </c>
      <c r="F615" s="10" t="n">
        <v>13</v>
      </c>
      <c r="G615" s="12" t="s">
        <v>98</v>
      </c>
      <c r="H615" s="10" t="n">
        <v>2110101</v>
      </c>
      <c r="I615" s="12" t="s">
        <v>33</v>
      </c>
      <c r="J615" s="10" t="n">
        <v>1309245</v>
      </c>
      <c r="L615" s="10" t="n">
        <v>1020</v>
      </c>
      <c r="M615" s="12" t="s">
        <v>41</v>
      </c>
      <c r="N615" s="12" t="s">
        <v>35</v>
      </c>
      <c r="P615" s="10" t="n">
        <v>104</v>
      </c>
      <c r="Q615" s="12" t="s">
        <v>99</v>
      </c>
      <c r="R615" s="12" t="s">
        <v>37</v>
      </c>
      <c r="S615" s="10" t="n">
        <v>1130101</v>
      </c>
      <c r="T615" s="12" t="s">
        <v>38</v>
      </c>
      <c r="U615" s="13" t="n">
        <v>180</v>
      </c>
      <c r="W615" s="13" t="n">
        <v>0</v>
      </c>
      <c r="X615" s="12" t="s">
        <v>868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787</v>
      </c>
      <c r="F616" s="10" t="n">
        <v>13</v>
      </c>
      <c r="G616" s="12" t="s">
        <v>98</v>
      </c>
      <c r="H616" s="10" t="n">
        <v>2110101</v>
      </c>
      <c r="I616" s="12" t="s">
        <v>33</v>
      </c>
      <c r="J616" s="10" t="n">
        <v>1312804</v>
      </c>
      <c r="L616" s="10" t="n">
        <v>47</v>
      </c>
      <c r="M616" s="12" t="s">
        <v>41</v>
      </c>
      <c r="N616" s="12" t="s">
        <v>35</v>
      </c>
      <c r="P616" s="10" t="n">
        <v>104</v>
      </c>
      <c r="Q616" s="12" t="s">
        <v>99</v>
      </c>
      <c r="R616" s="12" t="s">
        <v>37</v>
      </c>
      <c r="S616" s="10" t="n">
        <v>1130101</v>
      </c>
      <c r="T616" s="12" t="s">
        <v>38</v>
      </c>
      <c r="U616" s="13" t="n">
        <v>640</v>
      </c>
      <c r="W616" s="13" t="n">
        <v>0</v>
      </c>
      <c r="X616" s="12" t="s">
        <v>869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82</v>
      </c>
      <c r="F617" s="10" t="n">
        <v>34</v>
      </c>
      <c r="G617" s="12" t="s">
        <v>71</v>
      </c>
      <c r="H617" s="10" t="n">
        <v>2110405</v>
      </c>
      <c r="I617" s="12" t="s">
        <v>83</v>
      </c>
      <c r="J617" s="10" t="n">
        <v>1313075</v>
      </c>
      <c r="L617" s="10" t="n">
        <v>543668</v>
      </c>
      <c r="M617" s="12" t="s">
        <v>41</v>
      </c>
      <c r="N617" s="12" t="s">
        <v>42</v>
      </c>
      <c r="P617" s="10" t="n">
        <v>101</v>
      </c>
      <c r="Q617" s="12" t="s">
        <v>84</v>
      </c>
      <c r="R617" s="12" t="s">
        <v>85</v>
      </c>
      <c r="S617" s="10" t="n">
        <v>4210301</v>
      </c>
      <c r="T617" s="12" t="s">
        <v>295</v>
      </c>
      <c r="U617" s="13" t="n">
        <v>750</v>
      </c>
      <c r="W617" s="13" t="n">
        <v>0</v>
      </c>
      <c r="X617" s="12" t="s">
        <v>870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871</v>
      </c>
      <c r="F618" s="10" t="n">
        <v>36</v>
      </c>
      <c r="G618" s="12" t="s">
        <v>445</v>
      </c>
      <c r="H618" s="10" t="n">
        <v>1110202</v>
      </c>
      <c r="I618" s="12" t="s">
        <v>285</v>
      </c>
      <c r="J618" s="10" t="n">
        <v>1469530</v>
      </c>
      <c r="L618" s="10" t="n">
        <v>603893</v>
      </c>
      <c r="M618" s="12" t="s">
        <v>34</v>
      </c>
      <c r="N618" s="12" t="s">
        <v>42</v>
      </c>
      <c r="P618" s="10" t="n">
        <v>102</v>
      </c>
      <c r="Q618" s="12" t="s">
        <v>107</v>
      </c>
      <c r="R618" s="12" t="s">
        <v>60</v>
      </c>
      <c r="S618" s="10" t="n">
        <v>4210227</v>
      </c>
      <c r="T618" s="12" t="s">
        <v>418</v>
      </c>
      <c r="U618" s="13" t="n">
        <v>256.58</v>
      </c>
      <c r="W618" s="13" t="n">
        <v>0</v>
      </c>
      <c r="X618" s="12" t="s">
        <v>872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182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1028242</v>
      </c>
      <c r="L619" s="10" t="n">
        <v>10262</v>
      </c>
      <c r="M619" s="12" t="s">
        <v>394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1488.3</v>
      </c>
      <c r="W619" s="13" t="n">
        <v>0</v>
      </c>
      <c r="X619" s="12" t="s">
        <v>873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540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1177340</v>
      </c>
      <c r="L620" s="10" t="n">
        <v>2068</v>
      </c>
      <c r="M620" s="12" t="s">
        <v>128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1609.45</v>
      </c>
      <c r="W620" s="13" t="n">
        <v>0</v>
      </c>
      <c r="X620" s="12" t="s">
        <v>874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535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1162093</v>
      </c>
      <c r="L621" s="10" t="n">
        <v>155121</v>
      </c>
      <c r="M621" s="12" t="s">
        <v>128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1118.57</v>
      </c>
      <c r="W621" s="13" t="n">
        <v>0</v>
      </c>
      <c r="X621" s="12" t="s">
        <v>875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371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1167683</v>
      </c>
      <c r="L622" s="10" t="n">
        <v>302508</v>
      </c>
      <c r="M622" s="12" t="s">
        <v>128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769.84</v>
      </c>
      <c r="W622" s="13" t="n">
        <v>0</v>
      </c>
      <c r="X622" s="12" t="s">
        <v>876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258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1211026</v>
      </c>
      <c r="L623" s="10" t="n">
        <v>1233736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1105.12</v>
      </c>
      <c r="W623" s="13" t="n">
        <v>0</v>
      </c>
      <c r="X623" s="12" t="s">
        <v>877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371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1222961</v>
      </c>
      <c r="L624" s="10" t="n">
        <v>303409</v>
      </c>
      <c r="M624" s="12" t="s">
        <v>34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1037.83</v>
      </c>
      <c r="W624" s="13" t="n">
        <v>0</v>
      </c>
      <c r="X624" s="12" t="s">
        <v>878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40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1227561</v>
      </c>
      <c r="L625" s="10" t="n">
        <v>308378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2826.62</v>
      </c>
      <c r="W625" s="13" t="n">
        <v>0</v>
      </c>
      <c r="X625" s="12" t="s">
        <v>879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551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1228300</v>
      </c>
      <c r="L626" s="10" t="n">
        <v>385264</v>
      </c>
      <c r="M626" s="12" t="s">
        <v>128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1777.44</v>
      </c>
      <c r="W626" s="13" t="n">
        <v>0</v>
      </c>
      <c r="X626" s="12" t="s">
        <v>880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144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1255467</v>
      </c>
      <c r="L627" s="10" t="n">
        <v>38246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5589.49</v>
      </c>
      <c r="W627" s="13" t="n">
        <v>0</v>
      </c>
      <c r="X627" s="12" t="s">
        <v>881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31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1256489</v>
      </c>
      <c r="L628" s="10" t="n">
        <v>563233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5018.57</v>
      </c>
      <c r="W628" s="13" t="n">
        <v>0</v>
      </c>
      <c r="X628" s="12" t="s">
        <v>882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753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1256691</v>
      </c>
      <c r="L629" s="10" t="n">
        <v>193354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372.1</v>
      </c>
      <c r="W629" s="13" t="n">
        <v>0</v>
      </c>
      <c r="X629" s="12" t="s">
        <v>883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264</v>
      </c>
      <c r="F630" s="10" t="n">
        <v>24</v>
      </c>
      <c r="G630" s="12" t="s">
        <v>32</v>
      </c>
      <c r="H630" s="10" t="n">
        <v>2110101</v>
      </c>
      <c r="I630" s="12" t="s">
        <v>33</v>
      </c>
      <c r="J630" s="10" t="n">
        <v>1261946</v>
      </c>
      <c r="L630" s="10" t="n">
        <v>171594</v>
      </c>
      <c r="M630" s="12" t="s">
        <v>41</v>
      </c>
      <c r="N630" s="12" t="s">
        <v>35</v>
      </c>
      <c r="P630" s="10" t="n">
        <v>103</v>
      </c>
      <c r="Q630" s="12" t="s">
        <v>36</v>
      </c>
      <c r="R630" s="12" t="s">
        <v>37</v>
      </c>
      <c r="S630" s="10" t="n">
        <v>1130101</v>
      </c>
      <c r="T630" s="12" t="s">
        <v>38</v>
      </c>
      <c r="U630" s="13" t="n">
        <v>5975.8</v>
      </c>
      <c r="W630" s="13" t="n">
        <v>0</v>
      </c>
      <c r="X630" s="12" t="s">
        <v>884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66</v>
      </c>
      <c r="F631" s="10" t="n">
        <v>24</v>
      </c>
      <c r="G631" s="12" t="s">
        <v>32</v>
      </c>
      <c r="H631" s="10" t="n">
        <v>2110101</v>
      </c>
      <c r="I631" s="12" t="s">
        <v>33</v>
      </c>
      <c r="J631" s="10" t="n">
        <v>1274116</v>
      </c>
      <c r="L631" s="10" t="n">
        <v>11292</v>
      </c>
      <c r="M631" s="12" t="s">
        <v>34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516.96</v>
      </c>
      <c r="W631" s="13" t="n">
        <v>0</v>
      </c>
      <c r="X631" s="12" t="s">
        <v>885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211</v>
      </c>
      <c r="F632" s="10" t="n">
        <v>24</v>
      </c>
      <c r="G632" s="12" t="s">
        <v>32</v>
      </c>
      <c r="H632" s="10" t="n">
        <v>2110101</v>
      </c>
      <c r="I632" s="12" t="s">
        <v>33</v>
      </c>
      <c r="J632" s="10" t="n">
        <v>1274505</v>
      </c>
      <c r="L632" s="10" t="n">
        <v>14516</v>
      </c>
      <c r="M632" s="12" t="s">
        <v>41</v>
      </c>
      <c r="N632" s="12" t="s">
        <v>35</v>
      </c>
      <c r="P632" s="10" t="n">
        <v>103</v>
      </c>
      <c r="Q632" s="12" t="s">
        <v>36</v>
      </c>
      <c r="R632" s="12" t="s">
        <v>37</v>
      </c>
      <c r="S632" s="10" t="n">
        <v>1130101</v>
      </c>
      <c r="T632" s="12" t="s">
        <v>38</v>
      </c>
      <c r="U632" s="13" t="n">
        <v>9768.9</v>
      </c>
      <c r="W632" s="13" t="n">
        <v>0</v>
      </c>
      <c r="X632" s="12" t="s">
        <v>886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155</v>
      </c>
      <c r="F633" s="10" t="n">
        <v>24</v>
      </c>
      <c r="G633" s="12" t="s">
        <v>32</v>
      </c>
      <c r="H633" s="10" t="n">
        <v>2110101</v>
      </c>
      <c r="I633" s="12" t="s">
        <v>33</v>
      </c>
      <c r="J633" s="10" t="n">
        <v>1279751</v>
      </c>
      <c r="L633" s="10" t="n">
        <v>3405</v>
      </c>
      <c r="M633" s="12" t="s">
        <v>41</v>
      </c>
      <c r="N633" s="12" t="s">
        <v>35</v>
      </c>
      <c r="P633" s="10" t="n">
        <v>103</v>
      </c>
      <c r="Q633" s="12" t="s">
        <v>36</v>
      </c>
      <c r="R633" s="12" t="s">
        <v>37</v>
      </c>
      <c r="S633" s="10" t="n">
        <v>1130101</v>
      </c>
      <c r="T633" s="12" t="s">
        <v>38</v>
      </c>
      <c r="U633" s="13" t="n">
        <v>320</v>
      </c>
      <c r="W633" s="13" t="n">
        <v>0</v>
      </c>
      <c r="X633" s="12" t="s">
        <v>887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319</v>
      </c>
      <c r="F634" s="10" t="n">
        <v>24</v>
      </c>
      <c r="G634" s="12" t="s">
        <v>32</v>
      </c>
      <c r="H634" s="10" t="n">
        <v>2110101</v>
      </c>
      <c r="I634" s="12" t="s">
        <v>33</v>
      </c>
      <c r="J634" s="10" t="n">
        <v>1289273</v>
      </c>
      <c r="L634" s="10" t="n">
        <v>10134</v>
      </c>
      <c r="M634" s="12" t="s">
        <v>41</v>
      </c>
      <c r="N634" s="12" t="s">
        <v>35</v>
      </c>
      <c r="P634" s="10" t="n">
        <v>103</v>
      </c>
      <c r="Q634" s="12" t="s">
        <v>36</v>
      </c>
      <c r="R634" s="12" t="s">
        <v>37</v>
      </c>
      <c r="S634" s="10" t="n">
        <v>1130101</v>
      </c>
      <c r="T634" s="12" t="s">
        <v>38</v>
      </c>
      <c r="U634" s="13" t="n">
        <v>1134</v>
      </c>
      <c r="W634" s="13" t="n">
        <v>0</v>
      </c>
      <c r="X634" s="12" t="s">
        <v>888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321</v>
      </c>
      <c r="F635" s="10" t="n">
        <v>24</v>
      </c>
      <c r="G635" s="12" t="s">
        <v>32</v>
      </c>
      <c r="H635" s="10" t="n">
        <v>2110101</v>
      </c>
      <c r="I635" s="12" t="s">
        <v>33</v>
      </c>
      <c r="J635" s="10" t="n">
        <v>1289612</v>
      </c>
      <c r="L635" s="10" t="n">
        <v>3442</v>
      </c>
      <c r="M635" s="12" t="s">
        <v>41</v>
      </c>
      <c r="N635" s="12" t="s">
        <v>35</v>
      </c>
      <c r="P635" s="10" t="n">
        <v>103</v>
      </c>
      <c r="Q635" s="12" t="s">
        <v>36</v>
      </c>
      <c r="R635" s="12" t="s">
        <v>37</v>
      </c>
      <c r="S635" s="10" t="n">
        <v>1130101</v>
      </c>
      <c r="T635" s="12" t="s">
        <v>38</v>
      </c>
      <c r="U635" s="13" t="n">
        <v>854.5</v>
      </c>
      <c r="W635" s="13" t="n">
        <v>0</v>
      </c>
      <c r="X635" s="12" t="s">
        <v>889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568</v>
      </c>
      <c r="F636" s="10" t="n">
        <v>24</v>
      </c>
      <c r="G636" s="12" t="s">
        <v>32</v>
      </c>
      <c r="H636" s="10" t="n">
        <v>2110101</v>
      </c>
      <c r="I636" s="12" t="s">
        <v>33</v>
      </c>
      <c r="J636" s="10" t="n">
        <v>1289622</v>
      </c>
      <c r="L636" s="10" t="n">
        <v>18761</v>
      </c>
      <c r="M636" s="12" t="s">
        <v>41</v>
      </c>
      <c r="N636" s="12" t="s">
        <v>35</v>
      </c>
      <c r="P636" s="10" t="n">
        <v>103</v>
      </c>
      <c r="Q636" s="12" t="s">
        <v>36</v>
      </c>
      <c r="R636" s="12" t="s">
        <v>37</v>
      </c>
      <c r="S636" s="10" t="n">
        <v>1130101</v>
      </c>
      <c r="T636" s="12" t="s">
        <v>38</v>
      </c>
      <c r="U636" s="13" t="n">
        <v>467.2</v>
      </c>
      <c r="W636" s="13" t="n">
        <v>0</v>
      </c>
      <c r="X636" s="12" t="s">
        <v>890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381</v>
      </c>
      <c r="F637" s="10" t="n">
        <v>24</v>
      </c>
      <c r="G637" s="12" t="s">
        <v>32</v>
      </c>
      <c r="H637" s="10" t="n">
        <v>2110101</v>
      </c>
      <c r="I637" s="12" t="s">
        <v>33</v>
      </c>
      <c r="J637" s="10" t="n">
        <v>1289665</v>
      </c>
      <c r="L637" s="10" t="n">
        <v>141086</v>
      </c>
      <c r="M637" s="12" t="s">
        <v>41</v>
      </c>
      <c r="N637" s="12" t="s">
        <v>35</v>
      </c>
      <c r="P637" s="10" t="n">
        <v>103</v>
      </c>
      <c r="Q637" s="12" t="s">
        <v>36</v>
      </c>
      <c r="R637" s="12" t="s">
        <v>37</v>
      </c>
      <c r="S637" s="10" t="n">
        <v>1130101</v>
      </c>
      <c r="T637" s="12" t="s">
        <v>38</v>
      </c>
      <c r="U637" s="13" t="n">
        <v>953.9</v>
      </c>
      <c r="W637" s="13" t="n">
        <v>0</v>
      </c>
      <c r="X637" s="12" t="s">
        <v>891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323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1289688</v>
      </c>
      <c r="L638" s="10" t="n">
        <v>3830</v>
      </c>
      <c r="M638" s="12" t="s">
        <v>41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226.4</v>
      </c>
      <c r="W638" s="13" t="n">
        <v>0</v>
      </c>
      <c r="X638" s="12" t="s">
        <v>892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893</v>
      </c>
      <c r="F639" s="10" t="n">
        <v>24</v>
      </c>
      <c r="G639" s="12" t="s">
        <v>32</v>
      </c>
      <c r="H639" s="10" t="n">
        <v>2110405</v>
      </c>
      <c r="I639" s="12" t="s">
        <v>83</v>
      </c>
      <c r="J639" s="10" t="n">
        <v>1299925</v>
      </c>
      <c r="L639" s="10" t="n">
        <v>538239</v>
      </c>
      <c r="M639" s="12" t="s">
        <v>41</v>
      </c>
      <c r="N639" s="12" t="s">
        <v>42</v>
      </c>
      <c r="P639" s="10" t="n">
        <v>101</v>
      </c>
      <c r="Q639" s="12" t="s">
        <v>84</v>
      </c>
      <c r="R639" s="12" t="s">
        <v>85</v>
      </c>
      <c r="S639" s="10" t="n">
        <v>421033</v>
      </c>
      <c r="T639" s="12" t="s">
        <v>894</v>
      </c>
      <c r="U639" s="13" t="n">
        <v>299.9</v>
      </c>
      <c r="W639" s="13" t="n">
        <v>0</v>
      </c>
      <c r="X639" s="12" t="s">
        <v>895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328</v>
      </c>
      <c r="F640" s="10" t="n">
        <v>34</v>
      </c>
      <c r="G640" s="12" t="s">
        <v>71</v>
      </c>
      <c r="H640" s="10" t="n">
        <v>2110101</v>
      </c>
      <c r="I640" s="12" t="s">
        <v>33</v>
      </c>
      <c r="J640" s="10" t="n">
        <v>1300675</v>
      </c>
      <c r="L640" s="10" t="n">
        <v>312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2945</v>
      </c>
      <c r="W640" s="13" t="n">
        <v>0</v>
      </c>
      <c r="X640" s="12" t="s">
        <v>896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716</v>
      </c>
      <c r="F641" s="10" t="n">
        <v>24</v>
      </c>
      <c r="G641" s="12" t="s">
        <v>32</v>
      </c>
      <c r="H641" s="10" t="n">
        <v>2110405</v>
      </c>
      <c r="I641" s="12" t="s">
        <v>83</v>
      </c>
      <c r="J641" s="10" t="n">
        <v>1306077</v>
      </c>
      <c r="L641" s="10" t="n">
        <v>540417</v>
      </c>
      <c r="M641" s="12" t="s">
        <v>41</v>
      </c>
      <c r="N641" s="12" t="s">
        <v>42</v>
      </c>
      <c r="P641" s="10" t="n">
        <v>101</v>
      </c>
      <c r="Q641" s="12" t="s">
        <v>84</v>
      </c>
      <c r="R641" s="12" t="s">
        <v>60</v>
      </c>
      <c r="S641" s="10" t="n">
        <v>4210234</v>
      </c>
      <c r="T641" s="12" t="s">
        <v>897</v>
      </c>
      <c r="U641" s="13" t="n">
        <v>105.16</v>
      </c>
      <c r="W641" s="13" t="n">
        <v>0</v>
      </c>
      <c r="X641" s="12" t="s">
        <v>898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70</v>
      </c>
      <c r="F642" s="10" t="n">
        <v>34</v>
      </c>
      <c r="G642" s="12" t="s">
        <v>71</v>
      </c>
      <c r="H642" s="10" t="n">
        <v>2110101</v>
      </c>
      <c r="I642" s="12" t="s">
        <v>33</v>
      </c>
      <c r="J642" s="10" t="n">
        <v>1310034</v>
      </c>
      <c r="L642" s="10" t="n">
        <v>5191</v>
      </c>
      <c r="M642" s="12" t="s">
        <v>41</v>
      </c>
      <c r="N642" s="12" t="s">
        <v>35</v>
      </c>
      <c r="P642" s="10" t="n">
        <v>104</v>
      </c>
      <c r="Q642" s="12" t="s">
        <v>99</v>
      </c>
      <c r="R642" s="12" t="s">
        <v>37</v>
      </c>
      <c r="S642" s="10" t="n">
        <v>1130101</v>
      </c>
      <c r="T642" s="12" t="s">
        <v>38</v>
      </c>
      <c r="U642" s="13" t="n">
        <v>4132.55</v>
      </c>
      <c r="W642" s="13" t="n">
        <v>0</v>
      </c>
      <c r="X642" s="12" t="s">
        <v>172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899</v>
      </c>
      <c r="F643" s="10" t="n">
        <v>13</v>
      </c>
      <c r="G643" s="12" t="s">
        <v>98</v>
      </c>
      <c r="H643" s="10" t="n">
        <v>2110101</v>
      </c>
      <c r="I643" s="12" t="s">
        <v>33</v>
      </c>
      <c r="J643" s="10" t="n">
        <v>1312820</v>
      </c>
      <c r="L643" s="10" t="n">
        <v>508</v>
      </c>
      <c r="M643" s="12" t="s">
        <v>41</v>
      </c>
      <c r="N643" s="12" t="s">
        <v>35</v>
      </c>
      <c r="P643" s="10" t="n">
        <v>104</v>
      </c>
      <c r="Q643" s="12" t="s">
        <v>99</v>
      </c>
      <c r="R643" s="12" t="s">
        <v>37</v>
      </c>
      <c r="S643" s="10" t="n">
        <v>1130101</v>
      </c>
      <c r="T643" s="12" t="s">
        <v>38</v>
      </c>
      <c r="U643" s="13" t="n">
        <v>160.32</v>
      </c>
      <c r="W643" s="13" t="n">
        <v>0</v>
      </c>
      <c r="X643" s="12" t="s">
        <v>900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106</v>
      </c>
      <c r="F644" s="10" t="n">
        <v>34</v>
      </c>
      <c r="G644" s="12" t="s">
        <v>71</v>
      </c>
      <c r="H644" s="10" t="n">
        <v>1110202</v>
      </c>
      <c r="I644" s="12" t="s">
        <v>285</v>
      </c>
      <c r="J644" s="10" t="n">
        <v>1449649</v>
      </c>
      <c r="L644" s="10" t="n">
        <v>596294</v>
      </c>
      <c r="M644" s="12" t="s">
        <v>41</v>
      </c>
      <c r="N644" s="12" t="s">
        <v>42</v>
      </c>
      <c r="P644" s="10" t="n">
        <v>102</v>
      </c>
      <c r="Q644" s="12" t="s">
        <v>107</v>
      </c>
      <c r="R644" s="12" t="s">
        <v>108</v>
      </c>
      <c r="S644" s="10" t="n">
        <v>4210502</v>
      </c>
      <c r="T644" s="12" t="s">
        <v>901</v>
      </c>
      <c r="U644" s="13" t="n">
        <v>8876.12</v>
      </c>
      <c r="W644" s="13" t="n">
        <v>0</v>
      </c>
      <c r="X644" s="12" t="s">
        <v>902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782</v>
      </c>
      <c r="F645" s="10" t="n">
        <v>24</v>
      </c>
      <c r="G645" s="12" t="s">
        <v>32</v>
      </c>
      <c r="H645" s="10" t="n">
        <v>1110202</v>
      </c>
      <c r="I645" s="12" t="s">
        <v>285</v>
      </c>
      <c r="J645" s="10" t="n">
        <v>1449665</v>
      </c>
      <c r="L645" s="10" t="n">
        <v>596299</v>
      </c>
      <c r="M645" s="12" t="s">
        <v>41</v>
      </c>
      <c r="N645" s="12" t="s">
        <v>42</v>
      </c>
      <c r="P645" s="10" t="n">
        <v>102</v>
      </c>
      <c r="Q645" s="12" t="s">
        <v>107</v>
      </c>
      <c r="R645" s="12" t="s">
        <v>91</v>
      </c>
      <c r="S645" s="10" t="n">
        <v>4220199</v>
      </c>
      <c r="T645" s="12" t="s">
        <v>92</v>
      </c>
      <c r="U645" s="13" t="n">
        <v>342.86</v>
      </c>
      <c r="W645" s="13" t="n">
        <v>0</v>
      </c>
      <c r="X645" s="12" t="s">
        <v>903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716</v>
      </c>
      <c r="F646" s="10" t="n">
        <v>24</v>
      </c>
      <c r="G646" s="12" t="s">
        <v>32</v>
      </c>
      <c r="H646" s="10" t="n">
        <v>1110202</v>
      </c>
      <c r="I646" s="12" t="s">
        <v>285</v>
      </c>
      <c r="J646" s="10" t="n">
        <v>1450064</v>
      </c>
      <c r="L646" s="10" t="n">
        <v>596438</v>
      </c>
      <c r="M646" s="12" t="s">
        <v>41</v>
      </c>
      <c r="N646" s="12" t="s">
        <v>42</v>
      </c>
      <c r="P646" s="10" t="n">
        <v>101</v>
      </c>
      <c r="Q646" s="12" t="s">
        <v>84</v>
      </c>
      <c r="R646" s="12" t="s">
        <v>91</v>
      </c>
      <c r="S646" s="10" t="n">
        <v>4220199</v>
      </c>
      <c r="T646" s="12" t="s">
        <v>92</v>
      </c>
      <c r="U646" s="13" t="n">
        <v>210</v>
      </c>
      <c r="W646" s="13" t="n">
        <v>0</v>
      </c>
      <c r="X646" s="12" t="s">
        <v>904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54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1168612</v>
      </c>
      <c r="L647" s="10" t="n">
        <v>875267</v>
      </c>
      <c r="M647" s="12" t="s">
        <v>128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769.97</v>
      </c>
      <c r="W647" s="13" t="n">
        <v>0</v>
      </c>
      <c r="X647" s="12" t="s">
        <v>905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568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1222097</v>
      </c>
      <c r="L648" s="10" t="n">
        <v>18532</v>
      </c>
      <c r="M648" s="12" t="s">
        <v>128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807.4</v>
      </c>
      <c r="W648" s="13" t="n">
        <v>0</v>
      </c>
      <c r="X648" s="12" t="s">
        <v>906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51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1223463</v>
      </c>
      <c r="L649" s="10" t="n">
        <v>1669083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2209.54</v>
      </c>
      <c r="W649" s="13" t="n">
        <v>0</v>
      </c>
      <c r="X649" s="12" t="s">
        <v>907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54</v>
      </c>
      <c r="F650" s="10" t="n">
        <v>24</v>
      </c>
      <c r="G650" s="12" t="s">
        <v>32</v>
      </c>
      <c r="H650" s="10" t="n">
        <v>2110101</v>
      </c>
      <c r="I650" s="12" t="s">
        <v>33</v>
      </c>
      <c r="J650" s="10" t="n">
        <v>1236079</v>
      </c>
      <c r="L650" s="10" t="n">
        <v>877771</v>
      </c>
      <c r="M650" s="12" t="s">
        <v>41</v>
      </c>
      <c r="N650" s="12" t="s">
        <v>35</v>
      </c>
      <c r="P650" s="10" t="n">
        <v>103</v>
      </c>
      <c r="Q650" s="12" t="s">
        <v>36</v>
      </c>
      <c r="R650" s="12" t="s">
        <v>37</v>
      </c>
      <c r="S650" s="10" t="n">
        <v>1130101</v>
      </c>
      <c r="T650" s="12" t="s">
        <v>38</v>
      </c>
      <c r="U650" s="13" t="n">
        <v>456.25</v>
      </c>
      <c r="W650" s="13" t="n">
        <v>0</v>
      </c>
      <c r="X650" s="12" t="s">
        <v>908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54</v>
      </c>
      <c r="F651" s="10" t="n">
        <v>24</v>
      </c>
      <c r="G651" s="12" t="s">
        <v>32</v>
      </c>
      <c r="H651" s="10" t="n">
        <v>2110101</v>
      </c>
      <c r="I651" s="12" t="s">
        <v>33</v>
      </c>
      <c r="J651" s="10" t="n">
        <v>1236106</v>
      </c>
      <c r="L651" s="10" t="n">
        <v>877772</v>
      </c>
      <c r="M651" s="12" t="s">
        <v>41</v>
      </c>
      <c r="N651" s="12" t="s">
        <v>35</v>
      </c>
      <c r="P651" s="10" t="n">
        <v>103</v>
      </c>
      <c r="Q651" s="12" t="s">
        <v>36</v>
      </c>
      <c r="R651" s="12" t="s">
        <v>37</v>
      </c>
      <c r="S651" s="10" t="n">
        <v>1130101</v>
      </c>
      <c r="T651" s="12" t="s">
        <v>38</v>
      </c>
      <c r="U651" s="13" t="n">
        <v>376.07</v>
      </c>
      <c r="W651" s="13" t="n">
        <v>0</v>
      </c>
      <c r="X651" s="12" t="s">
        <v>909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146</v>
      </c>
      <c r="F652" s="10" t="n">
        <v>24</v>
      </c>
      <c r="G652" s="12" t="s">
        <v>32</v>
      </c>
      <c r="H652" s="10" t="n">
        <v>2110101</v>
      </c>
      <c r="I652" s="12" t="s">
        <v>33</v>
      </c>
      <c r="J652" s="10" t="n">
        <v>1255515</v>
      </c>
      <c r="L652" s="10" t="n">
        <v>1366480</v>
      </c>
      <c r="M652" s="12" t="s">
        <v>41</v>
      </c>
      <c r="N652" s="12" t="s">
        <v>35</v>
      </c>
      <c r="P652" s="10" t="n">
        <v>103</v>
      </c>
      <c r="Q652" s="12" t="s">
        <v>36</v>
      </c>
      <c r="R652" s="12" t="s">
        <v>37</v>
      </c>
      <c r="S652" s="10" t="n">
        <v>1130101</v>
      </c>
      <c r="T652" s="12" t="s">
        <v>38</v>
      </c>
      <c r="U652" s="13" t="n">
        <v>954</v>
      </c>
      <c r="W652" s="13" t="n">
        <v>0</v>
      </c>
      <c r="X652" s="12" t="s">
        <v>910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146</v>
      </c>
      <c r="F653" s="10" t="n">
        <v>24</v>
      </c>
      <c r="G653" s="12" t="s">
        <v>32</v>
      </c>
      <c r="H653" s="10" t="n">
        <v>2110101</v>
      </c>
      <c r="I653" s="12" t="s">
        <v>33</v>
      </c>
      <c r="J653" s="10" t="n">
        <v>1255563</v>
      </c>
      <c r="L653" s="10" t="n">
        <v>1367200</v>
      </c>
      <c r="M653" s="12" t="s">
        <v>41</v>
      </c>
      <c r="N653" s="12" t="s">
        <v>35</v>
      </c>
      <c r="P653" s="10" t="n">
        <v>103</v>
      </c>
      <c r="Q653" s="12" t="s">
        <v>36</v>
      </c>
      <c r="R653" s="12" t="s">
        <v>37</v>
      </c>
      <c r="S653" s="10" t="n">
        <v>1130101</v>
      </c>
      <c r="T653" s="12" t="s">
        <v>38</v>
      </c>
      <c r="U653" s="13" t="n">
        <v>2200.3</v>
      </c>
      <c r="W653" s="13" t="n">
        <v>0</v>
      </c>
      <c r="X653" s="12" t="s">
        <v>911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293</v>
      </c>
      <c r="F654" s="10" t="n">
        <v>24</v>
      </c>
      <c r="G654" s="12" t="s">
        <v>32</v>
      </c>
      <c r="H654" s="10" t="n">
        <v>2110101</v>
      </c>
      <c r="I654" s="12" t="s">
        <v>33</v>
      </c>
      <c r="J654" s="10" t="n">
        <v>1261480</v>
      </c>
      <c r="L654" s="10" t="n">
        <v>2720</v>
      </c>
      <c r="M654" s="12" t="s">
        <v>41</v>
      </c>
      <c r="N654" s="12" t="s">
        <v>35</v>
      </c>
      <c r="P654" s="10" t="n">
        <v>103</v>
      </c>
      <c r="Q654" s="12" t="s">
        <v>36</v>
      </c>
      <c r="R654" s="12" t="s">
        <v>37</v>
      </c>
      <c r="S654" s="10" t="n">
        <v>1130101</v>
      </c>
      <c r="T654" s="12" t="s">
        <v>38</v>
      </c>
      <c r="U654" s="13" t="n">
        <v>434.5</v>
      </c>
      <c r="W654" s="13" t="n">
        <v>0</v>
      </c>
      <c r="X654" s="12" t="s">
        <v>912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148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1272650</v>
      </c>
      <c r="L655" s="10" t="n">
        <v>1879436</v>
      </c>
      <c r="M655" s="12" t="s">
        <v>41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5794.4</v>
      </c>
      <c r="W655" s="13" t="n">
        <v>0</v>
      </c>
      <c r="X655" s="12" t="s">
        <v>913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157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1289125</v>
      </c>
      <c r="L656" s="10" t="n">
        <v>31244</v>
      </c>
      <c r="M656" s="12" t="s">
        <v>41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1840</v>
      </c>
      <c r="W656" s="13" t="n">
        <v>0</v>
      </c>
      <c r="X656" s="12" t="s">
        <v>914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157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1289188</v>
      </c>
      <c r="L657" s="10" t="n">
        <v>31245</v>
      </c>
      <c r="M657" s="12" t="s">
        <v>41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3337.5</v>
      </c>
      <c r="W657" s="13" t="n">
        <v>0</v>
      </c>
      <c r="X657" s="12" t="s">
        <v>915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211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1289204</v>
      </c>
      <c r="L658" s="10" t="n">
        <v>14526</v>
      </c>
      <c r="M658" s="12" t="s">
        <v>41</v>
      </c>
      <c r="N658" s="12" t="s">
        <v>35</v>
      </c>
      <c r="P658" s="10" t="n">
        <v>103</v>
      </c>
      <c r="Q658" s="12" t="s">
        <v>36</v>
      </c>
      <c r="R658" s="12" t="s">
        <v>37</v>
      </c>
      <c r="S658" s="10" t="n">
        <v>1130101</v>
      </c>
      <c r="T658" s="12" t="s">
        <v>38</v>
      </c>
      <c r="U658" s="13" t="n">
        <v>8271.06</v>
      </c>
      <c r="W658" s="13" t="n">
        <v>0</v>
      </c>
      <c r="X658" s="12" t="s">
        <v>916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70</v>
      </c>
      <c r="F659" s="10" t="n">
        <v>34</v>
      </c>
      <c r="G659" s="12" t="s">
        <v>71</v>
      </c>
      <c r="H659" s="10" t="n">
        <v>2110101</v>
      </c>
      <c r="I659" s="12" t="s">
        <v>33</v>
      </c>
      <c r="J659" s="10" t="n">
        <v>1310202</v>
      </c>
      <c r="L659" s="10" t="n">
        <v>5196</v>
      </c>
      <c r="M659" s="12" t="s">
        <v>41</v>
      </c>
      <c r="N659" s="12" t="s">
        <v>35</v>
      </c>
      <c r="P659" s="10" t="n">
        <v>104</v>
      </c>
      <c r="Q659" s="12" t="s">
        <v>99</v>
      </c>
      <c r="R659" s="12" t="s">
        <v>37</v>
      </c>
      <c r="S659" s="10" t="n">
        <v>1130101</v>
      </c>
      <c r="T659" s="12" t="s">
        <v>38</v>
      </c>
      <c r="U659" s="13" t="n">
        <v>2596</v>
      </c>
      <c r="W659" s="13" t="n">
        <v>0</v>
      </c>
      <c r="X659" s="12" t="s">
        <v>220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221</v>
      </c>
      <c r="F660" s="10" t="n">
        <v>34</v>
      </c>
      <c r="G660" s="12" t="s">
        <v>71</v>
      </c>
      <c r="H660" s="10" t="n">
        <v>2110101</v>
      </c>
      <c r="I660" s="12" t="s">
        <v>33</v>
      </c>
      <c r="J660" s="10" t="n">
        <v>1310365</v>
      </c>
      <c r="L660" s="10" t="n">
        <v>14752</v>
      </c>
      <c r="M660" s="12" t="s">
        <v>41</v>
      </c>
      <c r="N660" s="12" t="s">
        <v>35</v>
      </c>
      <c r="P660" s="10" t="n">
        <v>104</v>
      </c>
      <c r="Q660" s="12" t="s">
        <v>99</v>
      </c>
      <c r="R660" s="12" t="s">
        <v>37</v>
      </c>
      <c r="S660" s="10" t="n">
        <v>1130101</v>
      </c>
      <c r="T660" s="12" t="s">
        <v>38</v>
      </c>
      <c r="U660" s="13" t="n">
        <v>1000</v>
      </c>
      <c r="W660" s="13" t="n">
        <v>0</v>
      </c>
      <c r="X660" s="12" t="s">
        <v>917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70</v>
      </c>
      <c r="F661" s="10" t="n">
        <v>34</v>
      </c>
      <c r="G661" s="12" t="s">
        <v>71</v>
      </c>
      <c r="H661" s="10" t="n">
        <v>2110101</v>
      </c>
      <c r="I661" s="12" t="s">
        <v>33</v>
      </c>
      <c r="J661" s="10" t="n">
        <v>1310381</v>
      </c>
      <c r="L661" s="10" t="n">
        <v>542335</v>
      </c>
      <c r="M661" s="12" t="s">
        <v>41</v>
      </c>
      <c r="N661" s="12" t="s">
        <v>42</v>
      </c>
      <c r="P661" s="10" t="n">
        <v>104</v>
      </c>
      <c r="Q661" s="12" t="s">
        <v>99</v>
      </c>
      <c r="R661" s="12" t="s">
        <v>37</v>
      </c>
      <c r="S661" s="10" t="n">
        <v>1130101</v>
      </c>
      <c r="T661" s="12" t="s">
        <v>38</v>
      </c>
      <c r="U661" s="13" t="n">
        <v>160</v>
      </c>
      <c r="W661" s="13" t="n">
        <v>0</v>
      </c>
      <c r="X661" s="12" t="s">
        <v>573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97</v>
      </c>
      <c r="F662" s="10" t="n">
        <v>13</v>
      </c>
      <c r="G662" s="12" t="s">
        <v>98</v>
      </c>
      <c r="H662" s="10" t="n">
        <v>2110101</v>
      </c>
      <c r="I662" s="12" t="s">
        <v>33</v>
      </c>
      <c r="J662" s="10" t="n">
        <v>1313023</v>
      </c>
      <c r="L662" s="10" t="n">
        <v>325</v>
      </c>
      <c r="M662" s="12" t="s">
        <v>41</v>
      </c>
      <c r="N662" s="12" t="s">
        <v>35</v>
      </c>
      <c r="P662" s="10" t="n">
        <v>104</v>
      </c>
      <c r="Q662" s="12" t="s">
        <v>99</v>
      </c>
      <c r="R662" s="12" t="s">
        <v>37</v>
      </c>
      <c r="S662" s="10" t="n">
        <v>1130101</v>
      </c>
      <c r="T662" s="12" t="s">
        <v>38</v>
      </c>
      <c r="U662" s="13" t="n">
        <v>380</v>
      </c>
      <c r="W662" s="13" t="n">
        <v>0</v>
      </c>
      <c r="X662" s="12" t="s">
        <v>918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424</v>
      </c>
      <c r="F663" s="10" t="n">
        <v>13</v>
      </c>
      <c r="G663" s="12" t="s">
        <v>98</v>
      </c>
      <c r="H663" s="10" t="n">
        <v>2110101</v>
      </c>
      <c r="I663" s="12" t="s">
        <v>33</v>
      </c>
      <c r="J663" s="10" t="n">
        <v>1360419</v>
      </c>
      <c r="L663" s="10" t="n">
        <v>225</v>
      </c>
      <c r="M663" s="12" t="s">
        <v>41</v>
      </c>
      <c r="N663" s="12" t="s">
        <v>35</v>
      </c>
      <c r="P663" s="10" t="n">
        <v>104</v>
      </c>
      <c r="Q663" s="12" t="s">
        <v>99</v>
      </c>
      <c r="R663" s="12" t="s">
        <v>37</v>
      </c>
      <c r="S663" s="10" t="n">
        <v>1130101</v>
      </c>
      <c r="T663" s="12" t="s">
        <v>38</v>
      </c>
      <c r="U663" s="13" t="n">
        <v>750</v>
      </c>
      <c r="W663" s="13" t="n">
        <v>0</v>
      </c>
      <c r="X663" s="12" t="s">
        <v>919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182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1057743</v>
      </c>
      <c r="L664" s="10" t="n">
        <v>10336</v>
      </c>
      <c r="M664" s="12" t="s">
        <v>394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250.35</v>
      </c>
      <c r="W664" s="13" t="n">
        <v>0</v>
      </c>
      <c r="X664" s="12" t="s">
        <v>920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189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1089077</v>
      </c>
      <c r="L665" s="10" t="n">
        <v>33621</v>
      </c>
      <c r="M665" s="12" t="s">
        <v>394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2792.58</v>
      </c>
      <c r="W665" s="13" t="n">
        <v>0</v>
      </c>
      <c r="X665" s="12" t="s">
        <v>921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132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1227398</v>
      </c>
      <c r="L666" s="10" t="n">
        <v>20167</v>
      </c>
      <c r="M666" s="12" t="s">
        <v>34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4521.75</v>
      </c>
      <c r="W666" s="13" t="n">
        <v>0</v>
      </c>
      <c r="X666" s="12" t="s">
        <v>922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1260807</v>
      </c>
      <c r="L667" s="10" t="n">
        <v>574740</v>
      </c>
      <c r="M667" s="12" t="s">
        <v>41</v>
      </c>
      <c r="N667" s="12" t="s">
        <v>35</v>
      </c>
      <c r="P667" s="10" t="n">
        <v>101</v>
      </c>
      <c r="Q667" s="12" t="s">
        <v>84</v>
      </c>
      <c r="R667" s="12" t="s">
        <v>37</v>
      </c>
      <c r="S667" s="10" t="n">
        <v>1130101</v>
      </c>
      <c r="T667" s="12" t="s">
        <v>38</v>
      </c>
      <c r="U667" s="13" t="n">
        <v>372.96</v>
      </c>
      <c r="W667" s="13" t="n">
        <v>0</v>
      </c>
      <c r="X667" s="12" t="s">
        <v>923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208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1272759</v>
      </c>
      <c r="L668" s="10" t="n">
        <v>1597184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607.27</v>
      </c>
      <c r="W668" s="13" t="n">
        <v>0</v>
      </c>
      <c r="X668" s="12" t="s">
        <v>924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1291255</v>
      </c>
      <c r="L669" s="10" t="n">
        <v>253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498.13</v>
      </c>
      <c r="W669" s="13" t="n">
        <v>0</v>
      </c>
      <c r="X669" s="12" t="s">
        <v>926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182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1177308</v>
      </c>
      <c r="L670" s="10" t="n">
        <v>10643</v>
      </c>
      <c r="M670" s="12" t="s">
        <v>34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319.72</v>
      </c>
      <c r="W670" s="13" t="n">
        <v>0</v>
      </c>
      <c r="X670" s="12" t="s">
        <v>927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54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1223005</v>
      </c>
      <c r="L671" s="10" t="n">
        <v>876740</v>
      </c>
      <c r="M671" s="12" t="s">
        <v>34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584.18</v>
      </c>
      <c r="W671" s="13" t="n">
        <v>0</v>
      </c>
      <c r="X671" s="12" t="s">
        <v>928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31</v>
      </c>
      <c r="F672" s="10" t="n">
        <v>24</v>
      </c>
      <c r="G672" s="12" t="s">
        <v>32</v>
      </c>
      <c r="H672" s="10" t="n">
        <v>2110101</v>
      </c>
      <c r="I672" s="12" t="s">
        <v>33</v>
      </c>
      <c r="J672" s="10" t="n">
        <v>1226844</v>
      </c>
      <c r="L672" s="10" t="n">
        <v>562604</v>
      </c>
      <c r="M672" s="12" t="s">
        <v>128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4478.95</v>
      </c>
      <c r="W672" s="13" t="n">
        <v>0</v>
      </c>
      <c r="X672" s="12" t="s">
        <v>929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603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1228251</v>
      </c>
      <c r="L673" s="10" t="n">
        <v>7726</v>
      </c>
      <c r="M673" s="12" t="s">
        <v>128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287.8</v>
      </c>
      <c r="W673" s="13" t="n">
        <v>0</v>
      </c>
      <c r="X673" s="12" t="s">
        <v>930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931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1235655</v>
      </c>
      <c r="L674" s="10" t="n">
        <v>9271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543</v>
      </c>
      <c r="W674" s="13" t="n">
        <v>0</v>
      </c>
      <c r="X674" s="12" t="s">
        <v>932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44</v>
      </c>
      <c r="F675" s="10" t="n">
        <v>24</v>
      </c>
      <c r="G675" s="12" t="s">
        <v>32</v>
      </c>
      <c r="H675" s="10" t="n">
        <v>2110101</v>
      </c>
      <c r="I675" s="12" t="s">
        <v>33</v>
      </c>
      <c r="J675" s="10" t="n">
        <v>1255926</v>
      </c>
      <c r="L675" s="10" t="n">
        <v>1888443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1599.9</v>
      </c>
      <c r="W675" s="13" t="n">
        <v>0</v>
      </c>
      <c r="X675" s="12" t="s">
        <v>933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934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1262147</v>
      </c>
      <c r="L676" s="10" t="n">
        <v>160841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465.5</v>
      </c>
      <c r="W676" s="13" t="n">
        <v>0</v>
      </c>
      <c r="X676" s="12" t="s">
        <v>935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373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1265535</v>
      </c>
      <c r="L677" s="10" t="n">
        <v>11722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642.15</v>
      </c>
      <c r="W677" s="13" t="n">
        <v>0</v>
      </c>
      <c r="X677" s="12" t="s">
        <v>936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371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1265996</v>
      </c>
      <c r="L678" s="10" t="n">
        <v>304778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375.5</v>
      </c>
      <c r="W678" s="13" t="n">
        <v>0</v>
      </c>
      <c r="X678" s="12" t="s">
        <v>937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144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1266142</v>
      </c>
      <c r="L679" s="10" t="n">
        <v>38499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3756.4</v>
      </c>
      <c r="W679" s="13" t="n">
        <v>0</v>
      </c>
      <c r="X679" s="12" t="s">
        <v>938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144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1266149</v>
      </c>
      <c r="L680" s="10" t="n">
        <v>38498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338.58</v>
      </c>
      <c r="W680" s="13" t="n">
        <v>0</v>
      </c>
      <c r="X680" s="12" t="s">
        <v>939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940</v>
      </c>
      <c r="F681" s="10" t="n">
        <v>34</v>
      </c>
      <c r="G681" s="12" t="s">
        <v>71</v>
      </c>
      <c r="H681" s="10" t="n">
        <v>2110101</v>
      </c>
      <c r="I681" s="12" t="s">
        <v>33</v>
      </c>
      <c r="J681" s="10" t="n">
        <v>1289646</v>
      </c>
      <c r="L681" s="10" t="n">
        <v>1324</v>
      </c>
      <c r="M681" s="12" t="s">
        <v>41</v>
      </c>
      <c r="N681" s="12" t="s">
        <v>35</v>
      </c>
      <c r="P681" s="10" t="n">
        <v>103</v>
      </c>
      <c r="Q681" s="12" t="s">
        <v>36</v>
      </c>
      <c r="R681" s="12" t="s">
        <v>37</v>
      </c>
      <c r="S681" s="10" t="n">
        <v>1130101</v>
      </c>
      <c r="T681" s="12" t="s">
        <v>38</v>
      </c>
      <c r="U681" s="13" t="n">
        <v>280</v>
      </c>
      <c r="W681" s="13" t="n">
        <v>0</v>
      </c>
      <c r="X681" s="12" t="s">
        <v>941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66</v>
      </c>
      <c r="F682" s="10" t="n">
        <v>24</v>
      </c>
      <c r="G682" s="12" t="s">
        <v>32</v>
      </c>
      <c r="H682" s="10" t="n">
        <v>2110101</v>
      </c>
      <c r="I682" s="12" t="s">
        <v>33</v>
      </c>
      <c r="J682" s="10" t="n">
        <v>1289995</v>
      </c>
      <c r="L682" s="10" t="n">
        <v>11298</v>
      </c>
      <c r="M682" s="12" t="s">
        <v>34</v>
      </c>
      <c r="N682" s="12" t="s">
        <v>35</v>
      </c>
      <c r="P682" s="10" t="n">
        <v>103</v>
      </c>
      <c r="Q682" s="12" t="s">
        <v>36</v>
      </c>
      <c r="R682" s="12" t="s">
        <v>37</v>
      </c>
      <c r="S682" s="10" t="n">
        <v>1130101</v>
      </c>
      <c r="T682" s="12" t="s">
        <v>38</v>
      </c>
      <c r="U682" s="13" t="n">
        <v>364.8</v>
      </c>
      <c r="W682" s="13" t="n">
        <v>0</v>
      </c>
      <c r="X682" s="12" t="s">
        <v>942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78</v>
      </c>
      <c r="F683" s="10" t="n">
        <v>24</v>
      </c>
      <c r="G683" s="12" t="s">
        <v>32</v>
      </c>
      <c r="H683" s="10" t="n">
        <v>2110101</v>
      </c>
      <c r="I683" s="12" t="s">
        <v>33</v>
      </c>
      <c r="J683" s="10" t="n">
        <v>1291379</v>
      </c>
      <c r="L683" s="10" t="n">
        <v>15045</v>
      </c>
      <c r="M683" s="12" t="s">
        <v>41</v>
      </c>
      <c r="N683" s="12" t="s">
        <v>35</v>
      </c>
      <c r="P683" s="10" t="n">
        <v>103</v>
      </c>
      <c r="Q683" s="12" t="s">
        <v>36</v>
      </c>
      <c r="R683" s="12" t="s">
        <v>37</v>
      </c>
      <c r="S683" s="10" t="n">
        <v>1130101</v>
      </c>
      <c r="T683" s="12" t="s">
        <v>38</v>
      </c>
      <c r="U683" s="13" t="n">
        <v>642.79</v>
      </c>
      <c r="W683" s="13" t="n">
        <v>0</v>
      </c>
      <c r="X683" s="12" t="s">
        <v>943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70</v>
      </c>
      <c r="F684" s="10" t="n">
        <v>34</v>
      </c>
      <c r="G684" s="12" t="s">
        <v>71</v>
      </c>
      <c r="H684" s="10" t="n">
        <v>2110101</v>
      </c>
      <c r="I684" s="12" t="s">
        <v>33</v>
      </c>
      <c r="J684" s="10" t="n">
        <v>1299886</v>
      </c>
      <c r="L684" s="10" t="n">
        <v>5171</v>
      </c>
      <c r="M684" s="12" t="s">
        <v>41</v>
      </c>
      <c r="N684" s="12" t="s">
        <v>35</v>
      </c>
      <c r="P684" s="10" t="n">
        <v>103</v>
      </c>
      <c r="Q684" s="12" t="s">
        <v>36</v>
      </c>
      <c r="R684" s="12" t="s">
        <v>37</v>
      </c>
      <c r="S684" s="10" t="n">
        <v>1130101</v>
      </c>
      <c r="T684" s="12" t="s">
        <v>38</v>
      </c>
      <c r="U684" s="13" t="n">
        <v>1380</v>
      </c>
      <c r="W684" s="13" t="n">
        <v>0</v>
      </c>
      <c r="X684" s="12" t="s">
        <v>944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157</v>
      </c>
      <c r="F685" s="10" t="n">
        <v>24</v>
      </c>
      <c r="G685" s="12" t="s">
        <v>32</v>
      </c>
      <c r="H685" s="10" t="n">
        <v>2110101</v>
      </c>
      <c r="I685" s="12" t="s">
        <v>33</v>
      </c>
      <c r="J685" s="10" t="n">
        <v>1300713</v>
      </c>
      <c r="L685" s="10" t="n">
        <v>31278</v>
      </c>
      <c r="M685" s="12" t="s">
        <v>41</v>
      </c>
      <c r="N685" s="12" t="s">
        <v>35</v>
      </c>
      <c r="P685" s="10" t="n">
        <v>103</v>
      </c>
      <c r="Q685" s="12" t="s">
        <v>36</v>
      </c>
      <c r="R685" s="12" t="s">
        <v>37</v>
      </c>
      <c r="S685" s="10" t="n">
        <v>1130101</v>
      </c>
      <c r="T685" s="12" t="s">
        <v>38</v>
      </c>
      <c r="U685" s="13" t="n">
        <v>1278.8</v>
      </c>
      <c r="W685" s="13" t="n">
        <v>0</v>
      </c>
      <c r="X685" s="12" t="s">
        <v>945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66</v>
      </c>
      <c r="F686" s="10" t="n">
        <v>24</v>
      </c>
      <c r="G686" s="12" t="s">
        <v>32</v>
      </c>
      <c r="H686" s="10" t="n">
        <v>2110101</v>
      </c>
      <c r="I686" s="12" t="s">
        <v>33</v>
      </c>
      <c r="J686" s="10" t="n">
        <v>1308813</v>
      </c>
      <c r="L686" s="10" t="n">
        <v>11315</v>
      </c>
      <c r="M686" s="12" t="s">
        <v>41</v>
      </c>
      <c r="N686" s="12" t="s">
        <v>35</v>
      </c>
      <c r="P686" s="10" t="n">
        <v>103</v>
      </c>
      <c r="Q686" s="12" t="s">
        <v>36</v>
      </c>
      <c r="R686" s="12" t="s">
        <v>37</v>
      </c>
      <c r="S686" s="10" t="n">
        <v>1130101</v>
      </c>
      <c r="T686" s="12" t="s">
        <v>38</v>
      </c>
      <c r="U686" s="13" t="n">
        <v>459.6</v>
      </c>
      <c r="W686" s="13" t="n">
        <v>0</v>
      </c>
      <c r="X686" s="12" t="s">
        <v>946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74</v>
      </c>
      <c r="F687" s="10" t="n">
        <v>24</v>
      </c>
      <c r="G687" s="12" t="s">
        <v>32</v>
      </c>
      <c r="H687" s="10" t="n">
        <v>2110101</v>
      </c>
      <c r="I687" s="12" t="s">
        <v>33</v>
      </c>
      <c r="J687" s="10" t="n">
        <v>1308891</v>
      </c>
      <c r="L687" s="10" t="n">
        <v>675</v>
      </c>
      <c r="M687" s="12" t="s">
        <v>41</v>
      </c>
      <c r="N687" s="12" t="s">
        <v>35</v>
      </c>
      <c r="P687" s="10" t="n">
        <v>103</v>
      </c>
      <c r="Q687" s="12" t="s">
        <v>36</v>
      </c>
      <c r="R687" s="12" t="s">
        <v>37</v>
      </c>
      <c r="S687" s="10" t="n">
        <v>1130101</v>
      </c>
      <c r="T687" s="12" t="s">
        <v>38</v>
      </c>
      <c r="U687" s="13" t="n">
        <v>1400</v>
      </c>
      <c r="W687" s="13" t="n">
        <v>0</v>
      </c>
      <c r="X687" s="12" t="s">
        <v>947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74</v>
      </c>
      <c r="F688" s="10" t="n">
        <v>24</v>
      </c>
      <c r="G688" s="12" t="s">
        <v>32</v>
      </c>
      <c r="H688" s="10" t="n">
        <v>2110101</v>
      </c>
      <c r="I688" s="12" t="s">
        <v>33</v>
      </c>
      <c r="J688" s="10" t="n">
        <v>1308921</v>
      </c>
      <c r="L688" s="10" t="n">
        <v>680</v>
      </c>
      <c r="M688" s="12" t="s">
        <v>41</v>
      </c>
      <c r="N688" s="12" t="s">
        <v>35</v>
      </c>
      <c r="P688" s="10" t="n">
        <v>103</v>
      </c>
      <c r="Q688" s="12" t="s">
        <v>36</v>
      </c>
      <c r="R688" s="12" t="s">
        <v>37</v>
      </c>
      <c r="S688" s="10" t="n">
        <v>1130101</v>
      </c>
      <c r="T688" s="12" t="s">
        <v>38</v>
      </c>
      <c r="U688" s="13" t="n">
        <v>304.75</v>
      </c>
      <c r="W688" s="13" t="n">
        <v>0</v>
      </c>
      <c r="X688" s="12" t="s">
        <v>948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76</v>
      </c>
      <c r="F689" s="10" t="n">
        <v>24</v>
      </c>
      <c r="G689" s="12" t="s">
        <v>32</v>
      </c>
      <c r="H689" s="10" t="n">
        <v>2110101</v>
      </c>
      <c r="I689" s="12" t="s">
        <v>33</v>
      </c>
      <c r="J689" s="10" t="n">
        <v>1309005</v>
      </c>
      <c r="L689" s="10" t="n">
        <v>224078</v>
      </c>
      <c r="M689" s="12" t="s">
        <v>41</v>
      </c>
      <c r="N689" s="12" t="s">
        <v>35</v>
      </c>
      <c r="P689" s="10" t="n">
        <v>103</v>
      </c>
      <c r="Q689" s="12" t="s">
        <v>36</v>
      </c>
      <c r="R689" s="12" t="s">
        <v>37</v>
      </c>
      <c r="S689" s="10" t="n">
        <v>1130101</v>
      </c>
      <c r="T689" s="12" t="s">
        <v>38</v>
      </c>
      <c r="U689" s="13" t="n">
        <v>1167.14</v>
      </c>
      <c r="W689" s="13" t="n">
        <v>0</v>
      </c>
      <c r="X689" s="12" t="s">
        <v>949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336</v>
      </c>
      <c r="F690" s="10" t="n">
        <v>34</v>
      </c>
      <c r="G690" s="12" t="s">
        <v>71</v>
      </c>
      <c r="H690" s="10" t="n">
        <v>2110101</v>
      </c>
      <c r="I690" s="12" t="s">
        <v>33</v>
      </c>
      <c r="J690" s="10" t="n">
        <v>1309767</v>
      </c>
      <c r="L690" s="10" t="n">
        <v>326</v>
      </c>
      <c r="M690" s="12" t="s">
        <v>41</v>
      </c>
      <c r="N690" s="12" t="s">
        <v>35</v>
      </c>
      <c r="P690" s="10" t="n">
        <v>104</v>
      </c>
      <c r="Q690" s="12" t="s">
        <v>99</v>
      </c>
      <c r="R690" s="12" t="s">
        <v>37</v>
      </c>
      <c r="S690" s="10" t="n">
        <v>1130101</v>
      </c>
      <c r="T690" s="12" t="s">
        <v>38</v>
      </c>
      <c r="U690" s="13" t="n">
        <v>850</v>
      </c>
      <c r="W690" s="13" t="n">
        <v>0</v>
      </c>
      <c r="X690" s="12" t="s">
        <v>950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97</v>
      </c>
      <c r="F691" s="10" t="n">
        <v>13</v>
      </c>
      <c r="G691" s="12" t="s">
        <v>98</v>
      </c>
      <c r="H691" s="10" t="n">
        <v>2110101</v>
      </c>
      <c r="I691" s="12" t="s">
        <v>33</v>
      </c>
      <c r="J691" s="10" t="n">
        <v>1360396</v>
      </c>
      <c r="L691" s="10" t="n">
        <v>328</v>
      </c>
      <c r="M691" s="12" t="s">
        <v>41</v>
      </c>
      <c r="N691" s="12" t="s">
        <v>35</v>
      </c>
      <c r="P691" s="10" t="n">
        <v>104</v>
      </c>
      <c r="Q691" s="12" t="s">
        <v>99</v>
      </c>
      <c r="R691" s="12" t="s">
        <v>37</v>
      </c>
      <c r="S691" s="10" t="n">
        <v>1130101</v>
      </c>
      <c r="T691" s="12" t="s">
        <v>38</v>
      </c>
      <c r="U691" s="13" t="n">
        <v>398</v>
      </c>
      <c r="W691" s="13" t="n">
        <v>0</v>
      </c>
      <c r="X691" s="12" t="s">
        <v>951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106</v>
      </c>
      <c r="F692" s="10" t="n">
        <v>34</v>
      </c>
      <c r="G692" s="12" t="s">
        <v>71</v>
      </c>
      <c r="H692" s="10" t="n">
        <v>1110202</v>
      </c>
      <c r="I692" s="12" t="s">
        <v>285</v>
      </c>
      <c r="J692" s="10" t="n">
        <v>1448893</v>
      </c>
      <c r="L692" s="10" t="n">
        <v>596069</v>
      </c>
      <c r="M692" s="12" t="s">
        <v>41</v>
      </c>
      <c r="N692" s="12" t="s">
        <v>42</v>
      </c>
      <c r="P692" s="10" t="n">
        <v>102</v>
      </c>
      <c r="Q692" s="12" t="s">
        <v>107</v>
      </c>
      <c r="R692" s="12" t="s">
        <v>108</v>
      </c>
      <c r="S692" s="10" t="n">
        <v>4210504</v>
      </c>
      <c r="T692" s="12" t="s">
        <v>174</v>
      </c>
      <c r="U692" s="13" t="n">
        <v>165</v>
      </c>
      <c r="W692" s="13" t="n">
        <v>0</v>
      </c>
      <c r="X692" s="12" t="s">
        <v>952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106</v>
      </c>
      <c r="F693" s="10" t="n">
        <v>34</v>
      </c>
      <c r="G693" s="12" t="s">
        <v>71</v>
      </c>
      <c r="H693" s="10" t="n">
        <v>1110202</v>
      </c>
      <c r="I693" s="12" t="s">
        <v>285</v>
      </c>
      <c r="J693" s="10" t="n">
        <v>1449526</v>
      </c>
      <c r="L693" s="10" t="n">
        <v>596254</v>
      </c>
      <c r="M693" s="12" t="s">
        <v>391</v>
      </c>
      <c r="N693" s="12" t="s">
        <v>42</v>
      </c>
      <c r="P693" s="10" t="n">
        <v>101</v>
      </c>
      <c r="Q693" s="12" t="s">
        <v>84</v>
      </c>
      <c r="R693" s="12" t="s">
        <v>91</v>
      </c>
      <c r="S693" s="10" t="n">
        <v>4220199</v>
      </c>
      <c r="T693" s="12" t="s">
        <v>92</v>
      </c>
      <c r="U693" s="13" t="n">
        <v>3853.23</v>
      </c>
      <c r="W693" s="13" t="n">
        <v>0</v>
      </c>
      <c r="X693" s="12" t="s">
        <v>953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652</v>
      </c>
      <c r="F694" s="10" t="n">
        <v>24</v>
      </c>
      <c r="G694" s="12" t="s">
        <v>32</v>
      </c>
      <c r="H694" s="10" t="n">
        <v>1110202</v>
      </c>
      <c r="I694" s="12" t="s">
        <v>285</v>
      </c>
      <c r="J694" s="10" t="n">
        <v>1449558</v>
      </c>
      <c r="L694" s="10" t="n">
        <v>596274</v>
      </c>
      <c r="M694" s="12" t="s">
        <v>41</v>
      </c>
      <c r="N694" s="12" t="s">
        <v>42</v>
      </c>
      <c r="P694" s="10" t="n">
        <v>101</v>
      </c>
      <c r="Q694" s="12" t="s">
        <v>84</v>
      </c>
      <c r="R694" s="12" t="s">
        <v>91</v>
      </c>
      <c r="S694" s="10" t="n">
        <v>4220199</v>
      </c>
      <c r="T694" s="12" t="s">
        <v>92</v>
      </c>
      <c r="U694" s="13" t="n">
        <v>50000</v>
      </c>
      <c r="W694" s="13" t="n">
        <v>0</v>
      </c>
      <c r="X694" s="12" t="s">
        <v>954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88</v>
      </c>
      <c r="F695" s="10" t="n">
        <v>34</v>
      </c>
      <c r="G695" s="12" t="s">
        <v>71</v>
      </c>
      <c r="H695" s="10" t="n">
        <v>1110202</v>
      </c>
      <c r="I695" s="12" t="s">
        <v>285</v>
      </c>
      <c r="J695" s="10" t="n">
        <v>1449572</v>
      </c>
      <c r="L695" s="10" t="n">
        <v>596275</v>
      </c>
      <c r="M695" s="12" t="s">
        <v>41</v>
      </c>
      <c r="N695" s="12" t="s">
        <v>42</v>
      </c>
      <c r="P695" s="10" t="n">
        <v>101</v>
      </c>
      <c r="Q695" s="12" t="s">
        <v>84</v>
      </c>
      <c r="R695" s="12" t="s">
        <v>85</v>
      </c>
      <c r="S695" s="10" t="n">
        <v>4210301</v>
      </c>
      <c r="T695" s="12" t="s">
        <v>295</v>
      </c>
      <c r="U695" s="13" t="n">
        <v>973.68</v>
      </c>
      <c r="W695" s="13" t="n">
        <v>0</v>
      </c>
      <c r="X695" s="12" t="s">
        <v>955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956</v>
      </c>
      <c r="F696" s="10" t="n">
        <v>34</v>
      </c>
      <c r="G696" s="12" t="s">
        <v>71</v>
      </c>
      <c r="H696" s="10" t="n">
        <v>1110202</v>
      </c>
      <c r="I696" s="12" t="s">
        <v>285</v>
      </c>
      <c r="J696" s="10" t="n">
        <v>1449656</v>
      </c>
      <c r="L696" s="10" t="n">
        <v>596296</v>
      </c>
      <c r="M696" s="12" t="s">
        <v>41</v>
      </c>
      <c r="N696" s="12" t="s">
        <v>42</v>
      </c>
      <c r="P696" s="10" t="n">
        <v>101</v>
      </c>
      <c r="Q696" s="12" t="s">
        <v>84</v>
      </c>
      <c r="R696" s="12" t="s">
        <v>91</v>
      </c>
      <c r="S696" s="10" t="n">
        <v>4220199</v>
      </c>
      <c r="T696" s="12" t="s">
        <v>92</v>
      </c>
      <c r="U696" s="13" t="n">
        <v>250</v>
      </c>
      <c r="W696" s="13" t="n">
        <v>0</v>
      </c>
      <c r="X696" s="12" t="s">
        <v>957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956</v>
      </c>
      <c r="F697" s="10" t="n">
        <v>24</v>
      </c>
      <c r="G697" s="12" t="s">
        <v>32</v>
      </c>
      <c r="H697" s="10" t="n">
        <v>1110202</v>
      </c>
      <c r="I697" s="12" t="s">
        <v>285</v>
      </c>
      <c r="J697" s="10" t="n">
        <v>1449660</v>
      </c>
      <c r="L697" s="10" t="n">
        <v>596297</v>
      </c>
      <c r="M697" s="12" t="s">
        <v>41</v>
      </c>
      <c r="N697" s="12" t="s">
        <v>42</v>
      </c>
      <c r="P697" s="10" t="n">
        <v>101</v>
      </c>
      <c r="Q697" s="12" t="s">
        <v>84</v>
      </c>
      <c r="R697" s="12" t="s">
        <v>60</v>
      </c>
      <c r="S697" s="10" t="n">
        <v>4210218</v>
      </c>
      <c r="T697" s="12" t="s">
        <v>958</v>
      </c>
      <c r="U697" s="13" t="n">
        <v>125</v>
      </c>
      <c r="W697" s="13" t="n">
        <v>0</v>
      </c>
      <c r="X697" s="12" t="s">
        <v>959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782</v>
      </c>
      <c r="F698" s="10" t="n">
        <v>24</v>
      </c>
      <c r="G698" s="12" t="s">
        <v>32</v>
      </c>
      <c r="H698" s="10" t="n">
        <v>1110202</v>
      </c>
      <c r="I698" s="12" t="s">
        <v>285</v>
      </c>
      <c r="J698" s="10" t="n">
        <v>1449664</v>
      </c>
      <c r="L698" s="10" t="n">
        <v>596300</v>
      </c>
      <c r="M698" s="12" t="s">
        <v>41</v>
      </c>
      <c r="N698" s="12" t="s">
        <v>42</v>
      </c>
      <c r="P698" s="10" t="n">
        <v>101</v>
      </c>
      <c r="Q698" s="12" t="s">
        <v>84</v>
      </c>
      <c r="R698" s="12" t="s">
        <v>91</v>
      </c>
      <c r="S698" s="10" t="n">
        <v>4220199</v>
      </c>
      <c r="T698" s="12" t="s">
        <v>92</v>
      </c>
      <c r="U698" s="13" t="n">
        <v>1300</v>
      </c>
      <c r="W698" s="13" t="n">
        <v>0</v>
      </c>
      <c r="X698" s="12" t="s">
        <v>960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961</v>
      </c>
      <c r="F699" s="10" t="n">
        <v>34</v>
      </c>
      <c r="G699" s="12" t="s">
        <v>71</v>
      </c>
      <c r="H699" s="10" t="n">
        <v>2110101</v>
      </c>
      <c r="I699" s="12" t="s">
        <v>33</v>
      </c>
      <c r="J699" s="10" t="n">
        <v>1189192</v>
      </c>
      <c r="L699" s="10" t="n">
        <v>3454</v>
      </c>
      <c r="M699" s="12" t="s">
        <v>41</v>
      </c>
      <c r="N699" s="12" t="s">
        <v>35</v>
      </c>
      <c r="P699" s="10" t="n">
        <v>104</v>
      </c>
      <c r="Q699" s="12" t="s">
        <v>99</v>
      </c>
      <c r="R699" s="12" t="s">
        <v>37</v>
      </c>
      <c r="S699" s="10" t="n">
        <v>1130101</v>
      </c>
      <c r="T699" s="12" t="s">
        <v>38</v>
      </c>
      <c r="U699" s="13" t="n">
        <v>105</v>
      </c>
      <c r="W699" s="13" t="n">
        <v>0</v>
      </c>
      <c r="X699" s="12" t="s">
        <v>962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325</v>
      </c>
      <c r="F700" s="10" t="n">
        <v>24</v>
      </c>
      <c r="G700" s="12" t="s">
        <v>32</v>
      </c>
      <c r="H700" s="10" t="n">
        <v>2110101</v>
      </c>
      <c r="I700" s="12" t="s">
        <v>33</v>
      </c>
      <c r="J700" s="10" t="n">
        <v>1192775</v>
      </c>
      <c r="L700" s="10" t="n">
        <v>7862</v>
      </c>
      <c r="M700" s="12" t="s">
        <v>394</v>
      </c>
      <c r="N700" s="12" t="s">
        <v>35</v>
      </c>
      <c r="P700" s="10" t="n">
        <v>103</v>
      </c>
      <c r="Q700" s="12" t="s">
        <v>36</v>
      </c>
      <c r="R700" s="12" t="s">
        <v>37</v>
      </c>
      <c r="S700" s="10" t="n">
        <v>1130101</v>
      </c>
      <c r="T700" s="12" t="s">
        <v>38</v>
      </c>
      <c r="U700" s="13" t="n">
        <v>1695.88</v>
      </c>
      <c r="W700" s="13" t="n">
        <v>0</v>
      </c>
      <c r="X700" s="12" t="s">
        <v>963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961</v>
      </c>
      <c r="F701" s="10" t="n">
        <v>34</v>
      </c>
      <c r="G701" s="12" t="s">
        <v>71</v>
      </c>
      <c r="H701" s="10" t="n">
        <v>2110101</v>
      </c>
      <c r="I701" s="12" t="s">
        <v>33</v>
      </c>
      <c r="J701" s="10" t="n">
        <v>1228315</v>
      </c>
      <c r="L701" s="10" t="n">
        <v>3477</v>
      </c>
      <c r="M701" s="12" t="s">
        <v>41</v>
      </c>
      <c r="N701" s="12" t="s">
        <v>35</v>
      </c>
      <c r="P701" s="10" t="n">
        <v>104</v>
      </c>
      <c r="Q701" s="12" t="s">
        <v>99</v>
      </c>
      <c r="R701" s="12" t="s">
        <v>37</v>
      </c>
      <c r="S701" s="10" t="n">
        <v>1130101</v>
      </c>
      <c r="T701" s="12" t="s">
        <v>38</v>
      </c>
      <c r="U701" s="13" t="n">
        <v>52.5</v>
      </c>
      <c r="W701" s="13" t="n">
        <v>0</v>
      </c>
      <c r="X701" s="12" t="s">
        <v>964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961</v>
      </c>
      <c r="F702" s="10" t="n">
        <v>34</v>
      </c>
      <c r="G702" s="12" t="s">
        <v>71</v>
      </c>
      <c r="H702" s="10" t="n">
        <v>2110101</v>
      </c>
      <c r="I702" s="12" t="s">
        <v>33</v>
      </c>
      <c r="J702" s="10" t="n">
        <v>1228489</v>
      </c>
      <c r="L702" s="10" t="n">
        <v>3504</v>
      </c>
      <c r="M702" s="12" t="s">
        <v>41</v>
      </c>
      <c r="N702" s="12" t="s">
        <v>35</v>
      </c>
      <c r="P702" s="10" t="n">
        <v>104</v>
      </c>
      <c r="Q702" s="12" t="s">
        <v>99</v>
      </c>
      <c r="R702" s="12" t="s">
        <v>37</v>
      </c>
      <c r="S702" s="10" t="n">
        <v>1130101</v>
      </c>
      <c r="T702" s="12" t="s">
        <v>38</v>
      </c>
      <c r="U702" s="13" t="n">
        <v>140</v>
      </c>
      <c r="W702" s="13" t="n">
        <v>0</v>
      </c>
      <c r="X702" s="12" t="s">
        <v>965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961</v>
      </c>
      <c r="F703" s="10" t="n">
        <v>34</v>
      </c>
      <c r="G703" s="12" t="s">
        <v>71</v>
      </c>
      <c r="H703" s="10" t="n">
        <v>2110101</v>
      </c>
      <c r="I703" s="12" t="s">
        <v>33</v>
      </c>
      <c r="J703" s="10" t="n">
        <v>1230677</v>
      </c>
      <c r="L703" s="10" t="n">
        <v>3515</v>
      </c>
      <c r="M703" s="12" t="s">
        <v>41</v>
      </c>
      <c r="N703" s="12" t="s">
        <v>35</v>
      </c>
      <c r="P703" s="10" t="n">
        <v>104</v>
      </c>
      <c r="Q703" s="12" t="s">
        <v>99</v>
      </c>
      <c r="R703" s="12" t="s">
        <v>37</v>
      </c>
      <c r="S703" s="10" t="n">
        <v>1130101</v>
      </c>
      <c r="T703" s="12" t="s">
        <v>38</v>
      </c>
      <c r="U703" s="13" t="n">
        <v>105</v>
      </c>
      <c r="W703" s="13" t="n">
        <v>0</v>
      </c>
      <c r="X703" s="12" t="s">
        <v>966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628</v>
      </c>
      <c r="F704" s="10" t="n">
        <v>24</v>
      </c>
      <c r="G704" s="12" t="s">
        <v>32</v>
      </c>
      <c r="H704" s="10" t="n">
        <v>2110102</v>
      </c>
      <c r="I704" s="12" t="s">
        <v>59</v>
      </c>
      <c r="J704" s="10" t="n">
        <v>1231605</v>
      </c>
      <c r="L704" s="10" t="n">
        <v>3245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60</v>
      </c>
      <c r="S704" s="10" t="n">
        <v>4210204</v>
      </c>
      <c r="T704" s="12" t="s">
        <v>61</v>
      </c>
      <c r="U704" s="13" t="n">
        <v>1524.18</v>
      </c>
      <c r="W704" s="13" t="n">
        <v>0</v>
      </c>
      <c r="X704" s="12" t="s">
        <v>967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750</v>
      </c>
      <c r="F705" s="10" t="n">
        <v>24</v>
      </c>
      <c r="G705" s="12" t="s">
        <v>32</v>
      </c>
      <c r="H705" s="10" t="n">
        <v>2110102</v>
      </c>
      <c r="I705" s="12" t="s">
        <v>59</v>
      </c>
      <c r="J705" s="10" t="n">
        <v>1231622</v>
      </c>
      <c r="L705" s="10" t="n">
        <v>207140</v>
      </c>
      <c r="M705" s="12" t="s">
        <v>34</v>
      </c>
      <c r="N705" s="12" t="s">
        <v>35</v>
      </c>
      <c r="P705" s="10" t="n">
        <v>103</v>
      </c>
      <c r="Q705" s="12" t="s">
        <v>36</v>
      </c>
      <c r="R705" s="12" t="s">
        <v>60</v>
      </c>
      <c r="S705" s="10" t="n">
        <v>4210204</v>
      </c>
      <c r="T705" s="12" t="s">
        <v>61</v>
      </c>
      <c r="U705" s="13" t="n">
        <v>622.46</v>
      </c>
      <c r="W705" s="13" t="n">
        <v>0</v>
      </c>
      <c r="X705" s="12" t="s">
        <v>968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246</v>
      </c>
      <c r="F706" s="10" t="n">
        <v>24</v>
      </c>
      <c r="G706" s="12" t="s">
        <v>32</v>
      </c>
      <c r="H706" s="10" t="n">
        <v>2110101</v>
      </c>
      <c r="I706" s="12" t="s">
        <v>33</v>
      </c>
      <c r="J706" s="10" t="n">
        <v>1236138</v>
      </c>
      <c r="L706" s="10" t="n">
        <v>346214</v>
      </c>
      <c r="M706" s="12" t="s">
        <v>34</v>
      </c>
      <c r="N706" s="12" t="s">
        <v>35</v>
      </c>
      <c r="P706" s="10" t="n">
        <v>103</v>
      </c>
      <c r="Q706" s="12" t="s">
        <v>36</v>
      </c>
      <c r="R706" s="12" t="s">
        <v>37</v>
      </c>
      <c r="S706" s="10" t="n">
        <v>1130101</v>
      </c>
      <c r="T706" s="12" t="s">
        <v>38</v>
      </c>
      <c r="U706" s="13" t="n">
        <v>1199.99</v>
      </c>
      <c r="W706" s="13" t="n">
        <v>0</v>
      </c>
      <c r="X706" s="12" t="s">
        <v>969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104</v>
      </c>
      <c r="F707" s="10" t="n">
        <v>24</v>
      </c>
      <c r="G707" s="12" t="s">
        <v>32</v>
      </c>
      <c r="H707" s="10" t="n">
        <v>2110405</v>
      </c>
      <c r="I707" s="12" t="s">
        <v>83</v>
      </c>
      <c r="J707" s="10" t="n">
        <v>1256567</v>
      </c>
      <c r="L707" s="10" t="n">
        <v>856</v>
      </c>
      <c r="M707" s="12" t="s">
        <v>41</v>
      </c>
      <c r="N707" s="12" t="s">
        <v>42</v>
      </c>
      <c r="P707" s="10" t="n">
        <v>101</v>
      </c>
      <c r="Q707" s="12" t="s">
        <v>84</v>
      </c>
      <c r="R707" s="12" t="s">
        <v>85</v>
      </c>
      <c r="S707" s="10" t="n">
        <v>4210319</v>
      </c>
      <c r="T707" s="12" t="s">
        <v>617</v>
      </c>
      <c r="U707" s="13" t="n">
        <v>1248</v>
      </c>
      <c r="W707" s="13" t="n">
        <v>0</v>
      </c>
      <c r="X707" s="12" t="s">
        <v>970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961</v>
      </c>
      <c r="F708" s="10" t="n">
        <v>34</v>
      </c>
      <c r="G708" s="12" t="s">
        <v>71</v>
      </c>
      <c r="H708" s="10" t="n">
        <v>2110101</v>
      </c>
      <c r="I708" s="12" t="s">
        <v>33</v>
      </c>
      <c r="J708" s="10" t="n">
        <v>1261307</v>
      </c>
      <c r="L708" s="10" t="n">
        <v>3555</v>
      </c>
      <c r="M708" s="12" t="s">
        <v>41</v>
      </c>
      <c r="N708" s="12" t="s">
        <v>35</v>
      </c>
      <c r="P708" s="10" t="n">
        <v>104</v>
      </c>
      <c r="Q708" s="12" t="s">
        <v>99</v>
      </c>
      <c r="R708" s="12" t="s">
        <v>37</v>
      </c>
      <c r="S708" s="10" t="n">
        <v>1130101</v>
      </c>
      <c r="T708" s="12" t="s">
        <v>38</v>
      </c>
      <c r="U708" s="13" t="n">
        <v>87.5</v>
      </c>
      <c r="W708" s="13" t="n">
        <v>0</v>
      </c>
      <c r="X708" s="12" t="s">
        <v>971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961</v>
      </c>
      <c r="F709" s="10" t="n">
        <v>34</v>
      </c>
      <c r="G709" s="12" t="s">
        <v>71</v>
      </c>
      <c r="H709" s="10" t="n">
        <v>2110101</v>
      </c>
      <c r="I709" s="12" t="s">
        <v>33</v>
      </c>
      <c r="J709" s="10" t="n">
        <v>1261327</v>
      </c>
      <c r="L709" s="10" t="n">
        <v>3538</v>
      </c>
      <c r="M709" s="12" t="s">
        <v>41</v>
      </c>
      <c r="N709" s="12" t="s">
        <v>35</v>
      </c>
      <c r="P709" s="10" t="n">
        <v>104</v>
      </c>
      <c r="Q709" s="12" t="s">
        <v>99</v>
      </c>
      <c r="R709" s="12" t="s">
        <v>37</v>
      </c>
      <c r="S709" s="10" t="n">
        <v>1130101</v>
      </c>
      <c r="T709" s="12" t="s">
        <v>38</v>
      </c>
      <c r="U709" s="13" t="n">
        <v>105</v>
      </c>
      <c r="W709" s="13" t="n">
        <v>0</v>
      </c>
      <c r="X709" s="12" t="s">
        <v>972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551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1262226</v>
      </c>
      <c r="L710" s="10" t="n">
        <v>387396</v>
      </c>
      <c r="M710" s="12" t="s">
        <v>34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1107.75</v>
      </c>
      <c r="W710" s="13" t="n">
        <v>0</v>
      </c>
      <c r="X710" s="12" t="s">
        <v>973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703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1265754</v>
      </c>
      <c r="L711" s="10" t="n">
        <v>1774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1143.6</v>
      </c>
      <c r="W711" s="13" t="n">
        <v>0</v>
      </c>
      <c r="X711" s="12" t="s">
        <v>974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1269997</v>
      </c>
      <c r="L712" s="10" t="n">
        <v>1414551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1464.55</v>
      </c>
      <c r="W712" s="13" t="n">
        <v>0</v>
      </c>
      <c r="X712" s="12" t="s">
        <v>975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208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1290054</v>
      </c>
      <c r="L713" s="10" t="n">
        <v>1598074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2103</v>
      </c>
      <c r="W713" s="13" t="n">
        <v>0</v>
      </c>
      <c r="X713" s="12" t="s">
        <v>976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224</v>
      </c>
      <c r="F714" s="10" t="n">
        <v>24</v>
      </c>
      <c r="G714" s="12" t="s">
        <v>32</v>
      </c>
      <c r="H714" s="10" t="n">
        <v>2110405</v>
      </c>
      <c r="I714" s="12" t="s">
        <v>83</v>
      </c>
      <c r="J714" s="10" t="n">
        <v>1299935</v>
      </c>
      <c r="L714" s="10" t="n">
        <v>538243</v>
      </c>
      <c r="M714" s="12" t="s">
        <v>41</v>
      </c>
      <c r="N714" s="12" t="s">
        <v>42</v>
      </c>
      <c r="P714" s="10" t="n">
        <v>101</v>
      </c>
      <c r="Q714" s="12" t="s">
        <v>84</v>
      </c>
      <c r="R714" s="12" t="s">
        <v>775</v>
      </c>
      <c r="S714" s="10" t="n">
        <v>2110704</v>
      </c>
      <c r="T714" s="12" t="s">
        <v>977</v>
      </c>
      <c r="U714" s="13" t="n">
        <v>972.76</v>
      </c>
      <c r="W714" s="13" t="n">
        <v>0</v>
      </c>
      <c r="X714" s="12" t="s">
        <v>978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224</v>
      </c>
      <c r="F715" s="10" t="n">
        <v>24</v>
      </c>
      <c r="G715" s="12" t="s">
        <v>32</v>
      </c>
      <c r="H715" s="10" t="n">
        <v>2110405</v>
      </c>
      <c r="I715" s="12" t="s">
        <v>83</v>
      </c>
      <c r="J715" s="10" t="n">
        <v>1299945</v>
      </c>
      <c r="L715" s="10" t="n">
        <v>538245</v>
      </c>
      <c r="M715" s="12" t="s">
        <v>41</v>
      </c>
      <c r="N715" s="12" t="s">
        <v>42</v>
      </c>
      <c r="P715" s="10" t="n">
        <v>101</v>
      </c>
      <c r="Q715" s="12" t="s">
        <v>84</v>
      </c>
      <c r="R715" s="12" t="s">
        <v>979</v>
      </c>
      <c r="S715" s="10" t="n">
        <v>4310102</v>
      </c>
      <c r="T715" s="12" t="s">
        <v>980</v>
      </c>
      <c r="U715" s="13" t="n">
        <v>583.66</v>
      </c>
      <c r="W715" s="13" t="n">
        <v>0</v>
      </c>
      <c r="X715" s="12" t="s">
        <v>981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982</v>
      </c>
      <c r="F716" s="10" t="n">
        <v>24</v>
      </c>
      <c r="G716" s="12" t="s">
        <v>32</v>
      </c>
      <c r="H716" s="10" t="n">
        <v>2110405</v>
      </c>
      <c r="I716" s="12" t="s">
        <v>83</v>
      </c>
      <c r="J716" s="10" t="n">
        <v>1299960</v>
      </c>
      <c r="L716" s="10" t="n">
        <v>538251</v>
      </c>
      <c r="M716" s="12" t="s">
        <v>41</v>
      </c>
      <c r="N716" s="12" t="s">
        <v>42</v>
      </c>
      <c r="P716" s="10" t="n">
        <v>101</v>
      </c>
      <c r="Q716" s="12" t="s">
        <v>84</v>
      </c>
      <c r="R716" s="12" t="s">
        <v>775</v>
      </c>
      <c r="S716" s="10" t="n">
        <v>2110707</v>
      </c>
      <c r="T716" s="12" t="s">
        <v>776</v>
      </c>
      <c r="U716" s="13" t="n">
        <v>1379.84</v>
      </c>
      <c r="W716" s="13" t="n">
        <v>0</v>
      </c>
      <c r="X716" s="12" t="s">
        <v>983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157</v>
      </c>
      <c r="F717" s="10" t="n">
        <v>24</v>
      </c>
      <c r="G717" s="12" t="s">
        <v>32</v>
      </c>
      <c r="H717" s="10" t="n">
        <v>2110101</v>
      </c>
      <c r="I717" s="12" t="s">
        <v>33</v>
      </c>
      <c r="J717" s="10" t="n">
        <v>1300974</v>
      </c>
      <c r="L717" s="10" t="n">
        <v>31315</v>
      </c>
      <c r="M717" s="12" t="s">
        <v>41</v>
      </c>
      <c r="N717" s="12" t="s">
        <v>35</v>
      </c>
      <c r="P717" s="10" t="n">
        <v>103</v>
      </c>
      <c r="Q717" s="12" t="s">
        <v>36</v>
      </c>
      <c r="R717" s="12" t="s">
        <v>37</v>
      </c>
      <c r="S717" s="10" t="n">
        <v>1130101</v>
      </c>
      <c r="T717" s="12" t="s">
        <v>38</v>
      </c>
      <c r="U717" s="13" t="n">
        <v>3075</v>
      </c>
      <c r="W717" s="13" t="n">
        <v>0</v>
      </c>
      <c r="X717" s="12" t="s">
        <v>984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323</v>
      </c>
      <c r="F718" s="10" t="n">
        <v>24</v>
      </c>
      <c r="G718" s="12" t="s">
        <v>32</v>
      </c>
      <c r="H718" s="10" t="n">
        <v>2110101</v>
      </c>
      <c r="I718" s="12" t="s">
        <v>33</v>
      </c>
      <c r="J718" s="10" t="n">
        <v>1308839</v>
      </c>
      <c r="L718" s="10" t="n">
        <v>3863</v>
      </c>
      <c r="M718" s="12" t="s">
        <v>41</v>
      </c>
      <c r="N718" s="12" t="s">
        <v>35</v>
      </c>
      <c r="P718" s="10" t="n">
        <v>103</v>
      </c>
      <c r="Q718" s="12" t="s">
        <v>36</v>
      </c>
      <c r="R718" s="12" t="s">
        <v>37</v>
      </c>
      <c r="S718" s="10" t="n">
        <v>1130101</v>
      </c>
      <c r="T718" s="12" t="s">
        <v>38</v>
      </c>
      <c r="U718" s="13" t="n">
        <v>241.6</v>
      </c>
      <c r="W718" s="13" t="n">
        <v>0</v>
      </c>
      <c r="X718" s="12" t="s">
        <v>985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155</v>
      </c>
      <c r="F719" s="10" t="n">
        <v>24</v>
      </c>
      <c r="G719" s="12" t="s">
        <v>32</v>
      </c>
      <c r="H719" s="10" t="n">
        <v>2110101</v>
      </c>
      <c r="I719" s="12" t="s">
        <v>33</v>
      </c>
      <c r="J719" s="10" t="n">
        <v>1308855</v>
      </c>
      <c r="L719" s="10" t="n">
        <v>3422</v>
      </c>
      <c r="M719" s="12" t="s">
        <v>41</v>
      </c>
      <c r="N719" s="12" t="s">
        <v>35</v>
      </c>
      <c r="P719" s="10" t="n">
        <v>103</v>
      </c>
      <c r="Q719" s="12" t="s">
        <v>36</v>
      </c>
      <c r="R719" s="12" t="s">
        <v>37</v>
      </c>
      <c r="S719" s="10" t="n">
        <v>1130101</v>
      </c>
      <c r="T719" s="12" t="s">
        <v>38</v>
      </c>
      <c r="U719" s="13" t="n">
        <v>405</v>
      </c>
      <c r="W719" s="13" t="n">
        <v>0</v>
      </c>
      <c r="X719" s="12" t="s">
        <v>986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159</v>
      </c>
      <c r="F720" s="10" t="n">
        <v>24</v>
      </c>
      <c r="G720" s="12" t="s">
        <v>32</v>
      </c>
      <c r="H720" s="10" t="n">
        <v>2110101</v>
      </c>
      <c r="I720" s="12" t="s">
        <v>33</v>
      </c>
      <c r="J720" s="10" t="n">
        <v>1308875</v>
      </c>
      <c r="L720" s="10" t="n">
        <v>1028313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675.17</v>
      </c>
      <c r="W720" s="13" t="n">
        <v>0</v>
      </c>
      <c r="X720" s="12" t="s">
        <v>987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74</v>
      </c>
      <c r="F721" s="10" t="n">
        <v>24</v>
      </c>
      <c r="G721" s="12" t="s">
        <v>32</v>
      </c>
      <c r="H721" s="10" t="n">
        <v>2110101</v>
      </c>
      <c r="I721" s="12" t="s">
        <v>33</v>
      </c>
      <c r="J721" s="10" t="n">
        <v>1308928</v>
      </c>
      <c r="L721" s="10" t="n">
        <v>683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357.1</v>
      </c>
      <c r="W721" s="13" t="n">
        <v>0</v>
      </c>
      <c r="X721" s="12" t="s">
        <v>988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217</v>
      </c>
      <c r="F722" s="10" t="n">
        <v>24</v>
      </c>
      <c r="G722" s="12" t="s">
        <v>32</v>
      </c>
      <c r="H722" s="10" t="n">
        <v>2110101</v>
      </c>
      <c r="I722" s="12" t="s">
        <v>33</v>
      </c>
      <c r="J722" s="10" t="n">
        <v>1308931</v>
      </c>
      <c r="L722" s="10" t="n">
        <v>16177</v>
      </c>
      <c r="M722" s="12" t="s">
        <v>41</v>
      </c>
      <c r="N722" s="12" t="s">
        <v>35</v>
      </c>
      <c r="P722" s="10" t="n">
        <v>103</v>
      </c>
      <c r="Q722" s="12" t="s">
        <v>36</v>
      </c>
      <c r="R722" s="12" t="s">
        <v>37</v>
      </c>
      <c r="S722" s="10" t="n">
        <v>1130101</v>
      </c>
      <c r="T722" s="12" t="s">
        <v>38</v>
      </c>
      <c r="U722" s="13" t="n">
        <v>240</v>
      </c>
      <c r="W722" s="13" t="n">
        <v>0</v>
      </c>
      <c r="X722" s="12" t="s">
        <v>989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319</v>
      </c>
      <c r="F723" s="10" t="n">
        <v>24</v>
      </c>
      <c r="G723" s="12" t="s">
        <v>32</v>
      </c>
      <c r="H723" s="10" t="n">
        <v>2110101</v>
      </c>
      <c r="I723" s="12" t="s">
        <v>33</v>
      </c>
      <c r="J723" s="10" t="n">
        <v>1308949</v>
      </c>
      <c r="L723" s="10" t="n">
        <v>10158</v>
      </c>
      <c r="M723" s="12" t="s">
        <v>41</v>
      </c>
      <c r="N723" s="12" t="s">
        <v>35</v>
      </c>
      <c r="P723" s="10" t="n">
        <v>103</v>
      </c>
      <c r="Q723" s="12" t="s">
        <v>36</v>
      </c>
      <c r="R723" s="12" t="s">
        <v>37</v>
      </c>
      <c r="S723" s="10" t="n">
        <v>1130101</v>
      </c>
      <c r="T723" s="12" t="s">
        <v>38</v>
      </c>
      <c r="U723" s="13" t="n">
        <v>1026</v>
      </c>
      <c r="W723" s="13" t="n">
        <v>0</v>
      </c>
      <c r="X723" s="12" t="s">
        <v>990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961</v>
      </c>
      <c r="F724" s="10" t="n">
        <v>34</v>
      </c>
      <c r="G724" s="12" t="s">
        <v>71</v>
      </c>
      <c r="H724" s="10" t="n">
        <v>2110101</v>
      </c>
      <c r="I724" s="12" t="s">
        <v>33</v>
      </c>
      <c r="J724" s="10" t="n">
        <v>1309149</v>
      </c>
      <c r="L724" s="10" t="n">
        <v>3650</v>
      </c>
      <c r="M724" s="12" t="s">
        <v>41</v>
      </c>
      <c r="N724" s="12" t="s">
        <v>35</v>
      </c>
      <c r="P724" s="10" t="n">
        <v>104</v>
      </c>
      <c r="Q724" s="12" t="s">
        <v>99</v>
      </c>
      <c r="R724" s="12" t="s">
        <v>37</v>
      </c>
      <c r="S724" s="10" t="n">
        <v>1130101</v>
      </c>
      <c r="T724" s="12" t="s">
        <v>38</v>
      </c>
      <c r="U724" s="13" t="n">
        <v>135</v>
      </c>
      <c r="W724" s="13" t="n">
        <v>0</v>
      </c>
      <c r="X724" s="12" t="s">
        <v>991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961</v>
      </c>
      <c r="F725" s="10" t="n">
        <v>34</v>
      </c>
      <c r="G725" s="12" t="s">
        <v>71</v>
      </c>
      <c r="H725" s="10" t="n">
        <v>2110101</v>
      </c>
      <c r="I725" s="12" t="s">
        <v>33</v>
      </c>
      <c r="J725" s="10" t="n">
        <v>1309173</v>
      </c>
      <c r="L725" s="10" t="n">
        <v>3582</v>
      </c>
      <c r="M725" s="12" t="s">
        <v>41</v>
      </c>
      <c r="N725" s="12" t="s">
        <v>35</v>
      </c>
      <c r="P725" s="10" t="n">
        <v>104</v>
      </c>
      <c r="Q725" s="12" t="s">
        <v>99</v>
      </c>
      <c r="R725" s="12" t="s">
        <v>37</v>
      </c>
      <c r="S725" s="10" t="n">
        <v>1130101</v>
      </c>
      <c r="T725" s="12" t="s">
        <v>38</v>
      </c>
      <c r="U725" s="13" t="n">
        <v>90</v>
      </c>
      <c r="W725" s="13" t="n">
        <v>0</v>
      </c>
      <c r="X725" s="12" t="s">
        <v>992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961</v>
      </c>
      <c r="F726" s="10" t="n">
        <v>34</v>
      </c>
      <c r="G726" s="12" t="s">
        <v>71</v>
      </c>
      <c r="H726" s="10" t="n">
        <v>2110101</v>
      </c>
      <c r="I726" s="12" t="s">
        <v>33</v>
      </c>
      <c r="J726" s="10" t="n">
        <v>1309210</v>
      </c>
      <c r="L726" s="10" t="n">
        <v>3630</v>
      </c>
      <c r="M726" s="12" t="s">
        <v>41</v>
      </c>
      <c r="N726" s="12" t="s">
        <v>35</v>
      </c>
      <c r="P726" s="10" t="n">
        <v>104</v>
      </c>
      <c r="Q726" s="12" t="s">
        <v>99</v>
      </c>
      <c r="R726" s="12" t="s">
        <v>37</v>
      </c>
      <c r="S726" s="10" t="n">
        <v>1130101</v>
      </c>
      <c r="T726" s="12" t="s">
        <v>38</v>
      </c>
      <c r="U726" s="13" t="n">
        <v>135</v>
      </c>
      <c r="W726" s="13" t="n">
        <v>0</v>
      </c>
      <c r="X726" s="12" t="s">
        <v>993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994</v>
      </c>
      <c r="F727" s="10" t="n">
        <v>34</v>
      </c>
      <c r="G727" s="12" t="s">
        <v>71</v>
      </c>
      <c r="H727" s="10" t="n">
        <v>2110405</v>
      </c>
      <c r="I727" s="12" t="s">
        <v>83</v>
      </c>
      <c r="J727" s="10" t="n">
        <v>1309340</v>
      </c>
      <c r="L727" s="10" t="n">
        <v>20252026</v>
      </c>
      <c r="M727" s="12" t="s">
        <v>41</v>
      </c>
      <c r="N727" s="12" t="s">
        <v>42</v>
      </c>
      <c r="P727" s="10" t="n">
        <v>101</v>
      </c>
      <c r="Q727" s="12" t="s">
        <v>84</v>
      </c>
      <c r="R727" s="12" t="s">
        <v>995</v>
      </c>
      <c r="S727" s="10" t="n">
        <v>2110503</v>
      </c>
      <c r="T727" s="12" t="s">
        <v>996</v>
      </c>
      <c r="U727" s="13" t="n">
        <v>2343.33</v>
      </c>
      <c r="W727" s="13" t="n">
        <v>0</v>
      </c>
      <c r="X727" s="12" t="s">
        <v>997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328</v>
      </c>
      <c r="F728" s="10" t="n">
        <v>34</v>
      </c>
      <c r="G728" s="12" t="s">
        <v>71</v>
      </c>
      <c r="H728" s="10" t="n">
        <v>2110101</v>
      </c>
      <c r="I728" s="12" t="s">
        <v>33</v>
      </c>
      <c r="J728" s="10" t="n">
        <v>1309485</v>
      </c>
      <c r="L728" s="10" t="n">
        <v>317</v>
      </c>
      <c r="M728" s="12" t="s">
        <v>41</v>
      </c>
      <c r="N728" s="12" t="s">
        <v>35</v>
      </c>
      <c r="P728" s="10" t="n">
        <v>103</v>
      </c>
      <c r="Q728" s="12" t="s">
        <v>36</v>
      </c>
      <c r="R728" s="12" t="s">
        <v>37</v>
      </c>
      <c r="S728" s="10" t="n">
        <v>1130101</v>
      </c>
      <c r="T728" s="12" t="s">
        <v>38</v>
      </c>
      <c r="U728" s="13" t="n">
        <v>899.95</v>
      </c>
      <c r="W728" s="13" t="n">
        <v>0</v>
      </c>
      <c r="X728" s="12" t="s">
        <v>998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70</v>
      </c>
      <c r="F729" s="10" t="n">
        <v>34</v>
      </c>
      <c r="G729" s="12" t="s">
        <v>71</v>
      </c>
      <c r="H729" s="10" t="n">
        <v>2110101</v>
      </c>
      <c r="I729" s="12" t="s">
        <v>33</v>
      </c>
      <c r="J729" s="10" t="n">
        <v>1309570</v>
      </c>
      <c r="L729" s="10" t="n">
        <v>5184</v>
      </c>
      <c r="M729" s="12" t="s">
        <v>41</v>
      </c>
      <c r="N729" s="12" t="s">
        <v>35</v>
      </c>
      <c r="P729" s="10" t="n">
        <v>103</v>
      </c>
      <c r="Q729" s="12" t="s">
        <v>36</v>
      </c>
      <c r="R729" s="12" t="s">
        <v>37</v>
      </c>
      <c r="S729" s="10" t="n">
        <v>1130101</v>
      </c>
      <c r="T729" s="12" t="s">
        <v>38</v>
      </c>
      <c r="U729" s="13" t="n">
        <v>1250</v>
      </c>
      <c r="W729" s="13" t="n">
        <v>0</v>
      </c>
      <c r="X729" s="12" t="s">
        <v>999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591</v>
      </c>
      <c r="F730" s="10" t="n">
        <v>34</v>
      </c>
      <c r="G730" s="12" t="s">
        <v>71</v>
      </c>
      <c r="H730" s="10" t="n">
        <v>2110101</v>
      </c>
      <c r="I730" s="12" t="s">
        <v>33</v>
      </c>
      <c r="J730" s="10" t="n">
        <v>1309593</v>
      </c>
      <c r="L730" s="10" t="n">
        <v>1633522</v>
      </c>
      <c r="M730" s="12" t="s">
        <v>41</v>
      </c>
      <c r="N730" s="12" t="s">
        <v>35</v>
      </c>
      <c r="P730" s="10" t="n">
        <v>104</v>
      </c>
      <c r="Q730" s="12" t="s">
        <v>99</v>
      </c>
      <c r="R730" s="12" t="s">
        <v>37</v>
      </c>
      <c r="S730" s="10" t="n">
        <v>1130101</v>
      </c>
      <c r="T730" s="12" t="s">
        <v>38</v>
      </c>
      <c r="U730" s="13" t="n">
        <v>276</v>
      </c>
      <c r="W730" s="13" t="n">
        <v>0</v>
      </c>
      <c r="X730" s="12" t="s">
        <v>1000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961</v>
      </c>
      <c r="F731" s="10" t="n">
        <v>34</v>
      </c>
      <c r="G731" s="12" t="s">
        <v>71</v>
      </c>
      <c r="H731" s="10" t="n">
        <v>2110101</v>
      </c>
      <c r="I731" s="12" t="s">
        <v>33</v>
      </c>
      <c r="J731" s="10" t="n">
        <v>1309780</v>
      </c>
      <c r="L731" s="10" t="n">
        <v>3668</v>
      </c>
      <c r="M731" s="12" t="s">
        <v>41</v>
      </c>
      <c r="N731" s="12" t="s">
        <v>35</v>
      </c>
      <c r="P731" s="10" t="n">
        <v>104</v>
      </c>
      <c r="Q731" s="12" t="s">
        <v>99</v>
      </c>
      <c r="R731" s="12" t="s">
        <v>37</v>
      </c>
      <c r="S731" s="10" t="n">
        <v>1130101</v>
      </c>
      <c r="T731" s="12" t="s">
        <v>38</v>
      </c>
      <c r="U731" s="13" t="n">
        <v>90</v>
      </c>
      <c r="W731" s="13" t="n">
        <v>0</v>
      </c>
      <c r="X731" s="12" t="s">
        <v>1001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74</v>
      </c>
      <c r="F732" s="10" t="n">
        <v>24</v>
      </c>
      <c r="G732" s="12" t="s">
        <v>32</v>
      </c>
      <c r="H732" s="10" t="n">
        <v>2110101</v>
      </c>
      <c r="I732" s="12" t="s">
        <v>33</v>
      </c>
      <c r="J732" s="10" t="n">
        <v>1312476</v>
      </c>
      <c r="L732" s="10" t="n">
        <v>681</v>
      </c>
      <c r="M732" s="12" t="s">
        <v>41</v>
      </c>
      <c r="N732" s="12" t="s">
        <v>35</v>
      </c>
      <c r="P732" s="10" t="n">
        <v>103</v>
      </c>
      <c r="Q732" s="12" t="s">
        <v>36</v>
      </c>
      <c r="R732" s="12" t="s">
        <v>37</v>
      </c>
      <c r="S732" s="10" t="n">
        <v>1130101</v>
      </c>
      <c r="T732" s="12" t="s">
        <v>38</v>
      </c>
      <c r="U732" s="13" t="n">
        <v>825</v>
      </c>
      <c r="W732" s="13" t="n">
        <v>0</v>
      </c>
      <c r="X732" s="12" t="s">
        <v>1002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591</v>
      </c>
      <c r="F733" s="10" t="n">
        <v>34</v>
      </c>
      <c r="G733" s="12" t="s">
        <v>71</v>
      </c>
      <c r="H733" s="10" t="n">
        <v>2110101</v>
      </c>
      <c r="I733" s="12" t="s">
        <v>33</v>
      </c>
      <c r="J733" s="10" t="n">
        <v>1312842</v>
      </c>
      <c r="L733" s="10" t="n">
        <v>1638595</v>
      </c>
      <c r="M733" s="12" t="s">
        <v>41</v>
      </c>
      <c r="N733" s="12" t="s">
        <v>35</v>
      </c>
      <c r="P733" s="10" t="n">
        <v>104</v>
      </c>
      <c r="Q733" s="12" t="s">
        <v>99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1003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591</v>
      </c>
      <c r="F734" s="10" t="n">
        <v>34</v>
      </c>
      <c r="G734" s="12" t="s">
        <v>71</v>
      </c>
      <c r="H734" s="10" t="n">
        <v>2110101</v>
      </c>
      <c r="I734" s="12" t="s">
        <v>33</v>
      </c>
      <c r="J734" s="10" t="n">
        <v>1312862</v>
      </c>
      <c r="L734" s="10" t="n">
        <v>1638591</v>
      </c>
      <c r="M734" s="12" t="s">
        <v>41</v>
      </c>
      <c r="N734" s="12" t="s">
        <v>35</v>
      </c>
      <c r="P734" s="10" t="n">
        <v>104</v>
      </c>
      <c r="Q734" s="12" t="s">
        <v>99</v>
      </c>
      <c r="R734" s="12" t="s">
        <v>37</v>
      </c>
      <c r="S734" s="10" t="n">
        <v>1130101</v>
      </c>
      <c r="T734" s="12" t="s">
        <v>38</v>
      </c>
      <c r="U734" s="13" t="n">
        <v>276</v>
      </c>
      <c r="W734" s="13" t="n">
        <v>0</v>
      </c>
      <c r="X734" s="12" t="s">
        <v>1004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591</v>
      </c>
      <c r="F735" s="10" t="n">
        <v>34</v>
      </c>
      <c r="G735" s="12" t="s">
        <v>71</v>
      </c>
      <c r="H735" s="10" t="n">
        <v>2110101</v>
      </c>
      <c r="I735" s="12" t="s">
        <v>33</v>
      </c>
      <c r="J735" s="10" t="n">
        <v>1312884</v>
      </c>
      <c r="L735" s="10" t="n">
        <v>1638586</v>
      </c>
      <c r="M735" s="12" t="s">
        <v>41</v>
      </c>
      <c r="N735" s="12" t="s">
        <v>35</v>
      </c>
      <c r="P735" s="10" t="n">
        <v>104</v>
      </c>
      <c r="Q735" s="12" t="s">
        <v>99</v>
      </c>
      <c r="R735" s="12" t="s">
        <v>37</v>
      </c>
      <c r="S735" s="10" t="n">
        <v>1130101</v>
      </c>
      <c r="T735" s="12" t="s">
        <v>38</v>
      </c>
      <c r="U735" s="13" t="n">
        <v>189</v>
      </c>
      <c r="W735" s="13" t="n">
        <v>0</v>
      </c>
      <c r="X735" s="12" t="s">
        <v>1005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591</v>
      </c>
      <c r="F736" s="10" t="n">
        <v>34</v>
      </c>
      <c r="G736" s="12" t="s">
        <v>71</v>
      </c>
      <c r="H736" s="10" t="n">
        <v>2110101</v>
      </c>
      <c r="I736" s="12" t="s">
        <v>33</v>
      </c>
      <c r="J736" s="10" t="n">
        <v>1312944</v>
      </c>
      <c r="L736" s="10" t="n">
        <v>1638582</v>
      </c>
      <c r="M736" s="12" t="s">
        <v>41</v>
      </c>
      <c r="N736" s="12" t="s">
        <v>35</v>
      </c>
      <c r="P736" s="10" t="n">
        <v>104</v>
      </c>
      <c r="Q736" s="12" t="s">
        <v>99</v>
      </c>
      <c r="R736" s="12" t="s">
        <v>37</v>
      </c>
      <c r="S736" s="10" t="n">
        <v>1130101</v>
      </c>
      <c r="T736" s="12" t="s">
        <v>38</v>
      </c>
      <c r="U736" s="13" t="n">
        <v>246</v>
      </c>
      <c r="W736" s="13" t="n">
        <v>0</v>
      </c>
      <c r="X736" s="12" t="s">
        <v>1006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591</v>
      </c>
      <c r="F737" s="10" t="n">
        <v>34</v>
      </c>
      <c r="G737" s="12" t="s">
        <v>71</v>
      </c>
      <c r="H737" s="10" t="n">
        <v>2110101</v>
      </c>
      <c r="I737" s="12" t="s">
        <v>33</v>
      </c>
      <c r="J737" s="10" t="n">
        <v>1312961</v>
      </c>
      <c r="L737" s="10" t="n">
        <v>1638578</v>
      </c>
      <c r="M737" s="12" t="s">
        <v>41</v>
      </c>
      <c r="N737" s="12" t="s">
        <v>35</v>
      </c>
      <c r="P737" s="10" t="n">
        <v>104</v>
      </c>
      <c r="Q737" s="12" t="s">
        <v>99</v>
      </c>
      <c r="R737" s="12" t="s">
        <v>37</v>
      </c>
      <c r="S737" s="10" t="n">
        <v>1130101</v>
      </c>
      <c r="T737" s="12" t="s">
        <v>38</v>
      </c>
      <c r="U737" s="13" t="n">
        <v>174</v>
      </c>
      <c r="W737" s="13" t="n">
        <v>0</v>
      </c>
      <c r="X737" s="12" t="s">
        <v>1007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961</v>
      </c>
      <c r="F738" s="10" t="n">
        <v>34</v>
      </c>
      <c r="G738" s="12" t="s">
        <v>71</v>
      </c>
      <c r="H738" s="10" t="n">
        <v>2110101</v>
      </c>
      <c r="I738" s="12" t="s">
        <v>33</v>
      </c>
      <c r="J738" s="10" t="n">
        <v>1313009</v>
      </c>
      <c r="L738" s="10" t="n">
        <v>3680</v>
      </c>
      <c r="M738" s="12" t="s">
        <v>41</v>
      </c>
      <c r="N738" s="12" t="s">
        <v>35</v>
      </c>
      <c r="P738" s="10" t="n">
        <v>104</v>
      </c>
      <c r="Q738" s="12" t="s">
        <v>99</v>
      </c>
      <c r="R738" s="12" t="s">
        <v>37</v>
      </c>
      <c r="S738" s="10" t="n">
        <v>1130101</v>
      </c>
      <c r="T738" s="12" t="s">
        <v>38</v>
      </c>
      <c r="U738" s="13" t="n">
        <v>200</v>
      </c>
      <c r="W738" s="13" t="n">
        <v>0</v>
      </c>
      <c r="X738" s="12" t="s">
        <v>1008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161</v>
      </c>
      <c r="F739" s="10" t="n">
        <v>24</v>
      </c>
      <c r="G739" s="12" t="s">
        <v>32</v>
      </c>
      <c r="H739" s="10" t="n">
        <v>2110101</v>
      </c>
      <c r="I739" s="12" t="s">
        <v>33</v>
      </c>
      <c r="J739" s="10" t="n">
        <v>1321719</v>
      </c>
      <c r="L739" s="10" t="n">
        <v>511</v>
      </c>
      <c r="M739" s="12" t="s">
        <v>41</v>
      </c>
      <c r="N739" s="12" t="s">
        <v>35</v>
      </c>
      <c r="P739" s="10" t="n">
        <v>103</v>
      </c>
      <c r="Q739" s="12" t="s">
        <v>36</v>
      </c>
      <c r="R739" s="12" t="s">
        <v>37</v>
      </c>
      <c r="S739" s="10" t="n">
        <v>1130101</v>
      </c>
      <c r="T739" s="12" t="s">
        <v>38</v>
      </c>
      <c r="U739" s="13" t="n">
        <v>960</v>
      </c>
      <c r="W739" s="13" t="n">
        <v>0</v>
      </c>
      <c r="X739" s="12" t="s">
        <v>1009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591</v>
      </c>
      <c r="F740" s="10" t="n">
        <v>34</v>
      </c>
      <c r="G740" s="12" t="s">
        <v>71</v>
      </c>
      <c r="H740" s="10" t="n">
        <v>2110101</v>
      </c>
      <c r="I740" s="12" t="s">
        <v>33</v>
      </c>
      <c r="J740" s="10" t="n">
        <v>1321915</v>
      </c>
      <c r="L740" s="10" t="n">
        <v>1638981</v>
      </c>
      <c r="M740" s="12" t="s">
        <v>41</v>
      </c>
      <c r="N740" s="12" t="s">
        <v>35</v>
      </c>
      <c r="P740" s="10" t="n">
        <v>104</v>
      </c>
      <c r="Q740" s="12" t="s">
        <v>99</v>
      </c>
      <c r="R740" s="12" t="s">
        <v>37</v>
      </c>
      <c r="S740" s="10" t="n">
        <v>1130101</v>
      </c>
      <c r="T740" s="12" t="s">
        <v>38</v>
      </c>
      <c r="U740" s="13" t="n">
        <v>300</v>
      </c>
      <c r="W740" s="13" t="n">
        <v>0</v>
      </c>
      <c r="X740" s="12" t="s">
        <v>1010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591</v>
      </c>
      <c r="F741" s="10" t="n">
        <v>34</v>
      </c>
      <c r="G741" s="12" t="s">
        <v>71</v>
      </c>
      <c r="H741" s="10" t="n">
        <v>2110101</v>
      </c>
      <c r="I741" s="12" t="s">
        <v>33</v>
      </c>
      <c r="J741" s="10" t="n">
        <v>1325564</v>
      </c>
      <c r="L741" s="10" t="n">
        <v>1639492</v>
      </c>
      <c r="M741" s="12" t="s">
        <v>41</v>
      </c>
      <c r="N741" s="12" t="s">
        <v>35</v>
      </c>
      <c r="P741" s="10" t="n">
        <v>104</v>
      </c>
      <c r="Q741" s="12" t="s">
        <v>99</v>
      </c>
      <c r="R741" s="12" t="s">
        <v>37</v>
      </c>
      <c r="S741" s="10" t="n">
        <v>1130101</v>
      </c>
      <c r="T741" s="12" t="s">
        <v>38</v>
      </c>
      <c r="U741" s="13" t="n">
        <v>180</v>
      </c>
      <c r="W741" s="13" t="n">
        <v>0</v>
      </c>
      <c r="X741" s="12" t="s">
        <v>1011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70</v>
      </c>
      <c r="F742" s="10" t="n">
        <v>13</v>
      </c>
      <c r="G742" s="12" t="s">
        <v>98</v>
      </c>
      <c r="H742" s="10" t="n">
        <v>2110101</v>
      </c>
      <c r="I742" s="12" t="s">
        <v>33</v>
      </c>
      <c r="J742" s="10" t="n">
        <v>1329372</v>
      </c>
      <c r="L742" s="10" t="n">
        <v>5204</v>
      </c>
      <c r="M742" s="12" t="s">
        <v>41</v>
      </c>
      <c r="N742" s="12" t="s">
        <v>35</v>
      </c>
      <c r="P742" s="10" t="n">
        <v>104</v>
      </c>
      <c r="Q742" s="12" t="s">
        <v>99</v>
      </c>
      <c r="R742" s="12" t="s">
        <v>37</v>
      </c>
      <c r="S742" s="10" t="n">
        <v>1130101</v>
      </c>
      <c r="T742" s="12" t="s">
        <v>38</v>
      </c>
      <c r="U742" s="13" t="n">
        <v>280</v>
      </c>
      <c r="W742" s="13" t="n">
        <v>280</v>
      </c>
      <c r="X742" s="12" t="s">
        <v>101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70</v>
      </c>
      <c r="F743" s="10" t="n">
        <v>13</v>
      </c>
      <c r="G743" s="12" t="s">
        <v>98</v>
      </c>
      <c r="H743" s="10" t="n">
        <v>2110101</v>
      </c>
      <c r="I743" s="12" t="s">
        <v>33</v>
      </c>
      <c r="J743" s="10" t="n">
        <v>1329846</v>
      </c>
      <c r="L743" s="10" t="n">
        <v>5213</v>
      </c>
      <c r="M743" s="12" t="s">
        <v>41</v>
      </c>
      <c r="N743" s="12" t="s">
        <v>35</v>
      </c>
      <c r="P743" s="10" t="n">
        <v>104</v>
      </c>
      <c r="Q743" s="12" t="s">
        <v>99</v>
      </c>
      <c r="R743" s="12" t="s">
        <v>37</v>
      </c>
      <c r="S743" s="10" t="n">
        <v>1130101</v>
      </c>
      <c r="T743" s="12" t="s">
        <v>38</v>
      </c>
      <c r="U743" s="13" t="n">
        <v>266</v>
      </c>
      <c r="W743" s="13" t="n">
        <v>266</v>
      </c>
      <c r="X743" s="12" t="s">
        <v>101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70</v>
      </c>
      <c r="F744" s="10" t="n">
        <v>13</v>
      </c>
      <c r="G744" s="12" t="s">
        <v>98</v>
      </c>
      <c r="H744" s="10" t="n">
        <v>2110101</v>
      </c>
      <c r="I744" s="12" t="s">
        <v>33</v>
      </c>
      <c r="J744" s="10" t="n">
        <v>1330289</v>
      </c>
      <c r="L744" s="10" t="n">
        <v>5215</v>
      </c>
      <c r="M744" s="12" t="s">
        <v>41</v>
      </c>
      <c r="N744" s="12" t="s">
        <v>35</v>
      </c>
      <c r="P744" s="10" t="n">
        <v>104</v>
      </c>
      <c r="Q744" s="12" t="s">
        <v>99</v>
      </c>
      <c r="R744" s="12" t="s">
        <v>37</v>
      </c>
      <c r="S744" s="10" t="n">
        <v>1130101</v>
      </c>
      <c r="T744" s="12" t="s">
        <v>38</v>
      </c>
      <c r="U744" s="13" t="n">
        <v>420</v>
      </c>
      <c r="W744" s="13" t="n">
        <v>420</v>
      </c>
      <c r="X744" s="12" t="s">
        <v>101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70</v>
      </c>
      <c r="F745" s="10" t="n">
        <v>34</v>
      </c>
      <c r="G745" s="12" t="s">
        <v>71</v>
      </c>
      <c r="H745" s="10" t="n">
        <v>2110101</v>
      </c>
      <c r="I745" s="12" t="s">
        <v>33</v>
      </c>
      <c r="J745" s="10" t="n">
        <v>1330575</v>
      </c>
      <c r="L745" s="10" t="n">
        <v>5219</v>
      </c>
      <c r="M745" s="12" t="s">
        <v>41</v>
      </c>
      <c r="N745" s="12" t="s">
        <v>35</v>
      </c>
      <c r="P745" s="10" t="n">
        <v>104</v>
      </c>
      <c r="Q745" s="12" t="s">
        <v>99</v>
      </c>
      <c r="R745" s="12" t="s">
        <v>37</v>
      </c>
      <c r="S745" s="10" t="n">
        <v>1130101</v>
      </c>
      <c r="T745" s="12" t="s">
        <v>38</v>
      </c>
      <c r="U745" s="13" t="n">
        <v>2907.29</v>
      </c>
      <c r="W745" s="13" t="n">
        <v>0</v>
      </c>
      <c r="X745" s="12" t="s">
        <v>101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961</v>
      </c>
      <c r="F746" s="10" t="n">
        <v>34</v>
      </c>
      <c r="G746" s="12" t="s">
        <v>71</v>
      </c>
      <c r="H746" s="10" t="n">
        <v>2110101</v>
      </c>
      <c r="I746" s="12" t="s">
        <v>33</v>
      </c>
      <c r="J746" s="10" t="n">
        <v>1331159</v>
      </c>
      <c r="L746" s="10" t="n">
        <v>3700</v>
      </c>
      <c r="M746" s="12" t="s">
        <v>41</v>
      </c>
      <c r="N746" s="12" t="s">
        <v>35</v>
      </c>
      <c r="P746" s="10" t="n">
        <v>104</v>
      </c>
      <c r="Q746" s="12" t="s">
        <v>99</v>
      </c>
      <c r="R746" s="12" t="s">
        <v>37</v>
      </c>
      <c r="S746" s="10" t="n">
        <v>1130101</v>
      </c>
      <c r="T746" s="12" t="s">
        <v>38</v>
      </c>
      <c r="U746" s="13" t="n">
        <v>120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106</v>
      </c>
      <c r="F747" s="10" t="n">
        <v>34</v>
      </c>
      <c r="G747" s="12" t="s">
        <v>71</v>
      </c>
      <c r="H747" s="10" t="n">
        <v>1110202</v>
      </c>
      <c r="I747" s="12" t="s">
        <v>285</v>
      </c>
      <c r="J747" s="10" t="n">
        <v>593261</v>
      </c>
      <c r="L747" s="10" t="n">
        <v>264274</v>
      </c>
      <c r="M747" s="12" t="s">
        <v>34</v>
      </c>
      <c r="N747" s="12" t="s">
        <v>42</v>
      </c>
      <c r="P747" s="10" t="n">
        <v>102</v>
      </c>
      <c r="Q747" s="12" t="s">
        <v>107</v>
      </c>
      <c r="R747" s="12" t="s">
        <v>108</v>
      </c>
      <c r="S747" s="10" t="n">
        <v>4210508</v>
      </c>
      <c r="T747" s="12" t="s">
        <v>109</v>
      </c>
      <c r="U747" s="13" t="n">
        <v>153.13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1014</v>
      </c>
      <c r="F748" s="10" t="n">
        <v>34</v>
      </c>
      <c r="G748" s="12" t="s">
        <v>71</v>
      </c>
      <c r="H748" s="10" t="n">
        <v>1110202</v>
      </c>
      <c r="I748" s="12" t="s">
        <v>285</v>
      </c>
      <c r="J748" s="10" t="n">
        <v>1341512</v>
      </c>
      <c r="L748" s="10" t="n">
        <v>554231</v>
      </c>
      <c r="M748" s="12" t="s">
        <v>41</v>
      </c>
      <c r="N748" s="12" t="s">
        <v>42</v>
      </c>
      <c r="P748" s="10" t="n">
        <v>102</v>
      </c>
      <c r="Q748" s="12" t="s">
        <v>107</v>
      </c>
      <c r="R748" s="12" t="s">
        <v>85</v>
      </c>
      <c r="S748" s="10" t="n">
        <v>4210310</v>
      </c>
      <c r="T748" s="12" t="s">
        <v>1015</v>
      </c>
      <c r="U748" s="13" t="n">
        <v>400</v>
      </c>
      <c r="W748" s="13" t="n">
        <v>0</v>
      </c>
      <c r="X748" s="12" t="s">
        <v>1016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1017</v>
      </c>
      <c r="F749" s="10" t="n">
        <v>34</v>
      </c>
      <c r="G749" s="12" t="s">
        <v>71</v>
      </c>
      <c r="H749" s="10" t="n">
        <v>1110202</v>
      </c>
      <c r="I749" s="12" t="s">
        <v>285</v>
      </c>
      <c r="J749" s="10" t="n">
        <v>1341577</v>
      </c>
      <c r="L749" s="10" t="n">
        <v>554254</v>
      </c>
      <c r="M749" s="12" t="s">
        <v>41</v>
      </c>
      <c r="N749" s="12" t="s">
        <v>42</v>
      </c>
      <c r="P749" s="10" t="n">
        <v>102</v>
      </c>
      <c r="Q749" s="12" t="s">
        <v>107</v>
      </c>
      <c r="R749" s="12" t="s">
        <v>85</v>
      </c>
      <c r="S749" s="10" t="n">
        <v>4210310</v>
      </c>
      <c r="T749" s="12" t="s">
        <v>1015</v>
      </c>
      <c r="U749" s="13" t="n">
        <v>794</v>
      </c>
      <c r="W749" s="13" t="n">
        <v>0</v>
      </c>
      <c r="X749" s="12" t="s">
        <v>1018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168</v>
      </c>
      <c r="F750" s="10" t="n">
        <v>34</v>
      </c>
      <c r="G750" s="12" t="s">
        <v>71</v>
      </c>
      <c r="H750" s="10" t="n">
        <v>1110202</v>
      </c>
      <c r="I750" s="12" t="s">
        <v>285</v>
      </c>
      <c r="J750" s="10" t="n">
        <v>1341604</v>
      </c>
      <c r="L750" s="10" t="n">
        <v>554269</v>
      </c>
      <c r="M750" s="12" t="s">
        <v>41</v>
      </c>
      <c r="N750" s="12" t="s">
        <v>42</v>
      </c>
      <c r="P750" s="10" t="n">
        <v>102</v>
      </c>
      <c r="Q750" s="12" t="s">
        <v>107</v>
      </c>
      <c r="R750" s="12" t="s">
        <v>91</v>
      </c>
      <c r="S750" s="10" t="n">
        <v>4220199</v>
      </c>
      <c r="T750" s="12" t="s">
        <v>92</v>
      </c>
      <c r="U750" s="13" t="n">
        <v>3586.11</v>
      </c>
      <c r="W750" s="13" t="n">
        <v>0</v>
      </c>
      <c r="X750" s="12" t="s">
        <v>1019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31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1293782</v>
      </c>
      <c r="L751" s="10" t="n">
        <v>564351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7746.67</v>
      </c>
      <c r="W751" s="13" t="n">
        <v>0</v>
      </c>
      <c r="X751" s="12" t="s">
        <v>1020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1021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1227598</v>
      </c>
      <c r="L752" s="10" t="n">
        <v>76652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1143.6</v>
      </c>
      <c r="W752" s="13" t="n">
        <v>0</v>
      </c>
      <c r="X752" s="12" t="s">
        <v>1022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193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1235909</v>
      </c>
      <c r="L753" s="10" t="n">
        <v>2291498</v>
      </c>
      <c r="M753" s="12" t="s">
        <v>34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786.1</v>
      </c>
      <c r="W753" s="13" t="n">
        <v>0</v>
      </c>
      <c r="X753" s="12" t="s">
        <v>1023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1255915</v>
      </c>
      <c r="L754" s="10" t="n">
        <v>1890181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1759.06</v>
      </c>
      <c r="W754" s="13" t="n">
        <v>0</v>
      </c>
      <c r="X754" s="12" t="s">
        <v>1024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57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1256293</v>
      </c>
      <c r="L755" s="10" t="n">
        <v>727418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1177.6</v>
      </c>
      <c r="W755" s="13" t="n">
        <v>0</v>
      </c>
      <c r="X755" s="12" t="s">
        <v>1025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208</v>
      </c>
      <c r="F756" s="10" t="n">
        <v>24</v>
      </c>
      <c r="G756" s="12" t="s">
        <v>32</v>
      </c>
      <c r="H756" s="10" t="n">
        <v>2110101</v>
      </c>
      <c r="I756" s="12" t="s">
        <v>33</v>
      </c>
      <c r="J756" s="10" t="n">
        <v>1260864</v>
      </c>
      <c r="L756" s="10" t="n">
        <v>1595987</v>
      </c>
      <c r="M756" s="12" t="s">
        <v>34</v>
      </c>
      <c r="N756" s="12" t="s">
        <v>35</v>
      </c>
      <c r="P756" s="10" t="n">
        <v>103</v>
      </c>
      <c r="Q756" s="12" t="s">
        <v>36</v>
      </c>
      <c r="R756" s="12" t="s">
        <v>37</v>
      </c>
      <c r="S756" s="10" t="n">
        <v>1130101</v>
      </c>
      <c r="T756" s="12" t="s">
        <v>38</v>
      </c>
      <c r="U756" s="13" t="n">
        <v>5942.06</v>
      </c>
      <c r="W756" s="13" t="n">
        <v>0</v>
      </c>
      <c r="X756" s="12" t="s">
        <v>1026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371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1264669</v>
      </c>
      <c r="L757" s="10" t="n">
        <v>304651</v>
      </c>
      <c r="M757" s="12" t="s">
        <v>41</v>
      </c>
      <c r="N757" s="12" t="s">
        <v>35</v>
      </c>
      <c r="P757" s="10" t="n">
        <v>101</v>
      </c>
      <c r="Q757" s="12" t="s">
        <v>84</v>
      </c>
      <c r="R757" s="12" t="s">
        <v>37</v>
      </c>
      <c r="S757" s="10" t="n">
        <v>1130101</v>
      </c>
      <c r="T757" s="12" t="s">
        <v>38</v>
      </c>
      <c r="U757" s="13" t="n">
        <v>1747.4</v>
      </c>
      <c r="W757" s="13" t="n">
        <v>0</v>
      </c>
      <c r="X757" s="12" t="s">
        <v>1027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1028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1265083</v>
      </c>
      <c r="L758" s="10" t="n">
        <v>33133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2120.67</v>
      </c>
      <c r="W758" s="13" t="n">
        <v>0</v>
      </c>
      <c r="X758" s="12" t="s">
        <v>1029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201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1265196</v>
      </c>
      <c r="L759" s="10" t="n">
        <v>1414636</v>
      </c>
      <c r="M759" s="12" t="s">
        <v>128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1356.17</v>
      </c>
      <c r="W759" s="13" t="n">
        <v>0</v>
      </c>
      <c r="X759" s="12" t="s">
        <v>1030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753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1265872</v>
      </c>
      <c r="L760" s="10" t="n">
        <v>193491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568.92</v>
      </c>
      <c r="W760" s="13" t="n">
        <v>0</v>
      </c>
      <c r="X760" s="12" t="s">
        <v>1031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195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1268785</v>
      </c>
      <c r="L761" s="10" t="n">
        <v>844855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985.29</v>
      </c>
      <c r="W761" s="13" t="n">
        <v>0</v>
      </c>
      <c r="X761" s="12" t="s">
        <v>1032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40</v>
      </c>
      <c r="F762" s="10" t="n">
        <v>24</v>
      </c>
      <c r="G762" s="12" t="s">
        <v>32</v>
      </c>
      <c r="H762" s="10" t="n">
        <v>2110101</v>
      </c>
      <c r="I762" s="12" t="s">
        <v>33</v>
      </c>
      <c r="J762" s="10" t="n">
        <v>1269874</v>
      </c>
      <c r="L762" s="10" t="n">
        <v>309639</v>
      </c>
      <c r="M762" s="12" t="s">
        <v>41</v>
      </c>
      <c r="N762" s="12" t="s">
        <v>35</v>
      </c>
      <c r="P762" s="10" t="n">
        <v>103</v>
      </c>
      <c r="Q762" s="12" t="s">
        <v>36</v>
      </c>
      <c r="R762" s="12" t="s">
        <v>37</v>
      </c>
      <c r="S762" s="10" t="n">
        <v>1130101</v>
      </c>
      <c r="T762" s="12" t="s">
        <v>38</v>
      </c>
      <c r="U762" s="13" t="n">
        <v>722.41</v>
      </c>
      <c r="W762" s="13" t="n">
        <v>0</v>
      </c>
      <c r="X762" s="12" t="s">
        <v>1033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240</v>
      </c>
      <c r="F763" s="10" t="n">
        <v>24</v>
      </c>
      <c r="G763" s="12" t="s">
        <v>32</v>
      </c>
      <c r="H763" s="10" t="n">
        <v>2110101</v>
      </c>
      <c r="I763" s="12" t="s">
        <v>33</v>
      </c>
      <c r="J763" s="10" t="n">
        <v>1272612</v>
      </c>
      <c r="L763" s="10" t="n">
        <v>132832</v>
      </c>
      <c r="M763" s="12" t="s">
        <v>41</v>
      </c>
      <c r="N763" s="12" t="s">
        <v>35</v>
      </c>
      <c r="P763" s="10" t="n">
        <v>103</v>
      </c>
      <c r="Q763" s="12" t="s">
        <v>36</v>
      </c>
      <c r="R763" s="12" t="s">
        <v>37</v>
      </c>
      <c r="S763" s="10" t="n">
        <v>1130101</v>
      </c>
      <c r="T763" s="12" t="s">
        <v>38</v>
      </c>
      <c r="U763" s="13" t="n">
        <v>421.2</v>
      </c>
      <c r="W763" s="13" t="n">
        <v>0</v>
      </c>
      <c r="X763" s="12" t="s">
        <v>1034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1035</v>
      </c>
      <c r="F764" s="10" t="n">
        <v>24</v>
      </c>
      <c r="G764" s="12" t="s">
        <v>32</v>
      </c>
      <c r="H764" s="10" t="n">
        <v>2110101</v>
      </c>
      <c r="I764" s="12" t="s">
        <v>33</v>
      </c>
      <c r="J764" s="10" t="n">
        <v>1306051</v>
      </c>
      <c r="L764" s="10" t="n">
        <v>28698</v>
      </c>
      <c r="M764" s="12" t="s">
        <v>41</v>
      </c>
      <c r="N764" s="12" t="s">
        <v>35</v>
      </c>
      <c r="P764" s="10" t="n">
        <v>103</v>
      </c>
      <c r="Q764" s="12" t="s">
        <v>36</v>
      </c>
      <c r="R764" s="12" t="s">
        <v>37</v>
      </c>
      <c r="S764" s="10" t="n">
        <v>1130101</v>
      </c>
      <c r="T764" s="12" t="s">
        <v>38</v>
      </c>
      <c r="U764" s="13" t="n">
        <v>637.12</v>
      </c>
      <c r="W764" s="13" t="n">
        <v>0</v>
      </c>
      <c r="X764" s="12" t="s">
        <v>1036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208</v>
      </c>
      <c r="F765" s="10" t="n">
        <v>24</v>
      </c>
      <c r="G765" s="12" t="s">
        <v>32</v>
      </c>
      <c r="H765" s="10" t="n">
        <v>2110101</v>
      </c>
      <c r="I765" s="12" t="s">
        <v>33</v>
      </c>
      <c r="J765" s="10" t="n">
        <v>1290083</v>
      </c>
      <c r="L765" s="10" t="n">
        <v>1598766</v>
      </c>
      <c r="M765" s="12" t="s">
        <v>41</v>
      </c>
      <c r="N765" s="12" t="s">
        <v>35</v>
      </c>
      <c r="P765" s="10" t="n">
        <v>103</v>
      </c>
      <c r="Q765" s="12" t="s">
        <v>36</v>
      </c>
      <c r="R765" s="12" t="s">
        <v>37</v>
      </c>
      <c r="S765" s="10" t="n">
        <v>1130101</v>
      </c>
      <c r="T765" s="12" t="s">
        <v>38</v>
      </c>
      <c r="U765" s="13" t="n">
        <v>3813.46</v>
      </c>
      <c r="W765" s="13" t="n">
        <v>0</v>
      </c>
      <c r="X765" s="12" t="s">
        <v>1037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122</v>
      </c>
      <c r="F766" s="10" t="n">
        <v>24</v>
      </c>
      <c r="G766" s="12" t="s">
        <v>32</v>
      </c>
      <c r="H766" s="10" t="n">
        <v>2110405</v>
      </c>
      <c r="I766" s="12" t="s">
        <v>83</v>
      </c>
      <c r="J766" s="10" t="n">
        <v>1290181</v>
      </c>
      <c r="L766" s="10" t="n">
        <v>534713</v>
      </c>
      <c r="M766" s="12" t="s">
        <v>41</v>
      </c>
      <c r="N766" s="12" t="s">
        <v>42</v>
      </c>
      <c r="P766" s="10" t="n">
        <v>101</v>
      </c>
      <c r="Q766" s="12" t="s">
        <v>84</v>
      </c>
      <c r="R766" s="12" t="s">
        <v>123</v>
      </c>
      <c r="S766" s="10" t="n">
        <v>1240203</v>
      </c>
      <c r="T766" s="12" t="s">
        <v>124</v>
      </c>
      <c r="U766" s="13" t="n">
        <v>486.45</v>
      </c>
      <c r="W766" s="13" t="n">
        <v>0</v>
      </c>
      <c r="X766" s="12" t="s">
        <v>1038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551</v>
      </c>
      <c r="F767" s="10" t="n">
        <v>24</v>
      </c>
      <c r="G767" s="12" t="s">
        <v>32</v>
      </c>
      <c r="H767" s="10" t="n">
        <v>2110101</v>
      </c>
      <c r="I767" s="12" t="s">
        <v>33</v>
      </c>
      <c r="J767" s="10" t="n">
        <v>1304557</v>
      </c>
      <c r="L767" s="10" t="n">
        <v>388860</v>
      </c>
      <c r="M767" s="12" t="s">
        <v>41</v>
      </c>
      <c r="N767" s="12" t="s">
        <v>35</v>
      </c>
      <c r="P767" s="10" t="n">
        <v>103</v>
      </c>
      <c r="Q767" s="12" t="s">
        <v>36</v>
      </c>
      <c r="R767" s="12" t="s">
        <v>37</v>
      </c>
      <c r="S767" s="10" t="n">
        <v>1130101</v>
      </c>
      <c r="T767" s="12" t="s">
        <v>38</v>
      </c>
      <c r="U767" s="13" t="n">
        <v>1283.28</v>
      </c>
      <c r="W767" s="13" t="n">
        <v>0</v>
      </c>
      <c r="X767" s="12" t="s">
        <v>1039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315</v>
      </c>
      <c r="F768" s="10" t="n">
        <v>24</v>
      </c>
      <c r="G768" s="12" t="s">
        <v>32</v>
      </c>
      <c r="H768" s="10" t="n">
        <v>2110101</v>
      </c>
      <c r="I768" s="12" t="s">
        <v>33</v>
      </c>
      <c r="J768" s="10" t="n">
        <v>1309969</v>
      </c>
      <c r="L768" s="10" t="n">
        <v>831615</v>
      </c>
      <c r="M768" s="12" t="s">
        <v>41</v>
      </c>
      <c r="N768" s="12" t="s">
        <v>35</v>
      </c>
      <c r="P768" s="10" t="n">
        <v>103</v>
      </c>
      <c r="Q768" s="12" t="s">
        <v>36</v>
      </c>
      <c r="R768" s="12" t="s">
        <v>37</v>
      </c>
      <c r="S768" s="10" t="n">
        <v>1130101</v>
      </c>
      <c r="T768" s="12" t="s">
        <v>38</v>
      </c>
      <c r="U768" s="13" t="n">
        <v>1292</v>
      </c>
      <c r="W768" s="13" t="n">
        <v>0</v>
      </c>
      <c r="X768" s="12" t="s">
        <v>1040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74</v>
      </c>
      <c r="F769" s="10" t="n">
        <v>24</v>
      </c>
      <c r="G769" s="12" t="s">
        <v>32</v>
      </c>
      <c r="H769" s="10" t="n">
        <v>2110101</v>
      </c>
      <c r="I769" s="12" t="s">
        <v>33</v>
      </c>
      <c r="J769" s="10" t="n">
        <v>1313440</v>
      </c>
      <c r="L769" s="10" t="n">
        <v>684</v>
      </c>
      <c r="M769" s="12" t="s">
        <v>41</v>
      </c>
      <c r="N769" s="12" t="s">
        <v>35</v>
      </c>
      <c r="P769" s="10" t="n">
        <v>103</v>
      </c>
      <c r="Q769" s="12" t="s">
        <v>36</v>
      </c>
      <c r="R769" s="12" t="s">
        <v>37</v>
      </c>
      <c r="S769" s="10" t="n">
        <v>1130101</v>
      </c>
      <c r="T769" s="12" t="s">
        <v>38</v>
      </c>
      <c r="U769" s="13" t="n">
        <v>876.6</v>
      </c>
      <c r="W769" s="13" t="n">
        <v>0</v>
      </c>
      <c r="X769" s="12" t="s">
        <v>1041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66</v>
      </c>
      <c r="F770" s="10" t="n">
        <v>24</v>
      </c>
      <c r="G770" s="12" t="s">
        <v>32</v>
      </c>
      <c r="H770" s="10" t="n">
        <v>2110101</v>
      </c>
      <c r="I770" s="12" t="s">
        <v>33</v>
      </c>
      <c r="J770" s="10" t="n">
        <v>1321750</v>
      </c>
      <c r="L770" s="10" t="n">
        <v>11328</v>
      </c>
      <c r="M770" s="12" t="s">
        <v>41</v>
      </c>
      <c r="N770" s="12" t="s">
        <v>35</v>
      </c>
      <c r="P770" s="10" t="n">
        <v>103</v>
      </c>
      <c r="Q770" s="12" t="s">
        <v>36</v>
      </c>
      <c r="R770" s="12" t="s">
        <v>37</v>
      </c>
      <c r="S770" s="10" t="n">
        <v>1130101</v>
      </c>
      <c r="T770" s="12" t="s">
        <v>38</v>
      </c>
      <c r="U770" s="13" t="n">
        <v>527.42</v>
      </c>
      <c r="W770" s="13" t="n">
        <v>0</v>
      </c>
      <c r="X770" s="12" t="s">
        <v>1042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70</v>
      </c>
      <c r="F771" s="10" t="n">
        <v>34</v>
      </c>
      <c r="G771" s="12" t="s">
        <v>71</v>
      </c>
      <c r="H771" s="10" t="n">
        <v>2110101</v>
      </c>
      <c r="I771" s="12" t="s">
        <v>33</v>
      </c>
      <c r="J771" s="10" t="n">
        <v>1330729</v>
      </c>
      <c r="L771" s="10" t="n">
        <v>5222</v>
      </c>
      <c r="M771" s="12" t="s">
        <v>41</v>
      </c>
      <c r="N771" s="12" t="s">
        <v>35</v>
      </c>
      <c r="P771" s="10" t="n">
        <v>104</v>
      </c>
      <c r="Q771" s="12" t="s">
        <v>99</v>
      </c>
      <c r="R771" s="12" t="s">
        <v>37</v>
      </c>
      <c r="S771" s="10" t="n">
        <v>1130101</v>
      </c>
      <c r="T771" s="12" t="s">
        <v>38</v>
      </c>
      <c r="U771" s="13" t="n">
        <v>1701</v>
      </c>
      <c r="W771" s="13" t="n">
        <v>0</v>
      </c>
      <c r="X771" s="12" t="s">
        <v>220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221</v>
      </c>
      <c r="F772" s="10" t="n">
        <v>34</v>
      </c>
      <c r="G772" s="12" t="s">
        <v>71</v>
      </c>
      <c r="H772" s="10" t="n">
        <v>2110101</v>
      </c>
      <c r="I772" s="12" t="s">
        <v>33</v>
      </c>
      <c r="J772" s="10" t="n">
        <v>1330809</v>
      </c>
      <c r="L772" s="10" t="n">
        <v>14765</v>
      </c>
      <c r="M772" s="12" t="s">
        <v>41</v>
      </c>
      <c r="N772" s="12" t="s">
        <v>35</v>
      </c>
      <c r="P772" s="10" t="n">
        <v>104</v>
      </c>
      <c r="Q772" s="12" t="s">
        <v>99</v>
      </c>
      <c r="R772" s="12" t="s">
        <v>37</v>
      </c>
      <c r="S772" s="10" t="n">
        <v>1130101</v>
      </c>
      <c r="T772" s="12" t="s">
        <v>38</v>
      </c>
      <c r="U772" s="13" t="n">
        <v>760</v>
      </c>
      <c r="W772" s="13" t="n">
        <v>0</v>
      </c>
      <c r="X772" s="12" t="s">
        <v>1043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70</v>
      </c>
      <c r="F773" s="10" t="n">
        <v>34</v>
      </c>
      <c r="G773" s="12" t="s">
        <v>71</v>
      </c>
      <c r="H773" s="10" t="n">
        <v>2110101</v>
      </c>
      <c r="I773" s="12" t="s">
        <v>33</v>
      </c>
      <c r="J773" s="10" t="n">
        <v>1330823</v>
      </c>
      <c r="L773" s="10" t="n">
        <v>550168</v>
      </c>
      <c r="M773" s="12" t="s">
        <v>41</v>
      </c>
      <c r="N773" s="12" t="s">
        <v>42</v>
      </c>
      <c r="P773" s="10" t="n">
        <v>104</v>
      </c>
      <c r="Q773" s="12" t="s">
        <v>99</v>
      </c>
      <c r="R773" s="12" t="s">
        <v>37</v>
      </c>
      <c r="S773" s="10" t="n">
        <v>1130101</v>
      </c>
      <c r="T773" s="12" t="s">
        <v>38</v>
      </c>
      <c r="U773" s="13" t="n">
        <v>140</v>
      </c>
      <c r="W773" s="13" t="n">
        <v>0</v>
      </c>
      <c r="X773" s="12" t="s">
        <v>1044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1045</v>
      </c>
      <c r="F774" s="10" t="n">
        <v>34</v>
      </c>
      <c r="G774" s="12" t="s">
        <v>71</v>
      </c>
      <c r="H774" s="10" t="n">
        <v>2110101</v>
      </c>
      <c r="I774" s="12" t="s">
        <v>33</v>
      </c>
      <c r="J774" s="10" t="n">
        <v>1335895</v>
      </c>
      <c r="L774" s="10" t="n">
        <v>552126</v>
      </c>
      <c r="M774" s="12" t="s">
        <v>41</v>
      </c>
      <c r="N774" s="12" t="s">
        <v>42</v>
      </c>
      <c r="P774" s="10" t="n">
        <v>101</v>
      </c>
      <c r="Q774" s="12" t="s">
        <v>84</v>
      </c>
      <c r="R774" s="12" t="s">
        <v>91</v>
      </c>
      <c r="S774" s="10" t="n">
        <v>4220199</v>
      </c>
      <c r="T774" s="12" t="s">
        <v>92</v>
      </c>
      <c r="U774" s="13" t="n">
        <v>130</v>
      </c>
      <c r="W774" s="13" t="n">
        <v>0</v>
      </c>
      <c r="X774" s="12" t="s">
        <v>1046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94</v>
      </c>
      <c r="F775" s="10" t="n">
        <v>34</v>
      </c>
      <c r="G775" s="12" t="s">
        <v>71</v>
      </c>
      <c r="H775" s="10" t="n">
        <v>2110405</v>
      </c>
      <c r="I775" s="12" t="s">
        <v>83</v>
      </c>
      <c r="J775" s="10" t="n">
        <v>1335913</v>
      </c>
      <c r="L775" s="10" t="n">
        <v>552129</v>
      </c>
      <c r="M775" s="12" t="s">
        <v>41</v>
      </c>
      <c r="N775" s="12" t="s">
        <v>42</v>
      </c>
      <c r="P775" s="10" t="n">
        <v>101</v>
      </c>
      <c r="Q775" s="12" t="s">
        <v>84</v>
      </c>
      <c r="R775" s="12" t="s">
        <v>91</v>
      </c>
      <c r="S775" s="10" t="n">
        <v>4220199</v>
      </c>
      <c r="T775" s="12" t="s">
        <v>92</v>
      </c>
      <c r="U775" s="13" t="n">
        <v>8000</v>
      </c>
      <c r="W775" s="13" t="n">
        <v>0</v>
      </c>
      <c r="X775" s="12" t="s">
        <v>1047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82</v>
      </c>
      <c r="F776" s="10" t="n">
        <v>34</v>
      </c>
      <c r="G776" s="12" t="s">
        <v>71</v>
      </c>
      <c r="H776" s="10" t="n">
        <v>2110405</v>
      </c>
      <c r="I776" s="12" t="s">
        <v>83</v>
      </c>
      <c r="J776" s="10" t="n">
        <v>1336399</v>
      </c>
      <c r="L776" s="10" t="n">
        <v>552326</v>
      </c>
      <c r="M776" s="12" t="s">
        <v>41</v>
      </c>
      <c r="N776" s="12" t="s">
        <v>42</v>
      </c>
      <c r="P776" s="10" t="n">
        <v>101</v>
      </c>
      <c r="Q776" s="12" t="s">
        <v>84</v>
      </c>
      <c r="R776" s="12" t="s">
        <v>85</v>
      </c>
      <c r="S776" s="10" t="n">
        <v>4210309</v>
      </c>
      <c r="T776" s="12" t="s">
        <v>86</v>
      </c>
      <c r="U776" s="13" t="n">
        <v>1760</v>
      </c>
      <c r="W776" s="13" t="n">
        <v>0</v>
      </c>
      <c r="X776" s="12" t="s">
        <v>1048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82</v>
      </c>
      <c r="F777" s="10" t="n">
        <v>34</v>
      </c>
      <c r="G777" s="12" t="s">
        <v>71</v>
      </c>
      <c r="H777" s="10" t="n">
        <v>2110405</v>
      </c>
      <c r="I777" s="12" t="s">
        <v>83</v>
      </c>
      <c r="J777" s="10" t="n">
        <v>1336404</v>
      </c>
      <c r="L777" s="10" t="n">
        <v>552329</v>
      </c>
      <c r="M777" s="12" t="s">
        <v>41</v>
      </c>
      <c r="N777" s="12" t="s">
        <v>42</v>
      </c>
      <c r="P777" s="10" t="n">
        <v>101</v>
      </c>
      <c r="Q777" s="12" t="s">
        <v>84</v>
      </c>
      <c r="R777" s="12" t="s">
        <v>85</v>
      </c>
      <c r="S777" s="10" t="n">
        <v>4210309</v>
      </c>
      <c r="T777" s="12" t="s">
        <v>86</v>
      </c>
      <c r="U777" s="13" t="n">
        <v>540</v>
      </c>
      <c r="W777" s="13" t="n">
        <v>0</v>
      </c>
      <c r="X777" s="12" t="s">
        <v>1049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106</v>
      </c>
      <c r="F778" s="10" t="n">
        <v>34</v>
      </c>
      <c r="G778" s="12" t="s">
        <v>71</v>
      </c>
      <c r="H778" s="10" t="n">
        <v>1110202</v>
      </c>
      <c r="I778" s="12" t="s">
        <v>285</v>
      </c>
      <c r="J778" s="10" t="n">
        <v>1345007</v>
      </c>
      <c r="L778" s="10" t="n">
        <v>555608</v>
      </c>
      <c r="M778" s="12" t="s">
        <v>41</v>
      </c>
      <c r="N778" s="12" t="s">
        <v>42</v>
      </c>
      <c r="P778" s="10" t="n">
        <v>102</v>
      </c>
      <c r="Q778" s="12" t="s">
        <v>107</v>
      </c>
      <c r="R778" s="12" t="s">
        <v>91</v>
      </c>
      <c r="S778" s="10" t="n">
        <v>4220199</v>
      </c>
      <c r="T778" s="12" t="s">
        <v>92</v>
      </c>
      <c r="U778" s="13" t="n">
        <v>279.64</v>
      </c>
      <c r="W778" s="13" t="n">
        <v>0</v>
      </c>
      <c r="X778" s="12" t="s">
        <v>1050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127</v>
      </c>
      <c r="F779" s="10" t="n">
        <v>24</v>
      </c>
      <c r="G779" s="12" t="s">
        <v>32</v>
      </c>
      <c r="H779" s="10" t="n">
        <v>2110405</v>
      </c>
      <c r="I779" s="12" t="s">
        <v>83</v>
      </c>
      <c r="J779" s="10" t="n">
        <v>920174</v>
      </c>
      <c r="L779" s="10" t="n">
        <v>391878</v>
      </c>
      <c r="M779" s="12" t="s">
        <v>394</v>
      </c>
      <c r="N779" s="12" t="s">
        <v>42</v>
      </c>
      <c r="P779" s="10" t="n">
        <v>101</v>
      </c>
      <c r="Q779" s="12" t="s">
        <v>84</v>
      </c>
      <c r="R779" s="12" t="s">
        <v>91</v>
      </c>
      <c r="S779" s="10" t="n">
        <v>4220199</v>
      </c>
      <c r="T779" s="12" t="s">
        <v>92</v>
      </c>
      <c r="U779" s="13" t="n">
        <v>711.69</v>
      </c>
      <c r="W779" s="13" t="n">
        <v>0</v>
      </c>
      <c r="X779" s="12" t="s">
        <v>129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260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1156884</v>
      </c>
      <c r="L780" s="10" t="n">
        <v>573</v>
      </c>
      <c r="M780" s="12" t="s">
        <v>391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503.26</v>
      </c>
      <c r="W780" s="13" t="n">
        <v>0</v>
      </c>
      <c r="X780" s="12" t="s">
        <v>1051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164</v>
      </c>
      <c r="F781" s="10" t="n">
        <v>34</v>
      </c>
      <c r="G781" s="12" t="s">
        <v>71</v>
      </c>
      <c r="H781" s="10" t="n">
        <v>1110202</v>
      </c>
      <c r="I781" s="12" t="s">
        <v>285</v>
      </c>
      <c r="J781" s="10" t="n">
        <v>1192282</v>
      </c>
      <c r="L781" s="10" t="n">
        <v>496259</v>
      </c>
      <c r="M781" s="12" t="s">
        <v>41</v>
      </c>
      <c r="N781" s="12" t="s">
        <v>42</v>
      </c>
      <c r="P781" s="10" t="n">
        <v>101</v>
      </c>
      <c r="Q781" s="12" t="s">
        <v>84</v>
      </c>
      <c r="R781" s="12" t="s">
        <v>165</v>
      </c>
      <c r="S781" s="10" t="n">
        <v>2110901</v>
      </c>
      <c r="T781" s="12" t="s">
        <v>166</v>
      </c>
      <c r="U781" s="13" t="n">
        <v>16292.89</v>
      </c>
      <c r="W781" s="13" t="n">
        <v>0</v>
      </c>
      <c r="X781" s="12" t="s">
        <v>1052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68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1256327</v>
      </c>
      <c r="L782" s="10" t="n">
        <v>3201285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538.38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258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1256368</v>
      </c>
      <c r="L783" s="10" t="n">
        <v>1236075</v>
      </c>
      <c r="M783" s="12" t="s">
        <v>41</v>
      </c>
      <c r="N783" s="12" t="s">
        <v>35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998.52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44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1256554</v>
      </c>
      <c r="L784" s="10" t="n">
        <v>1890669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1837.5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204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1261364</v>
      </c>
      <c r="L785" s="10" t="n">
        <v>1957890</v>
      </c>
      <c r="M785" s="12" t="s">
        <v>41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3937.78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54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1262158</v>
      </c>
      <c r="L786" s="10" t="n">
        <v>878848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1402.89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371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1265932</v>
      </c>
      <c r="L787" s="10" t="n">
        <v>304776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1568.1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1059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1279554</v>
      </c>
      <c r="L788" s="10" t="n">
        <v>111495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380</v>
      </c>
      <c r="W788" s="13" t="n">
        <v>0</v>
      </c>
      <c r="X788" s="12" t="s">
        <v>1060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68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1280589</v>
      </c>
      <c r="L789" s="10" t="n">
        <v>3204501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301.14</v>
      </c>
      <c r="W789" s="13" t="n">
        <v>0</v>
      </c>
      <c r="X789" s="12" t="s">
        <v>1061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1062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1280916</v>
      </c>
      <c r="L790" s="10" t="n">
        <v>293860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1250.11</v>
      </c>
      <c r="W790" s="13" t="n">
        <v>0</v>
      </c>
      <c r="X790" s="12" t="s">
        <v>1063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1064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1289278</v>
      </c>
      <c r="L791" s="10" t="n">
        <v>10610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228</v>
      </c>
      <c r="W791" s="13" t="n">
        <v>0</v>
      </c>
      <c r="X791" s="12" t="s">
        <v>1065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250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1289498</v>
      </c>
      <c r="L792" s="10" t="n">
        <v>534462</v>
      </c>
      <c r="M792" s="12" t="s">
        <v>34</v>
      </c>
      <c r="N792" s="12" t="s">
        <v>42</v>
      </c>
      <c r="P792" s="10" t="n">
        <v>103</v>
      </c>
      <c r="Q792" s="12" t="s">
        <v>36</v>
      </c>
      <c r="R792" s="12" t="s">
        <v>37</v>
      </c>
      <c r="S792" s="10" t="n">
        <v>1130101</v>
      </c>
      <c r="T792" s="12" t="s">
        <v>38</v>
      </c>
      <c r="U792" s="13" t="n">
        <v>3066.49</v>
      </c>
      <c r="W792" s="13" t="n">
        <v>0</v>
      </c>
      <c r="X792" s="12" t="s">
        <v>1066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253</v>
      </c>
      <c r="F793" s="10" t="n">
        <v>24</v>
      </c>
      <c r="G793" s="12" t="s">
        <v>32</v>
      </c>
      <c r="H793" s="10" t="n">
        <v>2110101</v>
      </c>
      <c r="I793" s="12" t="s">
        <v>33</v>
      </c>
      <c r="J793" s="10" t="n">
        <v>1290025</v>
      </c>
      <c r="L793" s="10" t="n">
        <v>195984</v>
      </c>
      <c r="M793" s="12" t="s">
        <v>41</v>
      </c>
      <c r="N793" s="12" t="s">
        <v>35</v>
      </c>
      <c r="P793" s="10" t="n">
        <v>103</v>
      </c>
      <c r="Q793" s="12" t="s">
        <v>36</v>
      </c>
      <c r="R793" s="12" t="s">
        <v>37</v>
      </c>
      <c r="S793" s="10" t="n">
        <v>1130101</v>
      </c>
      <c r="T793" s="12" t="s">
        <v>38</v>
      </c>
      <c r="U793" s="13" t="n">
        <v>830.88</v>
      </c>
      <c r="W793" s="13" t="n">
        <v>0</v>
      </c>
      <c r="X793" s="12" t="s">
        <v>1067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66</v>
      </c>
      <c r="F794" s="10" t="n">
        <v>24</v>
      </c>
      <c r="G794" s="12" t="s">
        <v>32</v>
      </c>
      <c r="H794" s="10" t="n">
        <v>2110101</v>
      </c>
      <c r="I794" s="12" t="s">
        <v>33</v>
      </c>
      <c r="J794" s="10" t="n">
        <v>1308813</v>
      </c>
      <c r="L794" s="10" t="n">
        <v>11315</v>
      </c>
      <c r="M794" s="12" t="s">
        <v>34</v>
      </c>
      <c r="N794" s="12" t="s">
        <v>35</v>
      </c>
      <c r="P794" s="10" t="n">
        <v>103</v>
      </c>
      <c r="Q794" s="12" t="s">
        <v>36</v>
      </c>
      <c r="R794" s="12" t="s">
        <v>37</v>
      </c>
      <c r="S794" s="10" t="n">
        <v>1130101</v>
      </c>
      <c r="T794" s="12" t="s">
        <v>38</v>
      </c>
      <c r="U794" s="13" t="n">
        <v>459.59</v>
      </c>
      <c r="W794" s="13" t="n">
        <v>0</v>
      </c>
      <c r="X794" s="12" t="s">
        <v>1068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144</v>
      </c>
      <c r="F795" s="10" t="n">
        <v>24</v>
      </c>
      <c r="G795" s="12" t="s">
        <v>32</v>
      </c>
      <c r="H795" s="10" t="n">
        <v>2110101</v>
      </c>
      <c r="I795" s="12" t="s">
        <v>33</v>
      </c>
      <c r="J795" s="10" t="n">
        <v>1308963</v>
      </c>
      <c r="L795" s="10" t="n">
        <v>38858</v>
      </c>
      <c r="M795" s="12" t="s">
        <v>41</v>
      </c>
      <c r="N795" s="12" t="s">
        <v>35</v>
      </c>
      <c r="P795" s="10" t="n">
        <v>103</v>
      </c>
      <c r="Q795" s="12" t="s">
        <v>36</v>
      </c>
      <c r="R795" s="12" t="s">
        <v>37</v>
      </c>
      <c r="S795" s="10" t="n">
        <v>1130101</v>
      </c>
      <c r="T795" s="12" t="s">
        <v>38</v>
      </c>
      <c r="U795" s="13" t="n">
        <v>5651.65</v>
      </c>
      <c r="W795" s="13" t="n">
        <v>0</v>
      </c>
      <c r="X795" s="12" t="s">
        <v>1069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215</v>
      </c>
      <c r="F796" s="10" t="n">
        <v>24</v>
      </c>
      <c r="G796" s="12" t="s">
        <v>32</v>
      </c>
      <c r="H796" s="10" t="n">
        <v>2110101</v>
      </c>
      <c r="I796" s="12" t="s">
        <v>33</v>
      </c>
      <c r="J796" s="10" t="n">
        <v>1309009</v>
      </c>
      <c r="L796" s="10" t="n">
        <v>42233</v>
      </c>
      <c r="M796" s="12" t="s">
        <v>41</v>
      </c>
      <c r="N796" s="12" t="s">
        <v>35</v>
      </c>
      <c r="P796" s="10" t="n">
        <v>103</v>
      </c>
      <c r="Q796" s="12" t="s">
        <v>36</v>
      </c>
      <c r="R796" s="12" t="s">
        <v>37</v>
      </c>
      <c r="S796" s="10" t="n">
        <v>1130101</v>
      </c>
      <c r="T796" s="12" t="s">
        <v>38</v>
      </c>
      <c r="U796" s="13" t="n">
        <v>1380</v>
      </c>
      <c r="W796" s="13" t="n">
        <v>0</v>
      </c>
      <c r="X796" s="12" t="s">
        <v>1070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76</v>
      </c>
      <c r="F797" s="10" t="n">
        <v>24</v>
      </c>
      <c r="G797" s="12" t="s">
        <v>32</v>
      </c>
      <c r="H797" s="10" t="n">
        <v>2110101</v>
      </c>
      <c r="I797" s="12" t="s">
        <v>33</v>
      </c>
      <c r="J797" s="10" t="n">
        <v>1309015</v>
      </c>
      <c r="L797" s="10" t="n">
        <v>224467</v>
      </c>
      <c r="M797" s="12" t="s">
        <v>41</v>
      </c>
      <c r="N797" s="12" t="s">
        <v>35</v>
      </c>
      <c r="P797" s="10" t="n">
        <v>103</v>
      </c>
      <c r="Q797" s="12" t="s">
        <v>36</v>
      </c>
      <c r="R797" s="12" t="s">
        <v>37</v>
      </c>
      <c r="S797" s="10" t="n">
        <v>1130101</v>
      </c>
      <c r="T797" s="12" t="s">
        <v>38</v>
      </c>
      <c r="U797" s="13" t="n">
        <v>238.41</v>
      </c>
      <c r="W797" s="13" t="n">
        <v>0</v>
      </c>
      <c r="X797" s="12" t="s">
        <v>1071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311</v>
      </c>
      <c r="F798" s="10" t="n">
        <v>24</v>
      </c>
      <c r="G798" s="12" t="s">
        <v>32</v>
      </c>
      <c r="H798" s="10" t="n">
        <v>2110101</v>
      </c>
      <c r="I798" s="12" t="s">
        <v>33</v>
      </c>
      <c r="J798" s="10" t="n">
        <v>1309533</v>
      </c>
      <c r="L798" s="10" t="n">
        <v>875362</v>
      </c>
      <c r="M798" s="12" t="s">
        <v>41</v>
      </c>
      <c r="N798" s="12" t="s">
        <v>35</v>
      </c>
      <c r="P798" s="10" t="n">
        <v>103</v>
      </c>
      <c r="Q798" s="12" t="s">
        <v>36</v>
      </c>
      <c r="R798" s="12" t="s">
        <v>37</v>
      </c>
      <c r="S798" s="10" t="n">
        <v>1130101</v>
      </c>
      <c r="T798" s="12" t="s">
        <v>38</v>
      </c>
      <c r="U798" s="13" t="n">
        <v>5631.01</v>
      </c>
      <c r="W798" s="13" t="n">
        <v>0</v>
      </c>
      <c r="X798" s="12" t="s">
        <v>1072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688</v>
      </c>
      <c r="F799" s="10" t="n">
        <v>24</v>
      </c>
      <c r="G799" s="12" t="s">
        <v>32</v>
      </c>
      <c r="H799" s="10" t="n">
        <v>2110101</v>
      </c>
      <c r="I799" s="12" t="s">
        <v>33</v>
      </c>
      <c r="J799" s="10" t="n">
        <v>1313525</v>
      </c>
      <c r="L799" s="10" t="n">
        <v>590548</v>
      </c>
      <c r="M799" s="12" t="s">
        <v>41</v>
      </c>
      <c r="N799" s="12" t="s">
        <v>35</v>
      </c>
      <c r="P799" s="10" t="n">
        <v>103</v>
      </c>
      <c r="Q799" s="12" t="s">
        <v>36</v>
      </c>
      <c r="R799" s="12" t="s">
        <v>37</v>
      </c>
      <c r="S799" s="10" t="n">
        <v>1130101</v>
      </c>
      <c r="T799" s="12" t="s">
        <v>38</v>
      </c>
      <c r="U799" s="13" t="n">
        <v>718</v>
      </c>
      <c r="W799" s="13" t="n">
        <v>0</v>
      </c>
      <c r="X799" s="12" t="s">
        <v>1073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161</v>
      </c>
      <c r="F800" s="10" t="n">
        <v>24</v>
      </c>
      <c r="G800" s="12" t="s">
        <v>32</v>
      </c>
      <c r="H800" s="10" t="n">
        <v>2110101</v>
      </c>
      <c r="I800" s="12" t="s">
        <v>33</v>
      </c>
      <c r="J800" s="10" t="n">
        <v>1330506</v>
      </c>
      <c r="L800" s="10" t="n">
        <v>516</v>
      </c>
      <c r="M800" s="12" t="s">
        <v>41</v>
      </c>
      <c r="N800" s="12" t="s">
        <v>35</v>
      </c>
      <c r="P800" s="10" t="n">
        <v>103</v>
      </c>
      <c r="Q800" s="12" t="s">
        <v>36</v>
      </c>
      <c r="R800" s="12" t="s">
        <v>37</v>
      </c>
      <c r="S800" s="10" t="n">
        <v>1130101</v>
      </c>
      <c r="T800" s="12" t="s">
        <v>38</v>
      </c>
      <c r="U800" s="13" t="n">
        <v>720</v>
      </c>
      <c r="W800" s="13" t="n">
        <v>0</v>
      </c>
      <c r="X800" s="12" t="s">
        <v>1074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1075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1339581</v>
      </c>
      <c r="L801" s="10" t="n">
        <v>553619</v>
      </c>
      <c r="M801" s="12" t="s">
        <v>41</v>
      </c>
      <c r="N801" s="12" t="s">
        <v>42</v>
      </c>
      <c r="P801" s="10" t="n">
        <v>102</v>
      </c>
      <c r="Q801" s="12" t="s">
        <v>107</v>
      </c>
      <c r="R801" s="12" t="s">
        <v>37</v>
      </c>
      <c r="S801" s="10" t="n">
        <v>1130101</v>
      </c>
      <c r="T801" s="12" t="s">
        <v>38</v>
      </c>
      <c r="U801" s="13" t="n">
        <v>81.4</v>
      </c>
      <c r="W801" s="13" t="n">
        <v>0</v>
      </c>
      <c r="X801" s="12" t="s">
        <v>1076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70</v>
      </c>
      <c r="F802" s="10" t="n">
        <v>13</v>
      </c>
      <c r="G802" s="12" t="s">
        <v>98</v>
      </c>
      <c r="H802" s="10" t="n">
        <v>2110101</v>
      </c>
      <c r="I802" s="12" t="s">
        <v>33</v>
      </c>
      <c r="J802" s="10" t="n">
        <v>1339663</v>
      </c>
      <c r="L802" s="10" t="n">
        <v>5235</v>
      </c>
      <c r="M802" s="12" t="s">
        <v>41</v>
      </c>
      <c r="N802" s="12" t="s">
        <v>35</v>
      </c>
      <c r="P802" s="10" t="n">
        <v>104</v>
      </c>
      <c r="Q802" s="12" t="s">
        <v>99</v>
      </c>
      <c r="R802" s="12" t="s">
        <v>37</v>
      </c>
      <c r="S802" s="10" t="n">
        <v>1130101</v>
      </c>
      <c r="T802" s="12" t="s">
        <v>38</v>
      </c>
      <c r="U802" s="13" t="n">
        <v>210</v>
      </c>
      <c r="W802" s="13" t="n">
        <v>210</v>
      </c>
      <c r="X802" s="12" t="s">
        <v>101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70</v>
      </c>
      <c r="F803" s="10" t="n">
        <v>13</v>
      </c>
      <c r="G803" s="12" t="s">
        <v>98</v>
      </c>
      <c r="H803" s="10" t="n">
        <v>2110101</v>
      </c>
      <c r="I803" s="12" t="s">
        <v>33</v>
      </c>
      <c r="J803" s="10" t="n">
        <v>1340357</v>
      </c>
      <c r="L803" s="10" t="n">
        <v>5237</v>
      </c>
      <c r="M803" s="12" t="s">
        <v>41</v>
      </c>
      <c r="N803" s="12" t="s">
        <v>35</v>
      </c>
      <c r="P803" s="10" t="n">
        <v>104</v>
      </c>
      <c r="Q803" s="12" t="s">
        <v>99</v>
      </c>
      <c r="R803" s="12" t="s">
        <v>37</v>
      </c>
      <c r="S803" s="10" t="n">
        <v>1130101</v>
      </c>
      <c r="T803" s="12" t="s">
        <v>38</v>
      </c>
      <c r="U803" s="13" t="n">
        <v>280</v>
      </c>
      <c r="W803" s="13" t="n">
        <v>280</v>
      </c>
      <c r="X803" s="12" t="s">
        <v>101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106</v>
      </c>
      <c r="F804" s="10" t="n">
        <v>34</v>
      </c>
      <c r="G804" s="12" t="s">
        <v>71</v>
      </c>
      <c r="H804" s="10" t="n">
        <v>1110202</v>
      </c>
      <c r="I804" s="12" t="s">
        <v>285</v>
      </c>
      <c r="J804" s="10" t="n">
        <v>1345451</v>
      </c>
      <c r="L804" s="10" t="n">
        <v>555716</v>
      </c>
      <c r="M804" s="12" t="s">
        <v>41</v>
      </c>
      <c r="N804" s="12" t="s">
        <v>42</v>
      </c>
      <c r="P804" s="10" t="n">
        <v>102</v>
      </c>
      <c r="Q804" s="12" t="s">
        <v>107</v>
      </c>
      <c r="R804" s="12" t="s">
        <v>108</v>
      </c>
      <c r="S804" s="10" t="n">
        <v>4210504</v>
      </c>
      <c r="T804" s="12" t="s">
        <v>174</v>
      </c>
      <c r="U804" s="13" t="n">
        <v>9.55</v>
      </c>
      <c r="W804" s="13" t="n">
        <v>0</v>
      </c>
      <c r="X804" s="12" t="s">
        <v>1077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106</v>
      </c>
      <c r="F805" s="10" t="n">
        <v>34</v>
      </c>
      <c r="G805" s="12" t="s">
        <v>71</v>
      </c>
      <c r="H805" s="10" t="n">
        <v>1110202</v>
      </c>
      <c r="I805" s="12" t="s">
        <v>285</v>
      </c>
      <c r="J805" s="10" t="n">
        <v>1345481</v>
      </c>
      <c r="L805" s="10" t="n">
        <v>555728</v>
      </c>
      <c r="M805" s="12" t="s">
        <v>41</v>
      </c>
      <c r="N805" s="12" t="s">
        <v>42</v>
      </c>
      <c r="P805" s="10" t="n">
        <v>102</v>
      </c>
      <c r="Q805" s="12" t="s">
        <v>107</v>
      </c>
      <c r="R805" s="12" t="s">
        <v>108</v>
      </c>
      <c r="S805" s="10" t="n">
        <v>4210504</v>
      </c>
      <c r="T805" s="12" t="s">
        <v>174</v>
      </c>
      <c r="U805" s="13" t="n">
        <v>488.67</v>
      </c>
      <c r="W805" s="13" t="n">
        <v>0</v>
      </c>
      <c r="X805" s="12" t="s">
        <v>1078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106</v>
      </c>
      <c r="F806" s="10" t="n">
        <v>34</v>
      </c>
      <c r="G806" s="12" t="s">
        <v>71</v>
      </c>
      <c r="H806" s="10" t="n">
        <v>1110203</v>
      </c>
      <c r="I806" s="12" t="s">
        <v>1079</v>
      </c>
      <c r="J806" s="10" t="n">
        <v>1345487</v>
      </c>
      <c r="L806" s="10" t="n">
        <v>555729</v>
      </c>
      <c r="M806" s="12" t="s">
        <v>41</v>
      </c>
      <c r="N806" s="12" t="s">
        <v>42</v>
      </c>
      <c r="P806" s="10" t="n">
        <v>102</v>
      </c>
      <c r="Q806" s="12" t="s">
        <v>107</v>
      </c>
      <c r="R806" s="12" t="s">
        <v>108</v>
      </c>
      <c r="S806" s="10" t="n">
        <v>4210504</v>
      </c>
      <c r="T806" s="12" t="s">
        <v>174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106</v>
      </c>
      <c r="F807" s="10" t="n">
        <v>34</v>
      </c>
      <c r="G807" s="12" t="s">
        <v>71</v>
      </c>
      <c r="H807" s="10" t="n">
        <v>1110202</v>
      </c>
      <c r="I807" s="12" t="s">
        <v>285</v>
      </c>
      <c r="J807" s="10" t="n">
        <v>1345495</v>
      </c>
      <c r="L807" s="10" t="n">
        <v>555733</v>
      </c>
      <c r="M807" s="12" t="s">
        <v>41</v>
      </c>
      <c r="N807" s="12" t="s">
        <v>42</v>
      </c>
      <c r="P807" s="10" t="n">
        <v>102</v>
      </c>
      <c r="Q807" s="12" t="s">
        <v>107</v>
      </c>
      <c r="R807" s="12" t="s">
        <v>108</v>
      </c>
      <c r="S807" s="10" t="n">
        <v>4210504</v>
      </c>
      <c r="T807" s="12" t="s">
        <v>174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106</v>
      </c>
      <c r="F808" s="10" t="n">
        <v>34</v>
      </c>
      <c r="G808" s="12" t="s">
        <v>71</v>
      </c>
      <c r="H808" s="10" t="n">
        <v>1110202</v>
      </c>
      <c r="I808" s="12" t="s">
        <v>285</v>
      </c>
      <c r="J808" s="10" t="n">
        <v>1345519</v>
      </c>
      <c r="L808" s="10" t="n">
        <v>555740</v>
      </c>
      <c r="M808" s="12" t="s">
        <v>41</v>
      </c>
      <c r="N808" s="12" t="s">
        <v>42</v>
      </c>
      <c r="P808" s="10" t="n">
        <v>102</v>
      </c>
      <c r="Q808" s="12" t="s">
        <v>107</v>
      </c>
      <c r="R808" s="12" t="s">
        <v>108</v>
      </c>
      <c r="S808" s="10" t="n">
        <v>4210504</v>
      </c>
      <c r="T808" s="12" t="s">
        <v>174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98</v>
      </c>
      <c r="H809" s="10" t="n">
        <v>2110101</v>
      </c>
      <c r="I809" s="12" t="s">
        <v>33</v>
      </c>
      <c r="J809" s="10" t="n">
        <v>1370258</v>
      </c>
      <c r="L809" s="10" t="n">
        <v>7084</v>
      </c>
      <c r="M809" s="12" t="s">
        <v>41</v>
      </c>
      <c r="N809" s="12" t="s">
        <v>35</v>
      </c>
      <c r="P809" s="10" t="n">
        <v>104</v>
      </c>
      <c r="Q809" s="12" t="s">
        <v>99</v>
      </c>
      <c r="R809" s="12" t="s">
        <v>37</v>
      </c>
      <c r="S809" s="10" t="n">
        <v>1130101</v>
      </c>
      <c r="T809" s="12" t="s">
        <v>38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535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1162093</v>
      </c>
      <c r="L810" s="10" t="n">
        <v>155121</v>
      </c>
      <c r="M810" s="12" t="s">
        <v>394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540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1177340</v>
      </c>
      <c r="L811" s="10" t="n">
        <v>2068</v>
      </c>
      <c r="M811" s="12" t="s">
        <v>394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371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1222961</v>
      </c>
      <c r="L812" s="10" t="n">
        <v>303409</v>
      </c>
      <c r="M812" s="12" t="s">
        <v>128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191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1227621</v>
      </c>
      <c r="L813" s="10" t="n">
        <v>50992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244</v>
      </c>
      <c r="F814" s="10" t="n">
        <v>24</v>
      </c>
      <c r="G814" s="12" t="s">
        <v>32</v>
      </c>
      <c r="H814" s="10" t="n">
        <v>2110101</v>
      </c>
      <c r="I814" s="12" t="s">
        <v>33</v>
      </c>
      <c r="J814" s="10" t="n">
        <v>1230768</v>
      </c>
      <c r="L814" s="10" t="n">
        <v>657246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37</v>
      </c>
      <c r="S814" s="10" t="n">
        <v>1130101</v>
      </c>
      <c r="T814" s="12" t="s">
        <v>38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309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1255192</v>
      </c>
      <c r="L815" s="10" t="n">
        <v>2521</v>
      </c>
      <c r="M815" s="12" t="s">
        <v>41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31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1256489</v>
      </c>
      <c r="L816" s="10" t="n">
        <v>563233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40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1256543</v>
      </c>
      <c r="L817" s="10" t="n">
        <v>394903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753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1256691</v>
      </c>
      <c r="L818" s="10" t="n">
        <v>193354</v>
      </c>
      <c r="M818" s="12" t="s">
        <v>34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148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1272899</v>
      </c>
      <c r="L819" s="10" t="n">
        <v>1168004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309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1280685</v>
      </c>
      <c r="L820" s="10" t="n">
        <v>2554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134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1280728</v>
      </c>
      <c r="L821" s="10" t="n">
        <v>674930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258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1289301</v>
      </c>
      <c r="L822" s="10" t="n">
        <v>1238958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321</v>
      </c>
      <c r="F823" s="10" t="n">
        <v>24</v>
      </c>
      <c r="G823" s="12" t="s">
        <v>32</v>
      </c>
      <c r="H823" s="10" t="n">
        <v>2110102</v>
      </c>
      <c r="I823" s="12" t="s">
        <v>59</v>
      </c>
      <c r="J823" s="10" t="n">
        <v>1289607</v>
      </c>
      <c r="L823" s="10" t="n">
        <v>3441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60</v>
      </c>
      <c r="S823" s="10" t="n">
        <v>4210204</v>
      </c>
      <c r="T823" s="12" t="s">
        <v>61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321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1289612</v>
      </c>
      <c r="L824" s="10" t="n">
        <v>3442</v>
      </c>
      <c r="M824" s="12" t="s">
        <v>34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568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1289622</v>
      </c>
      <c r="L825" s="10" t="n">
        <v>18761</v>
      </c>
      <c r="M825" s="12" t="s">
        <v>34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159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1309270</v>
      </c>
      <c r="L826" s="10" t="n">
        <v>1029068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211</v>
      </c>
      <c r="F827" s="10" t="n">
        <v>24</v>
      </c>
      <c r="G827" s="12" t="s">
        <v>32</v>
      </c>
      <c r="H827" s="10" t="n">
        <v>2110101</v>
      </c>
      <c r="I827" s="12" t="s">
        <v>33</v>
      </c>
      <c r="J827" s="10" t="n">
        <v>1310018</v>
      </c>
      <c r="L827" s="10" t="n">
        <v>14562</v>
      </c>
      <c r="M827" s="12" t="s">
        <v>41</v>
      </c>
      <c r="N827" s="12" t="s">
        <v>35</v>
      </c>
      <c r="P827" s="10" t="n">
        <v>103</v>
      </c>
      <c r="Q827" s="12" t="s">
        <v>36</v>
      </c>
      <c r="R827" s="12" t="s">
        <v>37</v>
      </c>
      <c r="S827" s="10" t="n">
        <v>1130101</v>
      </c>
      <c r="T827" s="12" t="s">
        <v>38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31</v>
      </c>
      <c r="F828" s="10" t="n">
        <v>24</v>
      </c>
      <c r="G828" s="12" t="s">
        <v>32</v>
      </c>
      <c r="H828" s="10" t="n">
        <v>2110101</v>
      </c>
      <c r="I828" s="12" t="s">
        <v>33</v>
      </c>
      <c r="J828" s="10" t="n">
        <v>1312788</v>
      </c>
      <c r="L828" s="10" t="n">
        <v>565012</v>
      </c>
      <c r="M828" s="12" t="s">
        <v>41</v>
      </c>
      <c r="N828" s="12" t="s">
        <v>35</v>
      </c>
      <c r="P828" s="10" t="n">
        <v>103</v>
      </c>
      <c r="Q828" s="12" t="s">
        <v>36</v>
      </c>
      <c r="R828" s="12" t="s">
        <v>37</v>
      </c>
      <c r="S828" s="10" t="n">
        <v>1130101</v>
      </c>
      <c r="T828" s="12" t="s">
        <v>38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568</v>
      </c>
      <c r="F829" s="10" t="n">
        <v>24</v>
      </c>
      <c r="G829" s="12" t="s">
        <v>32</v>
      </c>
      <c r="H829" s="10" t="n">
        <v>2110101</v>
      </c>
      <c r="I829" s="12" t="s">
        <v>33</v>
      </c>
      <c r="J829" s="10" t="n">
        <v>1312829</v>
      </c>
      <c r="L829" s="10" t="n">
        <v>18891</v>
      </c>
      <c r="M829" s="12" t="s">
        <v>41</v>
      </c>
      <c r="N829" s="12" t="s">
        <v>35</v>
      </c>
      <c r="P829" s="10" t="n">
        <v>103</v>
      </c>
      <c r="Q829" s="12" t="s">
        <v>36</v>
      </c>
      <c r="R829" s="12" t="s">
        <v>37</v>
      </c>
      <c r="S829" s="10" t="n">
        <v>1130101</v>
      </c>
      <c r="T829" s="12" t="s">
        <v>38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703</v>
      </c>
      <c r="F830" s="10" t="n">
        <v>24</v>
      </c>
      <c r="G830" s="12" t="s">
        <v>32</v>
      </c>
      <c r="H830" s="10" t="n">
        <v>2110101</v>
      </c>
      <c r="I830" s="12" t="s">
        <v>33</v>
      </c>
      <c r="J830" s="10" t="n">
        <v>1312870</v>
      </c>
      <c r="L830" s="10" t="n">
        <v>2033</v>
      </c>
      <c r="M830" s="12" t="s">
        <v>41</v>
      </c>
      <c r="N830" s="12" t="s">
        <v>35</v>
      </c>
      <c r="P830" s="10" t="n">
        <v>103</v>
      </c>
      <c r="Q830" s="12" t="s">
        <v>36</v>
      </c>
      <c r="R830" s="12" t="s">
        <v>37</v>
      </c>
      <c r="S830" s="10" t="n">
        <v>1130101</v>
      </c>
      <c r="T830" s="12" t="s">
        <v>38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155</v>
      </c>
      <c r="F831" s="10" t="n">
        <v>24</v>
      </c>
      <c r="G831" s="12" t="s">
        <v>32</v>
      </c>
      <c r="H831" s="10" t="n">
        <v>2110101</v>
      </c>
      <c r="I831" s="12" t="s">
        <v>33</v>
      </c>
      <c r="J831" s="10" t="n">
        <v>1313451</v>
      </c>
      <c r="L831" s="10" t="n">
        <v>3442</v>
      </c>
      <c r="M831" s="12" t="s">
        <v>41</v>
      </c>
      <c r="N831" s="12" t="s">
        <v>35</v>
      </c>
      <c r="P831" s="10" t="n">
        <v>103</v>
      </c>
      <c r="Q831" s="12" t="s">
        <v>36</v>
      </c>
      <c r="R831" s="12" t="s">
        <v>37</v>
      </c>
      <c r="S831" s="10" t="n">
        <v>1130101</v>
      </c>
      <c r="T831" s="12" t="s">
        <v>38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319</v>
      </c>
      <c r="F832" s="10" t="n">
        <v>24</v>
      </c>
      <c r="G832" s="12" t="s">
        <v>32</v>
      </c>
      <c r="H832" s="10" t="n">
        <v>2110101</v>
      </c>
      <c r="I832" s="12" t="s">
        <v>33</v>
      </c>
      <c r="J832" s="10" t="n">
        <v>1313459</v>
      </c>
      <c r="L832" s="10" t="n">
        <v>10182</v>
      </c>
      <c r="M832" s="12" t="s">
        <v>41</v>
      </c>
      <c r="N832" s="12" t="s">
        <v>35</v>
      </c>
      <c r="P832" s="10" t="n">
        <v>103</v>
      </c>
      <c r="Q832" s="12" t="s">
        <v>36</v>
      </c>
      <c r="R832" s="12" t="s">
        <v>37</v>
      </c>
      <c r="S832" s="10" t="n">
        <v>1130101</v>
      </c>
      <c r="T832" s="12" t="s">
        <v>38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64</v>
      </c>
      <c r="F833" s="10" t="n">
        <v>24</v>
      </c>
      <c r="G833" s="12" t="s">
        <v>32</v>
      </c>
      <c r="H833" s="10" t="n">
        <v>2110101</v>
      </c>
      <c r="I833" s="12" t="s">
        <v>33</v>
      </c>
      <c r="J833" s="10" t="n">
        <v>1313860</v>
      </c>
      <c r="L833" s="10" t="n">
        <v>5716</v>
      </c>
      <c r="M833" s="12" t="s">
        <v>41</v>
      </c>
      <c r="N833" s="12" t="s">
        <v>35</v>
      </c>
      <c r="P833" s="10" t="n">
        <v>103</v>
      </c>
      <c r="Q833" s="12" t="s">
        <v>36</v>
      </c>
      <c r="R833" s="12" t="s">
        <v>37</v>
      </c>
      <c r="S833" s="10" t="n">
        <v>1130101</v>
      </c>
      <c r="T833" s="12" t="s">
        <v>38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323</v>
      </c>
      <c r="F834" s="10" t="n">
        <v>24</v>
      </c>
      <c r="G834" s="12" t="s">
        <v>32</v>
      </c>
      <c r="H834" s="10" t="n">
        <v>2110101</v>
      </c>
      <c r="I834" s="12" t="s">
        <v>33</v>
      </c>
      <c r="J834" s="10" t="n">
        <v>1321792</v>
      </c>
      <c r="L834" s="10" t="n">
        <v>3901</v>
      </c>
      <c r="M834" s="12" t="s">
        <v>41</v>
      </c>
      <c r="N834" s="12" t="s">
        <v>35</v>
      </c>
      <c r="P834" s="10" t="n">
        <v>103</v>
      </c>
      <c r="Q834" s="12" t="s">
        <v>36</v>
      </c>
      <c r="R834" s="12" t="s">
        <v>37</v>
      </c>
      <c r="S834" s="10" t="n">
        <v>1130101</v>
      </c>
      <c r="T834" s="12" t="s">
        <v>38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74</v>
      </c>
      <c r="F835" s="10" t="n">
        <v>24</v>
      </c>
      <c r="G835" s="12" t="s">
        <v>32</v>
      </c>
      <c r="H835" s="10" t="n">
        <v>2110101</v>
      </c>
      <c r="I835" s="12" t="s">
        <v>33</v>
      </c>
      <c r="J835" s="10" t="n">
        <v>1331254</v>
      </c>
      <c r="L835" s="10" t="n">
        <v>687</v>
      </c>
      <c r="M835" s="12" t="s">
        <v>41</v>
      </c>
      <c r="N835" s="12" t="s">
        <v>35</v>
      </c>
      <c r="P835" s="10" t="n">
        <v>103</v>
      </c>
      <c r="Q835" s="12" t="s">
        <v>36</v>
      </c>
      <c r="R835" s="12" t="s">
        <v>37</v>
      </c>
      <c r="S835" s="10" t="n">
        <v>1130101</v>
      </c>
      <c r="T835" s="12" t="s">
        <v>38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70</v>
      </c>
      <c r="F836" s="10" t="n">
        <v>34</v>
      </c>
      <c r="G836" s="12" t="s">
        <v>71</v>
      </c>
      <c r="H836" s="10" t="n">
        <v>2110101</v>
      </c>
      <c r="I836" s="12" t="s">
        <v>33</v>
      </c>
      <c r="J836" s="10" t="n">
        <v>1345214</v>
      </c>
      <c r="L836" s="10" t="n">
        <v>5238</v>
      </c>
      <c r="M836" s="12" t="s">
        <v>41</v>
      </c>
      <c r="N836" s="12" t="s">
        <v>35</v>
      </c>
      <c r="P836" s="10" t="n">
        <v>104</v>
      </c>
      <c r="Q836" s="12" t="s">
        <v>99</v>
      </c>
      <c r="R836" s="12" t="s">
        <v>37</v>
      </c>
      <c r="S836" s="10" t="n">
        <v>1130101</v>
      </c>
      <c r="T836" s="12" t="s">
        <v>38</v>
      </c>
      <c r="U836" s="13" t="n">
        <v>2905</v>
      </c>
      <c r="W836" s="13" t="n">
        <v>0</v>
      </c>
      <c r="X836" s="12" t="s">
        <v>172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70</v>
      </c>
      <c r="F837" s="10" t="n">
        <v>13</v>
      </c>
      <c r="G837" s="12" t="s">
        <v>98</v>
      </c>
      <c r="H837" s="10" t="n">
        <v>2110101</v>
      </c>
      <c r="I837" s="12" t="s">
        <v>33</v>
      </c>
      <c r="J837" s="10" t="n">
        <v>1345330</v>
      </c>
      <c r="L837" s="10" t="n">
        <v>5239</v>
      </c>
      <c r="M837" s="12" t="s">
        <v>41</v>
      </c>
      <c r="N837" s="12" t="s">
        <v>35</v>
      </c>
      <c r="P837" s="10" t="n">
        <v>104</v>
      </c>
      <c r="Q837" s="12" t="s">
        <v>99</v>
      </c>
      <c r="R837" s="12" t="s">
        <v>37</v>
      </c>
      <c r="S837" s="10" t="n">
        <v>1130101</v>
      </c>
      <c r="T837" s="12" t="s">
        <v>38</v>
      </c>
      <c r="U837" s="13" t="n">
        <v>400</v>
      </c>
      <c r="W837" s="13" t="n">
        <v>0</v>
      </c>
      <c r="X837" s="12" t="s">
        <v>385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1045</v>
      </c>
      <c r="F838" s="10" t="n">
        <v>34</v>
      </c>
      <c r="G838" s="12" t="s">
        <v>71</v>
      </c>
      <c r="H838" s="10" t="n">
        <v>1110202</v>
      </c>
      <c r="I838" s="12" t="s">
        <v>285</v>
      </c>
      <c r="J838" s="10" t="n">
        <v>1345449</v>
      </c>
      <c r="L838" s="10" t="n">
        <v>555715</v>
      </c>
      <c r="M838" s="12" t="s">
        <v>41</v>
      </c>
      <c r="N838" s="12" t="s">
        <v>42</v>
      </c>
      <c r="P838" s="10" t="n">
        <v>102</v>
      </c>
      <c r="Q838" s="12" t="s">
        <v>107</v>
      </c>
      <c r="R838" s="12" t="s">
        <v>37</v>
      </c>
      <c r="S838" s="10" t="n">
        <v>1130101</v>
      </c>
      <c r="T838" s="12" t="s">
        <v>38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71</v>
      </c>
      <c r="H839" s="10" t="n">
        <v>1110202</v>
      </c>
      <c r="I839" s="12" t="s">
        <v>285</v>
      </c>
      <c r="J839" s="10" t="n">
        <v>1345468</v>
      </c>
      <c r="L839" s="10" t="n">
        <v>555723</v>
      </c>
      <c r="M839" s="12" t="s">
        <v>41</v>
      </c>
      <c r="N839" s="12" t="s">
        <v>42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71</v>
      </c>
      <c r="H840" s="10" t="n">
        <v>1110202</v>
      </c>
      <c r="I840" s="12" t="s">
        <v>285</v>
      </c>
      <c r="J840" s="10" t="n">
        <v>1345474</v>
      </c>
      <c r="L840" s="10" t="n">
        <v>555724</v>
      </c>
      <c r="M840" s="12" t="s">
        <v>41</v>
      </c>
      <c r="N840" s="12" t="s">
        <v>42</v>
      </c>
      <c r="P840" s="10" t="n">
        <v>101</v>
      </c>
      <c r="Q840" s="12" t="s">
        <v>84</v>
      </c>
      <c r="R840" s="12" t="s">
        <v>60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70</v>
      </c>
      <c r="F841" s="10" t="n">
        <v>34</v>
      </c>
      <c r="G841" s="12" t="s">
        <v>71</v>
      </c>
      <c r="H841" s="10" t="n">
        <v>2110101</v>
      </c>
      <c r="I841" s="12" t="s">
        <v>33</v>
      </c>
      <c r="J841" s="10" t="n">
        <v>1345531</v>
      </c>
      <c r="L841" s="10" t="n">
        <v>5240</v>
      </c>
      <c r="M841" s="12" t="s">
        <v>41</v>
      </c>
      <c r="N841" s="12" t="s">
        <v>35</v>
      </c>
      <c r="P841" s="10" t="n">
        <v>104</v>
      </c>
      <c r="Q841" s="12" t="s">
        <v>99</v>
      </c>
      <c r="R841" s="12" t="s">
        <v>37</v>
      </c>
      <c r="S841" s="10" t="n">
        <v>1130101</v>
      </c>
      <c r="T841" s="12" t="s">
        <v>38</v>
      </c>
      <c r="U841" s="13" t="n">
        <v>3621</v>
      </c>
      <c r="W841" s="13" t="n">
        <v>0</v>
      </c>
      <c r="X841" s="12" t="s">
        <v>220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82</v>
      </c>
      <c r="F842" s="10" t="n">
        <v>34</v>
      </c>
      <c r="G842" s="12" t="s">
        <v>71</v>
      </c>
      <c r="H842" s="10" t="n">
        <v>1110202</v>
      </c>
      <c r="I842" s="12" t="s">
        <v>285</v>
      </c>
      <c r="J842" s="10" t="n">
        <v>1345552</v>
      </c>
      <c r="L842" s="10" t="n">
        <v>555756</v>
      </c>
      <c r="M842" s="12" t="s">
        <v>41</v>
      </c>
      <c r="N842" s="12" t="s">
        <v>42</v>
      </c>
      <c r="P842" s="10" t="n">
        <v>101</v>
      </c>
      <c r="Q842" s="12" t="s">
        <v>84</v>
      </c>
      <c r="R842" s="12" t="s">
        <v>85</v>
      </c>
      <c r="S842" s="10" t="n">
        <v>4210301</v>
      </c>
      <c r="T842" s="12" t="s">
        <v>295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221</v>
      </c>
      <c r="F843" s="10" t="n">
        <v>34</v>
      </c>
      <c r="G843" s="12" t="s">
        <v>71</v>
      </c>
      <c r="H843" s="10" t="n">
        <v>2110101</v>
      </c>
      <c r="I843" s="12" t="s">
        <v>33</v>
      </c>
      <c r="J843" s="10" t="n">
        <v>1345556</v>
      </c>
      <c r="L843" s="10" t="n">
        <v>14791</v>
      </c>
      <c r="M843" s="12" t="s">
        <v>41</v>
      </c>
      <c r="N843" s="12" t="s">
        <v>35</v>
      </c>
      <c r="P843" s="10" t="n">
        <v>104</v>
      </c>
      <c r="Q843" s="12" t="s">
        <v>99</v>
      </c>
      <c r="R843" s="12" t="s">
        <v>37</v>
      </c>
      <c r="S843" s="10" t="n">
        <v>1130101</v>
      </c>
      <c r="T843" s="12" t="s">
        <v>38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70</v>
      </c>
      <c r="F844" s="10" t="n">
        <v>34</v>
      </c>
      <c r="G844" s="12" t="s">
        <v>71</v>
      </c>
      <c r="H844" s="10" t="n">
        <v>2110101</v>
      </c>
      <c r="I844" s="12" t="s">
        <v>33</v>
      </c>
      <c r="J844" s="10" t="n">
        <v>1345567</v>
      </c>
      <c r="L844" s="10" t="n">
        <v>555763</v>
      </c>
      <c r="M844" s="12" t="s">
        <v>41</v>
      </c>
      <c r="N844" s="12" t="s">
        <v>42</v>
      </c>
      <c r="P844" s="10" t="n">
        <v>104</v>
      </c>
      <c r="Q844" s="12" t="s">
        <v>99</v>
      </c>
      <c r="R844" s="12" t="s">
        <v>37</v>
      </c>
      <c r="S844" s="10" t="n">
        <v>1130101</v>
      </c>
      <c r="T844" s="12" t="s">
        <v>38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70</v>
      </c>
      <c r="F845" s="10" t="n">
        <v>13</v>
      </c>
      <c r="G845" s="12" t="s">
        <v>98</v>
      </c>
      <c r="H845" s="10" t="n">
        <v>2110101</v>
      </c>
      <c r="I845" s="12" t="s">
        <v>33</v>
      </c>
      <c r="J845" s="10" t="n">
        <v>1346016</v>
      </c>
      <c r="L845" s="10" t="n">
        <v>5249</v>
      </c>
      <c r="M845" s="12" t="s">
        <v>41</v>
      </c>
      <c r="N845" s="12" t="s">
        <v>35</v>
      </c>
      <c r="P845" s="10" t="n">
        <v>104</v>
      </c>
      <c r="Q845" s="12" t="s">
        <v>99</v>
      </c>
      <c r="R845" s="12" t="s">
        <v>37</v>
      </c>
      <c r="S845" s="10" t="n">
        <v>1130101</v>
      </c>
      <c r="T845" s="12" t="s">
        <v>38</v>
      </c>
      <c r="U845" s="13" t="n">
        <v>350</v>
      </c>
      <c r="W845" s="13" t="n">
        <v>350</v>
      </c>
      <c r="X845" s="12" t="s">
        <v>101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71</v>
      </c>
      <c r="H846" s="10" t="n">
        <v>1110202</v>
      </c>
      <c r="I846" s="12" t="s">
        <v>285</v>
      </c>
      <c r="J846" s="10" t="n">
        <v>1370042</v>
      </c>
      <c r="L846" s="10" t="n">
        <v>565575</v>
      </c>
      <c r="M846" s="12" t="s">
        <v>41</v>
      </c>
      <c r="N846" s="12" t="s">
        <v>42</v>
      </c>
      <c r="P846" s="10" t="n">
        <v>102</v>
      </c>
      <c r="Q846" s="12" t="s">
        <v>107</v>
      </c>
      <c r="R846" s="12" t="s">
        <v>37</v>
      </c>
      <c r="S846" s="10" t="n">
        <v>1130101</v>
      </c>
      <c r="T846" s="12" t="s">
        <v>38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113</v>
      </c>
      <c r="F847" s="10" t="n">
        <v>34</v>
      </c>
      <c r="G847" s="12" t="s">
        <v>71</v>
      </c>
      <c r="H847" s="10" t="n">
        <v>1110202</v>
      </c>
      <c r="I847" s="12" t="s">
        <v>285</v>
      </c>
      <c r="J847" s="10" t="n">
        <v>1370057</v>
      </c>
      <c r="L847" s="10" t="n">
        <v>565578</v>
      </c>
      <c r="M847" s="12" t="s">
        <v>41</v>
      </c>
      <c r="N847" s="12" t="s">
        <v>42</v>
      </c>
      <c r="P847" s="10" t="n">
        <v>102</v>
      </c>
      <c r="Q847" s="12" t="s">
        <v>107</v>
      </c>
      <c r="R847" s="12" t="s">
        <v>91</v>
      </c>
      <c r="S847" s="10" t="n">
        <v>4220199</v>
      </c>
      <c r="T847" s="12" t="s">
        <v>92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97</v>
      </c>
      <c r="F848" s="10" t="n">
        <v>13</v>
      </c>
      <c r="G848" s="12" t="s">
        <v>98</v>
      </c>
      <c r="H848" s="10" t="n">
        <v>2110101</v>
      </c>
      <c r="I848" s="12" t="s">
        <v>33</v>
      </c>
      <c r="J848" s="10" t="n">
        <v>1370269</v>
      </c>
      <c r="L848" s="10" t="n">
        <v>340</v>
      </c>
      <c r="M848" s="12" t="s">
        <v>41</v>
      </c>
      <c r="N848" s="12" t="s">
        <v>35</v>
      </c>
      <c r="P848" s="10" t="n">
        <v>104</v>
      </c>
      <c r="Q848" s="12" t="s">
        <v>99</v>
      </c>
      <c r="R848" s="12" t="s">
        <v>37</v>
      </c>
      <c r="S848" s="10" t="n">
        <v>1130101</v>
      </c>
      <c r="T848" s="12" t="s">
        <v>38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336</v>
      </c>
      <c r="F849" s="10" t="n">
        <v>13</v>
      </c>
      <c r="G849" s="12" t="s">
        <v>98</v>
      </c>
      <c r="H849" s="10" t="n">
        <v>2110101</v>
      </c>
      <c r="I849" s="12" t="s">
        <v>33</v>
      </c>
      <c r="J849" s="10" t="n">
        <v>1370315</v>
      </c>
      <c r="L849" s="10" t="n">
        <v>336</v>
      </c>
      <c r="M849" s="12" t="s">
        <v>41</v>
      </c>
      <c r="N849" s="12" t="s">
        <v>35</v>
      </c>
      <c r="P849" s="10" t="n">
        <v>104</v>
      </c>
      <c r="Q849" s="12" t="s">
        <v>99</v>
      </c>
      <c r="R849" s="12" t="s">
        <v>37</v>
      </c>
      <c r="S849" s="10" t="n">
        <v>1130101</v>
      </c>
      <c r="T849" s="12" t="s">
        <v>38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231</v>
      </c>
      <c r="F850" s="10" t="n">
        <v>34</v>
      </c>
      <c r="G850" s="12" t="s">
        <v>71</v>
      </c>
      <c r="H850" s="10" t="n">
        <v>2110405</v>
      </c>
      <c r="I850" s="12" t="s">
        <v>83</v>
      </c>
      <c r="J850" s="10" t="n">
        <v>1122744</v>
      </c>
      <c r="L850" s="10" t="n">
        <v>469459</v>
      </c>
      <c r="M850" s="12" t="s">
        <v>394</v>
      </c>
      <c r="N850" s="12" t="s">
        <v>42</v>
      </c>
      <c r="P850" s="10" t="n">
        <v>102</v>
      </c>
      <c r="Q850" s="12" t="s">
        <v>107</v>
      </c>
      <c r="R850" s="12" t="s">
        <v>60</v>
      </c>
      <c r="S850" s="10" t="n">
        <v>4210206</v>
      </c>
      <c r="T850" s="12" t="s">
        <v>232</v>
      </c>
      <c r="U850" s="13" t="n">
        <v>258.62</v>
      </c>
      <c r="W850" s="13" t="n">
        <v>0</v>
      </c>
      <c r="X850" s="12" t="s">
        <v>233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182</v>
      </c>
      <c r="F851" s="10" t="n">
        <v>24</v>
      </c>
      <c r="G851" s="12" t="s">
        <v>32</v>
      </c>
      <c r="H851" s="10" t="n">
        <v>2110101</v>
      </c>
      <c r="I851" s="12" t="s">
        <v>33</v>
      </c>
      <c r="J851" s="10" t="n">
        <v>1177249</v>
      </c>
      <c r="L851" s="10" t="n">
        <v>10589</v>
      </c>
      <c r="M851" s="12" t="s">
        <v>128</v>
      </c>
      <c r="N851" s="12" t="s">
        <v>35</v>
      </c>
      <c r="P851" s="10" t="n">
        <v>103</v>
      </c>
      <c r="Q851" s="12" t="s">
        <v>36</v>
      </c>
      <c r="R851" s="12" t="s">
        <v>37</v>
      </c>
      <c r="S851" s="10" t="n">
        <v>1130101</v>
      </c>
      <c r="T851" s="12" t="s">
        <v>38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54</v>
      </c>
      <c r="F852" s="10" t="n">
        <v>24</v>
      </c>
      <c r="G852" s="12" t="s">
        <v>32</v>
      </c>
      <c r="H852" s="10" t="n">
        <v>2110101</v>
      </c>
      <c r="I852" s="12" t="s">
        <v>33</v>
      </c>
      <c r="J852" s="10" t="n">
        <v>1236106</v>
      </c>
      <c r="L852" s="10" t="n">
        <v>877772</v>
      </c>
      <c r="M852" s="12" t="s">
        <v>34</v>
      </c>
      <c r="N852" s="12" t="s">
        <v>35</v>
      </c>
      <c r="P852" s="10" t="n">
        <v>103</v>
      </c>
      <c r="Q852" s="12" t="s">
        <v>36</v>
      </c>
      <c r="R852" s="12" t="s">
        <v>37</v>
      </c>
      <c r="S852" s="10" t="n">
        <v>1130101</v>
      </c>
      <c r="T852" s="12" t="s">
        <v>38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146</v>
      </c>
      <c r="F853" s="10" t="n">
        <v>24</v>
      </c>
      <c r="G853" s="12" t="s">
        <v>32</v>
      </c>
      <c r="H853" s="10" t="n">
        <v>2110101</v>
      </c>
      <c r="I853" s="12" t="s">
        <v>33</v>
      </c>
      <c r="J853" s="10" t="n">
        <v>1270189</v>
      </c>
      <c r="L853" s="10" t="n">
        <v>1372912</v>
      </c>
      <c r="M853" s="12" t="s">
        <v>41</v>
      </c>
      <c r="N853" s="12" t="s">
        <v>35</v>
      </c>
      <c r="P853" s="10" t="n">
        <v>103</v>
      </c>
      <c r="Q853" s="12" t="s">
        <v>36</v>
      </c>
      <c r="R853" s="12" t="s">
        <v>37</v>
      </c>
      <c r="S853" s="10" t="n">
        <v>1130101</v>
      </c>
      <c r="T853" s="12" t="s">
        <v>38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535</v>
      </c>
      <c r="F854" s="10" t="n">
        <v>24</v>
      </c>
      <c r="G854" s="12" t="s">
        <v>32</v>
      </c>
      <c r="H854" s="10" t="n">
        <v>2110102</v>
      </c>
      <c r="I854" s="12" t="s">
        <v>59</v>
      </c>
      <c r="J854" s="10" t="n">
        <v>1279613</v>
      </c>
      <c r="L854" s="10" t="n">
        <v>156812</v>
      </c>
      <c r="M854" s="12" t="s">
        <v>41</v>
      </c>
      <c r="N854" s="12" t="s">
        <v>35</v>
      </c>
      <c r="P854" s="10" t="n">
        <v>103</v>
      </c>
      <c r="Q854" s="12" t="s">
        <v>36</v>
      </c>
      <c r="R854" s="12" t="s">
        <v>60</v>
      </c>
      <c r="S854" s="10" t="n">
        <v>4210205</v>
      </c>
      <c r="T854" s="12" t="s">
        <v>442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148</v>
      </c>
      <c r="F855" s="10" t="n">
        <v>24</v>
      </c>
      <c r="G855" s="12" t="s">
        <v>32</v>
      </c>
      <c r="H855" s="10" t="n">
        <v>2110101</v>
      </c>
      <c r="I855" s="12" t="s">
        <v>33</v>
      </c>
      <c r="J855" s="10" t="n">
        <v>1295867</v>
      </c>
      <c r="L855" s="10" t="n">
        <v>1170325</v>
      </c>
      <c r="M855" s="12" t="s">
        <v>41</v>
      </c>
      <c r="N855" s="12" t="s">
        <v>35</v>
      </c>
      <c r="P855" s="10" t="n">
        <v>103</v>
      </c>
      <c r="Q855" s="12" t="s">
        <v>36</v>
      </c>
      <c r="R855" s="12" t="s">
        <v>37</v>
      </c>
      <c r="S855" s="10" t="n">
        <v>1130101</v>
      </c>
      <c r="T855" s="12" t="s">
        <v>38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148</v>
      </c>
      <c r="F856" s="10" t="n">
        <v>24</v>
      </c>
      <c r="G856" s="12" t="s">
        <v>32</v>
      </c>
      <c r="H856" s="10" t="n">
        <v>2110101</v>
      </c>
      <c r="I856" s="12" t="s">
        <v>33</v>
      </c>
      <c r="J856" s="10" t="n">
        <v>1296332</v>
      </c>
      <c r="L856" s="10" t="n">
        <v>1892110</v>
      </c>
      <c r="M856" s="12" t="s">
        <v>41</v>
      </c>
      <c r="N856" s="12" t="s">
        <v>35</v>
      </c>
      <c r="P856" s="10" t="n">
        <v>103</v>
      </c>
      <c r="Q856" s="12" t="s">
        <v>36</v>
      </c>
      <c r="R856" s="12" t="s">
        <v>37</v>
      </c>
      <c r="S856" s="10" t="n">
        <v>1130101</v>
      </c>
      <c r="T856" s="12" t="s">
        <v>38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264</v>
      </c>
      <c r="F857" s="10" t="n">
        <v>24</v>
      </c>
      <c r="G857" s="12" t="s">
        <v>32</v>
      </c>
      <c r="H857" s="10" t="n">
        <v>2110101</v>
      </c>
      <c r="I857" s="12" t="s">
        <v>33</v>
      </c>
      <c r="J857" s="10" t="n">
        <v>1306185</v>
      </c>
      <c r="L857" s="10" t="n">
        <v>172090</v>
      </c>
      <c r="M857" s="12" t="s">
        <v>41</v>
      </c>
      <c r="N857" s="12" t="s">
        <v>35</v>
      </c>
      <c r="P857" s="10" t="n">
        <v>103</v>
      </c>
      <c r="Q857" s="12" t="s">
        <v>36</v>
      </c>
      <c r="R857" s="12" t="s">
        <v>37</v>
      </c>
      <c r="S857" s="10" t="n">
        <v>1130101</v>
      </c>
      <c r="T857" s="12" t="s">
        <v>38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274</v>
      </c>
      <c r="F858" s="10" t="n">
        <v>24</v>
      </c>
      <c r="G858" s="12" t="s">
        <v>32</v>
      </c>
      <c r="H858" s="10" t="n">
        <v>2110405</v>
      </c>
      <c r="I858" s="12" t="s">
        <v>83</v>
      </c>
      <c r="J858" s="10" t="n">
        <v>1312823</v>
      </c>
      <c r="L858" s="10" t="n">
        <v>543586</v>
      </c>
      <c r="M858" s="12" t="s">
        <v>41</v>
      </c>
      <c r="N858" s="12" t="s">
        <v>42</v>
      </c>
      <c r="P858" s="10" t="n">
        <v>101</v>
      </c>
      <c r="Q858" s="12" t="s">
        <v>84</v>
      </c>
      <c r="R858" s="12" t="s">
        <v>60</v>
      </c>
      <c r="S858" s="10" t="n">
        <v>4210233</v>
      </c>
      <c r="T858" s="12" t="s">
        <v>275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211</v>
      </c>
      <c r="F859" s="10" t="n">
        <v>24</v>
      </c>
      <c r="G859" s="12" t="s">
        <v>32</v>
      </c>
      <c r="H859" s="10" t="n">
        <v>2110101</v>
      </c>
      <c r="I859" s="12" t="s">
        <v>33</v>
      </c>
      <c r="J859" s="10" t="n">
        <v>1329338</v>
      </c>
      <c r="L859" s="10" t="n">
        <v>14571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70</v>
      </c>
      <c r="F860" s="10" t="n">
        <v>13</v>
      </c>
      <c r="G860" s="12" t="s">
        <v>98</v>
      </c>
      <c r="H860" s="10" t="n">
        <v>2110101</v>
      </c>
      <c r="I860" s="12" t="s">
        <v>33</v>
      </c>
      <c r="J860" s="10" t="n">
        <v>1348399</v>
      </c>
      <c r="L860" s="10" t="n">
        <v>5250</v>
      </c>
      <c r="M860" s="12" t="s">
        <v>41</v>
      </c>
      <c r="N860" s="12" t="s">
        <v>35</v>
      </c>
      <c r="P860" s="10" t="n">
        <v>104</v>
      </c>
      <c r="Q860" s="12" t="s">
        <v>99</v>
      </c>
      <c r="R860" s="12" t="s">
        <v>37</v>
      </c>
      <c r="S860" s="10" t="n">
        <v>1130101</v>
      </c>
      <c r="T860" s="12" t="s">
        <v>38</v>
      </c>
      <c r="U860" s="13" t="n">
        <v>280</v>
      </c>
      <c r="W860" s="13" t="n">
        <v>280</v>
      </c>
      <c r="X860" s="12" t="s">
        <v>101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94</v>
      </c>
      <c r="F861" s="10" t="n">
        <v>24</v>
      </c>
      <c r="G861" s="12" t="s">
        <v>32</v>
      </c>
      <c r="H861" s="10" t="n">
        <v>1110202</v>
      </c>
      <c r="I861" s="12" t="s">
        <v>285</v>
      </c>
      <c r="J861" s="10" t="n">
        <v>881704</v>
      </c>
      <c r="L861" s="10" t="n">
        <v>376470</v>
      </c>
      <c r="M861" s="12" t="s">
        <v>128</v>
      </c>
      <c r="N861" s="12" t="s">
        <v>42</v>
      </c>
      <c r="P861" s="10" t="n">
        <v>101</v>
      </c>
      <c r="Q861" s="12" t="s">
        <v>84</v>
      </c>
      <c r="R861" s="12" t="s">
        <v>91</v>
      </c>
      <c r="S861" s="10" t="n">
        <v>4220199</v>
      </c>
      <c r="T861" s="12" t="s">
        <v>92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289</v>
      </c>
      <c r="F862" s="10" t="n">
        <v>34</v>
      </c>
      <c r="G862" s="12" t="s">
        <v>71</v>
      </c>
      <c r="H862" s="10" t="n">
        <v>2110405</v>
      </c>
      <c r="I862" s="12" t="s">
        <v>83</v>
      </c>
      <c r="J862" s="10" t="n">
        <v>1053484</v>
      </c>
      <c r="L862" s="10" t="n">
        <v>443312</v>
      </c>
      <c r="M862" s="12" t="s">
        <v>34</v>
      </c>
      <c r="N862" s="12" t="s">
        <v>42</v>
      </c>
      <c r="P862" s="10" t="n">
        <v>101</v>
      </c>
      <c r="Q862" s="12" t="s">
        <v>84</v>
      </c>
      <c r="R862" s="12" t="s">
        <v>290</v>
      </c>
      <c r="S862" s="10" t="n">
        <v>4210111</v>
      </c>
      <c r="T862" s="12" t="s">
        <v>291</v>
      </c>
      <c r="U862" s="13" t="n">
        <v>4300</v>
      </c>
      <c r="W862" s="13" t="n">
        <v>0</v>
      </c>
      <c r="X862" s="12" t="s">
        <v>292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284</v>
      </c>
      <c r="F863" s="10" t="n">
        <v>34</v>
      </c>
      <c r="G863" s="12" t="s">
        <v>71</v>
      </c>
      <c r="H863" s="10" t="n">
        <v>1110202</v>
      </c>
      <c r="I863" s="12" t="s">
        <v>285</v>
      </c>
      <c r="J863" s="10" t="n">
        <v>1053498</v>
      </c>
      <c r="L863" s="10" t="n">
        <v>443316</v>
      </c>
      <c r="M863" s="12" t="s">
        <v>128</v>
      </c>
      <c r="N863" s="12" t="s">
        <v>42</v>
      </c>
      <c r="P863" s="10" t="n">
        <v>101</v>
      </c>
      <c r="Q863" s="12" t="s">
        <v>84</v>
      </c>
      <c r="R863" s="12" t="s">
        <v>91</v>
      </c>
      <c r="S863" s="10" t="n">
        <v>4220199</v>
      </c>
      <c r="T863" s="12" t="s">
        <v>92</v>
      </c>
      <c r="U863" s="13" t="n">
        <v>1500</v>
      </c>
      <c r="W863" s="13" t="n">
        <v>0</v>
      </c>
      <c r="X863" s="12" t="s">
        <v>286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90</v>
      </c>
      <c r="F864" s="10" t="n">
        <v>34</v>
      </c>
      <c r="G864" s="12" t="s">
        <v>71</v>
      </c>
      <c r="H864" s="10" t="n">
        <v>2110405</v>
      </c>
      <c r="I864" s="12" t="s">
        <v>83</v>
      </c>
      <c r="J864" s="10" t="n">
        <v>1053543</v>
      </c>
      <c r="L864" s="10" t="n">
        <v>443329</v>
      </c>
      <c r="M864" s="12" t="s">
        <v>128</v>
      </c>
      <c r="N864" s="12" t="s">
        <v>42</v>
      </c>
      <c r="P864" s="10" t="n">
        <v>101</v>
      </c>
      <c r="Q864" s="12" t="s">
        <v>84</v>
      </c>
      <c r="R864" s="12" t="s">
        <v>85</v>
      </c>
      <c r="S864" s="10" t="n">
        <v>4210301</v>
      </c>
      <c r="T864" s="12" t="s">
        <v>295</v>
      </c>
      <c r="U864" s="13" t="n">
        <v>500</v>
      </c>
      <c r="W864" s="13" t="n">
        <v>0</v>
      </c>
      <c r="X864" s="12" t="s">
        <v>297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300</v>
      </c>
      <c r="F865" s="10" t="n">
        <v>24</v>
      </c>
      <c r="G865" s="12" t="s">
        <v>32</v>
      </c>
      <c r="H865" s="10" t="n">
        <v>2110405</v>
      </c>
      <c r="I865" s="12" t="s">
        <v>83</v>
      </c>
      <c r="J865" s="10" t="n">
        <v>1152372</v>
      </c>
      <c r="L865" s="10" t="n">
        <v>480964</v>
      </c>
      <c r="M865" s="12" t="s">
        <v>41</v>
      </c>
      <c r="N865" s="12" t="s">
        <v>42</v>
      </c>
      <c r="P865" s="10" t="n">
        <v>101</v>
      </c>
      <c r="Q865" s="12" t="s">
        <v>84</v>
      </c>
      <c r="R865" s="12" t="s">
        <v>85</v>
      </c>
      <c r="S865" s="10" t="n">
        <v>4210311</v>
      </c>
      <c r="T865" s="12" t="s">
        <v>301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864</v>
      </c>
      <c r="F866" s="10" t="n">
        <v>35</v>
      </c>
      <c r="G866" s="12" t="s">
        <v>1135</v>
      </c>
      <c r="H866" s="10" t="n">
        <v>2110101</v>
      </c>
      <c r="I866" s="12" t="s">
        <v>33</v>
      </c>
      <c r="J866" s="10" t="n">
        <v>1166902</v>
      </c>
      <c r="L866" s="10" t="n">
        <v>486494</v>
      </c>
      <c r="M866" s="12" t="s">
        <v>41</v>
      </c>
      <c r="N866" s="12" t="s">
        <v>42</v>
      </c>
      <c r="P866" s="10" t="n">
        <v>102</v>
      </c>
      <c r="Q866" s="12" t="s">
        <v>107</v>
      </c>
      <c r="R866" s="12" t="s">
        <v>37</v>
      </c>
      <c r="S866" s="10" t="n">
        <v>1130101</v>
      </c>
      <c r="T866" s="12" t="s">
        <v>38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33</v>
      </c>
      <c r="J867" s="10" t="n">
        <v>1222431</v>
      </c>
      <c r="L867" s="10" t="n">
        <v>417</v>
      </c>
      <c r="M867" s="12" t="s">
        <v>41</v>
      </c>
      <c r="N867" s="12" t="s">
        <v>35</v>
      </c>
      <c r="P867" s="10" t="n">
        <v>103</v>
      </c>
      <c r="Q867" s="12" t="s">
        <v>36</v>
      </c>
      <c r="R867" s="12" t="s">
        <v>37</v>
      </c>
      <c r="S867" s="10" t="n">
        <v>1130101</v>
      </c>
      <c r="T867" s="12" t="s">
        <v>38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33</v>
      </c>
      <c r="J868" s="10" t="n">
        <v>1222777</v>
      </c>
      <c r="L868" s="10" t="n">
        <v>1005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553</v>
      </c>
      <c r="F869" s="10" t="n">
        <v>34</v>
      </c>
      <c r="G869" s="12" t="s">
        <v>71</v>
      </c>
      <c r="H869" s="10" t="n">
        <v>1110202</v>
      </c>
      <c r="I869" s="12" t="s">
        <v>285</v>
      </c>
      <c r="J869" s="10" t="n">
        <v>1240158</v>
      </c>
      <c r="L869" s="10" t="n">
        <v>515079</v>
      </c>
      <c r="M869" s="12" t="s">
        <v>41</v>
      </c>
      <c r="N869" s="12" t="s">
        <v>42</v>
      </c>
      <c r="P869" s="10" t="n">
        <v>102</v>
      </c>
      <c r="Q869" s="12" t="s">
        <v>107</v>
      </c>
      <c r="R869" s="12" t="s">
        <v>60</v>
      </c>
      <c r="S869" s="10" t="n">
        <v>4210202</v>
      </c>
      <c r="T869" s="12" t="s">
        <v>554</v>
      </c>
      <c r="U869" s="13" t="n">
        <v>2431.5</v>
      </c>
      <c r="W869" s="13" t="n">
        <v>0</v>
      </c>
      <c r="X869" s="12" t="s">
        <v>555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208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1272759</v>
      </c>
      <c r="L870" s="10" t="n">
        <v>1597184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373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1293749</v>
      </c>
      <c r="L871" s="10" t="n">
        <v>11908</v>
      </c>
      <c r="M871" s="12" t="s">
        <v>41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1309867</v>
      </c>
      <c r="L872" s="10" t="n">
        <v>172132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94</v>
      </c>
      <c r="F873" s="10" t="n">
        <v>24</v>
      </c>
      <c r="G873" s="12" t="s">
        <v>32</v>
      </c>
      <c r="H873" s="10" t="n">
        <v>1110202</v>
      </c>
      <c r="I873" s="12" t="s">
        <v>285</v>
      </c>
      <c r="J873" s="10" t="n">
        <v>1359969</v>
      </c>
      <c r="L873" s="10" t="n">
        <v>561604</v>
      </c>
      <c r="M873" s="12" t="s">
        <v>41</v>
      </c>
      <c r="N873" s="12" t="s">
        <v>42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182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1028242</v>
      </c>
      <c r="L874" s="10" t="n">
        <v>10262</v>
      </c>
      <c r="M874" s="12" t="s">
        <v>234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54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1223005</v>
      </c>
      <c r="L875" s="10" t="n">
        <v>876740</v>
      </c>
      <c r="M875" s="12" t="s">
        <v>128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104</v>
      </c>
      <c r="F876" s="10" t="n">
        <v>24</v>
      </c>
      <c r="G876" s="12" t="s">
        <v>32</v>
      </c>
      <c r="H876" s="10" t="n">
        <v>2110405</v>
      </c>
      <c r="I876" s="12" t="s">
        <v>83</v>
      </c>
      <c r="J876" s="10" t="n">
        <v>1256576</v>
      </c>
      <c r="L876" s="10" t="n">
        <v>857</v>
      </c>
      <c r="M876" s="12" t="s">
        <v>41</v>
      </c>
      <c r="N876" s="12" t="s">
        <v>42</v>
      </c>
      <c r="P876" s="10" t="n">
        <v>101</v>
      </c>
      <c r="Q876" s="12" t="s">
        <v>84</v>
      </c>
      <c r="R876" s="12" t="s">
        <v>85</v>
      </c>
      <c r="S876" s="10" t="n">
        <v>4210319</v>
      </c>
      <c r="T876" s="12" t="s">
        <v>617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44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1256797</v>
      </c>
      <c r="L877" s="10" t="n">
        <v>1891097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1021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1261009</v>
      </c>
      <c r="L878" s="10" t="n">
        <v>77381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373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1265535</v>
      </c>
      <c r="L879" s="10" t="n">
        <v>11722</v>
      </c>
      <c r="M879" s="12" t="s">
        <v>34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371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1265996</v>
      </c>
      <c r="L880" s="10" t="n">
        <v>304778</v>
      </c>
      <c r="M880" s="12" t="s">
        <v>34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1272947</v>
      </c>
      <c r="L881" s="10" t="n">
        <v>20352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54</v>
      </c>
      <c r="F882" s="10" t="n">
        <v>24</v>
      </c>
      <c r="G882" s="12" t="s">
        <v>32</v>
      </c>
      <c r="H882" s="10" t="n">
        <v>2110101</v>
      </c>
      <c r="I882" s="12" t="s">
        <v>33</v>
      </c>
      <c r="J882" s="10" t="n">
        <v>1289564</v>
      </c>
      <c r="L882" s="10" t="n">
        <v>880067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37</v>
      </c>
      <c r="S882" s="10" t="n">
        <v>1130101</v>
      </c>
      <c r="T882" s="12" t="s">
        <v>38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44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1291486</v>
      </c>
      <c r="L883" s="10" t="n">
        <v>1894396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517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1296447</v>
      </c>
      <c r="L884" s="10" t="n">
        <v>646740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66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1321750</v>
      </c>
      <c r="L885" s="10" t="n">
        <v>11328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211</v>
      </c>
      <c r="F886" s="10" t="n">
        <v>24</v>
      </c>
      <c r="G886" s="12" t="s">
        <v>32</v>
      </c>
      <c r="H886" s="10" t="n">
        <v>2110101</v>
      </c>
      <c r="I886" s="12" t="s">
        <v>33</v>
      </c>
      <c r="J886" s="10" t="n">
        <v>1329501</v>
      </c>
      <c r="L886" s="10" t="n">
        <v>14579</v>
      </c>
      <c r="M886" s="12" t="s">
        <v>41</v>
      </c>
      <c r="N886" s="12" t="s">
        <v>35</v>
      </c>
      <c r="P886" s="10" t="n">
        <v>103</v>
      </c>
      <c r="Q886" s="12" t="s">
        <v>36</v>
      </c>
      <c r="R886" s="12" t="s">
        <v>37</v>
      </c>
      <c r="S886" s="10" t="n">
        <v>1130101</v>
      </c>
      <c r="T886" s="12" t="s">
        <v>38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74</v>
      </c>
      <c r="F887" s="10" t="n">
        <v>24</v>
      </c>
      <c r="G887" s="12" t="s">
        <v>32</v>
      </c>
      <c r="H887" s="10" t="n">
        <v>2110101</v>
      </c>
      <c r="I887" s="12" t="s">
        <v>33</v>
      </c>
      <c r="J887" s="10" t="n">
        <v>1333858</v>
      </c>
      <c r="L887" s="10" t="n">
        <v>686</v>
      </c>
      <c r="M887" s="12" t="s">
        <v>41</v>
      </c>
      <c r="N887" s="12" t="s">
        <v>35</v>
      </c>
      <c r="P887" s="10" t="n">
        <v>103</v>
      </c>
      <c r="Q887" s="12" t="s">
        <v>36</v>
      </c>
      <c r="R887" s="12" t="s">
        <v>37</v>
      </c>
      <c r="S887" s="10" t="n">
        <v>1130101</v>
      </c>
      <c r="T887" s="12" t="s">
        <v>38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321</v>
      </c>
      <c r="F888" s="10" t="n">
        <v>24</v>
      </c>
      <c r="G888" s="12" t="s">
        <v>32</v>
      </c>
      <c r="H888" s="10" t="n">
        <v>2110101</v>
      </c>
      <c r="I888" s="12" t="s">
        <v>33</v>
      </c>
      <c r="J888" s="10" t="n">
        <v>1333866</v>
      </c>
      <c r="L888" s="10" t="n">
        <v>3505</v>
      </c>
      <c r="M888" s="12" t="s">
        <v>41</v>
      </c>
      <c r="N888" s="12" t="s">
        <v>35</v>
      </c>
      <c r="P888" s="10" t="n">
        <v>103</v>
      </c>
      <c r="Q888" s="12" t="s">
        <v>36</v>
      </c>
      <c r="R888" s="12" t="s">
        <v>37</v>
      </c>
      <c r="S888" s="10" t="n">
        <v>1130101</v>
      </c>
      <c r="T888" s="12" t="s">
        <v>38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76</v>
      </c>
      <c r="F889" s="10" t="n">
        <v>24</v>
      </c>
      <c r="G889" s="12" t="s">
        <v>32</v>
      </c>
      <c r="H889" s="10" t="n">
        <v>2110101</v>
      </c>
      <c r="I889" s="12" t="s">
        <v>33</v>
      </c>
      <c r="J889" s="10" t="n">
        <v>1334025</v>
      </c>
      <c r="L889" s="10" t="n">
        <v>224614</v>
      </c>
      <c r="M889" s="12" t="s">
        <v>41</v>
      </c>
      <c r="N889" s="12" t="s">
        <v>35</v>
      </c>
      <c r="P889" s="10" t="n">
        <v>103</v>
      </c>
      <c r="Q889" s="12" t="s">
        <v>36</v>
      </c>
      <c r="R889" s="12" t="s">
        <v>37</v>
      </c>
      <c r="S889" s="10" t="n">
        <v>1130101</v>
      </c>
      <c r="T889" s="12" t="s">
        <v>38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608</v>
      </c>
      <c r="F890" s="10" t="n">
        <v>24</v>
      </c>
      <c r="G890" s="12" t="s">
        <v>32</v>
      </c>
      <c r="H890" s="10" t="n">
        <v>2110102</v>
      </c>
      <c r="I890" s="12" t="s">
        <v>59</v>
      </c>
      <c r="J890" s="10" t="n">
        <v>1334239</v>
      </c>
      <c r="L890" s="10" t="n">
        <v>280092</v>
      </c>
      <c r="M890" s="12" t="s">
        <v>41</v>
      </c>
      <c r="N890" s="12" t="s">
        <v>35</v>
      </c>
      <c r="P890" s="10" t="n">
        <v>103</v>
      </c>
      <c r="Q890" s="12" t="s">
        <v>36</v>
      </c>
      <c r="R890" s="12" t="s">
        <v>60</v>
      </c>
      <c r="S890" s="10" t="n">
        <v>4210204</v>
      </c>
      <c r="T890" s="12" t="s">
        <v>61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74</v>
      </c>
      <c r="F891" s="10" t="n">
        <v>24</v>
      </c>
      <c r="G891" s="12" t="s">
        <v>32</v>
      </c>
      <c r="H891" s="10" t="n">
        <v>2110101</v>
      </c>
      <c r="I891" s="12" t="s">
        <v>33</v>
      </c>
      <c r="J891" s="10" t="n">
        <v>1343556</v>
      </c>
      <c r="L891" s="10" t="n">
        <v>689</v>
      </c>
      <c r="M891" s="12" t="s">
        <v>41</v>
      </c>
      <c r="N891" s="12" t="s">
        <v>35</v>
      </c>
      <c r="P891" s="10" t="n">
        <v>103</v>
      </c>
      <c r="Q891" s="12" t="s">
        <v>36</v>
      </c>
      <c r="R891" s="12" t="s">
        <v>37</v>
      </c>
      <c r="S891" s="10" t="n">
        <v>1130101</v>
      </c>
      <c r="T891" s="12" t="s">
        <v>38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66</v>
      </c>
      <c r="F892" s="10" t="n">
        <v>24</v>
      </c>
      <c r="G892" s="12" t="s">
        <v>32</v>
      </c>
      <c r="H892" s="10" t="n">
        <v>2110101</v>
      </c>
      <c r="I892" s="12" t="s">
        <v>33</v>
      </c>
      <c r="J892" s="10" t="n">
        <v>1346045</v>
      </c>
      <c r="L892" s="10" t="n">
        <v>11352</v>
      </c>
      <c r="M892" s="12" t="s">
        <v>41</v>
      </c>
      <c r="N892" s="12" t="s">
        <v>35</v>
      </c>
      <c r="P892" s="10" t="n">
        <v>103</v>
      </c>
      <c r="Q892" s="12" t="s">
        <v>36</v>
      </c>
      <c r="R892" s="12" t="s">
        <v>37</v>
      </c>
      <c r="S892" s="10" t="n">
        <v>1130101</v>
      </c>
      <c r="T892" s="12" t="s">
        <v>38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31</v>
      </c>
      <c r="F893" s="10" t="n">
        <v>24</v>
      </c>
      <c r="G893" s="12" t="s">
        <v>32</v>
      </c>
      <c r="H893" s="10" t="n">
        <v>2110101</v>
      </c>
      <c r="I893" s="12" t="s">
        <v>33</v>
      </c>
      <c r="J893" s="10" t="n">
        <v>1293782</v>
      </c>
      <c r="L893" s="10" t="n">
        <v>564351</v>
      </c>
      <c r="M893" s="12" t="s">
        <v>34</v>
      </c>
      <c r="N893" s="12" t="s">
        <v>35</v>
      </c>
      <c r="P893" s="10" t="n">
        <v>103</v>
      </c>
      <c r="Q893" s="12" t="s">
        <v>36</v>
      </c>
      <c r="R893" s="12" t="s">
        <v>37</v>
      </c>
      <c r="S893" s="10" t="n">
        <v>1130101</v>
      </c>
      <c r="T893" s="12" t="s">
        <v>38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330</v>
      </c>
      <c r="F894" s="10" t="n">
        <v>34</v>
      </c>
      <c r="G894" s="12" t="s">
        <v>71</v>
      </c>
      <c r="H894" s="10" t="n">
        <v>2110405</v>
      </c>
      <c r="I894" s="12" t="s">
        <v>83</v>
      </c>
      <c r="J894" s="10" t="n">
        <v>1207135</v>
      </c>
      <c r="L894" s="10" t="n">
        <v>502146</v>
      </c>
      <c r="M894" s="12" t="s">
        <v>34</v>
      </c>
      <c r="N894" s="12" t="s">
        <v>42</v>
      </c>
      <c r="P894" s="10" t="n">
        <v>102</v>
      </c>
      <c r="Q894" s="12" t="s">
        <v>107</v>
      </c>
      <c r="R894" s="12" t="s">
        <v>290</v>
      </c>
      <c r="S894" s="10" t="n">
        <v>4210111</v>
      </c>
      <c r="T894" s="12" t="s">
        <v>291</v>
      </c>
      <c r="U894" s="13" t="n">
        <v>3000</v>
      </c>
      <c r="W894" s="13" t="n">
        <v>0</v>
      </c>
      <c r="X894" s="12" t="s">
        <v>331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330</v>
      </c>
      <c r="F895" s="10" t="n">
        <v>34</v>
      </c>
      <c r="G895" s="12" t="s">
        <v>71</v>
      </c>
      <c r="H895" s="10" t="n">
        <v>1110202</v>
      </c>
      <c r="I895" s="12" t="s">
        <v>285</v>
      </c>
      <c r="J895" s="10" t="n">
        <v>1207137</v>
      </c>
      <c r="L895" s="10" t="n">
        <v>502147</v>
      </c>
      <c r="M895" s="12" t="s">
        <v>34</v>
      </c>
      <c r="N895" s="12" t="s">
        <v>42</v>
      </c>
      <c r="P895" s="10" t="n">
        <v>102</v>
      </c>
      <c r="Q895" s="12" t="s">
        <v>107</v>
      </c>
      <c r="R895" s="12" t="s">
        <v>91</v>
      </c>
      <c r="S895" s="10" t="n">
        <v>4220199</v>
      </c>
      <c r="T895" s="12" t="s">
        <v>92</v>
      </c>
      <c r="U895" s="13" t="n">
        <v>6000</v>
      </c>
      <c r="W895" s="13" t="n">
        <v>0</v>
      </c>
      <c r="X895" s="12" t="s">
        <v>332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90</v>
      </c>
      <c r="F896" s="10" t="n">
        <v>34</v>
      </c>
      <c r="G896" s="12" t="s">
        <v>71</v>
      </c>
      <c r="H896" s="10" t="n">
        <v>2110405</v>
      </c>
      <c r="I896" s="12" t="s">
        <v>83</v>
      </c>
      <c r="J896" s="10" t="n">
        <v>1207139</v>
      </c>
      <c r="L896" s="10" t="n">
        <v>502148</v>
      </c>
      <c r="M896" s="12" t="s">
        <v>34</v>
      </c>
      <c r="N896" s="12" t="s">
        <v>42</v>
      </c>
      <c r="P896" s="10" t="n">
        <v>102</v>
      </c>
      <c r="Q896" s="12" t="s">
        <v>107</v>
      </c>
      <c r="R896" s="12" t="s">
        <v>91</v>
      </c>
      <c r="S896" s="10" t="n">
        <v>4220199</v>
      </c>
      <c r="T896" s="12" t="s">
        <v>92</v>
      </c>
      <c r="U896" s="13" t="n">
        <v>500</v>
      </c>
      <c r="W896" s="13" t="n">
        <v>0</v>
      </c>
      <c r="X896" s="12" t="s">
        <v>333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83</v>
      </c>
      <c r="J897" s="10" t="n">
        <v>1360381</v>
      </c>
      <c r="L897" s="10" t="n">
        <v>561724</v>
      </c>
      <c r="M897" s="12" t="s">
        <v>41</v>
      </c>
      <c r="N897" s="12" t="s">
        <v>42</v>
      </c>
      <c r="P897" s="10" t="n">
        <v>101</v>
      </c>
      <c r="Q897" s="12" t="s">
        <v>84</v>
      </c>
      <c r="R897" s="12" t="s">
        <v>60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236</v>
      </c>
      <c r="F898" s="10" t="n">
        <v>34</v>
      </c>
      <c r="G898" s="12" t="s">
        <v>71</v>
      </c>
      <c r="H898" s="10" t="n">
        <v>2110405</v>
      </c>
      <c r="I898" s="12" t="s">
        <v>83</v>
      </c>
      <c r="J898" s="10" t="n">
        <v>480233</v>
      </c>
      <c r="L898" s="10" t="n">
        <v>216087</v>
      </c>
      <c r="M898" s="12" t="s">
        <v>394</v>
      </c>
      <c r="N898" s="12" t="s">
        <v>42</v>
      </c>
      <c r="P898" s="10" t="n">
        <v>102</v>
      </c>
      <c r="Q898" s="12" t="s">
        <v>107</v>
      </c>
      <c r="R898" s="12" t="s">
        <v>91</v>
      </c>
      <c r="S898" s="10" t="n">
        <v>4220199</v>
      </c>
      <c r="T898" s="12" t="s">
        <v>92</v>
      </c>
      <c r="U898" s="13" t="n">
        <v>2000</v>
      </c>
      <c r="W898" s="13" t="n">
        <v>0</v>
      </c>
      <c r="X898" s="12" t="s">
        <v>237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70</v>
      </c>
      <c r="F899" s="10" t="n">
        <v>13</v>
      </c>
      <c r="G899" s="12" t="s">
        <v>98</v>
      </c>
      <c r="H899" s="10" t="n">
        <v>2110101</v>
      </c>
      <c r="I899" s="12" t="s">
        <v>33</v>
      </c>
      <c r="J899" s="10" t="n">
        <v>1360947</v>
      </c>
      <c r="L899" s="10" t="n">
        <v>5251</v>
      </c>
      <c r="M899" s="12" t="s">
        <v>41</v>
      </c>
      <c r="N899" s="12" t="s">
        <v>35</v>
      </c>
      <c r="P899" s="10" t="n">
        <v>104</v>
      </c>
      <c r="Q899" s="12" t="s">
        <v>99</v>
      </c>
      <c r="R899" s="12" t="s">
        <v>37</v>
      </c>
      <c r="S899" s="10" t="n">
        <v>1130101</v>
      </c>
      <c r="T899" s="12" t="s">
        <v>38</v>
      </c>
      <c r="U899" s="13" t="n">
        <v>280</v>
      </c>
      <c r="W899" s="13" t="n">
        <v>280</v>
      </c>
      <c r="X899" s="12" t="s">
        <v>101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70</v>
      </c>
      <c r="F900" s="10" t="n">
        <v>13</v>
      </c>
      <c r="G900" s="12" t="s">
        <v>98</v>
      </c>
      <c r="H900" s="10" t="n">
        <v>2110101</v>
      </c>
      <c r="I900" s="12" t="s">
        <v>33</v>
      </c>
      <c r="J900" s="10" t="n">
        <v>1361016</v>
      </c>
      <c r="L900" s="10" t="n">
        <v>5252</v>
      </c>
      <c r="M900" s="12" t="s">
        <v>41</v>
      </c>
      <c r="N900" s="12" t="s">
        <v>35</v>
      </c>
      <c r="P900" s="10" t="n">
        <v>104</v>
      </c>
      <c r="Q900" s="12" t="s">
        <v>99</v>
      </c>
      <c r="R900" s="12" t="s">
        <v>37</v>
      </c>
      <c r="S900" s="10" t="n">
        <v>1130101</v>
      </c>
      <c r="T900" s="12" t="s">
        <v>38</v>
      </c>
      <c r="U900" s="13" t="n">
        <v>350</v>
      </c>
      <c r="W900" s="13" t="n">
        <v>350</v>
      </c>
      <c r="X900" s="12" t="s">
        <v>101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70</v>
      </c>
      <c r="F901" s="10" t="n">
        <v>13</v>
      </c>
      <c r="G901" s="12" t="s">
        <v>98</v>
      </c>
      <c r="H901" s="10" t="n">
        <v>2110101</v>
      </c>
      <c r="I901" s="12" t="s">
        <v>33</v>
      </c>
      <c r="J901" s="10" t="n">
        <v>1361059</v>
      </c>
      <c r="L901" s="10" t="n">
        <v>5253</v>
      </c>
      <c r="M901" s="12" t="s">
        <v>41</v>
      </c>
      <c r="N901" s="12" t="s">
        <v>35</v>
      </c>
      <c r="P901" s="10" t="n">
        <v>104</v>
      </c>
      <c r="Q901" s="12" t="s">
        <v>99</v>
      </c>
      <c r="R901" s="12" t="s">
        <v>37</v>
      </c>
      <c r="S901" s="10" t="n">
        <v>1130101</v>
      </c>
      <c r="T901" s="12" t="s">
        <v>38</v>
      </c>
      <c r="U901" s="13" t="n">
        <v>280</v>
      </c>
      <c r="W901" s="13" t="n">
        <v>280</v>
      </c>
      <c r="X901" s="12" t="s">
        <v>101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70</v>
      </c>
      <c r="F902" s="10" t="n">
        <v>13</v>
      </c>
      <c r="G902" s="12" t="s">
        <v>98</v>
      </c>
      <c r="H902" s="10" t="n">
        <v>2110101</v>
      </c>
      <c r="I902" s="12" t="s">
        <v>33</v>
      </c>
      <c r="J902" s="10" t="n">
        <v>1361148</v>
      </c>
      <c r="L902" s="10" t="n">
        <v>5254</v>
      </c>
      <c r="M902" s="12" t="s">
        <v>41</v>
      </c>
      <c r="N902" s="12" t="s">
        <v>35</v>
      </c>
      <c r="P902" s="10" t="n">
        <v>104</v>
      </c>
      <c r="Q902" s="12" t="s">
        <v>99</v>
      </c>
      <c r="R902" s="12" t="s">
        <v>37</v>
      </c>
      <c r="S902" s="10" t="n">
        <v>1130101</v>
      </c>
      <c r="T902" s="12" t="s">
        <v>38</v>
      </c>
      <c r="U902" s="13" t="n">
        <v>260</v>
      </c>
      <c r="W902" s="13" t="n">
        <v>260</v>
      </c>
      <c r="X902" s="12" t="s">
        <v>101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864</v>
      </c>
      <c r="F903" s="10" t="n">
        <v>34</v>
      </c>
      <c r="G903" s="12" t="s">
        <v>71</v>
      </c>
      <c r="H903" s="10" t="n">
        <v>2110405</v>
      </c>
      <c r="I903" s="12" t="s">
        <v>83</v>
      </c>
      <c r="J903" s="10" t="n">
        <v>1361211</v>
      </c>
      <c r="L903" s="10" t="n">
        <v>561967</v>
      </c>
      <c r="M903" s="12" t="s">
        <v>41</v>
      </c>
      <c r="N903" s="12" t="s">
        <v>42</v>
      </c>
      <c r="P903" s="10" t="n">
        <v>102</v>
      </c>
      <c r="Q903" s="12" t="s">
        <v>107</v>
      </c>
      <c r="R903" s="12" t="s">
        <v>108</v>
      </c>
      <c r="S903" s="10" t="n">
        <v>4210504</v>
      </c>
      <c r="T903" s="12" t="s">
        <v>174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70</v>
      </c>
      <c r="F904" s="10" t="n">
        <v>13</v>
      </c>
      <c r="G904" s="12" t="s">
        <v>98</v>
      </c>
      <c r="H904" s="10" t="n">
        <v>2110101</v>
      </c>
      <c r="I904" s="12" t="s">
        <v>33</v>
      </c>
      <c r="J904" s="10" t="n">
        <v>1361223</v>
      </c>
      <c r="L904" s="10" t="n">
        <v>5255</v>
      </c>
      <c r="M904" s="12" t="s">
        <v>41</v>
      </c>
      <c r="N904" s="12" t="s">
        <v>35</v>
      </c>
      <c r="P904" s="10" t="n">
        <v>104</v>
      </c>
      <c r="Q904" s="12" t="s">
        <v>99</v>
      </c>
      <c r="R904" s="12" t="s">
        <v>37</v>
      </c>
      <c r="S904" s="10" t="n">
        <v>1130101</v>
      </c>
      <c r="T904" s="12" t="s">
        <v>38</v>
      </c>
      <c r="U904" s="13" t="n">
        <v>280</v>
      </c>
      <c r="W904" s="13" t="n">
        <v>280</v>
      </c>
      <c r="X904" s="12" t="s">
        <v>101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70</v>
      </c>
      <c r="F905" s="10" t="n">
        <v>13</v>
      </c>
      <c r="G905" s="12" t="s">
        <v>98</v>
      </c>
      <c r="H905" s="10" t="n">
        <v>2110101</v>
      </c>
      <c r="I905" s="12" t="s">
        <v>33</v>
      </c>
      <c r="J905" s="10" t="n">
        <v>1362077</v>
      </c>
      <c r="L905" s="10" t="n">
        <v>5260</v>
      </c>
      <c r="M905" s="12" t="s">
        <v>41</v>
      </c>
      <c r="N905" s="12" t="s">
        <v>35</v>
      </c>
      <c r="P905" s="10" t="n">
        <v>104</v>
      </c>
      <c r="Q905" s="12" t="s">
        <v>99</v>
      </c>
      <c r="R905" s="12" t="s">
        <v>37</v>
      </c>
      <c r="S905" s="10" t="n">
        <v>1130101</v>
      </c>
      <c r="T905" s="12" t="s">
        <v>38</v>
      </c>
      <c r="U905" s="13" t="n">
        <v>350</v>
      </c>
      <c r="W905" s="13" t="n">
        <v>350</v>
      </c>
      <c r="X905" s="12" t="s">
        <v>101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70</v>
      </c>
      <c r="F906" s="10" t="n">
        <v>13</v>
      </c>
      <c r="G906" s="12" t="s">
        <v>98</v>
      </c>
      <c r="H906" s="10" t="n">
        <v>2110101</v>
      </c>
      <c r="I906" s="12" t="s">
        <v>33</v>
      </c>
      <c r="J906" s="10" t="n">
        <v>1362193</v>
      </c>
      <c r="L906" s="10" t="n">
        <v>5261</v>
      </c>
      <c r="M906" s="12" t="s">
        <v>41</v>
      </c>
      <c r="N906" s="12" t="s">
        <v>35</v>
      </c>
      <c r="P906" s="10" t="n">
        <v>104</v>
      </c>
      <c r="Q906" s="12" t="s">
        <v>99</v>
      </c>
      <c r="R906" s="12" t="s">
        <v>37</v>
      </c>
      <c r="S906" s="10" t="n">
        <v>1130101</v>
      </c>
      <c r="T906" s="12" t="s">
        <v>38</v>
      </c>
      <c r="U906" s="13" t="n">
        <v>280</v>
      </c>
      <c r="W906" s="13" t="n">
        <v>280</v>
      </c>
      <c r="X906" s="12" t="s">
        <v>101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70</v>
      </c>
      <c r="F907" s="10" t="n">
        <v>13</v>
      </c>
      <c r="G907" s="12" t="s">
        <v>98</v>
      </c>
      <c r="H907" s="10" t="n">
        <v>2110101</v>
      </c>
      <c r="I907" s="12" t="s">
        <v>33</v>
      </c>
      <c r="J907" s="10" t="n">
        <v>1362292</v>
      </c>
      <c r="L907" s="10" t="n">
        <v>5262</v>
      </c>
      <c r="M907" s="12" t="s">
        <v>41</v>
      </c>
      <c r="N907" s="12" t="s">
        <v>35</v>
      </c>
      <c r="P907" s="10" t="n">
        <v>104</v>
      </c>
      <c r="Q907" s="12" t="s">
        <v>99</v>
      </c>
      <c r="R907" s="12" t="s">
        <v>37</v>
      </c>
      <c r="S907" s="10" t="n">
        <v>1130101</v>
      </c>
      <c r="T907" s="12" t="s">
        <v>38</v>
      </c>
      <c r="U907" s="13" t="n">
        <v>280</v>
      </c>
      <c r="W907" s="13" t="n">
        <v>280</v>
      </c>
      <c r="X907" s="12" t="s">
        <v>101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94</v>
      </c>
      <c r="F908" s="10" t="n">
        <v>34</v>
      </c>
      <c r="G908" s="12" t="s">
        <v>71</v>
      </c>
      <c r="H908" s="10" t="n">
        <v>1110202</v>
      </c>
      <c r="I908" s="12" t="s">
        <v>285</v>
      </c>
      <c r="J908" s="10" t="n">
        <v>1362317</v>
      </c>
      <c r="L908" s="10" t="n">
        <v>562392</v>
      </c>
      <c r="M908" s="12" t="s">
        <v>41</v>
      </c>
      <c r="N908" s="12" t="s">
        <v>42</v>
      </c>
      <c r="P908" s="10" t="n">
        <v>101</v>
      </c>
      <c r="Q908" s="12" t="s">
        <v>84</v>
      </c>
      <c r="R908" s="12" t="s">
        <v>91</v>
      </c>
      <c r="S908" s="10" t="n">
        <v>4220199</v>
      </c>
      <c r="T908" s="12" t="s">
        <v>92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94</v>
      </c>
      <c r="F909" s="10" t="n">
        <v>34</v>
      </c>
      <c r="G909" s="12" t="s">
        <v>71</v>
      </c>
      <c r="H909" s="10" t="n">
        <v>1110202</v>
      </c>
      <c r="I909" s="12" t="s">
        <v>285</v>
      </c>
      <c r="J909" s="10" t="n">
        <v>1362351</v>
      </c>
      <c r="L909" s="10" t="n">
        <v>562398</v>
      </c>
      <c r="M909" s="12" t="s">
        <v>41</v>
      </c>
      <c r="N909" s="12" t="s">
        <v>42</v>
      </c>
      <c r="P909" s="10" t="n">
        <v>101</v>
      </c>
      <c r="Q909" s="12" t="s">
        <v>84</v>
      </c>
      <c r="R909" s="12" t="s">
        <v>91</v>
      </c>
      <c r="S909" s="10" t="n">
        <v>4220199</v>
      </c>
      <c r="T909" s="12" t="s">
        <v>92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97</v>
      </c>
      <c r="F910" s="10" t="n">
        <v>13</v>
      </c>
      <c r="G910" s="12" t="s">
        <v>98</v>
      </c>
      <c r="H910" s="10" t="n">
        <v>2110101</v>
      </c>
      <c r="I910" s="12" t="s">
        <v>33</v>
      </c>
      <c r="J910" s="10" t="n">
        <v>1370204</v>
      </c>
      <c r="L910" s="10" t="n">
        <v>346</v>
      </c>
      <c r="M910" s="12" t="s">
        <v>41</v>
      </c>
      <c r="N910" s="12" t="s">
        <v>35</v>
      </c>
      <c r="P910" s="10" t="n">
        <v>104</v>
      </c>
      <c r="Q910" s="12" t="s">
        <v>99</v>
      </c>
      <c r="R910" s="12" t="s">
        <v>37</v>
      </c>
      <c r="S910" s="10" t="n">
        <v>1130101</v>
      </c>
      <c r="T910" s="12" t="s">
        <v>38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284</v>
      </c>
      <c r="F911" s="10" t="n">
        <v>34</v>
      </c>
      <c r="G911" s="12" t="s">
        <v>71</v>
      </c>
      <c r="H911" s="10" t="n">
        <v>2110405</v>
      </c>
      <c r="I911" s="12" t="s">
        <v>83</v>
      </c>
      <c r="J911" s="10" t="n">
        <v>1448819</v>
      </c>
      <c r="L911" s="10" t="n">
        <v>596052</v>
      </c>
      <c r="M911" s="12" t="s">
        <v>41</v>
      </c>
      <c r="N911" s="12" t="s">
        <v>42</v>
      </c>
      <c r="P911" s="10" t="n">
        <v>101</v>
      </c>
      <c r="Q911" s="12" t="s">
        <v>84</v>
      </c>
      <c r="R911" s="12" t="s">
        <v>85</v>
      </c>
      <c r="S911" s="10" t="n">
        <v>4210301</v>
      </c>
      <c r="T911" s="12" t="s">
        <v>295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864</v>
      </c>
      <c r="F912" s="10" t="n">
        <v>34</v>
      </c>
      <c r="G912" s="12" t="s">
        <v>71</v>
      </c>
      <c r="H912" s="10" t="n">
        <v>1110202</v>
      </c>
      <c r="I912" s="12" t="s">
        <v>285</v>
      </c>
      <c r="J912" s="10" t="n">
        <v>1448883</v>
      </c>
      <c r="L912" s="10" t="n">
        <v>596067</v>
      </c>
      <c r="M912" s="12" t="s">
        <v>41</v>
      </c>
      <c r="N912" s="12" t="s">
        <v>42</v>
      </c>
      <c r="P912" s="10" t="n">
        <v>101</v>
      </c>
      <c r="Q912" s="12" t="s">
        <v>84</v>
      </c>
      <c r="R912" s="12" t="s">
        <v>91</v>
      </c>
      <c r="S912" s="10" t="n">
        <v>4220199</v>
      </c>
      <c r="T912" s="12" t="s">
        <v>92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82</v>
      </c>
      <c r="F913" s="10" t="n">
        <v>34</v>
      </c>
      <c r="G913" s="12" t="s">
        <v>71</v>
      </c>
      <c r="H913" s="10" t="n">
        <v>1110202</v>
      </c>
      <c r="I913" s="12" t="s">
        <v>285</v>
      </c>
      <c r="J913" s="10" t="n">
        <v>1448934</v>
      </c>
      <c r="L913" s="10" t="n">
        <v>596082</v>
      </c>
      <c r="M913" s="12" t="s">
        <v>41</v>
      </c>
      <c r="N913" s="12" t="s">
        <v>42</v>
      </c>
      <c r="P913" s="10" t="n">
        <v>101</v>
      </c>
      <c r="Q913" s="12" t="s">
        <v>84</v>
      </c>
      <c r="R913" s="12" t="s">
        <v>85</v>
      </c>
      <c r="S913" s="10" t="n">
        <v>4210301</v>
      </c>
      <c r="T913" s="12" t="s">
        <v>295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246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1236138</v>
      </c>
      <c r="L914" s="10" t="n">
        <v>346214</v>
      </c>
      <c r="M914" s="12" t="s">
        <v>128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551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1262226</v>
      </c>
      <c r="L915" s="10" t="n">
        <v>387396</v>
      </c>
      <c r="M915" s="12" t="s">
        <v>128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703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1265754</v>
      </c>
      <c r="L916" s="10" t="n">
        <v>1774</v>
      </c>
      <c r="M916" s="12" t="s">
        <v>34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517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1265809</v>
      </c>
      <c r="L917" s="10" t="n">
        <v>646127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51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1269669</v>
      </c>
      <c r="L918" s="10" t="n">
        <v>1673539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405</v>
      </c>
      <c r="F919" s="10" t="n">
        <v>24</v>
      </c>
      <c r="G919" s="12" t="s">
        <v>32</v>
      </c>
      <c r="H919" s="10" t="n">
        <v>2110102</v>
      </c>
      <c r="I919" s="12" t="s">
        <v>59</v>
      </c>
      <c r="J919" s="10" t="n">
        <v>1269918</v>
      </c>
      <c r="L919" s="10" t="n">
        <v>3450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60</v>
      </c>
      <c r="S919" s="10" t="n">
        <v>4210204</v>
      </c>
      <c r="T919" s="12" t="s">
        <v>61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57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1272813</v>
      </c>
      <c r="L920" s="10" t="n">
        <v>729270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57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1272881</v>
      </c>
      <c r="L921" s="10" t="n">
        <v>729269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208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1290054</v>
      </c>
      <c r="L922" s="10" t="n">
        <v>1598074</v>
      </c>
      <c r="M922" s="12" t="s">
        <v>34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1291357</v>
      </c>
      <c r="L923" s="10" t="n">
        <v>270492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206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1294640</v>
      </c>
      <c r="L924" s="10" t="n">
        <v>536311</v>
      </c>
      <c r="M924" s="12" t="s">
        <v>41</v>
      </c>
      <c r="N924" s="12" t="s">
        <v>42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148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1295709</v>
      </c>
      <c r="L925" s="10" t="n">
        <v>1170695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142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1300300</v>
      </c>
      <c r="L926" s="10" t="n">
        <v>178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144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1308995</v>
      </c>
      <c r="L927" s="10" t="n">
        <v>39200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32</v>
      </c>
      <c r="H928" s="10" t="n">
        <v>2110102</v>
      </c>
      <c r="I928" s="12" t="s">
        <v>59</v>
      </c>
      <c r="J928" s="10" t="n">
        <v>1322427</v>
      </c>
      <c r="L928" s="10" t="n">
        <v>187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60</v>
      </c>
      <c r="S928" s="10" t="n">
        <v>4210204</v>
      </c>
      <c r="T928" s="12" t="s">
        <v>61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94</v>
      </c>
      <c r="F929" s="10" t="n">
        <v>24</v>
      </c>
      <c r="G929" s="12" t="s">
        <v>32</v>
      </c>
      <c r="H929" s="10" t="n">
        <v>2110405</v>
      </c>
      <c r="I929" s="12" t="s">
        <v>83</v>
      </c>
      <c r="J929" s="10" t="n">
        <v>1323809</v>
      </c>
      <c r="L929" s="10" t="n">
        <v>548260</v>
      </c>
      <c r="M929" s="12" t="s">
        <v>41</v>
      </c>
      <c r="N929" s="12" t="s">
        <v>42</v>
      </c>
      <c r="P929" s="10" t="n">
        <v>101</v>
      </c>
      <c r="Q929" s="12" t="s">
        <v>84</v>
      </c>
      <c r="R929" s="12" t="s">
        <v>91</v>
      </c>
      <c r="S929" s="10" t="n">
        <v>4220199</v>
      </c>
      <c r="T929" s="12" t="s">
        <v>92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211</v>
      </c>
      <c r="F930" s="10" t="n">
        <v>24</v>
      </c>
      <c r="G930" s="12" t="s">
        <v>32</v>
      </c>
      <c r="H930" s="10" t="n">
        <v>2110101</v>
      </c>
      <c r="I930" s="12" t="s">
        <v>33</v>
      </c>
      <c r="J930" s="10" t="n">
        <v>1330590</v>
      </c>
      <c r="L930" s="10" t="n">
        <v>14587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78</v>
      </c>
      <c r="F931" s="10" t="n">
        <v>24</v>
      </c>
      <c r="G931" s="12" t="s">
        <v>32</v>
      </c>
      <c r="H931" s="10" t="n">
        <v>2110101</v>
      </c>
      <c r="I931" s="12" t="s">
        <v>33</v>
      </c>
      <c r="J931" s="10" t="n">
        <v>1331169</v>
      </c>
      <c r="L931" s="10" t="n">
        <v>15072</v>
      </c>
      <c r="M931" s="12" t="s">
        <v>41</v>
      </c>
      <c r="N931" s="12" t="s">
        <v>35</v>
      </c>
      <c r="P931" s="10" t="n">
        <v>103</v>
      </c>
      <c r="Q931" s="12" t="s">
        <v>36</v>
      </c>
      <c r="R931" s="12" t="s">
        <v>37</v>
      </c>
      <c r="S931" s="10" t="n">
        <v>1130101</v>
      </c>
      <c r="T931" s="12" t="s">
        <v>38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159</v>
      </c>
      <c r="F932" s="10" t="n">
        <v>24</v>
      </c>
      <c r="G932" s="12" t="s">
        <v>32</v>
      </c>
      <c r="H932" s="10" t="n">
        <v>2110101</v>
      </c>
      <c r="I932" s="12" t="s">
        <v>33</v>
      </c>
      <c r="J932" s="10" t="n">
        <v>1331216</v>
      </c>
      <c r="L932" s="10" t="n">
        <v>1029524</v>
      </c>
      <c r="M932" s="12" t="s">
        <v>41</v>
      </c>
      <c r="N932" s="12" t="s">
        <v>35</v>
      </c>
      <c r="P932" s="10" t="n">
        <v>103</v>
      </c>
      <c r="Q932" s="12" t="s">
        <v>36</v>
      </c>
      <c r="R932" s="12" t="s">
        <v>37</v>
      </c>
      <c r="S932" s="10" t="n">
        <v>1130101</v>
      </c>
      <c r="T932" s="12" t="s">
        <v>38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155</v>
      </c>
      <c r="F933" s="10" t="n">
        <v>24</v>
      </c>
      <c r="G933" s="12" t="s">
        <v>32</v>
      </c>
      <c r="H933" s="10" t="n">
        <v>2110101</v>
      </c>
      <c r="I933" s="12" t="s">
        <v>33</v>
      </c>
      <c r="J933" s="10" t="n">
        <v>1331234</v>
      </c>
      <c r="L933" s="10" t="n">
        <v>3456</v>
      </c>
      <c r="M933" s="12" t="s">
        <v>41</v>
      </c>
      <c r="N933" s="12" t="s">
        <v>35</v>
      </c>
      <c r="P933" s="10" t="n">
        <v>103</v>
      </c>
      <c r="Q933" s="12" t="s">
        <v>36</v>
      </c>
      <c r="R933" s="12" t="s">
        <v>37</v>
      </c>
      <c r="S933" s="10" t="n">
        <v>1130101</v>
      </c>
      <c r="T933" s="12" t="s">
        <v>38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319</v>
      </c>
      <c r="F934" s="10" t="n">
        <v>24</v>
      </c>
      <c r="G934" s="12" t="s">
        <v>32</v>
      </c>
      <c r="H934" s="10" t="n">
        <v>2110101</v>
      </c>
      <c r="I934" s="12" t="s">
        <v>33</v>
      </c>
      <c r="J934" s="10" t="n">
        <v>1333888</v>
      </c>
      <c r="L934" s="10" t="n">
        <v>10212</v>
      </c>
      <c r="M934" s="12" t="s">
        <v>41</v>
      </c>
      <c r="N934" s="12" t="s">
        <v>35</v>
      </c>
      <c r="P934" s="10" t="n">
        <v>103</v>
      </c>
      <c r="Q934" s="12" t="s">
        <v>36</v>
      </c>
      <c r="R934" s="12" t="s">
        <v>37</v>
      </c>
      <c r="S934" s="10" t="n">
        <v>1130101</v>
      </c>
      <c r="T934" s="12" t="s">
        <v>38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157</v>
      </c>
      <c r="F935" s="10" t="n">
        <v>24</v>
      </c>
      <c r="G935" s="12" t="s">
        <v>32</v>
      </c>
      <c r="H935" s="10" t="n">
        <v>2110101</v>
      </c>
      <c r="I935" s="12" t="s">
        <v>33</v>
      </c>
      <c r="J935" s="10" t="n">
        <v>1335562</v>
      </c>
      <c r="L935" s="10" t="n">
        <v>31489</v>
      </c>
      <c r="M935" s="12" t="s">
        <v>41</v>
      </c>
      <c r="N935" s="12" t="s">
        <v>35</v>
      </c>
      <c r="P935" s="10" t="n">
        <v>103</v>
      </c>
      <c r="Q935" s="12" t="s">
        <v>36</v>
      </c>
      <c r="R935" s="12" t="s">
        <v>37</v>
      </c>
      <c r="S935" s="10" t="n">
        <v>1130101</v>
      </c>
      <c r="T935" s="12" t="s">
        <v>38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157</v>
      </c>
      <c r="F936" s="10" t="n">
        <v>24</v>
      </c>
      <c r="G936" s="12" t="s">
        <v>32</v>
      </c>
      <c r="H936" s="10" t="n">
        <v>2110101</v>
      </c>
      <c r="I936" s="12" t="s">
        <v>33</v>
      </c>
      <c r="J936" s="10" t="n">
        <v>1335621</v>
      </c>
      <c r="L936" s="10" t="n">
        <v>31488</v>
      </c>
      <c r="M936" s="12" t="s">
        <v>41</v>
      </c>
      <c r="N936" s="12" t="s">
        <v>35</v>
      </c>
      <c r="P936" s="10" t="n">
        <v>103</v>
      </c>
      <c r="Q936" s="12" t="s">
        <v>36</v>
      </c>
      <c r="R936" s="12" t="s">
        <v>37</v>
      </c>
      <c r="S936" s="10" t="n">
        <v>1130101</v>
      </c>
      <c r="T936" s="12" t="s">
        <v>38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328</v>
      </c>
      <c r="F937" s="10" t="n">
        <v>34</v>
      </c>
      <c r="G937" s="12" t="s">
        <v>71</v>
      </c>
      <c r="H937" s="10" t="n">
        <v>2110101</v>
      </c>
      <c r="I937" s="12" t="s">
        <v>33</v>
      </c>
      <c r="J937" s="10" t="n">
        <v>1340368</v>
      </c>
      <c r="L937" s="10" t="n">
        <v>320</v>
      </c>
      <c r="M937" s="12" t="s">
        <v>41</v>
      </c>
      <c r="N937" s="12" t="s">
        <v>35</v>
      </c>
      <c r="P937" s="10" t="n">
        <v>103</v>
      </c>
      <c r="Q937" s="12" t="s">
        <v>36</v>
      </c>
      <c r="R937" s="12" t="s">
        <v>37</v>
      </c>
      <c r="S937" s="10" t="n">
        <v>1130101</v>
      </c>
      <c r="T937" s="12" t="s">
        <v>38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161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1348664</v>
      </c>
      <c r="L938" s="10" t="n">
        <v>519</v>
      </c>
      <c r="M938" s="12" t="s">
        <v>41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71</v>
      </c>
      <c r="H939" s="10" t="n">
        <v>2110101</v>
      </c>
      <c r="I939" s="12" t="s">
        <v>33</v>
      </c>
      <c r="J939" s="10" t="n">
        <v>1361611</v>
      </c>
      <c r="L939" s="10" t="n">
        <v>382</v>
      </c>
      <c r="M939" s="12" t="s">
        <v>41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782</v>
      </c>
      <c r="F940" s="10" t="n">
        <v>24</v>
      </c>
      <c r="G940" s="12" t="s">
        <v>32</v>
      </c>
      <c r="H940" s="10" t="n">
        <v>1110202</v>
      </c>
      <c r="I940" s="12" t="s">
        <v>285</v>
      </c>
      <c r="J940" s="10" t="n">
        <v>1364200</v>
      </c>
      <c r="L940" s="10" t="n">
        <v>563349</v>
      </c>
      <c r="M940" s="12" t="s">
        <v>41</v>
      </c>
      <c r="N940" s="12" t="s">
        <v>42</v>
      </c>
      <c r="P940" s="10" t="n">
        <v>101</v>
      </c>
      <c r="Q940" s="12" t="s">
        <v>84</v>
      </c>
      <c r="R940" s="12" t="s">
        <v>91</v>
      </c>
      <c r="S940" s="10" t="n">
        <v>4220199</v>
      </c>
      <c r="T940" s="12" t="s">
        <v>92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70</v>
      </c>
      <c r="F941" s="10" t="n">
        <v>13</v>
      </c>
      <c r="G941" s="12" t="s">
        <v>98</v>
      </c>
      <c r="H941" s="10" t="n">
        <v>2110101</v>
      </c>
      <c r="I941" s="12" t="s">
        <v>33</v>
      </c>
      <c r="J941" s="10" t="n">
        <v>1364558</v>
      </c>
      <c r="L941" s="10" t="n">
        <v>5263</v>
      </c>
      <c r="M941" s="12" t="s">
        <v>41</v>
      </c>
      <c r="N941" s="12" t="s">
        <v>35</v>
      </c>
      <c r="P941" s="10" t="n">
        <v>104</v>
      </c>
      <c r="Q941" s="12" t="s">
        <v>99</v>
      </c>
      <c r="R941" s="12" t="s">
        <v>37</v>
      </c>
      <c r="S941" s="10" t="n">
        <v>1130101</v>
      </c>
      <c r="T941" s="12" t="s">
        <v>38</v>
      </c>
      <c r="U941" s="13" t="n">
        <v>420</v>
      </c>
      <c r="W941" s="13" t="n">
        <v>420</v>
      </c>
      <c r="X941" s="12" t="s">
        <v>101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780</v>
      </c>
      <c r="F942" s="10" t="n">
        <v>34</v>
      </c>
      <c r="G942" s="12" t="s">
        <v>71</v>
      </c>
      <c r="H942" s="10" t="n">
        <v>1110202</v>
      </c>
      <c r="I942" s="12" t="s">
        <v>285</v>
      </c>
      <c r="J942" s="10" t="n">
        <v>1364634</v>
      </c>
      <c r="L942" s="10" t="n">
        <v>563499</v>
      </c>
      <c r="M942" s="12" t="s">
        <v>41</v>
      </c>
      <c r="N942" s="12" t="s">
        <v>42</v>
      </c>
      <c r="P942" s="10" t="n">
        <v>101</v>
      </c>
      <c r="Q942" s="12" t="s">
        <v>84</v>
      </c>
      <c r="R942" s="12" t="s">
        <v>91</v>
      </c>
      <c r="S942" s="10" t="n">
        <v>4220199</v>
      </c>
      <c r="T942" s="12" t="s">
        <v>92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70</v>
      </c>
      <c r="F943" s="10" t="n">
        <v>13</v>
      </c>
      <c r="G943" s="12" t="s">
        <v>98</v>
      </c>
      <c r="H943" s="10" t="n">
        <v>2110101</v>
      </c>
      <c r="I943" s="12" t="s">
        <v>33</v>
      </c>
      <c r="J943" s="10" t="n">
        <v>1364644</v>
      </c>
      <c r="L943" s="10" t="n">
        <v>5266</v>
      </c>
      <c r="M943" s="12" t="s">
        <v>41</v>
      </c>
      <c r="N943" s="12" t="s">
        <v>35</v>
      </c>
      <c r="P943" s="10" t="n">
        <v>104</v>
      </c>
      <c r="Q943" s="12" t="s">
        <v>99</v>
      </c>
      <c r="R943" s="12" t="s">
        <v>37</v>
      </c>
      <c r="S943" s="10" t="n">
        <v>1130101</v>
      </c>
      <c r="T943" s="12" t="s">
        <v>38</v>
      </c>
      <c r="U943" s="13" t="n">
        <v>280</v>
      </c>
      <c r="W943" s="13" t="n">
        <v>280</v>
      </c>
      <c r="X943" s="12" t="s">
        <v>101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71</v>
      </c>
      <c r="H944" s="10" t="n">
        <v>1110202</v>
      </c>
      <c r="I944" s="12" t="s">
        <v>285</v>
      </c>
      <c r="J944" s="10" t="n">
        <v>1364963</v>
      </c>
      <c r="L944" s="10" t="n">
        <v>563612</v>
      </c>
      <c r="M944" s="12" t="s">
        <v>41</v>
      </c>
      <c r="N944" s="12" t="s">
        <v>42</v>
      </c>
      <c r="P944" s="10" t="n">
        <v>101</v>
      </c>
      <c r="Q944" s="12" t="s">
        <v>84</v>
      </c>
      <c r="R944" s="12" t="s">
        <v>60</v>
      </c>
      <c r="S944" s="10" t="n">
        <v>4210228</v>
      </c>
      <c r="T944" s="12" t="s">
        <v>434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70</v>
      </c>
      <c r="F945" s="10" t="n">
        <v>34</v>
      </c>
      <c r="G945" s="12" t="s">
        <v>71</v>
      </c>
      <c r="H945" s="10" t="n">
        <v>2110101</v>
      </c>
      <c r="I945" s="12" t="s">
        <v>33</v>
      </c>
      <c r="J945" s="10" t="n">
        <v>1365603</v>
      </c>
      <c r="L945" s="10" t="n">
        <v>5267</v>
      </c>
      <c r="M945" s="12" t="s">
        <v>41</v>
      </c>
      <c r="N945" s="12" t="s">
        <v>35</v>
      </c>
      <c r="P945" s="10" t="n">
        <v>104</v>
      </c>
      <c r="Q945" s="12" t="s">
        <v>99</v>
      </c>
      <c r="R945" s="12" t="s">
        <v>37</v>
      </c>
      <c r="S945" s="10" t="n">
        <v>1130101</v>
      </c>
      <c r="T945" s="12" t="s">
        <v>38</v>
      </c>
      <c r="U945" s="13" t="n">
        <v>2171.29</v>
      </c>
      <c r="W945" s="13" t="n">
        <v>0</v>
      </c>
      <c r="X945" s="12" t="s">
        <v>172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168</v>
      </c>
      <c r="F946" s="10" t="n">
        <v>34</v>
      </c>
      <c r="G946" s="12" t="s">
        <v>71</v>
      </c>
      <c r="H946" s="10" t="n">
        <v>1110202</v>
      </c>
      <c r="I946" s="12" t="s">
        <v>285</v>
      </c>
      <c r="J946" s="10" t="n">
        <v>1366386</v>
      </c>
      <c r="L946" s="10" t="n">
        <v>564010</v>
      </c>
      <c r="M946" s="12" t="s">
        <v>41</v>
      </c>
      <c r="N946" s="12" t="s">
        <v>42</v>
      </c>
      <c r="P946" s="10" t="n">
        <v>101</v>
      </c>
      <c r="Q946" s="12" t="s">
        <v>84</v>
      </c>
      <c r="R946" s="12" t="s">
        <v>91</v>
      </c>
      <c r="S946" s="10" t="n">
        <v>4220199</v>
      </c>
      <c r="T946" s="12" t="s">
        <v>92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182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1057743</v>
      </c>
      <c r="L947" s="10" t="n">
        <v>10336</v>
      </c>
      <c r="M947" s="12" t="s">
        <v>234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189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1089077</v>
      </c>
      <c r="L948" s="10" t="n">
        <v>33621</v>
      </c>
      <c r="M948" s="12" t="s">
        <v>234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132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1227398</v>
      </c>
      <c r="L949" s="10" t="n">
        <v>20167</v>
      </c>
      <c r="M949" s="12" t="s">
        <v>128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130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1235524</v>
      </c>
      <c r="L950" s="10" t="n">
        <v>413874</v>
      </c>
      <c r="M950" s="12" t="s">
        <v>41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51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1235782</v>
      </c>
      <c r="L951" s="10" t="n">
        <v>1670627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193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1235909</v>
      </c>
      <c r="L952" s="10" t="n">
        <v>2291498</v>
      </c>
      <c r="M952" s="12" t="s">
        <v>128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1255986</v>
      </c>
      <c r="L953" s="10" t="n">
        <v>1890180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57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1256293</v>
      </c>
      <c r="L954" s="10" t="n">
        <v>727418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97</v>
      </c>
      <c r="F955" s="10" t="n">
        <v>34</v>
      </c>
      <c r="G955" s="12" t="s">
        <v>71</v>
      </c>
      <c r="H955" s="10" t="n">
        <v>2110101</v>
      </c>
      <c r="I955" s="12" t="s">
        <v>33</v>
      </c>
      <c r="J955" s="10" t="n">
        <v>1260992</v>
      </c>
      <c r="L955" s="10" t="n">
        <v>280</v>
      </c>
      <c r="M955" s="12" t="s">
        <v>41</v>
      </c>
      <c r="N955" s="12" t="s">
        <v>35</v>
      </c>
      <c r="P955" s="10" t="n">
        <v>104</v>
      </c>
      <c r="Q955" s="12" t="s">
        <v>99</v>
      </c>
      <c r="R955" s="12" t="s">
        <v>37</v>
      </c>
      <c r="S955" s="10" t="n">
        <v>1130101</v>
      </c>
      <c r="T955" s="12" t="s">
        <v>38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1265083</v>
      </c>
      <c r="L956" s="10" t="n">
        <v>33133</v>
      </c>
      <c r="M956" s="12" t="s">
        <v>34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134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1265272</v>
      </c>
      <c r="L957" s="10" t="n">
        <v>674269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753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1265872</v>
      </c>
      <c r="L958" s="10" t="n">
        <v>193491</v>
      </c>
      <c r="M958" s="12" t="s">
        <v>34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195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1268785</v>
      </c>
      <c r="L959" s="10" t="n">
        <v>844855</v>
      </c>
      <c r="M959" s="12" t="s">
        <v>34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68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1269369</v>
      </c>
      <c r="L960" s="10" t="n">
        <v>3203776</v>
      </c>
      <c r="M960" s="12" t="s">
        <v>41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68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1269420</v>
      </c>
      <c r="L961" s="10" t="n">
        <v>3203774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68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1269778</v>
      </c>
      <c r="L962" s="10" t="n">
        <v>3203775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40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1269874</v>
      </c>
      <c r="L963" s="10" t="n">
        <v>309639</v>
      </c>
      <c r="M963" s="12" t="s">
        <v>34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208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1290083</v>
      </c>
      <c r="L964" s="10" t="n">
        <v>1598766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146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1293719</v>
      </c>
      <c r="L965" s="10" t="n">
        <v>1375586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1299496</v>
      </c>
      <c r="L966" s="10" t="n">
        <v>256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1300387</v>
      </c>
      <c r="L967" s="10" t="n">
        <v>50625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248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1300399</v>
      </c>
      <c r="L968" s="10" t="n">
        <v>41693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551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1304557</v>
      </c>
      <c r="L969" s="10" t="n">
        <v>388860</v>
      </c>
      <c r="M969" s="12" t="s">
        <v>34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44</v>
      </c>
      <c r="F970" s="10" t="n">
        <v>24</v>
      </c>
      <c r="G970" s="12" t="s">
        <v>32</v>
      </c>
      <c r="H970" s="10" t="n">
        <v>2110101</v>
      </c>
      <c r="I970" s="12" t="s">
        <v>33</v>
      </c>
      <c r="J970" s="10" t="n">
        <v>1305258</v>
      </c>
      <c r="L970" s="10" t="n">
        <v>1892633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44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1305665</v>
      </c>
      <c r="L971" s="10" t="n">
        <v>1895761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44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1305728</v>
      </c>
      <c r="L972" s="10" t="n">
        <v>1895808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1306051</v>
      </c>
      <c r="L973" s="10" t="n">
        <v>28698</v>
      </c>
      <c r="M973" s="12" t="s">
        <v>34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208</v>
      </c>
      <c r="F974" s="10" t="n">
        <v>24</v>
      </c>
      <c r="G974" s="12" t="s">
        <v>32</v>
      </c>
      <c r="H974" s="10" t="n">
        <v>2110101</v>
      </c>
      <c r="I974" s="12" t="s">
        <v>33</v>
      </c>
      <c r="J974" s="10" t="n">
        <v>1309293</v>
      </c>
      <c r="L974" s="10" t="n">
        <v>1600670</v>
      </c>
      <c r="M974" s="12" t="s">
        <v>41</v>
      </c>
      <c r="N974" s="12" t="s">
        <v>35</v>
      </c>
      <c r="P974" s="10" t="n">
        <v>103</v>
      </c>
      <c r="Q974" s="12" t="s">
        <v>36</v>
      </c>
      <c r="R974" s="12" t="s">
        <v>37</v>
      </c>
      <c r="S974" s="10" t="n">
        <v>1130101</v>
      </c>
      <c r="T974" s="12" t="s">
        <v>38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323</v>
      </c>
      <c r="F975" s="10" t="n">
        <v>24</v>
      </c>
      <c r="G975" s="12" t="s">
        <v>32</v>
      </c>
      <c r="H975" s="10" t="n">
        <v>2110101</v>
      </c>
      <c r="I975" s="12" t="s">
        <v>33</v>
      </c>
      <c r="J975" s="10" t="n">
        <v>1340407</v>
      </c>
      <c r="L975" s="10" t="n">
        <v>3942</v>
      </c>
      <c r="M975" s="12" t="s">
        <v>41</v>
      </c>
      <c r="N975" s="12" t="s">
        <v>35</v>
      </c>
      <c r="P975" s="10" t="n">
        <v>103</v>
      </c>
      <c r="Q975" s="12" t="s">
        <v>36</v>
      </c>
      <c r="R975" s="12" t="s">
        <v>37</v>
      </c>
      <c r="S975" s="10" t="n">
        <v>1130101</v>
      </c>
      <c r="T975" s="12" t="s">
        <v>38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74</v>
      </c>
      <c r="F976" s="10" t="n">
        <v>24</v>
      </c>
      <c r="G976" s="12" t="s">
        <v>32</v>
      </c>
      <c r="H976" s="10" t="n">
        <v>2110101</v>
      </c>
      <c r="I976" s="12" t="s">
        <v>33</v>
      </c>
      <c r="J976" s="10" t="n">
        <v>1343853</v>
      </c>
      <c r="L976" s="10" t="n">
        <v>694</v>
      </c>
      <c r="M976" s="12" t="s">
        <v>41</v>
      </c>
      <c r="N976" s="12" t="s">
        <v>35</v>
      </c>
      <c r="P976" s="10" t="n">
        <v>103</v>
      </c>
      <c r="Q976" s="12" t="s">
        <v>36</v>
      </c>
      <c r="R976" s="12" t="s">
        <v>37</v>
      </c>
      <c r="S976" s="10" t="n">
        <v>1130101</v>
      </c>
      <c r="T976" s="12" t="s">
        <v>38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74</v>
      </c>
      <c r="F977" s="10" t="n">
        <v>24</v>
      </c>
      <c r="G977" s="12" t="s">
        <v>32</v>
      </c>
      <c r="H977" s="10" t="n">
        <v>2110101</v>
      </c>
      <c r="I977" s="12" t="s">
        <v>33</v>
      </c>
      <c r="J977" s="10" t="n">
        <v>1343872</v>
      </c>
      <c r="L977" s="10" t="n">
        <v>695</v>
      </c>
      <c r="M977" s="12" t="s">
        <v>41</v>
      </c>
      <c r="N977" s="12" t="s">
        <v>35</v>
      </c>
      <c r="P977" s="10" t="n">
        <v>103</v>
      </c>
      <c r="Q977" s="12" t="s">
        <v>36</v>
      </c>
      <c r="R977" s="12" t="s">
        <v>37</v>
      </c>
      <c r="S977" s="10" t="n">
        <v>1130101</v>
      </c>
      <c r="T977" s="12" t="s">
        <v>38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74</v>
      </c>
      <c r="F978" s="10" t="n">
        <v>24</v>
      </c>
      <c r="G978" s="12" t="s">
        <v>32</v>
      </c>
      <c r="H978" s="10" t="n">
        <v>2110101</v>
      </c>
      <c r="I978" s="12" t="s">
        <v>33</v>
      </c>
      <c r="J978" s="10" t="n">
        <v>1343884</v>
      </c>
      <c r="L978" s="10" t="n">
        <v>692</v>
      </c>
      <c r="M978" s="12" t="s">
        <v>41</v>
      </c>
      <c r="N978" s="12" t="s">
        <v>35</v>
      </c>
      <c r="P978" s="10" t="n">
        <v>103</v>
      </c>
      <c r="Q978" s="12" t="s">
        <v>36</v>
      </c>
      <c r="R978" s="12" t="s">
        <v>37</v>
      </c>
      <c r="S978" s="10" t="n">
        <v>1130101</v>
      </c>
      <c r="T978" s="12" t="s">
        <v>38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328</v>
      </c>
      <c r="F979" s="10" t="n">
        <v>34</v>
      </c>
      <c r="G979" s="12" t="s">
        <v>71</v>
      </c>
      <c r="H979" s="10" t="n">
        <v>2110101</v>
      </c>
      <c r="I979" s="12" t="s">
        <v>33</v>
      </c>
      <c r="J979" s="10" t="n">
        <v>1345994</v>
      </c>
      <c r="L979" s="10" t="n">
        <v>321</v>
      </c>
      <c r="M979" s="12" t="s">
        <v>41</v>
      </c>
      <c r="N979" s="12" t="s">
        <v>35</v>
      </c>
      <c r="P979" s="10" t="n">
        <v>103</v>
      </c>
      <c r="Q979" s="12" t="s">
        <v>36</v>
      </c>
      <c r="R979" s="12" t="s">
        <v>37</v>
      </c>
      <c r="S979" s="10" t="n">
        <v>1130101</v>
      </c>
      <c r="T979" s="12" t="s">
        <v>38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311</v>
      </c>
      <c r="F980" s="10" t="n">
        <v>24</v>
      </c>
      <c r="G980" s="12" t="s">
        <v>32</v>
      </c>
      <c r="H980" s="10" t="n">
        <v>2110101</v>
      </c>
      <c r="I980" s="12" t="s">
        <v>33</v>
      </c>
      <c r="J980" s="10" t="n">
        <v>1348619</v>
      </c>
      <c r="L980" s="10" t="n">
        <v>885204</v>
      </c>
      <c r="M980" s="12" t="s">
        <v>41</v>
      </c>
      <c r="N980" s="12" t="s">
        <v>35</v>
      </c>
      <c r="P980" s="10" t="n">
        <v>103</v>
      </c>
      <c r="Q980" s="12" t="s">
        <v>36</v>
      </c>
      <c r="R980" s="12" t="s">
        <v>37</v>
      </c>
      <c r="S980" s="10" t="n">
        <v>1130101</v>
      </c>
      <c r="T980" s="12" t="s">
        <v>38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311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1348630</v>
      </c>
      <c r="L981" s="10" t="n">
        <v>885205</v>
      </c>
      <c r="M981" s="12" t="s">
        <v>41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311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1348651</v>
      </c>
      <c r="L982" s="10" t="n">
        <v>885206</v>
      </c>
      <c r="M982" s="12" t="s">
        <v>41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70</v>
      </c>
      <c r="F983" s="10" t="n">
        <v>34</v>
      </c>
      <c r="G983" s="12" t="s">
        <v>71</v>
      </c>
      <c r="H983" s="10" t="n">
        <v>2110101</v>
      </c>
      <c r="I983" s="12" t="s">
        <v>33</v>
      </c>
      <c r="J983" s="10" t="n">
        <v>1365711</v>
      </c>
      <c r="L983" s="10" t="n">
        <v>5268</v>
      </c>
      <c r="M983" s="12" t="s">
        <v>41</v>
      </c>
      <c r="N983" s="12" t="s">
        <v>35</v>
      </c>
      <c r="P983" s="10" t="n">
        <v>104</v>
      </c>
      <c r="Q983" s="12" t="s">
        <v>99</v>
      </c>
      <c r="R983" s="12" t="s">
        <v>37</v>
      </c>
      <c r="S983" s="10" t="n">
        <v>1130101</v>
      </c>
      <c r="T983" s="12" t="s">
        <v>38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221</v>
      </c>
      <c r="F984" s="10" t="n">
        <v>34</v>
      </c>
      <c r="G984" s="12" t="s">
        <v>71</v>
      </c>
      <c r="H984" s="10" t="n">
        <v>2110101</v>
      </c>
      <c r="I984" s="12" t="s">
        <v>33</v>
      </c>
      <c r="J984" s="10" t="n">
        <v>1365980</v>
      </c>
      <c r="L984" s="10" t="n">
        <v>14811</v>
      </c>
      <c r="M984" s="12" t="s">
        <v>41</v>
      </c>
      <c r="N984" s="12" t="s">
        <v>35</v>
      </c>
      <c r="P984" s="10" t="n">
        <v>104</v>
      </c>
      <c r="Q984" s="12" t="s">
        <v>99</v>
      </c>
      <c r="R984" s="12" t="s">
        <v>37</v>
      </c>
      <c r="S984" s="10" t="n">
        <v>1130101</v>
      </c>
      <c r="T984" s="12" t="s">
        <v>38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70</v>
      </c>
      <c r="F985" s="10" t="n">
        <v>34</v>
      </c>
      <c r="G985" s="12" t="s">
        <v>71</v>
      </c>
      <c r="H985" s="10" t="n">
        <v>2110101</v>
      </c>
      <c r="I985" s="12" t="s">
        <v>33</v>
      </c>
      <c r="J985" s="10" t="n">
        <v>1366094</v>
      </c>
      <c r="L985" s="10" t="n">
        <v>563907</v>
      </c>
      <c r="M985" s="12" t="s">
        <v>41</v>
      </c>
      <c r="N985" s="12" t="s">
        <v>42</v>
      </c>
      <c r="P985" s="10" t="n">
        <v>104</v>
      </c>
      <c r="Q985" s="12" t="s">
        <v>99</v>
      </c>
      <c r="R985" s="12" t="s">
        <v>37</v>
      </c>
      <c r="S985" s="10" t="n">
        <v>1130101</v>
      </c>
      <c r="T985" s="12" t="s">
        <v>38</v>
      </c>
      <c r="U985" s="13" t="n">
        <v>70</v>
      </c>
      <c r="W985" s="13" t="n">
        <v>0</v>
      </c>
      <c r="X985" s="12" t="s">
        <v>1044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97</v>
      </c>
      <c r="F986" s="10" t="n">
        <v>13</v>
      </c>
      <c r="G986" s="12" t="s">
        <v>98</v>
      </c>
      <c r="H986" s="10" t="n">
        <v>2110101</v>
      </c>
      <c r="I986" s="12" t="s">
        <v>33</v>
      </c>
      <c r="J986" s="10" t="n">
        <v>1370233</v>
      </c>
      <c r="L986" s="10" t="n">
        <v>351</v>
      </c>
      <c r="M986" s="12" t="s">
        <v>41</v>
      </c>
      <c r="N986" s="12" t="s">
        <v>35</v>
      </c>
      <c r="P986" s="10" t="n">
        <v>104</v>
      </c>
      <c r="Q986" s="12" t="s">
        <v>99</v>
      </c>
      <c r="R986" s="12" t="s">
        <v>37</v>
      </c>
      <c r="S986" s="10" t="n">
        <v>1130101</v>
      </c>
      <c r="T986" s="12" t="s">
        <v>38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899</v>
      </c>
      <c r="F987" s="10" t="n">
        <v>13</v>
      </c>
      <c r="G987" s="12" t="s">
        <v>98</v>
      </c>
      <c r="H987" s="10" t="n">
        <v>2110101</v>
      </c>
      <c r="I987" s="12" t="s">
        <v>33</v>
      </c>
      <c r="J987" s="10" t="n">
        <v>1370242</v>
      </c>
      <c r="L987" s="10" t="n">
        <v>514</v>
      </c>
      <c r="M987" s="12" t="s">
        <v>41</v>
      </c>
      <c r="N987" s="12" t="s">
        <v>35</v>
      </c>
      <c r="P987" s="10" t="n">
        <v>104</v>
      </c>
      <c r="Q987" s="12" t="s">
        <v>99</v>
      </c>
      <c r="R987" s="12" t="s">
        <v>37</v>
      </c>
      <c r="S987" s="10" t="n">
        <v>1130101</v>
      </c>
      <c r="T987" s="12" t="s">
        <v>38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782</v>
      </c>
      <c r="F988" s="10" t="n">
        <v>24</v>
      </c>
      <c r="G988" s="12" t="s">
        <v>32</v>
      </c>
      <c r="H988" s="10" t="n">
        <v>1110202</v>
      </c>
      <c r="I988" s="12" t="s">
        <v>285</v>
      </c>
      <c r="J988" s="10" t="n">
        <v>1449277</v>
      </c>
      <c r="L988" s="10" t="n">
        <v>596175</v>
      </c>
      <c r="M988" s="12" t="s">
        <v>41</v>
      </c>
      <c r="N988" s="12" t="s">
        <v>42</v>
      </c>
      <c r="P988" s="10" t="n">
        <v>102</v>
      </c>
      <c r="Q988" s="12" t="s">
        <v>107</v>
      </c>
      <c r="R988" s="12" t="s">
        <v>91</v>
      </c>
      <c r="S988" s="10" t="n">
        <v>4220199</v>
      </c>
      <c r="T988" s="12" t="s">
        <v>92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782</v>
      </c>
      <c r="F989" s="10" t="n">
        <v>24</v>
      </c>
      <c r="G989" s="12" t="s">
        <v>32</v>
      </c>
      <c r="H989" s="10" t="n">
        <v>1110202</v>
      </c>
      <c r="I989" s="12" t="s">
        <v>285</v>
      </c>
      <c r="J989" s="10" t="n">
        <v>1449277</v>
      </c>
      <c r="L989" s="10" t="n">
        <v>596175</v>
      </c>
      <c r="M989" s="12" t="s">
        <v>34</v>
      </c>
      <c r="N989" s="12" t="s">
        <v>42</v>
      </c>
      <c r="P989" s="10" t="n">
        <v>102</v>
      </c>
      <c r="Q989" s="12" t="s">
        <v>107</v>
      </c>
      <c r="R989" s="12" t="s">
        <v>91</v>
      </c>
      <c r="S989" s="10" t="n">
        <v>4220199</v>
      </c>
      <c r="T989" s="12" t="s">
        <v>92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182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1177308</v>
      </c>
      <c r="L990" s="10" t="n">
        <v>10643</v>
      </c>
      <c r="M990" s="12" t="s">
        <v>128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204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1261364</v>
      </c>
      <c r="L991" s="10" t="n">
        <v>1957890</v>
      </c>
      <c r="M991" s="12" t="s">
        <v>34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325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1261641</v>
      </c>
      <c r="L992" s="10" t="n">
        <v>8075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54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1262158</v>
      </c>
      <c r="L993" s="10" t="n">
        <v>878848</v>
      </c>
      <c r="M993" s="12" t="s">
        <v>34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371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1265932</v>
      </c>
      <c r="L994" s="10" t="n">
        <v>304776</v>
      </c>
      <c r="M994" s="12" t="s">
        <v>34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51</v>
      </c>
      <c r="F995" s="10" t="n">
        <v>24</v>
      </c>
      <c r="G995" s="12" t="s">
        <v>32</v>
      </c>
      <c r="H995" s="10" t="n">
        <v>2110101</v>
      </c>
      <c r="I995" s="12" t="s">
        <v>33</v>
      </c>
      <c r="J995" s="10" t="n">
        <v>1269204</v>
      </c>
      <c r="L995" s="10" t="n">
        <v>1675757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258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1278879</v>
      </c>
      <c r="L996" s="10" t="n">
        <v>1238549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68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1280604</v>
      </c>
      <c r="L997" s="10" t="n">
        <v>3204500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1062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1280916</v>
      </c>
      <c r="L998" s="10" t="n">
        <v>293860</v>
      </c>
      <c r="M998" s="12" t="s">
        <v>34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1305846</v>
      </c>
      <c r="L999" s="10" t="n">
        <v>311084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148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1309384</v>
      </c>
      <c r="L1000" s="10" t="n">
        <v>1899789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148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1309396</v>
      </c>
      <c r="L1001" s="10" t="n">
        <v>1175957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148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1309446</v>
      </c>
      <c r="L1002" s="10" t="n">
        <v>1174710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753</v>
      </c>
      <c r="F1003" s="10" t="n">
        <v>24</v>
      </c>
      <c r="G1003" s="12" t="s">
        <v>32</v>
      </c>
      <c r="H1003" s="10" t="n">
        <v>2110101</v>
      </c>
      <c r="I1003" s="12" t="s">
        <v>33</v>
      </c>
      <c r="J1003" s="10" t="n">
        <v>1310224</v>
      </c>
      <c r="L1003" s="10" t="n">
        <v>193797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70</v>
      </c>
      <c r="F1004" s="10" t="n">
        <v>34</v>
      </c>
      <c r="G1004" s="12" t="s">
        <v>71</v>
      </c>
      <c r="H1004" s="10" t="n">
        <v>2110101</v>
      </c>
      <c r="I1004" s="12" t="s">
        <v>33</v>
      </c>
      <c r="J1004" s="10" t="n">
        <v>1339711</v>
      </c>
      <c r="L1004" s="10" t="n">
        <v>5236</v>
      </c>
      <c r="M1004" s="12" t="s">
        <v>41</v>
      </c>
      <c r="N1004" s="12" t="s">
        <v>35</v>
      </c>
      <c r="P1004" s="10" t="n">
        <v>103</v>
      </c>
      <c r="Q1004" s="12" t="s">
        <v>36</v>
      </c>
      <c r="R1004" s="12" t="s">
        <v>37</v>
      </c>
      <c r="S1004" s="10" t="n">
        <v>1130101</v>
      </c>
      <c r="T1004" s="12" t="s">
        <v>38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155</v>
      </c>
      <c r="F1005" s="10" t="n">
        <v>24</v>
      </c>
      <c r="G1005" s="12" t="s">
        <v>32</v>
      </c>
      <c r="H1005" s="10" t="n">
        <v>2110101</v>
      </c>
      <c r="I1005" s="12" t="s">
        <v>33</v>
      </c>
      <c r="J1005" s="10" t="n">
        <v>1346072</v>
      </c>
      <c r="L1005" s="10" t="n">
        <v>3469</v>
      </c>
      <c r="M1005" s="12" t="s">
        <v>41</v>
      </c>
      <c r="N1005" s="12" t="s">
        <v>35</v>
      </c>
      <c r="P1005" s="10" t="n">
        <v>103</v>
      </c>
      <c r="Q1005" s="12" t="s">
        <v>36</v>
      </c>
      <c r="R1005" s="12" t="s">
        <v>37</v>
      </c>
      <c r="S1005" s="10" t="n">
        <v>1130101</v>
      </c>
      <c r="T1005" s="12" t="s">
        <v>38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278</v>
      </c>
      <c r="F1006" s="10" t="n">
        <v>24</v>
      </c>
      <c r="G1006" s="12" t="s">
        <v>32</v>
      </c>
      <c r="H1006" s="10" t="n">
        <v>2110101</v>
      </c>
      <c r="I1006" s="12" t="s">
        <v>33</v>
      </c>
      <c r="J1006" s="10" t="n">
        <v>1346095</v>
      </c>
      <c r="L1006" s="10" t="n">
        <v>31254</v>
      </c>
      <c r="M1006" s="12" t="s">
        <v>41</v>
      </c>
      <c r="N1006" s="12" t="s">
        <v>35</v>
      </c>
      <c r="P1006" s="10" t="n">
        <v>103</v>
      </c>
      <c r="Q1006" s="12" t="s">
        <v>36</v>
      </c>
      <c r="R1006" s="12" t="s">
        <v>37</v>
      </c>
      <c r="S1006" s="10" t="n">
        <v>1130101</v>
      </c>
      <c r="T1006" s="12" t="s">
        <v>38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688</v>
      </c>
      <c r="F1007" s="10" t="n">
        <v>24</v>
      </c>
      <c r="G1007" s="12" t="s">
        <v>32</v>
      </c>
      <c r="H1007" s="10" t="n">
        <v>2110101</v>
      </c>
      <c r="I1007" s="12" t="s">
        <v>33</v>
      </c>
      <c r="J1007" s="10" t="n">
        <v>1348502</v>
      </c>
      <c r="L1007" s="10" t="n">
        <v>595147</v>
      </c>
      <c r="M1007" s="12" t="s">
        <v>41</v>
      </c>
      <c r="N1007" s="12" t="s">
        <v>35</v>
      </c>
      <c r="P1007" s="10" t="n">
        <v>103</v>
      </c>
      <c r="Q1007" s="12" t="s">
        <v>36</v>
      </c>
      <c r="R1007" s="12" t="s">
        <v>37</v>
      </c>
      <c r="S1007" s="10" t="n">
        <v>1130101</v>
      </c>
      <c r="T1007" s="12" t="s">
        <v>38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74</v>
      </c>
      <c r="F1008" s="10" t="n">
        <v>24</v>
      </c>
      <c r="G1008" s="12" t="s">
        <v>32</v>
      </c>
      <c r="H1008" s="10" t="n">
        <v>2110101</v>
      </c>
      <c r="I1008" s="12" t="s">
        <v>33</v>
      </c>
      <c r="J1008" s="10" t="n">
        <v>1348846</v>
      </c>
      <c r="L1008" s="10" t="n">
        <v>697</v>
      </c>
      <c r="M1008" s="12" t="s">
        <v>41</v>
      </c>
      <c r="N1008" s="12" t="s">
        <v>35</v>
      </c>
      <c r="P1008" s="10" t="n">
        <v>103</v>
      </c>
      <c r="Q1008" s="12" t="s">
        <v>36</v>
      </c>
      <c r="R1008" s="12" t="s">
        <v>37</v>
      </c>
      <c r="S1008" s="10" t="n">
        <v>1130101</v>
      </c>
      <c r="T1008" s="12" t="s">
        <v>38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66</v>
      </c>
      <c r="F1009" s="10" t="n">
        <v>24</v>
      </c>
      <c r="G1009" s="12" t="s">
        <v>32</v>
      </c>
      <c r="H1009" s="10" t="n">
        <v>2110101</v>
      </c>
      <c r="I1009" s="12" t="s">
        <v>33</v>
      </c>
      <c r="J1009" s="10" t="n">
        <v>1360000</v>
      </c>
      <c r="L1009" s="10" t="n">
        <v>11381</v>
      </c>
      <c r="M1009" s="12" t="s">
        <v>41</v>
      </c>
      <c r="N1009" s="12" t="s">
        <v>35</v>
      </c>
      <c r="P1009" s="10" t="n">
        <v>103</v>
      </c>
      <c r="Q1009" s="12" t="s">
        <v>36</v>
      </c>
      <c r="R1009" s="12" t="s">
        <v>37</v>
      </c>
      <c r="S1009" s="10" t="n">
        <v>1130101</v>
      </c>
      <c r="T1009" s="12" t="s">
        <v>38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161</v>
      </c>
      <c r="F1010" s="10" t="n">
        <v>24</v>
      </c>
      <c r="G1010" s="12" t="s">
        <v>32</v>
      </c>
      <c r="H1010" s="10" t="n">
        <v>2110101</v>
      </c>
      <c r="I1010" s="12" t="s">
        <v>33</v>
      </c>
      <c r="J1010" s="10" t="n">
        <v>1370408</v>
      </c>
      <c r="L1010" s="10" t="n">
        <v>523</v>
      </c>
      <c r="M1010" s="12" t="s">
        <v>41</v>
      </c>
      <c r="N1010" s="12" t="s">
        <v>35</v>
      </c>
      <c r="P1010" s="10" t="n">
        <v>103</v>
      </c>
      <c r="Q1010" s="12" t="s">
        <v>36</v>
      </c>
      <c r="R1010" s="12" t="s">
        <v>37</v>
      </c>
      <c r="S1010" s="10" t="n">
        <v>1130101</v>
      </c>
      <c r="T1010" s="12" t="s">
        <v>38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770</v>
      </c>
      <c r="F1011" s="10" t="n">
        <v>24</v>
      </c>
      <c r="G1011" s="12" t="s">
        <v>32</v>
      </c>
      <c r="H1011" s="10" t="n">
        <v>2110101</v>
      </c>
      <c r="I1011" s="12" t="s">
        <v>33</v>
      </c>
      <c r="J1011" s="10" t="n">
        <v>1343917</v>
      </c>
      <c r="L1011" s="10" t="n">
        <v>1037</v>
      </c>
      <c r="M1011" s="12" t="s">
        <v>41</v>
      </c>
      <c r="N1011" s="12" t="s">
        <v>35</v>
      </c>
      <c r="P1011" s="10" t="n">
        <v>103</v>
      </c>
      <c r="Q1011" s="12" t="s">
        <v>36</v>
      </c>
      <c r="R1011" s="12" t="s">
        <v>37</v>
      </c>
      <c r="S1011" s="10" t="n">
        <v>1130101</v>
      </c>
      <c r="T1011" s="12" t="s">
        <v>38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71</v>
      </c>
      <c r="H1012" s="10" t="n">
        <v>2110101</v>
      </c>
      <c r="I1012" s="12" t="s">
        <v>33</v>
      </c>
      <c r="J1012" s="10" t="n">
        <v>1373781</v>
      </c>
      <c r="L1012" s="10" t="n">
        <v>384</v>
      </c>
      <c r="M1012" s="12" t="s">
        <v>41</v>
      </c>
      <c r="N1012" s="12" t="s">
        <v>35</v>
      </c>
      <c r="P1012" s="10" t="n">
        <v>103</v>
      </c>
      <c r="Q1012" s="12" t="s">
        <v>36</v>
      </c>
      <c r="R1012" s="12" t="s">
        <v>37</v>
      </c>
      <c r="S1012" s="10" t="n">
        <v>1130101</v>
      </c>
      <c r="T1012" s="12" t="s">
        <v>38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90</v>
      </c>
      <c r="F1013" s="10" t="n">
        <v>34</v>
      </c>
      <c r="G1013" s="12" t="s">
        <v>71</v>
      </c>
      <c r="H1013" s="10" t="n">
        <v>1110202</v>
      </c>
      <c r="I1013" s="12" t="s">
        <v>285</v>
      </c>
      <c r="J1013" s="10" t="n">
        <v>1374354</v>
      </c>
      <c r="L1013" s="10" t="n">
        <v>567235</v>
      </c>
      <c r="M1013" s="12" t="s">
        <v>41</v>
      </c>
      <c r="N1013" s="12" t="s">
        <v>42</v>
      </c>
      <c r="P1013" s="10" t="n">
        <v>101</v>
      </c>
      <c r="Q1013" s="12" t="s">
        <v>84</v>
      </c>
      <c r="R1013" s="12" t="s">
        <v>91</v>
      </c>
      <c r="S1013" s="10" t="n">
        <v>4220199</v>
      </c>
      <c r="T1013" s="12" t="s">
        <v>92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427</v>
      </c>
      <c r="F1014" s="10" t="n">
        <v>46</v>
      </c>
      <c r="G1014" s="12" t="s">
        <v>428</v>
      </c>
      <c r="H1014" s="10" t="n">
        <v>2110405</v>
      </c>
      <c r="I1014" s="12" t="s">
        <v>83</v>
      </c>
      <c r="J1014" s="10" t="n">
        <v>651504</v>
      </c>
      <c r="L1014" s="10" t="n">
        <v>287048</v>
      </c>
      <c r="M1014" s="12" t="s">
        <v>391</v>
      </c>
      <c r="N1014" s="12" t="s">
        <v>42</v>
      </c>
      <c r="P1014" s="10" t="n">
        <v>101</v>
      </c>
      <c r="Q1014" s="12" t="s">
        <v>84</v>
      </c>
      <c r="R1014" s="12" t="s">
        <v>91</v>
      </c>
      <c r="S1014" s="10" t="n">
        <v>4220199</v>
      </c>
      <c r="T1014" s="12" t="s">
        <v>92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433</v>
      </c>
      <c r="F1015" s="10" t="n">
        <v>46</v>
      </c>
      <c r="G1015" s="12" t="s">
        <v>428</v>
      </c>
      <c r="H1015" s="10" t="n">
        <v>2110405</v>
      </c>
      <c r="I1015" s="12" t="s">
        <v>83</v>
      </c>
      <c r="J1015" s="10" t="n">
        <v>722109</v>
      </c>
      <c r="L1015" s="10" t="n">
        <v>98825</v>
      </c>
      <c r="M1015" s="12" t="s">
        <v>394</v>
      </c>
      <c r="N1015" s="12" t="s">
        <v>42</v>
      </c>
      <c r="P1015" s="10" t="n">
        <v>101</v>
      </c>
      <c r="Q1015" s="12" t="s">
        <v>84</v>
      </c>
      <c r="R1015" s="12" t="s">
        <v>60</v>
      </c>
      <c r="S1015" s="10" t="n">
        <v>4210228</v>
      </c>
      <c r="T1015" s="12" t="s">
        <v>434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433</v>
      </c>
      <c r="F1016" s="10" t="n">
        <v>46</v>
      </c>
      <c r="G1016" s="12" t="s">
        <v>428</v>
      </c>
      <c r="H1016" s="10" t="n">
        <v>2110405</v>
      </c>
      <c r="I1016" s="12" t="s">
        <v>83</v>
      </c>
      <c r="J1016" s="10" t="n">
        <v>794811</v>
      </c>
      <c r="L1016" s="10" t="n">
        <v>343084</v>
      </c>
      <c r="M1016" s="12" t="s">
        <v>394</v>
      </c>
      <c r="N1016" s="12" t="s">
        <v>42</v>
      </c>
      <c r="P1016" s="10" t="n">
        <v>101</v>
      </c>
      <c r="Q1016" s="12" t="s">
        <v>84</v>
      </c>
      <c r="R1016" s="12" t="s">
        <v>60</v>
      </c>
      <c r="S1016" s="10" t="n">
        <v>4210226</v>
      </c>
      <c r="T1016" s="12" t="s">
        <v>438</v>
      </c>
      <c r="U1016" s="13" t="n">
        <v>192.46</v>
      </c>
      <c r="W1016" s="13" t="n">
        <v>0</v>
      </c>
      <c r="X1016" s="12" t="s">
        <v>439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433</v>
      </c>
      <c r="F1017" s="10" t="n">
        <v>46</v>
      </c>
      <c r="G1017" s="12" t="s">
        <v>428</v>
      </c>
      <c r="H1017" s="10" t="n">
        <v>2110102</v>
      </c>
      <c r="I1017" s="12" t="s">
        <v>59</v>
      </c>
      <c r="J1017" s="10" t="n">
        <v>818388</v>
      </c>
      <c r="L1017" s="10" t="n">
        <v>100241</v>
      </c>
      <c r="M1017" s="12" t="s">
        <v>394</v>
      </c>
      <c r="N1017" s="12" t="s">
        <v>35</v>
      </c>
      <c r="P1017" s="10" t="n">
        <v>103</v>
      </c>
      <c r="Q1017" s="12" t="s">
        <v>36</v>
      </c>
      <c r="R1017" s="12" t="s">
        <v>60</v>
      </c>
      <c r="S1017" s="10" t="n">
        <v>4210204</v>
      </c>
      <c r="T1017" s="12" t="s">
        <v>61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274</v>
      </c>
      <c r="F1018" s="10" t="n">
        <v>46</v>
      </c>
      <c r="G1018" s="12" t="s">
        <v>428</v>
      </c>
      <c r="H1018" s="10" t="n">
        <v>2110405</v>
      </c>
      <c r="I1018" s="12" t="s">
        <v>83</v>
      </c>
      <c r="J1018" s="10" t="n">
        <v>927114</v>
      </c>
      <c r="L1018" s="10" t="n">
        <v>394484</v>
      </c>
      <c r="M1018" s="12" t="s">
        <v>394</v>
      </c>
      <c r="N1018" s="12" t="s">
        <v>42</v>
      </c>
      <c r="P1018" s="10" t="n">
        <v>101</v>
      </c>
      <c r="Q1018" s="12" t="s">
        <v>84</v>
      </c>
      <c r="R1018" s="12" t="s">
        <v>60</v>
      </c>
      <c r="S1018" s="10" t="n">
        <v>4210232</v>
      </c>
      <c r="T1018" s="12" t="s">
        <v>431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433</v>
      </c>
      <c r="F1019" s="10" t="n">
        <v>46</v>
      </c>
      <c r="G1019" s="12" t="s">
        <v>428</v>
      </c>
      <c r="H1019" s="10" t="n">
        <v>2110405</v>
      </c>
      <c r="I1019" s="12" t="s">
        <v>83</v>
      </c>
      <c r="J1019" s="10" t="n">
        <v>927300</v>
      </c>
      <c r="L1019" s="10" t="n">
        <v>99886</v>
      </c>
      <c r="M1019" s="12" t="s">
        <v>394</v>
      </c>
      <c r="N1019" s="12" t="s">
        <v>42</v>
      </c>
      <c r="P1019" s="10" t="n">
        <v>101</v>
      </c>
      <c r="Q1019" s="12" t="s">
        <v>84</v>
      </c>
      <c r="R1019" s="12" t="s">
        <v>60</v>
      </c>
      <c r="S1019" s="10" t="n">
        <v>4210228</v>
      </c>
      <c r="T1019" s="12" t="s">
        <v>434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451</v>
      </c>
      <c r="F1020" s="10" t="n">
        <v>46</v>
      </c>
      <c r="G1020" s="12" t="s">
        <v>428</v>
      </c>
      <c r="H1020" s="10" t="n">
        <v>2110405</v>
      </c>
      <c r="I1020" s="12" t="s">
        <v>83</v>
      </c>
      <c r="J1020" s="10" t="n">
        <v>993744</v>
      </c>
      <c r="L1020" s="10" t="n">
        <v>420093</v>
      </c>
      <c r="M1020" s="12" t="s">
        <v>128</v>
      </c>
      <c r="N1020" s="12" t="s">
        <v>42</v>
      </c>
      <c r="P1020" s="10" t="n">
        <v>101</v>
      </c>
      <c r="Q1020" s="12" t="s">
        <v>84</v>
      </c>
      <c r="R1020" s="12" t="s">
        <v>91</v>
      </c>
      <c r="S1020" s="10" t="n">
        <v>4220199</v>
      </c>
      <c r="T1020" s="12" t="s">
        <v>92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433</v>
      </c>
      <c r="F1021" s="10" t="n">
        <v>46</v>
      </c>
      <c r="G1021" s="12" t="s">
        <v>428</v>
      </c>
      <c r="H1021" s="10" t="n">
        <v>2110405</v>
      </c>
      <c r="I1021" s="12" t="s">
        <v>83</v>
      </c>
      <c r="J1021" s="10" t="n">
        <v>1014538</v>
      </c>
      <c r="L1021" s="10" t="n">
        <v>102658</v>
      </c>
      <c r="M1021" s="12" t="s">
        <v>34</v>
      </c>
      <c r="N1021" s="12" t="s">
        <v>42</v>
      </c>
      <c r="P1021" s="10" t="n">
        <v>101</v>
      </c>
      <c r="Q1021" s="12" t="s">
        <v>84</v>
      </c>
      <c r="R1021" s="12" t="s">
        <v>60</v>
      </c>
      <c r="S1021" s="10" t="n">
        <v>4210227</v>
      </c>
      <c r="T1021" s="12" t="s">
        <v>418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274</v>
      </c>
      <c r="F1022" s="10" t="n">
        <v>46</v>
      </c>
      <c r="G1022" s="12" t="s">
        <v>428</v>
      </c>
      <c r="H1022" s="10" t="n">
        <v>2110405</v>
      </c>
      <c r="I1022" s="12" t="s">
        <v>83</v>
      </c>
      <c r="J1022" s="10" t="n">
        <v>1085756</v>
      </c>
      <c r="L1022" s="10" t="n">
        <v>455404</v>
      </c>
      <c r="M1022" s="12" t="s">
        <v>128</v>
      </c>
      <c r="N1022" s="12" t="s">
        <v>42</v>
      </c>
      <c r="P1022" s="10" t="n">
        <v>101</v>
      </c>
      <c r="Q1022" s="12" t="s">
        <v>84</v>
      </c>
      <c r="R1022" s="12" t="s">
        <v>60</v>
      </c>
      <c r="S1022" s="10" t="n">
        <v>4210232</v>
      </c>
      <c r="T1022" s="12" t="s">
        <v>431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535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1162093</v>
      </c>
      <c r="L1023" s="10" t="n">
        <v>155121</v>
      </c>
      <c r="M1023" s="12" t="s">
        <v>234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428</v>
      </c>
      <c r="H1024" s="10" t="n">
        <v>2110405</v>
      </c>
      <c r="I1024" s="12" t="s">
        <v>83</v>
      </c>
      <c r="J1024" s="10" t="n">
        <v>1176247</v>
      </c>
      <c r="L1024" s="10" t="n">
        <v>490015</v>
      </c>
      <c r="M1024" s="12" t="s">
        <v>41</v>
      </c>
      <c r="N1024" s="12" t="s">
        <v>42</v>
      </c>
      <c r="P1024" s="10" t="n">
        <v>101</v>
      </c>
      <c r="Q1024" s="12" t="s">
        <v>84</v>
      </c>
      <c r="R1024" s="12" t="s">
        <v>60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428</v>
      </c>
      <c r="H1025" s="10" t="n">
        <v>2110405</v>
      </c>
      <c r="I1025" s="12" t="s">
        <v>83</v>
      </c>
      <c r="J1025" s="10" t="n">
        <v>1176263</v>
      </c>
      <c r="L1025" s="10" t="n">
        <v>2639</v>
      </c>
      <c r="M1025" s="12" t="s">
        <v>41</v>
      </c>
      <c r="N1025" s="12" t="s">
        <v>42</v>
      </c>
      <c r="P1025" s="10" t="n">
        <v>101</v>
      </c>
      <c r="Q1025" s="12" t="s">
        <v>84</v>
      </c>
      <c r="R1025" s="12" t="s">
        <v>60</v>
      </c>
      <c r="S1025" s="10" t="n">
        <v>4210227</v>
      </c>
      <c r="T1025" s="12" t="s">
        <v>418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441</v>
      </c>
      <c r="F1026" s="10" t="n">
        <v>46</v>
      </c>
      <c r="G1026" s="12" t="s">
        <v>428</v>
      </c>
      <c r="H1026" s="10" t="n">
        <v>2110405</v>
      </c>
      <c r="I1026" s="12" t="s">
        <v>83</v>
      </c>
      <c r="J1026" s="10" t="n">
        <v>1226797</v>
      </c>
      <c r="L1026" s="10" t="n">
        <v>5536</v>
      </c>
      <c r="M1026" s="12" t="s">
        <v>41</v>
      </c>
      <c r="N1026" s="12" t="s">
        <v>42</v>
      </c>
      <c r="P1026" s="10" t="n">
        <v>101</v>
      </c>
      <c r="Q1026" s="12" t="s">
        <v>84</v>
      </c>
      <c r="R1026" s="12" t="s">
        <v>60</v>
      </c>
      <c r="S1026" s="10" t="n">
        <v>4210226</v>
      </c>
      <c r="T1026" s="12" t="s">
        <v>438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451</v>
      </c>
      <c r="F1027" s="10" t="n">
        <v>46</v>
      </c>
      <c r="G1027" s="12" t="s">
        <v>428</v>
      </c>
      <c r="H1027" s="10" t="n">
        <v>2110405</v>
      </c>
      <c r="I1027" s="12" t="s">
        <v>83</v>
      </c>
      <c r="J1027" s="10" t="n">
        <v>1226802</v>
      </c>
      <c r="L1027" s="10" t="n">
        <v>21186</v>
      </c>
      <c r="M1027" s="12" t="s">
        <v>41</v>
      </c>
      <c r="N1027" s="12" t="s">
        <v>42</v>
      </c>
      <c r="P1027" s="10" t="n">
        <v>101</v>
      </c>
      <c r="Q1027" s="12" t="s">
        <v>84</v>
      </c>
      <c r="R1027" s="12" t="s">
        <v>60</v>
      </c>
      <c r="S1027" s="10" t="n">
        <v>4210228</v>
      </c>
      <c r="T1027" s="12" t="s">
        <v>434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441</v>
      </c>
      <c r="F1028" s="10" t="n">
        <v>46</v>
      </c>
      <c r="G1028" s="12" t="s">
        <v>428</v>
      </c>
      <c r="H1028" s="10" t="n">
        <v>2110405</v>
      </c>
      <c r="I1028" s="12" t="s">
        <v>83</v>
      </c>
      <c r="J1028" s="10" t="n">
        <v>1230688</v>
      </c>
      <c r="L1028" s="10" t="n">
        <v>5484</v>
      </c>
      <c r="M1028" s="12" t="s">
        <v>34</v>
      </c>
      <c r="N1028" s="12" t="s">
        <v>42</v>
      </c>
      <c r="P1028" s="10" t="n">
        <v>101</v>
      </c>
      <c r="Q1028" s="12" t="s">
        <v>84</v>
      </c>
      <c r="R1028" s="12" t="s">
        <v>60</v>
      </c>
      <c r="S1028" s="10" t="n">
        <v>4210205</v>
      </c>
      <c r="T1028" s="12" t="s">
        <v>442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428</v>
      </c>
      <c r="H1029" s="10" t="n">
        <v>2110405</v>
      </c>
      <c r="I1029" s="12" t="s">
        <v>83</v>
      </c>
      <c r="J1029" s="10" t="n">
        <v>1231737</v>
      </c>
      <c r="L1029" s="10" t="n">
        <v>1529878</v>
      </c>
      <c r="M1029" s="12" t="s">
        <v>41</v>
      </c>
      <c r="N1029" s="12" t="s">
        <v>42</v>
      </c>
      <c r="P1029" s="10" t="n">
        <v>101</v>
      </c>
      <c r="Q1029" s="12" t="s">
        <v>84</v>
      </c>
      <c r="R1029" s="12" t="s">
        <v>85</v>
      </c>
      <c r="S1029" s="10" t="n">
        <v>4210317</v>
      </c>
      <c r="T1029" s="12" t="s">
        <v>457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753</v>
      </c>
      <c r="F1030" s="10" t="n">
        <v>24</v>
      </c>
      <c r="G1030" s="12" t="s">
        <v>32</v>
      </c>
      <c r="H1030" s="10" t="n">
        <v>2110101</v>
      </c>
      <c r="I1030" s="12" t="s">
        <v>33</v>
      </c>
      <c r="J1030" s="10" t="n">
        <v>1256691</v>
      </c>
      <c r="L1030" s="10" t="n">
        <v>193354</v>
      </c>
      <c r="M1030" s="12" t="s">
        <v>128</v>
      </c>
      <c r="N1030" s="12" t="s">
        <v>35</v>
      </c>
      <c r="P1030" s="10" t="n">
        <v>103</v>
      </c>
      <c r="Q1030" s="12" t="s">
        <v>36</v>
      </c>
      <c r="R1030" s="12" t="s">
        <v>37</v>
      </c>
      <c r="S1030" s="10" t="n">
        <v>1130101</v>
      </c>
      <c r="T1030" s="12" t="s">
        <v>38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433</v>
      </c>
      <c r="F1031" s="10" t="n">
        <v>46</v>
      </c>
      <c r="G1031" s="12" t="s">
        <v>428</v>
      </c>
      <c r="H1031" s="10" t="n">
        <v>2110405</v>
      </c>
      <c r="I1031" s="12" t="s">
        <v>83</v>
      </c>
      <c r="J1031" s="10" t="n">
        <v>1270239</v>
      </c>
      <c r="L1031" s="10" t="n">
        <v>105747</v>
      </c>
      <c r="M1031" s="12" t="s">
        <v>41</v>
      </c>
      <c r="N1031" s="12" t="s">
        <v>42</v>
      </c>
      <c r="P1031" s="10" t="n">
        <v>101</v>
      </c>
      <c r="Q1031" s="12" t="s">
        <v>84</v>
      </c>
      <c r="R1031" s="12" t="s">
        <v>60</v>
      </c>
      <c r="S1031" s="10" t="n">
        <v>4210227</v>
      </c>
      <c r="T1031" s="12" t="s">
        <v>418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1273162</v>
      </c>
      <c r="L1032" s="10" t="n">
        <v>250257</v>
      </c>
      <c r="M1032" s="12" t="s">
        <v>41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722</v>
      </c>
      <c r="F1033" s="10" t="n">
        <v>24</v>
      </c>
      <c r="G1033" s="12" t="s">
        <v>32</v>
      </c>
      <c r="H1033" s="10" t="n">
        <v>2110405</v>
      </c>
      <c r="I1033" s="12" t="s">
        <v>83</v>
      </c>
      <c r="J1033" s="10" t="n">
        <v>1273703</v>
      </c>
      <c r="L1033" s="10" t="n">
        <v>528630</v>
      </c>
      <c r="M1033" s="12" t="s">
        <v>34</v>
      </c>
      <c r="N1033" s="12" t="s">
        <v>42</v>
      </c>
      <c r="P1033" s="10" t="n">
        <v>101</v>
      </c>
      <c r="Q1033" s="12" t="s">
        <v>84</v>
      </c>
      <c r="R1033" s="12" t="s">
        <v>123</v>
      </c>
      <c r="S1033" s="10" t="n">
        <v>1240203</v>
      </c>
      <c r="T1033" s="12" t="s">
        <v>124</v>
      </c>
      <c r="U1033" s="13" t="n">
        <v>666.67</v>
      </c>
      <c r="W1033" s="13" t="n">
        <v>0</v>
      </c>
      <c r="X1033" s="12" t="s">
        <v>723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722</v>
      </c>
      <c r="F1034" s="10" t="n">
        <v>24</v>
      </c>
      <c r="G1034" s="12" t="s">
        <v>32</v>
      </c>
      <c r="H1034" s="10" t="n">
        <v>2110405</v>
      </c>
      <c r="I1034" s="12" t="s">
        <v>83</v>
      </c>
      <c r="J1034" s="10" t="n">
        <v>1273723</v>
      </c>
      <c r="L1034" s="10" t="n">
        <v>528632</v>
      </c>
      <c r="M1034" s="12" t="s">
        <v>34</v>
      </c>
      <c r="N1034" s="12" t="s">
        <v>42</v>
      </c>
      <c r="P1034" s="10" t="n">
        <v>101</v>
      </c>
      <c r="Q1034" s="12" t="s">
        <v>84</v>
      </c>
      <c r="R1034" s="12" t="s">
        <v>91</v>
      </c>
      <c r="S1034" s="10" t="n">
        <v>4220199</v>
      </c>
      <c r="T1034" s="12" t="s">
        <v>92</v>
      </c>
      <c r="U1034" s="13" t="n">
        <v>2000</v>
      </c>
      <c r="W1034" s="13" t="n">
        <v>0</v>
      </c>
      <c r="X1034" s="12" t="s">
        <v>724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134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1280728</v>
      </c>
      <c r="L1035" s="10" t="n">
        <v>674930</v>
      </c>
      <c r="M1035" s="12" t="s">
        <v>34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258</v>
      </c>
      <c r="F1036" s="10" t="n">
        <v>24</v>
      </c>
      <c r="G1036" s="12" t="s">
        <v>32</v>
      </c>
      <c r="H1036" s="10" t="n">
        <v>2110101</v>
      </c>
      <c r="I1036" s="12" t="s">
        <v>33</v>
      </c>
      <c r="J1036" s="10" t="n">
        <v>1289301</v>
      </c>
      <c r="L1036" s="10" t="n">
        <v>1238958</v>
      </c>
      <c r="M1036" s="12" t="s">
        <v>34</v>
      </c>
      <c r="N1036" s="12" t="s">
        <v>35</v>
      </c>
      <c r="P1036" s="10" t="n">
        <v>103</v>
      </c>
      <c r="Q1036" s="12" t="s">
        <v>36</v>
      </c>
      <c r="R1036" s="12" t="s">
        <v>37</v>
      </c>
      <c r="S1036" s="10" t="n">
        <v>1130101</v>
      </c>
      <c r="T1036" s="12" t="s">
        <v>38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568</v>
      </c>
      <c r="F1037" s="10" t="n">
        <v>24</v>
      </c>
      <c r="G1037" s="12" t="s">
        <v>32</v>
      </c>
      <c r="H1037" s="10" t="n">
        <v>2110101</v>
      </c>
      <c r="I1037" s="12" t="s">
        <v>33</v>
      </c>
      <c r="J1037" s="10" t="n">
        <v>1289622</v>
      </c>
      <c r="L1037" s="10" t="n">
        <v>18761</v>
      </c>
      <c r="M1037" s="12" t="s">
        <v>128</v>
      </c>
      <c r="N1037" s="12" t="s">
        <v>35</v>
      </c>
      <c r="P1037" s="10" t="n">
        <v>103</v>
      </c>
      <c r="Q1037" s="12" t="s">
        <v>36</v>
      </c>
      <c r="R1037" s="12" t="s">
        <v>37</v>
      </c>
      <c r="S1037" s="10" t="n">
        <v>1130101</v>
      </c>
      <c r="T1037" s="12" t="s">
        <v>38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51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1309156</v>
      </c>
      <c r="L1038" s="10" t="n">
        <v>1681442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500</v>
      </c>
      <c r="F1039" s="10" t="n">
        <v>34</v>
      </c>
      <c r="G1039" s="12" t="s">
        <v>71</v>
      </c>
      <c r="H1039" s="10" t="n">
        <v>2110405</v>
      </c>
      <c r="I1039" s="12" t="s">
        <v>83</v>
      </c>
      <c r="J1039" s="10" t="n">
        <v>1309535</v>
      </c>
      <c r="L1039" s="10" t="n">
        <v>541980</v>
      </c>
      <c r="M1039" s="12" t="s">
        <v>234</v>
      </c>
      <c r="N1039" s="12" t="s">
        <v>42</v>
      </c>
      <c r="P1039" s="10" t="n">
        <v>101</v>
      </c>
      <c r="Q1039" s="12" t="s">
        <v>84</v>
      </c>
      <c r="R1039" s="12" t="s">
        <v>60</v>
      </c>
      <c r="S1039" s="10" t="n">
        <v>4210206</v>
      </c>
      <c r="T1039" s="12" t="s">
        <v>232</v>
      </c>
      <c r="U1039" s="13" t="n">
        <v>209.99</v>
      </c>
      <c r="W1039" s="13" t="n">
        <v>0</v>
      </c>
      <c r="X1039" s="12" t="s">
        <v>501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428</v>
      </c>
      <c r="H1040" s="10" t="n">
        <v>2110405</v>
      </c>
      <c r="I1040" s="12" t="s">
        <v>83</v>
      </c>
      <c r="J1040" s="10" t="n">
        <v>1309769</v>
      </c>
      <c r="L1040" s="10" t="n">
        <v>6022</v>
      </c>
      <c r="M1040" s="12" t="s">
        <v>41</v>
      </c>
      <c r="N1040" s="12" t="s">
        <v>42</v>
      </c>
      <c r="P1040" s="10" t="n">
        <v>101</v>
      </c>
      <c r="Q1040" s="12" t="s">
        <v>84</v>
      </c>
      <c r="R1040" s="12" t="s">
        <v>85</v>
      </c>
      <c r="S1040" s="10" t="n">
        <v>4210317</v>
      </c>
      <c r="T1040" s="12" t="s">
        <v>457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31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1312788</v>
      </c>
      <c r="L1041" s="10" t="n">
        <v>565012</v>
      </c>
      <c r="M1041" s="12" t="s">
        <v>34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1312870</v>
      </c>
      <c r="L1042" s="10" t="n">
        <v>2033</v>
      </c>
      <c r="M1042" s="12" t="s">
        <v>34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258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1322290</v>
      </c>
      <c r="L1043" s="10" t="n">
        <v>1241434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144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1322353</v>
      </c>
      <c r="L1044" s="10" t="n">
        <v>39625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325</v>
      </c>
      <c r="F1045" s="10" t="n">
        <v>24</v>
      </c>
      <c r="G1045" s="12" t="s">
        <v>32</v>
      </c>
      <c r="H1045" s="10" t="n">
        <v>2110102</v>
      </c>
      <c r="I1045" s="12" t="s">
        <v>59</v>
      </c>
      <c r="J1045" s="10" t="n">
        <v>1322709</v>
      </c>
      <c r="L1045" s="10" t="n">
        <v>8210</v>
      </c>
      <c r="M1045" s="12" t="s">
        <v>41</v>
      </c>
      <c r="N1045" s="12" t="s">
        <v>35</v>
      </c>
      <c r="P1045" s="10" t="n">
        <v>103</v>
      </c>
      <c r="Q1045" s="12" t="s">
        <v>36</v>
      </c>
      <c r="R1045" s="12" t="s">
        <v>60</v>
      </c>
      <c r="S1045" s="10" t="n">
        <v>4210204</v>
      </c>
      <c r="T1045" s="12" t="s">
        <v>61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428</v>
      </c>
      <c r="H1046" s="10" t="n">
        <v>2110405</v>
      </c>
      <c r="I1046" s="12" t="s">
        <v>83</v>
      </c>
      <c r="J1046" s="10" t="n">
        <v>1323766</v>
      </c>
      <c r="L1046" s="10" t="n">
        <v>4759</v>
      </c>
      <c r="M1046" s="12" t="s">
        <v>41</v>
      </c>
      <c r="N1046" s="12" t="s">
        <v>42</v>
      </c>
      <c r="P1046" s="10" t="n">
        <v>101</v>
      </c>
      <c r="Q1046" s="12" t="s">
        <v>84</v>
      </c>
      <c r="R1046" s="12" t="s">
        <v>60</v>
      </c>
      <c r="S1046" s="10" t="n">
        <v>4210228</v>
      </c>
      <c r="T1046" s="12" t="s">
        <v>434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325</v>
      </c>
      <c r="F1047" s="10" t="n">
        <v>24</v>
      </c>
      <c r="G1047" s="12" t="s">
        <v>32</v>
      </c>
      <c r="H1047" s="10" t="n">
        <v>2110101</v>
      </c>
      <c r="I1047" s="12" t="s">
        <v>33</v>
      </c>
      <c r="J1047" s="10" t="n">
        <v>1330337</v>
      </c>
      <c r="L1047" s="10" t="n">
        <v>8208</v>
      </c>
      <c r="M1047" s="12" t="s">
        <v>41</v>
      </c>
      <c r="N1047" s="12" t="s">
        <v>35</v>
      </c>
      <c r="P1047" s="10" t="n">
        <v>103</v>
      </c>
      <c r="Q1047" s="12" t="s">
        <v>36</v>
      </c>
      <c r="R1047" s="12" t="s">
        <v>37</v>
      </c>
      <c r="S1047" s="10" t="n">
        <v>1130101</v>
      </c>
      <c r="T1047" s="12" t="s">
        <v>38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568</v>
      </c>
      <c r="F1048" s="10" t="n">
        <v>24</v>
      </c>
      <c r="G1048" s="12" t="s">
        <v>32</v>
      </c>
      <c r="H1048" s="10" t="n">
        <v>2110101</v>
      </c>
      <c r="I1048" s="12" t="s">
        <v>33</v>
      </c>
      <c r="J1048" s="10" t="n">
        <v>1348708</v>
      </c>
      <c r="L1048" s="10" t="n">
        <v>19022</v>
      </c>
      <c r="M1048" s="12" t="s">
        <v>41</v>
      </c>
      <c r="N1048" s="12" t="s">
        <v>35</v>
      </c>
      <c r="P1048" s="10" t="n">
        <v>103</v>
      </c>
      <c r="Q1048" s="12" t="s">
        <v>36</v>
      </c>
      <c r="R1048" s="12" t="s">
        <v>37</v>
      </c>
      <c r="S1048" s="10" t="n">
        <v>1130101</v>
      </c>
      <c r="T1048" s="12" t="s">
        <v>38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211</v>
      </c>
      <c r="F1049" s="10" t="n">
        <v>24</v>
      </c>
      <c r="G1049" s="12" t="s">
        <v>32</v>
      </c>
      <c r="H1049" s="10" t="n">
        <v>2110101</v>
      </c>
      <c r="I1049" s="12" t="s">
        <v>33</v>
      </c>
      <c r="J1049" s="10" t="n">
        <v>1345941</v>
      </c>
      <c r="L1049" s="10" t="n">
        <v>14614</v>
      </c>
      <c r="M1049" s="12" t="s">
        <v>41</v>
      </c>
      <c r="N1049" s="12" t="s">
        <v>35</v>
      </c>
      <c r="P1049" s="10" t="n">
        <v>103</v>
      </c>
      <c r="Q1049" s="12" t="s">
        <v>36</v>
      </c>
      <c r="R1049" s="12" t="s">
        <v>37</v>
      </c>
      <c r="S1049" s="10" t="n">
        <v>1130101</v>
      </c>
      <c r="T1049" s="12" t="s">
        <v>38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66</v>
      </c>
      <c r="F1050" s="10" t="n">
        <v>24</v>
      </c>
      <c r="G1050" s="12" t="s">
        <v>32</v>
      </c>
      <c r="H1050" s="10" t="n">
        <v>2110101</v>
      </c>
      <c r="I1050" s="12" t="s">
        <v>33</v>
      </c>
      <c r="J1050" s="10" t="n">
        <v>1346045</v>
      </c>
      <c r="L1050" s="10" t="n">
        <v>11352</v>
      </c>
      <c r="M1050" s="12" t="s">
        <v>34</v>
      </c>
      <c r="N1050" s="12" t="s">
        <v>35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551</v>
      </c>
      <c r="F1051" s="10" t="n">
        <v>24</v>
      </c>
      <c r="G1051" s="12" t="s">
        <v>32</v>
      </c>
      <c r="H1051" s="10" t="n">
        <v>2110101</v>
      </c>
      <c r="I1051" s="12" t="s">
        <v>33</v>
      </c>
      <c r="J1051" s="10" t="n">
        <v>1348411</v>
      </c>
      <c r="L1051" s="10" t="n">
        <v>390550</v>
      </c>
      <c r="M1051" s="12" t="s">
        <v>41</v>
      </c>
      <c r="N1051" s="12" t="s">
        <v>35</v>
      </c>
      <c r="P1051" s="10" t="n">
        <v>103</v>
      </c>
      <c r="Q1051" s="12" t="s">
        <v>36</v>
      </c>
      <c r="R1051" s="12" t="s">
        <v>37</v>
      </c>
      <c r="S1051" s="10" t="n">
        <v>1130101</v>
      </c>
      <c r="T1051" s="12" t="s">
        <v>38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319</v>
      </c>
      <c r="F1052" s="10" t="n">
        <v>24</v>
      </c>
      <c r="G1052" s="12" t="s">
        <v>32</v>
      </c>
      <c r="H1052" s="10" t="n">
        <v>2110101</v>
      </c>
      <c r="I1052" s="12" t="s">
        <v>33</v>
      </c>
      <c r="J1052" s="10" t="n">
        <v>1348417</v>
      </c>
      <c r="L1052" s="10" t="n">
        <v>10235</v>
      </c>
      <c r="M1052" s="12" t="s">
        <v>41</v>
      </c>
      <c r="N1052" s="12" t="s">
        <v>35</v>
      </c>
      <c r="P1052" s="10" t="n">
        <v>103</v>
      </c>
      <c r="Q1052" s="12" t="s">
        <v>36</v>
      </c>
      <c r="R1052" s="12" t="s">
        <v>37</v>
      </c>
      <c r="S1052" s="10" t="n">
        <v>1130101</v>
      </c>
      <c r="T1052" s="12" t="s">
        <v>38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159</v>
      </c>
      <c r="F1053" s="10" t="n">
        <v>24</v>
      </c>
      <c r="G1053" s="12" t="s">
        <v>32</v>
      </c>
      <c r="H1053" s="10" t="n">
        <v>2110101</v>
      </c>
      <c r="I1053" s="12" t="s">
        <v>33</v>
      </c>
      <c r="J1053" s="10" t="n">
        <v>1348430</v>
      </c>
      <c r="L1053" s="10" t="n">
        <v>1030056</v>
      </c>
      <c r="M1053" s="12" t="s">
        <v>41</v>
      </c>
      <c r="N1053" s="12" t="s">
        <v>35</v>
      </c>
      <c r="P1053" s="10" t="n">
        <v>103</v>
      </c>
      <c r="Q1053" s="12" t="s">
        <v>36</v>
      </c>
      <c r="R1053" s="12" t="s">
        <v>37</v>
      </c>
      <c r="S1053" s="10" t="n">
        <v>1130101</v>
      </c>
      <c r="T1053" s="12" t="s">
        <v>38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201</v>
      </c>
      <c r="F1054" s="10" t="n">
        <v>24</v>
      </c>
      <c r="G1054" s="12" t="s">
        <v>32</v>
      </c>
      <c r="H1054" s="10" t="n">
        <v>2110101</v>
      </c>
      <c r="I1054" s="12" t="s">
        <v>33</v>
      </c>
      <c r="J1054" s="10" t="n">
        <v>1360393</v>
      </c>
      <c r="L1054" s="10" t="n">
        <v>1424401</v>
      </c>
      <c r="M1054" s="12" t="s">
        <v>41</v>
      </c>
      <c r="N1054" s="12" t="s">
        <v>35</v>
      </c>
      <c r="P1054" s="10" t="n">
        <v>103</v>
      </c>
      <c r="Q1054" s="12" t="s">
        <v>36</v>
      </c>
      <c r="R1054" s="12" t="s">
        <v>37</v>
      </c>
      <c r="S1054" s="10" t="n">
        <v>1130101</v>
      </c>
      <c r="T1054" s="12" t="s">
        <v>38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94</v>
      </c>
      <c r="F1055" s="10" t="n">
        <v>34</v>
      </c>
      <c r="G1055" s="12" t="s">
        <v>71</v>
      </c>
      <c r="H1055" s="10" t="n">
        <v>1110202</v>
      </c>
      <c r="I1055" s="12" t="s">
        <v>285</v>
      </c>
      <c r="J1055" s="10" t="n">
        <v>1376979</v>
      </c>
      <c r="L1055" s="10" t="n">
        <v>567695</v>
      </c>
      <c r="M1055" s="12" t="s">
        <v>41</v>
      </c>
      <c r="N1055" s="12" t="s">
        <v>42</v>
      </c>
      <c r="P1055" s="10" t="n">
        <v>101</v>
      </c>
      <c r="Q1055" s="12" t="s">
        <v>84</v>
      </c>
      <c r="R1055" s="12" t="s">
        <v>91</v>
      </c>
      <c r="S1055" s="10" t="n">
        <v>4220199</v>
      </c>
      <c r="T1055" s="12" t="s">
        <v>92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266</v>
      </c>
      <c r="F1056" s="10" t="n">
        <v>24</v>
      </c>
      <c r="G1056" s="12" t="s">
        <v>32</v>
      </c>
      <c r="H1056" s="10" t="n">
        <v>1110202</v>
      </c>
      <c r="I1056" s="12" t="s">
        <v>285</v>
      </c>
      <c r="J1056" s="10" t="n">
        <v>1377305</v>
      </c>
      <c r="L1056" s="10" t="n">
        <v>1244</v>
      </c>
      <c r="M1056" s="12" t="s">
        <v>41</v>
      </c>
      <c r="N1056" s="12" t="s">
        <v>42</v>
      </c>
      <c r="P1056" s="10" t="n">
        <v>101</v>
      </c>
      <c r="Q1056" s="12" t="s">
        <v>84</v>
      </c>
      <c r="R1056" s="12" t="s">
        <v>60</v>
      </c>
      <c r="S1056" s="10" t="n">
        <v>4210207</v>
      </c>
      <c r="T1056" s="12" t="s">
        <v>267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266</v>
      </c>
      <c r="F1057" s="10" t="n">
        <v>24</v>
      </c>
      <c r="G1057" s="12" t="s">
        <v>32</v>
      </c>
      <c r="H1057" s="10" t="n">
        <v>1110202</v>
      </c>
      <c r="I1057" s="12" t="s">
        <v>285</v>
      </c>
      <c r="J1057" s="10" t="n">
        <v>1377339</v>
      </c>
      <c r="L1057" s="10" t="n">
        <v>567698</v>
      </c>
      <c r="M1057" s="12" t="s">
        <v>41</v>
      </c>
      <c r="N1057" s="12" t="s">
        <v>42</v>
      </c>
      <c r="P1057" s="10" t="n">
        <v>101</v>
      </c>
      <c r="Q1057" s="12" t="s">
        <v>84</v>
      </c>
      <c r="R1057" s="12" t="s">
        <v>60</v>
      </c>
      <c r="S1057" s="10" t="n">
        <v>4210207</v>
      </c>
      <c r="T1057" s="12" t="s">
        <v>267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70</v>
      </c>
      <c r="F1058" s="10" t="n">
        <v>34</v>
      </c>
      <c r="G1058" s="12" t="s">
        <v>71</v>
      </c>
      <c r="H1058" s="10" t="n">
        <v>2110101</v>
      </c>
      <c r="I1058" s="12" t="s">
        <v>33</v>
      </c>
      <c r="J1058" s="10" t="n">
        <v>1377401</v>
      </c>
      <c r="L1058" s="10" t="n">
        <v>5288</v>
      </c>
      <c r="M1058" s="12" t="s">
        <v>41</v>
      </c>
      <c r="N1058" s="12" t="s">
        <v>35</v>
      </c>
      <c r="P1058" s="10" t="n">
        <v>104</v>
      </c>
      <c r="Q1058" s="12" t="s">
        <v>99</v>
      </c>
      <c r="R1058" s="12" t="s">
        <v>37</v>
      </c>
      <c r="S1058" s="10" t="n">
        <v>1130101</v>
      </c>
      <c r="T1058" s="12" t="s">
        <v>38</v>
      </c>
      <c r="U1058" s="13" t="n">
        <v>3482.02</v>
      </c>
      <c r="W1058" s="13" t="n">
        <v>0</v>
      </c>
      <c r="X1058" s="12" t="s">
        <v>172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568</v>
      </c>
      <c r="F1059" s="10" t="n">
        <v>34</v>
      </c>
      <c r="G1059" s="12" t="s">
        <v>71</v>
      </c>
      <c r="H1059" s="10" t="n">
        <v>1110202</v>
      </c>
      <c r="I1059" s="12" t="s">
        <v>285</v>
      </c>
      <c r="J1059" s="10" t="n">
        <v>1377444</v>
      </c>
      <c r="L1059" s="10" t="n">
        <v>19193</v>
      </c>
      <c r="M1059" s="12" t="s">
        <v>41</v>
      </c>
      <c r="N1059" s="12" t="s">
        <v>42</v>
      </c>
      <c r="P1059" s="10" t="n">
        <v>103</v>
      </c>
      <c r="Q1059" s="12" t="s">
        <v>36</v>
      </c>
      <c r="R1059" s="12" t="s">
        <v>37</v>
      </c>
      <c r="S1059" s="10" t="n">
        <v>1130101</v>
      </c>
      <c r="T1059" s="12" t="s">
        <v>38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451</v>
      </c>
      <c r="F1060" s="10" t="n">
        <v>46</v>
      </c>
      <c r="G1060" s="12" t="s">
        <v>428</v>
      </c>
      <c r="H1060" s="10" t="n">
        <v>1110202</v>
      </c>
      <c r="I1060" s="12" t="s">
        <v>285</v>
      </c>
      <c r="J1060" s="10" t="n">
        <v>1378055</v>
      </c>
      <c r="L1060" s="10" t="n">
        <v>568065</v>
      </c>
      <c r="M1060" s="12" t="s">
        <v>41</v>
      </c>
      <c r="N1060" s="12" t="s">
        <v>42</v>
      </c>
      <c r="P1060" s="10" t="n">
        <v>101</v>
      </c>
      <c r="Q1060" s="12" t="s">
        <v>84</v>
      </c>
      <c r="R1060" s="12" t="s">
        <v>60</v>
      </c>
      <c r="S1060" s="10" t="n">
        <v>4210227</v>
      </c>
      <c r="T1060" s="12" t="s">
        <v>418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90</v>
      </c>
      <c r="F1061" s="10" t="n">
        <v>46</v>
      </c>
      <c r="G1061" s="12" t="s">
        <v>428</v>
      </c>
      <c r="H1061" s="10" t="n">
        <v>1110202</v>
      </c>
      <c r="I1061" s="12" t="s">
        <v>285</v>
      </c>
      <c r="J1061" s="10" t="n">
        <v>1378230</v>
      </c>
      <c r="L1061" s="10" t="n">
        <v>568166</v>
      </c>
      <c r="M1061" s="12" t="s">
        <v>41</v>
      </c>
      <c r="N1061" s="12" t="s">
        <v>42</v>
      </c>
      <c r="P1061" s="10" t="n">
        <v>101</v>
      </c>
      <c r="Q1061" s="12" t="s">
        <v>84</v>
      </c>
      <c r="R1061" s="12" t="s">
        <v>91</v>
      </c>
      <c r="S1061" s="10" t="n">
        <v>4220199</v>
      </c>
      <c r="T1061" s="12" t="s">
        <v>92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451</v>
      </c>
      <c r="F1062" s="10" t="n">
        <v>46</v>
      </c>
      <c r="G1062" s="12" t="s">
        <v>428</v>
      </c>
      <c r="H1062" s="10" t="n">
        <v>1110202</v>
      </c>
      <c r="I1062" s="12" t="s">
        <v>285</v>
      </c>
      <c r="J1062" s="10" t="n">
        <v>1378338</v>
      </c>
      <c r="L1062" s="10" t="n">
        <v>206</v>
      </c>
      <c r="M1062" s="12" t="s">
        <v>41</v>
      </c>
      <c r="N1062" s="12" t="s">
        <v>42</v>
      </c>
      <c r="P1062" s="10" t="n">
        <v>101</v>
      </c>
      <c r="Q1062" s="12" t="s">
        <v>84</v>
      </c>
      <c r="R1062" s="12" t="s">
        <v>60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336</v>
      </c>
      <c r="F1063" s="10" t="n">
        <v>13</v>
      </c>
      <c r="G1063" s="12" t="s">
        <v>98</v>
      </c>
      <c r="H1063" s="10" t="n">
        <v>2110101</v>
      </c>
      <c r="I1063" s="12" t="s">
        <v>33</v>
      </c>
      <c r="J1063" s="10" t="n">
        <v>1381767</v>
      </c>
      <c r="L1063" s="10" t="n">
        <v>352</v>
      </c>
      <c r="M1063" s="12" t="s">
        <v>41</v>
      </c>
      <c r="N1063" s="12" t="s">
        <v>35</v>
      </c>
      <c r="P1063" s="10" t="n">
        <v>104</v>
      </c>
      <c r="Q1063" s="12" t="s">
        <v>99</v>
      </c>
      <c r="R1063" s="12" t="s">
        <v>37</v>
      </c>
      <c r="S1063" s="10" t="n">
        <v>1130101</v>
      </c>
      <c r="T1063" s="12" t="s">
        <v>38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428</v>
      </c>
      <c r="H1064" s="10" t="n">
        <v>1110202</v>
      </c>
      <c r="I1064" s="12" t="s">
        <v>285</v>
      </c>
      <c r="J1064" s="10" t="n">
        <v>1381895</v>
      </c>
      <c r="L1064" s="10" t="n">
        <v>570329</v>
      </c>
      <c r="M1064" s="12" t="s">
        <v>41</v>
      </c>
      <c r="N1064" s="12" t="s">
        <v>42</v>
      </c>
      <c r="P1064" s="10" t="n">
        <v>101</v>
      </c>
      <c r="Q1064" s="12" t="s">
        <v>84</v>
      </c>
      <c r="R1064" s="12" t="s">
        <v>60</v>
      </c>
      <c r="S1064" s="10" t="n">
        <v>4210227</v>
      </c>
      <c r="T1064" s="12" t="s">
        <v>418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490</v>
      </c>
      <c r="F1065" s="10" t="n">
        <v>46</v>
      </c>
      <c r="G1065" s="12" t="s">
        <v>428</v>
      </c>
      <c r="H1065" s="10" t="n">
        <v>1110202</v>
      </c>
      <c r="I1065" s="12" t="s">
        <v>285</v>
      </c>
      <c r="J1065" s="10" t="n">
        <v>1381903</v>
      </c>
      <c r="L1065" s="10" t="n">
        <v>570333</v>
      </c>
      <c r="M1065" s="12" t="s">
        <v>41</v>
      </c>
      <c r="N1065" s="12" t="s">
        <v>42</v>
      </c>
      <c r="P1065" s="10" t="n">
        <v>101</v>
      </c>
      <c r="Q1065" s="12" t="s">
        <v>84</v>
      </c>
      <c r="R1065" s="12" t="s">
        <v>60</v>
      </c>
      <c r="S1065" s="10" t="n">
        <v>4210209</v>
      </c>
      <c r="T1065" s="12" t="s">
        <v>491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490</v>
      </c>
      <c r="F1066" s="10" t="n">
        <v>46</v>
      </c>
      <c r="G1066" s="12" t="s">
        <v>428</v>
      </c>
      <c r="H1066" s="10" t="n">
        <v>1110202</v>
      </c>
      <c r="I1066" s="12" t="s">
        <v>285</v>
      </c>
      <c r="J1066" s="10" t="n">
        <v>1381910</v>
      </c>
      <c r="L1066" s="10" t="n">
        <v>570337</v>
      </c>
      <c r="M1066" s="12" t="s">
        <v>41</v>
      </c>
      <c r="N1066" s="12" t="s">
        <v>42</v>
      </c>
      <c r="P1066" s="10" t="n">
        <v>101</v>
      </c>
      <c r="Q1066" s="12" t="s">
        <v>84</v>
      </c>
      <c r="R1066" s="12" t="s">
        <v>60</v>
      </c>
      <c r="S1066" s="10" t="n">
        <v>4210209</v>
      </c>
      <c r="T1066" s="12" t="s">
        <v>491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490</v>
      </c>
      <c r="F1067" s="10" t="n">
        <v>46</v>
      </c>
      <c r="G1067" s="12" t="s">
        <v>428</v>
      </c>
      <c r="H1067" s="10" t="n">
        <v>1110202</v>
      </c>
      <c r="I1067" s="12" t="s">
        <v>285</v>
      </c>
      <c r="J1067" s="10" t="n">
        <v>1381916</v>
      </c>
      <c r="L1067" s="10" t="n">
        <v>570339</v>
      </c>
      <c r="M1067" s="12" t="s">
        <v>41</v>
      </c>
      <c r="N1067" s="12" t="s">
        <v>42</v>
      </c>
      <c r="P1067" s="10" t="n">
        <v>101</v>
      </c>
      <c r="Q1067" s="12" t="s">
        <v>84</v>
      </c>
      <c r="R1067" s="12" t="s">
        <v>60</v>
      </c>
      <c r="S1067" s="10" t="n">
        <v>4210209</v>
      </c>
      <c r="T1067" s="12" t="s">
        <v>491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472</v>
      </c>
      <c r="F1068" s="10" t="n">
        <v>46</v>
      </c>
      <c r="G1068" s="12" t="s">
        <v>428</v>
      </c>
      <c r="H1068" s="10" t="n">
        <v>1110202</v>
      </c>
      <c r="I1068" s="12" t="s">
        <v>285</v>
      </c>
      <c r="J1068" s="10" t="n">
        <v>1381930</v>
      </c>
      <c r="L1068" s="10" t="n">
        <v>570345</v>
      </c>
      <c r="M1068" s="12" t="s">
        <v>41</v>
      </c>
      <c r="N1068" s="12" t="s">
        <v>42</v>
      </c>
      <c r="P1068" s="10" t="n">
        <v>101</v>
      </c>
      <c r="Q1068" s="12" t="s">
        <v>84</v>
      </c>
      <c r="R1068" s="12" t="s">
        <v>60</v>
      </c>
      <c r="S1068" s="10" t="n">
        <v>4210208</v>
      </c>
      <c r="T1068" s="12" t="s">
        <v>473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428</v>
      </c>
      <c r="H1069" s="10" t="n">
        <v>1110202</v>
      </c>
      <c r="I1069" s="12" t="s">
        <v>285</v>
      </c>
      <c r="J1069" s="10" t="n">
        <v>1381942</v>
      </c>
      <c r="L1069" s="10" t="n">
        <v>570354</v>
      </c>
      <c r="M1069" s="12" t="s">
        <v>41</v>
      </c>
      <c r="N1069" s="12" t="s">
        <v>42</v>
      </c>
      <c r="P1069" s="10" t="n">
        <v>101</v>
      </c>
      <c r="Q1069" s="12" t="s">
        <v>84</v>
      </c>
      <c r="R1069" s="12" t="s">
        <v>60</v>
      </c>
      <c r="S1069" s="10" t="n">
        <v>4210228</v>
      </c>
      <c r="T1069" s="12" t="s">
        <v>434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469</v>
      </c>
      <c r="F1070" s="10" t="n">
        <v>46</v>
      </c>
      <c r="G1070" s="12" t="s">
        <v>428</v>
      </c>
      <c r="H1070" s="10" t="n">
        <v>1110202</v>
      </c>
      <c r="I1070" s="12" t="s">
        <v>285</v>
      </c>
      <c r="J1070" s="10" t="n">
        <v>1381951</v>
      </c>
      <c r="L1070" s="10" t="n">
        <v>570356</v>
      </c>
      <c r="M1070" s="12" t="s">
        <v>41</v>
      </c>
      <c r="N1070" s="12" t="s">
        <v>42</v>
      </c>
      <c r="P1070" s="10" t="n">
        <v>101</v>
      </c>
      <c r="Q1070" s="12" t="s">
        <v>84</v>
      </c>
      <c r="R1070" s="12" t="s">
        <v>60</v>
      </c>
      <c r="S1070" s="10" t="n">
        <v>4210227</v>
      </c>
      <c r="T1070" s="12" t="s">
        <v>418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490</v>
      </c>
      <c r="F1071" s="10" t="n">
        <v>46</v>
      </c>
      <c r="G1071" s="12" t="s">
        <v>428</v>
      </c>
      <c r="H1071" s="10" t="n">
        <v>1110202</v>
      </c>
      <c r="I1071" s="12" t="s">
        <v>285</v>
      </c>
      <c r="J1071" s="10" t="n">
        <v>1381953</v>
      </c>
      <c r="L1071" s="10" t="n">
        <v>570357</v>
      </c>
      <c r="M1071" s="12" t="s">
        <v>41</v>
      </c>
      <c r="N1071" s="12" t="s">
        <v>42</v>
      </c>
      <c r="P1071" s="10" t="n">
        <v>101</v>
      </c>
      <c r="Q1071" s="12" t="s">
        <v>84</v>
      </c>
      <c r="R1071" s="12" t="s">
        <v>60</v>
      </c>
      <c r="S1071" s="10" t="n">
        <v>4210209</v>
      </c>
      <c r="T1071" s="12" t="s">
        <v>491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490</v>
      </c>
      <c r="F1072" s="10" t="n">
        <v>46</v>
      </c>
      <c r="G1072" s="12" t="s">
        <v>428</v>
      </c>
      <c r="H1072" s="10" t="n">
        <v>1110202</v>
      </c>
      <c r="I1072" s="12" t="s">
        <v>285</v>
      </c>
      <c r="J1072" s="10" t="n">
        <v>1381954</v>
      </c>
      <c r="L1072" s="10" t="n">
        <v>570358</v>
      </c>
      <c r="M1072" s="12" t="s">
        <v>41</v>
      </c>
      <c r="N1072" s="12" t="s">
        <v>42</v>
      </c>
      <c r="P1072" s="10" t="n">
        <v>101</v>
      </c>
      <c r="Q1072" s="12" t="s">
        <v>84</v>
      </c>
      <c r="R1072" s="12" t="s">
        <v>60</v>
      </c>
      <c r="S1072" s="10" t="n">
        <v>4210209</v>
      </c>
      <c r="T1072" s="12" t="s">
        <v>491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495</v>
      </c>
      <c r="F1073" s="10" t="n">
        <v>46</v>
      </c>
      <c r="G1073" s="12" t="s">
        <v>428</v>
      </c>
      <c r="H1073" s="10" t="n">
        <v>1110202</v>
      </c>
      <c r="I1073" s="12" t="s">
        <v>285</v>
      </c>
      <c r="J1073" s="10" t="n">
        <v>1381960</v>
      </c>
      <c r="L1073" s="10" t="n">
        <v>570360</v>
      </c>
      <c r="M1073" s="12" t="s">
        <v>41</v>
      </c>
      <c r="N1073" s="12" t="s">
        <v>42</v>
      </c>
      <c r="P1073" s="10" t="n">
        <v>101</v>
      </c>
      <c r="Q1073" s="12" t="s">
        <v>84</v>
      </c>
      <c r="R1073" s="12" t="s">
        <v>60</v>
      </c>
      <c r="S1073" s="10" t="n">
        <v>4210226</v>
      </c>
      <c r="T1073" s="12" t="s">
        <v>438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490</v>
      </c>
      <c r="F1074" s="10" t="n">
        <v>46</v>
      </c>
      <c r="G1074" s="12" t="s">
        <v>428</v>
      </c>
      <c r="H1074" s="10" t="n">
        <v>1110202</v>
      </c>
      <c r="I1074" s="12" t="s">
        <v>285</v>
      </c>
      <c r="J1074" s="10" t="n">
        <v>1381964</v>
      </c>
      <c r="L1074" s="10" t="n">
        <v>570363</v>
      </c>
      <c r="M1074" s="12" t="s">
        <v>41</v>
      </c>
      <c r="N1074" s="12" t="s">
        <v>42</v>
      </c>
      <c r="P1074" s="10" t="n">
        <v>101</v>
      </c>
      <c r="Q1074" s="12" t="s">
        <v>84</v>
      </c>
      <c r="R1074" s="12" t="s">
        <v>60</v>
      </c>
      <c r="S1074" s="10" t="n">
        <v>4210209</v>
      </c>
      <c r="T1074" s="12" t="s">
        <v>491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428</v>
      </c>
      <c r="H1075" s="10" t="n">
        <v>1110202</v>
      </c>
      <c r="I1075" s="12" t="s">
        <v>285</v>
      </c>
      <c r="J1075" s="10" t="n">
        <v>1381978</v>
      </c>
      <c r="L1075" s="10" t="n">
        <v>570365</v>
      </c>
      <c r="M1075" s="12" t="s">
        <v>41</v>
      </c>
      <c r="N1075" s="12" t="s">
        <v>42</v>
      </c>
      <c r="P1075" s="10" t="n">
        <v>101</v>
      </c>
      <c r="Q1075" s="12" t="s">
        <v>84</v>
      </c>
      <c r="R1075" s="12" t="s">
        <v>60</v>
      </c>
      <c r="S1075" s="10" t="n">
        <v>4210228</v>
      </c>
      <c r="T1075" s="12" t="s">
        <v>434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428</v>
      </c>
      <c r="H1076" s="10" t="n">
        <v>2110405</v>
      </c>
      <c r="I1076" s="12" t="s">
        <v>83</v>
      </c>
      <c r="J1076" s="10" t="n">
        <v>1382032</v>
      </c>
      <c r="L1076" s="10" t="n">
        <v>570381</v>
      </c>
      <c r="M1076" s="12" t="s">
        <v>41</v>
      </c>
      <c r="N1076" s="12" t="s">
        <v>42</v>
      </c>
      <c r="P1076" s="10" t="n">
        <v>101</v>
      </c>
      <c r="Q1076" s="12" t="s">
        <v>84</v>
      </c>
      <c r="R1076" s="12" t="s">
        <v>91</v>
      </c>
      <c r="S1076" s="10" t="n">
        <v>4220199</v>
      </c>
      <c r="T1076" s="12" t="s">
        <v>92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864</v>
      </c>
      <c r="F1077" s="10" t="n">
        <v>37</v>
      </c>
      <c r="G1077" s="12" t="s">
        <v>1338</v>
      </c>
      <c r="H1077" s="10" t="n">
        <v>1110205</v>
      </c>
      <c r="I1077" s="12" t="s">
        <v>1339</v>
      </c>
      <c r="J1077" s="10" t="n">
        <v>1382108</v>
      </c>
      <c r="L1077" s="10" t="n">
        <v>570394</v>
      </c>
      <c r="M1077" s="12" t="s">
        <v>41</v>
      </c>
      <c r="N1077" s="12" t="s">
        <v>42</v>
      </c>
      <c r="P1077" s="10" t="n">
        <v>101</v>
      </c>
      <c r="Q1077" s="12" t="s">
        <v>84</v>
      </c>
      <c r="R1077" s="12" t="s">
        <v>225</v>
      </c>
      <c r="S1077" s="10" t="n">
        <v>1140104</v>
      </c>
      <c r="T1077" s="12" t="s">
        <v>1340</v>
      </c>
      <c r="U1077" s="13" t="n">
        <v>16.83</v>
      </c>
      <c r="W1077" s="13" t="n">
        <v>0</v>
      </c>
      <c r="X1077" s="12" t="s">
        <v>1341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168</v>
      </c>
      <c r="F1078" s="10" t="n">
        <v>34</v>
      </c>
      <c r="G1078" s="12" t="s">
        <v>71</v>
      </c>
      <c r="H1078" s="10" t="n">
        <v>1110202</v>
      </c>
      <c r="I1078" s="12" t="s">
        <v>285</v>
      </c>
      <c r="J1078" s="10" t="n">
        <v>1449094</v>
      </c>
      <c r="L1078" s="10" t="n">
        <v>596114</v>
      </c>
      <c r="M1078" s="12" t="s">
        <v>41</v>
      </c>
      <c r="N1078" s="12" t="s">
        <v>42</v>
      </c>
      <c r="P1078" s="10" t="n">
        <v>101</v>
      </c>
      <c r="Q1078" s="12" t="s">
        <v>84</v>
      </c>
      <c r="R1078" s="12" t="s">
        <v>91</v>
      </c>
      <c r="S1078" s="10" t="n">
        <v>4220199</v>
      </c>
      <c r="T1078" s="12" t="s">
        <v>92</v>
      </c>
      <c r="U1078" s="13" t="n">
        <v>6685.5</v>
      </c>
      <c r="W1078" s="13" t="n">
        <v>0</v>
      </c>
      <c r="X1078" s="12" t="s">
        <v>1342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643</v>
      </c>
      <c r="F1079" s="10" t="n">
        <v>45</v>
      </c>
      <c r="G1079" s="12" t="s">
        <v>1343</v>
      </c>
      <c r="H1079" s="10" t="n">
        <v>1110202</v>
      </c>
      <c r="I1079" s="12" t="s">
        <v>285</v>
      </c>
      <c r="J1079" s="10" t="n">
        <v>1449118</v>
      </c>
      <c r="L1079" s="10" t="n">
        <v>596131</v>
      </c>
      <c r="M1079" s="12" t="s">
        <v>41</v>
      </c>
      <c r="N1079" s="12" t="s">
        <v>42</v>
      </c>
      <c r="P1079" s="10" t="n">
        <v>101</v>
      </c>
      <c r="Q1079" s="12" t="s">
        <v>84</v>
      </c>
      <c r="R1079" s="12" t="s">
        <v>91</v>
      </c>
      <c r="S1079" s="10" t="n">
        <v>4220199</v>
      </c>
      <c r="T1079" s="12" t="s">
        <v>92</v>
      </c>
      <c r="U1079" s="13" t="n">
        <v>381.22</v>
      </c>
      <c r="W1079" s="13" t="n">
        <v>0</v>
      </c>
      <c r="X1079" s="12" t="s">
        <v>1344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106</v>
      </c>
      <c r="F1080" s="10" t="n">
        <v>34</v>
      </c>
      <c r="G1080" s="12" t="s">
        <v>71</v>
      </c>
      <c r="H1080" s="10" t="n">
        <v>1110202</v>
      </c>
      <c r="I1080" s="12" t="s">
        <v>285</v>
      </c>
      <c r="J1080" s="10" t="n">
        <v>1449141</v>
      </c>
      <c r="L1080" s="10" t="n">
        <v>596139</v>
      </c>
      <c r="M1080" s="12" t="s">
        <v>41</v>
      </c>
      <c r="N1080" s="12" t="s">
        <v>42</v>
      </c>
      <c r="P1080" s="10" t="n">
        <v>101</v>
      </c>
      <c r="Q1080" s="12" t="s">
        <v>84</v>
      </c>
      <c r="R1080" s="12" t="s">
        <v>108</v>
      </c>
      <c r="S1080" s="10" t="n">
        <v>4210502</v>
      </c>
      <c r="T1080" s="12" t="s">
        <v>901</v>
      </c>
      <c r="U1080" s="13" t="n">
        <v>2465.25</v>
      </c>
      <c r="W1080" s="13" t="n">
        <v>0</v>
      </c>
      <c r="X1080" s="12" t="s">
        <v>1345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643</v>
      </c>
      <c r="F1081" s="10" t="n">
        <v>34</v>
      </c>
      <c r="G1081" s="12" t="s">
        <v>71</v>
      </c>
      <c r="H1081" s="10" t="n">
        <v>1110202</v>
      </c>
      <c r="I1081" s="12" t="s">
        <v>285</v>
      </c>
      <c r="J1081" s="10" t="n">
        <v>1449151</v>
      </c>
      <c r="L1081" s="10" t="n">
        <v>596141</v>
      </c>
      <c r="M1081" s="12" t="s">
        <v>41</v>
      </c>
      <c r="N1081" s="12" t="s">
        <v>42</v>
      </c>
      <c r="P1081" s="10" t="n">
        <v>101</v>
      </c>
      <c r="Q1081" s="12" t="s">
        <v>84</v>
      </c>
      <c r="R1081" s="12" t="s">
        <v>91</v>
      </c>
      <c r="S1081" s="10" t="n">
        <v>4220199</v>
      </c>
      <c r="T1081" s="12" t="s">
        <v>92</v>
      </c>
      <c r="U1081" s="13" t="n">
        <v>9170</v>
      </c>
      <c r="W1081" s="13" t="n">
        <v>0</v>
      </c>
      <c r="X1081" s="12" t="s">
        <v>1346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82</v>
      </c>
      <c r="F1082" s="10" t="n">
        <v>34</v>
      </c>
      <c r="G1082" s="12" t="s">
        <v>71</v>
      </c>
      <c r="H1082" s="10" t="n">
        <v>1110202</v>
      </c>
      <c r="I1082" s="12" t="s">
        <v>285</v>
      </c>
      <c r="J1082" s="10" t="n">
        <v>1449200</v>
      </c>
      <c r="L1082" s="10" t="n">
        <v>596154</v>
      </c>
      <c r="M1082" s="12" t="s">
        <v>41</v>
      </c>
      <c r="N1082" s="12" t="s">
        <v>42</v>
      </c>
      <c r="P1082" s="10" t="n">
        <v>101</v>
      </c>
      <c r="Q1082" s="12" t="s">
        <v>84</v>
      </c>
      <c r="R1082" s="12" t="s">
        <v>85</v>
      </c>
      <c r="S1082" s="10" t="n">
        <v>4210301</v>
      </c>
      <c r="T1082" s="12" t="s">
        <v>295</v>
      </c>
      <c r="U1082" s="13" t="n">
        <v>2400</v>
      </c>
      <c r="W1082" s="13" t="n">
        <v>0</v>
      </c>
      <c r="X1082" s="12" t="s">
        <v>1347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54</v>
      </c>
      <c r="F1083" s="10" t="n">
        <v>24</v>
      </c>
      <c r="G1083" s="12" t="s">
        <v>32</v>
      </c>
      <c r="H1083" s="10" t="n">
        <v>2110101</v>
      </c>
      <c r="I1083" s="12" t="s">
        <v>33</v>
      </c>
      <c r="J1083" s="10" t="n">
        <v>1236106</v>
      </c>
      <c r="L1083" s="10" t="n">
        <v>877772</v>
      </c>
      <c r="M1083" s="12" t="s">
        <v>128</v>
      </c>
      <c r="N1083" s="12" t="s">
        <v>35</v>
      </c>
      <c r="P1083" s="10" t="n">
        <v>103</v>
      </c>
      <c r="Q1083" s="12" t="s">
        <v>36</v>
      </c>
      <c r="R1083" s="12" t="s">
        <v>37</v>
      </c>
      <c r="S1083" s="10" t="n">
        <v>1130101</v>
      </c>
      <c r="T1083" s="12" t="s">
        <v>38</v>
      </c>
      <c r="U1083" s="13" t="n">
        <v>376.07</v>
      </c>
      <c r="W1083" s="13" t="n">
        <v>0</v>
      </c>
      <c r="X1083" s="12" t="s">
        <v>1348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535</v>
      </c>
      <c r="F1084" s="10" t="n">
        <v>24</v>
      </c>
      <c r="G1084" s="12" t="s">
        <v>32</v>
      </c>
      <c r="H1084" s="10" t="n">
        <v>2110101</v>
      </c>
      <c r="I1084" s="12" t="s">
        <v>33</v>
      </c>
      <c r="J1084" s="10" t="n">
        <v>1293794</v>
      </c>
      <c r="L1084" s="10" t="n">
        <v>156818</v>
      </c>
      <c r="M1084" s="12" t="s">
        <v>41</v>
      </c>
      <c r="N1084" s="12" t="s">
        <v>35</v>
      </c>
      <c r="P1084" s="10" t="n">
        <v>103</v>
      </c>
      <c r="Q1084" s="12" t="s">
        <v>36</v>
      </c>
      <c r="R1084" s="12" t="s">
        <v>37</v>
      </c>
      <c r="S1084" s="10" t="n">
        <v>1130101</v>
      </c>
      <c r="T1084" s="12" t="s">
        <v>38</v>
      </c>
      <c r="U1084" s="13" t="n">
        <v>875.56</v>
      </c>
      <c r="W1084" s="13" t="n">
        <v>0</v>
      </c>
      <c r="X1084" s="12" t="s">
        <v>1349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148</v>
      </c>
      <c r="F1085" s="10" t="n">
        <v>24</v>
      </c>
      <c r="G1085" s="12" t="s">
        <v>32</v>
      </c>
      <c r="H1085" s="10" t="n">
        <v>2110101</v>
      </c>
      <c r="I1085" s="12" t="s">
        <v>33</v>
      </c>
      <c r="J1085" s="10" t="n">
        <v>1334185</v>
      </c>
      <c r="L1085" s="10" t="n">
        <v>1179702</v>
      </c>
      <c r="M1085" s="12" t="s">
        <v>41</v>
      </c>
      <c r="N1085" s="12" t="s">
        <v>35</v>
      </c>
      <c r="P1085" s="10" t="n">
        <v>103</v>
      </c>
      <c r="Q1085" s="12" t="s">
        <v>36</v>
      </c>
      <c r="R1085" s="12" t="s">
        <v>37</v>
      </c>
      <c r="S1085" s="10" t="n">
        <v>1130101</v>
      </c>
      <c r="T1085" s="12" t="s">
        <v>38</v>
      </c>
      <c r="U1085" s="13" t="n">
        <v>2217.35</v>
      </c>
      <c r="W1085" s="13" t="n">
        <v>0</v>
      </c>
      <c r="X1085" s="12" t="s">
        <v>1350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148</v>
      </c>
      <c r="F1086" s="10" t="n">
        <v>24</v>
      </c>
      <c r="G1086" s="12" t="s">
        <v>32</v>
      </c>
      <c r="H1086" s="10" t="n">
        <v>2110101</v>
      </c>
      <c r="I1086" s="12" t="s">
        <v>33</v>
      </c>
      <c r="J1086" s="10" t="n">
        <v>1334190</v>
      </c>
      <c r="L1086" s="10" t="n">
        <v>1905191</v>
      </c>
      <c r="M1086" s="12" t="s">
        <v>41</v>
      </c>
      <c r="N1086" s="12" t="s">
        <v>35</v>
      </c>
      <c r="P1086" s="10" t="n">
        <v>103</v>
      </c>
      <c r="Q1086" s="12" t="s">
        <v>36</v>
      </c>
      <c r="R1086" s="12" t="s">
        <v>37</v>
      </c>
      <c r="S1086" s="10" t="n">
        <v>1130101</v>
      </c>
      <c r="T1086" s="12" t="s">
        <v>38</v>
      </c>
      <c r="U1086" s="13" t="n">
        <v>2834.04</v>
      </c>
      <c r="W1086" s="13" t="n">
        <v>0</v>
      </c>
      <c r="X1086" s="12" t="s">
        <v>1351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264</v>
      </c>
      <c r="F1087" s="10" t="n">
        <v>24</v>
      </c>
      <c r="G1087" s="12" t="s">
        <v>32</v>
      </c>
      <c r="H1087" s="10" t="n">
        <v>2110101</v>
      </c>
      <c r="I1087" s="12" t="s">
        <v>33</v>
      </c>
      <c r="J1087" s="10" t="n">
        <v>1335893</v>
      </c>
      <c r="L1087" s="10" t="n">
        <v>172452</v>
      </c>
      <c r="M1087" s="12" t="s">
        <v>41</v>
      </c>
      <c r="N1087" s="12" t="s">
        <v>35</v>
      </c>
      <c r="P1087" s="10" t="n">
        <v>103</v>
      </c>
      <c r="Q1087" s="12" t="s">
        <v>36</v>
      </c>
      <c r="R1087" s="12" t="s">
        <v>37</v>
      </c>
      <c r="S1087" s="10" t="n">
        <v>1130101</v>
      </c>
      <c r="T1087" s="12" t="s">
        <v>38</v>
      </c>
      <c r="U1087" s="13" t="n">
        <v>5250</v>
      </c>
      <c r="W1087" s="13" t="n">
        <v>0</v>
      </c>
      <c r="X1087" s="12" t="s">
        <v>1352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211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1361386</v>
      </c>
      <c r="L1088" s="10" t="n">
        <v>14625</v>
      </c>
      <c r="M1088" s="12" t="s">
        <v>41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5611.52</v>
      </c>
      <c r="W1088" s="13" t="n">
        <v>0</v>
      </c>
      <c r="X1088" s="12" t="s">
        <v>1353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383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1364155</v>
      </c>
      <c r="L1089" s="10" t="n">
        <v>3003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1328.5</v>
      </c>
      <c r="W1089" s="13" t="n">
        <v>0</v>
      </c>
      <c r="X1089" s="12" t="s">
        <v>1354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321</v>
      </c>
      <c r="F1090" s="10" t="n">
        <v>24</v>
      </c>
      <c r="G1090" s="12" t="s">
        <v>32</v>
      </c>
      <c r="H1090" s="10" t="n">
        <v>2110102</v>
      </c>
      <c r="I1090" s="12" t="s">
        <v>59</v>
      </c>
      <c r="J1090" s="10" t="n">
        <v>1364180</v>
      </c>
      <c r="L1090" s="10" t="n">
        <v>3553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60</v>
      </c>
      <c r="S1090" s="10" t="n">
        <v>4210204</v>
      </c>
      <c r="T1090" s="12" t="s">
        <v>61</v>
      </c>
      <c r="U1090" s="13" t="n">
        <v>448.5</v>
      </c>
      <c r="W1090" s="13" t="n">
        <v>0</v>
      </c>
      <c r="X1090" s="12" t="s">
        <v>1355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1356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1366201</v>
      </c>
      <c r="L1091" s="10" t="n">
        <v>264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2812.19</v>
      </c>
      <c r="W1091" s="13" t="n">
        <v>0</v>
      </c>
      <c r="X1091" s="12" t="s">
        <v>1357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70</v>
      </c>
      <c r="F1092" s="10" t="n">
        <v>34</v>
      </c>
      <c r="G1092" s="12" t="s">
        <v>71</v>
      </c>
      <c r="H1092" s="10" t="n">
        <v>2110101</v>
      </c>
      <c r="I1092" s="12" t="s">
        <v>33</v>
      </c>
      <c r="J1092" s="10" t="n">
        <v>1377251</v>
      </c>
      <c r="L1092" s="10" t="n">
        <v>5287</v>
      </c>
      <c r="M1092" s="12" t="s">
        <v>41</v>
      </c>
      <c r="N1092" s="12" t="s">
        <v>35</v>
      </c>
      <c r="P1092" s="10" t="n">
        <v>104</v>
      </c>
      <c r="Q1092" s="12" t="s">
        <v>99</v>
      </c>
      <c r="R1092" s="12" t="s">
        <v>37</v>
      </c>
      <c r="S1092" s="10" t="n">
        <v>1130101</v>
      </c>
      <c r="T1092" s="12" t="s">
        <v>38</v>
      </c>
      <c r="U1092" s="13" t="n">
        <v>2719</v>
      </c>
      <c r="W1092" s="13" t="n">
        <v>0</v>
      </c>
      <c r="X1092" s="12" t="s">
        <v>1358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221</v>
      </c>
      <c r="F1093" s="10" t="n">
        <v>34</v>
      </c>
      <c r="G1093" s="12" t="s">
        <v>71</v>
      </c>
      <c r="H1093" s="10" t="n">
        <v>2110101</v>
      </c>
      <c r="I1093" s="12" t="s">
        <v>33</v>
      </c>
      <c r="J1093" s="10" t="n">
        <v>1377301</v>
      </c>
      <c r="L1093" s="10" t="n">
        <v>14834</v>
      </c>
      <c r="M1093" s="12" t="s">
        <v>41</v>
      </c>
      <c r="N1093" s="12" t="s">
        <v>35</v>
      </c>
      <c r="P1093" s="10" t="n">
        <v>104</v>
      </c>
      <c r="Q1093" s="12" t="s">
        <v>99</v>
      </c>
      <c r="R1093" s="12" t="s">
        <v>37</v>
      </c>
      <c r="S1093" s="10" t="n">
        <v>1130101</v>
      </c>
      <c r="T1093" s="12" t="s">
        <v>38</v>
      </c>
      <c r="U1093" s="13" t="n">
        <v>1120</v>
      </c>
      <c r="W1093" s="13" t="n">
        <v>0</v>
      </c>
      <c r="X1093" s="12" t="s">
        <v>1359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70</v>
      </c>
      <c r="F1094" s="10" t="n">
        <v>34</v>
      </c>
      <c r="G1094" s="12" t="s">
        <v>71</v>
      </c>
      <c r="H1094" s="10" t="n">
        <v>2110101</v>
      </c>
      <c r="I1094" s="12" t="s">
        <v>33</v>
      </c>
      <c r="J1094" s="10" t="n">
        <v>1377309</v>
      </c>
      <c r="L1094" s="10" t="n">
        <v>567696</v>
      </c>
      <c r="M1094" s="12" t="s">
        <v>41</v>
      </c>
      <c r="N1094" s="12" t="s">
        <v>42</v>
      </c>
      <c r="P1094" s="10" t="n">
        <v>104</v>
      </c>
      <c r="Q1094" s="12" t="s">
        <v>99</v>
      </c>
      <c r="R1094" s="12" t="s">
        <v>37</v>
      </c>
      <c r="S1094" s="10" t="n">
        <v>1130101</v>
      </c>
      <c r="T1094" s="12" t="s">
        <v>38</v>
      </c>
      <c r="U1094" s="13" t="n">
        <v>70</v>
      </c>
      <c r="W1094" s="13" t="n">
        <v>0</v>
      </c>
      <c r="X1094" s="12" t="s">
        <v>1044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519</v>
      </c>
      <c r="F1095" s="10" t="n">
        <v>24</v>
      </c>
      <c r="G1095" s="12" t="s">
        <v>32</v>
      </c>
      <c r="H1095" s="10" t="n">
        <v>1110202</v>
      </c>
      <c r="I1095" s="12" t="s">
        <v>285</v>
      </c>
      <c r="J1095" s="10" t="n">
        <v>1377335</v>
      </c>
      <c r="L1095" s="10" t="n">
        <v>567697</v>
      </c>
      <c r="M1095" s="12" t="s">
        <v>41</v>
      </c>
      <c r="N1095" s="12" t="s">
        <v>42</v>
      </c>
      <c r="P1095" s="10" t="n">
        <v>101</v>
      </c>
      <c r="Q1095" s="12" t="s">
        <v>84</v>
      </c>
      <c r="R1095" s="12" t="s">
        <v>85</v>
      </c>
      <c r="S1095" s="10" t="n">
        <v>4210311</v>
      </c>
      <c r="T1095" s="12" t="s">
        <v>301</v>
      </c>
      <c r="U1095" s="13" t="n">
        <v>126.03</v>
      </c>
      <c r="W1095" s="13" t="n">
        <v>0</v>
      </c>
      <c r="X1095" s="12" t="s">
        <v>1360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97</v>
      </c>
      <c r="F1096" s="10" t="n">
        <v>13</v>
      </c>
      <c r="G1096" s="12" t="s">
        <v>98</v>
      </c>
      <c r="H1096" s="10" t="n">
        <v>2110101</v>
      </c>
      <c r="I1096" s="12" t="s">
        <v>33</v>
      </c>
      <c r="J1096" s="10" t="n">
        <v>1396627</v>
      </c>
      <c r="L1096" s="10" t="n">
        <v>361</v>
      </c>
      <c r="M1096" s="12" t="s">
        <v>41</v>
      </c>
      <c r="N1096" s="12" t="s">
        <v>35</v>
      </c>
      <c r="P1096" s="10" t="n">
        <v>104</v>
      </c>
      <c r="Q1096" s="12" t="s">
        <v>99</v>
      </c>
      <c r="R1096" s="12" t="s">
        <v>37</v>
      </c>
      <c r="S1096" s="10" t="n">
        <v>1130101</v>
      </c>
      <c r="T1096" s="12" t="s">
        <v>38</v>
      </c>
      <c r="U1096" s="13" t="n">
        <v>405.5</v>
      </c>
      <c r="W1096" s="13" t="n">
        <v>0</v>
      </c>
      <c r="X1096" s="12" t="s">
        <v>1361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340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1279710</v>
      </c>
      <c r="L1097" s="10" t="n">
        <v>575595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628.56</v>
      </c>
      <c r="W1097" s="13" t="n">
        <v>0</v>
      </c>
      <c r="X1097" s="12" t="s">
        <v>1362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189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1291292</v>
      </c>
      <c r="L1098" s="10" t="n">
        <v>34212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1975</v>
      </c>
      <c r="W1098" s="13" t="n">
        <v>0</v>
      </c>
      <c r="X1098" s="12" t="s">
        <v>1363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373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1293749</v>
      </c>
      <c r="L1099" s="10" t="n">
        <v>11908</v>
      </c>
      <c r="M1099" s="12" t="s">
        <v>34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495.44</v>
      </c>
      <c r="W1099" s="13" t="n">
        <v>0</v>
      </c>
      <c r="X1099" s="12" t="s">
        <v>1364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264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1345749</v>
      </c>
      <c r="L1100" s="10" t="n">
        <v>172527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5723.8</v>
      </c>
      <c r="W1100" s="13" t="n">
        <v>0</v>
      </c>
      <c r="X1100" s="12" t="s">
        <v>1365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560</v>
      </c>
      <c r="F1101" s="10" t="n">
        <v>42</v>
      </c>
      <c r="G1101" s="12" t="s">
        <v>561</v>
      </c>
      <c r="H1101" s="10" t="n">
        <v>2110405</v>
      </c>
      <c r="I1101" s="12" t="s">
        <v>83</v>
      </c>
      <c r="J1101" s="10" t="n">
        <v>848843</v>
      </c>
      <c r="L1101" s="10" t="n">
        <v>363960</v>
      </c>
      <c r="M1101" s="12" t="s">
        <v>394</v>
      </c>
      <c r="N1101" s="12" t="s">
        <v>42</v>
      </c>
      <c r="P1101" s="10" t="n">
        <v>101</v>
      </c>
      <c r="Q1101" s="12" t="s">
        <v>84</v>
      </c>
      <c r="R1101" s="12" t="s">
        <v>91</v>
      </c>
      <c r="S1101" s="10" t="n">
        <v>4220199</v>
      </c>
      <c r="T1101" s="12" t="s">
        <v>92</v>
      </c>
      <c r="U1101" s="13" t="n">
        <v>333.33</v>
      </c>
      <c r="W1101" s="13" t="n">
        <v>0</v>
      </c>
      <c r="X1101" s="12" t="s">
        <v>562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106</v>
      </c>
      <c r="F1102" s="10" t="n">
        <v>34</v>
      </c>
      <c r="G1102" s="12" t="s">
        <v>71</v>
      </c>
      <c r="H1102" s="10" t="n">
        <v>2110405</v>
      </c>
      <c r="I1102" s="12" t="s">
        <v>83</v>
      </c>
      <c r="J1102" s="10" t="n">
        <v>1137849</v>
      </c>
      <c r="L1102" s="10" t="n">
        <v>474941</v>
      </c>
      <c r="M1102" s="12" t="s">
        <v>34</v>
      </c>
      <c r="N1102" s="12" t="s">
        <v>42</v>
      </c>
      <c r="P1102" s="10" t="n">
        <v>101</v>
      </c>
      <c r="Q1102" s="12" t="s">
        <v>84</v>
      </c>
      <c r="R1102" s="12" t="s">
        <v>165</v>
      </c>
      <c r="S1102" s="10" t="n">
        <v>2110901</v>
      </c>
      <c r="T1102" s="12" t="s">
        <v>166</v>
      </c>
      <c r="U1102" s="13" t="n">
        <v>15770.14</v>
      </c>
      <c r="W1102" s="13" t="n">
        <v>0</v>
      </c>
      <c r="X1102" s="12" t="s">
        <v>1366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51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1256599</v>
      </c>
      <c r="L1103" s="10" t="n">
        <v>1672665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1878.71</v>
      </c>
      <c r="W1103" s="13" t="n">
        <v>0</v>
      </c>
      <c r="X1103" s="12" t="s">
        <v>1367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132</v>
      </c>
      <c r="F1104" s="10" t="n">
        <v>24</v>
      </c>
      <c r="G1104" s="12" t="s">
        <v>32</v>
      </c>
      <c r="H1104" s="10" t="n">
        <v>2110101</v>
      </c>
      <c r="I1104" s="12" t="s">
        <v>33</v>
      </c>
      <c r="J1104" s="10" t="n">
        <v>1273051</v>
      </c>
      <c r="L1104" s="10" t="n">
        <v>20498</v>
      </c>
      <c r="M1104" s="12" t="s">
        <v>41</v>
      </c>
      <c r="N1104" s="12" t="s">
        <v>35</v>
      </c>
      <c r="P1104" s="10" t="n">
        <v>103</v>
      </c>
      <c r="Q1104" s="12" t="s">
        <v>36</v>
      </c>
      <c r="R1104" s="12" t="s">
        <v>37</v>
      </c>
      <c r="S1104" s="10" t="n">
        <v>1130101</v>
      </c>
      <c r="T1104" s="12" t="s">
        <v>38</v>
      </c>
      <c r="U1104" s="13" t="n">
        <v>8427.06</v>
      </c>
      <c r="W1104" s="13" t="n">
        <v>0</v>
      </c>
      <c r="X1104" s="12" t="s">
        <v>1368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51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1279794</v>
      </c>
      <c r="L1105" s="10" t="n">
        <v>1677170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1680.21</v>
      </c>
      <c r="W1105" s="13" t="n">
        <v>0</v>
      </c>
      <c r="X1105" s="12" t="s">
        <v>1369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44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1291426</v>
      </c>
      <c r="L1106" s="10" t="n">
        <v>1894397</v>
      </c>
      <c r="M1106" s="12" t="s">
        <v>41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1035</v>
      </c>
      <c r="W1106" s="13" t="n">
        <v>0</v>
      </c>
      <c r="X1106" s="12" t="s">
        <v>1370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130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1294118</v>
      </c>
      <c r="L1107" s="10" t="n">
        <v>419583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1350.99</v>
      </c>
      <c r="W1107" s="13" t="n">
        <v>0</v>
      </c>
      <c r="X1107" s="12" t="s">
        <v>1371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517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1296431</v>
      </c>
      <c r="L1108" s="10" t="n">
        <v>646739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924.18</v>
      </c>
      <c r="W1108" s="13" t="n">
        <v>0</v>
      </c>
      <c r="X1108" s="12" t="s">
        <v>1372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311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1309766</v>
      </c>
      <c r="L1109" s="10" t="n">
        <v>875364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169.18</v>
      </c>
      <c r="W1109" s="13" t="n">
        <v>0</v>
      </c>
      <c r="X1109" s="12" t="s">
        <v>1373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311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1309771</v>
      </c>
      <c r="L1110" s="10" t="n">
        <v>875363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325.67</v>
      </c>
      <c r="W1110" s="13" t="n">
        <v>0</v>
      </c>
      <c r="X1110" s="12" t="s">
        <v>1374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54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1323112</v>
      </c>
      <c r="L1111" s="10" t="n">
        <v>882141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1326.94</v>
      </c>
      <c r="W1111" s="13" t="n">
        <v>0</v>
      </c>
      <c r="X1111" s="12" t="s">
        <v>1375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540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1329937</v>
      </c>
      <c r="L1112" s="10" t="n">
        <v>2524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663.81</v>
      </c>
      <c r="W1112" s="13" t="n">
        <v>0</v>
      </c>
      <c r="X1112" s="12" t="s">
        <v>1376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608</v>
      </c>
      <c r="F1113" s="10" t="n">
        <v>24</v>
      </c>
      <c r="G1113" s="12" t="s">
        <v>32</v>
      </c>
      <c r="H1113" s="10" t="n">
        <v>2110102</v>
      </c>
      <c r="I1113" s="12" t="s">
        <v>59</v>
      </c>
      <c r="J1113" s="10" t="n">
        <v>1334239</v>
      </c>
      <c r="L1113" s="10" t="n">
        <v>280092</v>
      </c>
      <c r="M1113" s="12" t="s">
        <v>34</v>
      </c>
      <c r="N1113" s="12" t="s">
        <v>35</v>
      </c>
      <c r="P1113" s="10" t="n">
        <v>103</v>
      </c>
      <c r="Q1113" s="12" t="s">
        <v>36</v>
      </c>
      <c r="R1113" s="12" t="s">
        <v>60</v>
      </c>
      <c r="S1113" s="10" t="n">
        <v>4210204</v>
      </c>
      <c r="T1113" s="12" t="s">
        <v>61</v>
      </c>
      <c r="U1113" s="13" t="n">
        <v>288.85</v>
      </c>
      <c r="W1113" s="13" t="n">
        <v>0</v>
      </c>
      <c r="X1113" s="12" t="s">
        <v>1377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373</v>
      </c>
      <c r="F1114" s="10" t="n">
        <v>24</v>
      </c>
      <c r="G1114" s="12" t="s">
        <v>32</v>
      </c>
      <c r="H1114" s="10" t="n">
        <v>2110101</v>
      </c>
      <c r="I1114" s="12" t="s">
        <v>33</v>
      </c>
      <c r="J1114" s="10" t="n">
        <v>1334569</v>
      </c>
      <c r="L1114" s="10" t="n">
        <v>12051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1393.33</v>
      </c>
      <c r="W1114" s="13" t="n">
        <v>0</v>
      </c>
      <c r="X1114" s="12" t="s">
        <v>1378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66</v>
      </c>
      <c r="F1115" s="10" t="n">
        <v>24</v>
      </c>
      <c r="G1115" s="12" t="s">
        <v>32</v>
      </c>
      <c r="H1115" s="10" t="n">
        <v>2110101</v>
      </c>
      <c r="I1115" s="12" t="s">
        <v>33</v>
      </c>
      <c r="J1115" s="10" t="n">
        <v>1360000</v>
      </c>
      <c r="L1115" s="10" t="n">
        <v>11381</v>
      </c>
      <c r="M1115" s="12" t="s">
        <v>34</v>
      </c>
      <c r="N1115" s="12" t="s">
        <v>35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472.6</v>
      </c>
      <c r="W1115" s="13" t="n">
        <v>0</v>
      </c>
      <c r="X1115" s="12" t="s">
        <v>1379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78</v>
      </c>
      <c r="F1116" s="10" t="n">
        <v>24</v>
      </c>
      <c r="G1116" s="12" t="s">
        <v>32</v>
      </c>
      <c r="H1116" s="10" t="n">
        <v>2110101</v>
      </c>
      <c r="I1116" s="12" t="s">
        <v>33</v>
      </c>
      <c r="J1116" s="10" t="n">
        <v>1362011</v>
      </c>
      <c r="L1116" s="10" t="n">
        <v>15107</v>
      </c>
      <c r="M1116" s="12" t="s">
        <v>41</v>
      </c>
      <c r="N1116" s="12" t="s">
        <v>35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627</v>
      </c>
      <c r="W1116" s="13" t="n">
        <v>0</v>
      </c>
      <c r="X1116" s="12" t="s">
        <v>1380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74</v>
      </c>
      <c r="F1117" s="10" t="n">
        <v>24</v>
      </c>
      <c r="G1117" s="12" t="s">
        <v>32</v>
      </c>
      <c r="H1117" s="10" t="n">
        <v>2110101</v>
      </c>
      <c r="I1117" s="12" t="s">
        <v>33</v>
      </c>
      <c r="J1117" s="10" t="n">
        <v>1364144</v>
      </c>
      <c r="L1117" s="10" t="n">
        <v>700</v>
      </c>
      <c r="M1117" s="12" t="s">
        <v>41</v>
      </c>
      <c r="N1117" s="12" t="s">
        <v>35</v>
      </c>
      <c r="P1117" s="10" t="n">
        <v>103</v>
      </c>
      <c r="Q1117" s="12" t="s">
        <v>36</v>
      </c>
      <c r="R1117" s="12" t="s">
        <v>37</v>
      </c>
      <c r="S1117" s="10" t="n">
        <v>1130101</v>
      </c>
      <c r="T1117" s="12" t="s">
        <v>38</v>
      </c>
      <c r="U1117" s="13" t="n">
        <v>700</v>
      </c>
      <c r="W1117" s="13" t="n">
        <v>0</v>
      </c>
      <c r="X1117" s="12" t="s">
        <v>1381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74</v>
      </c>
      <c r="F1118" s="10" t="n">
        <v>24</v>
      </c>
      <c r="G1118" s="12" t="s">
        <v>32</v>
      </c>
      <c r="H1118" s="10" t="n">
        <v>2110101</v>
      </c>
      <c r="I1118" s="12" t="s">
        <v>33</v>
      </c>
      <c r="J1118" s="10" t="n">
        <v>1364147</v>
      </c>
      <c r="L1118" s="10" t="n">
        <v>699</v>
      </c>
      <c r="M1118" s="12" t="s">
        <v>41</v>
      </c>
      <c r="N1118" s="12" t="s">
        <v>35</v>
      </c>
      <c r="P1118" s="10" t="n">
        <v>103</v>
      </c>
      <c r="Q1118" s="12" t="s">
        <v>36</v>
      </c>
      <c r="R1118" s="12" t="s">
        <v>37</v>
      </c>
      <c r="S1118" s="10" t="n">
        <v>1130101</v>
      </c>
      <c r="T1118" s="12" t="s">
        <v>38</v>
      </c>
      <c r="U1118" s="13" t="n">
        <v>284.7</v>
      </c>
      <c r="W1118" s="13" t="n">
        <v>0</v>
      </c>
      <c r="X1118" s="12" t="s">
        <v>1382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321</v>
      </c>
      <c r="F1119" s="10" t="n">
        <v>24</v>
      </c>
      <c r="G1119" s="12" t="s">
        <v>32</v>
      </c>
      <c r="H1119" s="10" t="n">
        <v>2110101</v>
      </c>
      <c r="I1119" s="12" t="s">
        <v>33</v>
      </c>
      <c r="J1119" s="10" t="n">
        <v>1364168</v>
      </c>
      <c r="L1119" s="10" t="n">
        <v>3552</v>
      </c>
      <c r="M1119" s="12" t="s">
        <v>41</v>
      </c>
      <c r="N1119" s="12" t="s">
        <v>35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1584</v>
      </c>
      <c r="W1119" s="13" t="n">
        <v>0</v>
      </c>
      <c r="X1119" s="12" t="s">
        <v>1383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211</v>
      </c>
      <c r="F1120" s="10" t="n">
        <v>24</v>
      </c>
      <c r="G1120" s="12" t="s">
        <v>32</v>
      </c>
      <c r="H1120" s="10" t="n">
        <v>2110101</v>
      </c>
      <c r="I1120" s="12" t="s">
        <v>33</v>
      </c>
      <c r="J1120" s="10" t="n">
        <v>1364552</v>
      </c>
      <c r="L1120" s="10" t="n">
        <v>14636</v>
      </c>
      <c r="M1120" s="12" t="s">
        <v>41</v>
      </c>
      <c r="N1120" s="12" t="s">
        <v>35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1767.88</v>
      </c>
      <c r="W1120" s="13" t="n">
        <v>0</v>
      </c>
      <c r="X1120" s="12" t="s">
        <v>1384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319</v>
      </c>
      <c r="F1121" s="10" t="n">
        <v>24</v>
      </c>
      <c r="G1121" s="12" t="s">
        <v>32</v>
      </c>
      <c r="H1121" s="10" t="n">
        <v>2110101</v>
      </c>
      <c r="I1121" s="12" t="s">
        <v>33</v>
      </c>
      <c r="J1121" s="10" t="n">
        <v>1366378</v>
      </c>
      <c r="L1121" s="10" t="n">
        <v>10259</v>
      </c>
      <c r="M1121" s="12" t="s">
        <v>41</v>
      </c>
      <c r="N1121" s="12" t="s">
        <v>35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540</v>
      </c>
      <c r="W1121" s="13" t="n">
        <v>0</v>
      </c>
      <c r="X1121" s="12" t="s">
        <v>1385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70</v>
      </c>
      <c r="F1122" s="10" t="n">
        <v>34</v>
      </c>
      <c r="G1122" s="12" t="s">
        <v>71</v>
      </c>
      <c r="H1122" s="10" t="n">
        <v>2110101</v>
      </c>
      <c r="I1122" s="12" t="s">
        <v>33</v>
      </c>
      <c r="J1122" s="10" t="n">
        <v>1370221</v>
      </c>
      <c r="L1122" s="10" t="n">
        <v>5276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1295</v>
      </c>
      <c r="W1122" s="13" t="n">
        <v>0</v>
      </c>
      <c r="X1122" s="12" t="s">
        <v>1386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328</v>
      </c>
      <c r="F1123" s="10" t="n">
        <v>34</v>
      </c>
      <c r="G1123" s="12" t="s">
        <v>71</v>
      </c>
      <c r="H1123" s="10" t="n">
        <v>2110101</v>
      </c>
      <c r="I1123" s="12" t="s">
        <v>33</v>
      </c>
      <c r="J1123" s="10" t="n">
        <v>1373800</v>
      </c>
      <c r="L1123" s="10" t="n">
        <v>330</v>
      </c>
      <c r="M1123" s="12" t="s">
        <v>41</v>
      </c>
      <c r="N1123" s="12" t="s">
        <v>35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2745</v>
      </c>
      <c r="W1123" s="13" t="n">
        <v>0</v>
      </c>
      <c r="X1123" s="12" t="s">
        <v>1387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74</v>
      </c>
      <c r="F1124" s="10" t="n">
        <v>24</v>
      </c>
      <c r="G1124" s="12" t="s">
        <v>32</v>
      </c>
      <c r="H1124" s="10" t="n">
        <v>1110202</v>
      </c>
      <c r="I1124" s="12" t="s">
        <v>285</v>
      </c>
      <c r="J1124" s="10" t="n">
        <v>1374214</v>
      </c>
      <c r="L1124" s="10" t="n">
        <v>706</v>
      </c>
      <c r="M1124" s="12" t="s">
        <v>41</v>
      </c>
      <c r="N1124" s="12" t="s">
        <v>42</v>
      </c>
      <c r="P1124" s="10" t="n">
        <v>103</v>
      </c>
      <c r="Q1124" s="12" t="s">
        <v>36</v>
      </c>
      <c r="R1124" s="12" t="s">
        <v>37</v>
      </c>
      <c r="S1124" s="10" t="n">
        <v>1130101</v>
      </c>
      <c r="T1124" s="12" t="s">
        <v>38</v>
      </c>
      <c r="U1124" s="13" t="n">
        <v>697.1</v>
      </c>
      <c r="W1124" s="13" t="n">
        <v>0</v>
      </c>
      <c r="X1124" s="12" t="s">
        <v>1388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66</v>
      </c>
      <c r="F1125" s="10" t="n">
        <v>24</v>
      </c>
      <c r="G1125" s="12" t="s">
        <v>32</v>
      </c>
      <c r="H1125" s="10" t="n">
        <v>1110202</v>
      </c>
      <c r="I1125" s="12" t="s">
        <v>285</v>
      </c>
      <c r="J1125" s="10" t="n">
        <v>1376903</v>
      </c>
      <c r="L1125" s="10" t="n">
        <v>11400</v>
      </c>
      <c r="M1125" s="12" t="s">
        <v>41</v>
      </c>
      <c r="N1125" s="12" t="s">
        <v>42</v>
      </c>
      <c r="P1125" s="10" t="n">
        <v>103</v>
      </c>
      <c r="Q1125" s="12" t="s">
        <v>36</v>
      </c>
      <c r="R1125" s="12" t="s">
        <v>37</v>
      </c>
      <c r="S1125" s="10" t="n">
        <v>1130101</v>
      </c>
      <c r="T1125" s="12" t="s">
        <v>38</v>
      </c>
      <c r="U1125" s="13" t="n">
        <v>259.39</v>
      </c>
      <c r="W1125" s="13" t="n">
        <v>0</v>
      </c>
      <c r="X1125" s="12" t="s">
        <v>1389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106</v>
      </c>
      <c r="F1126" s="10" t="n">
        <v>42</v>
      </c>
      <c r="G1126" s="12" t="s">
        <v>561</v>
      </c>
      <c r="H1126" s="10" t="n">
        <v>1110202</v>
      </c>
      <c r="I1126" s="12" t="s">
        <v>285</v>
      </c>
      <c r="J1126" s="10" t="n">
        <v>1377362</v>
      </c>
      <c r="L1126" s="10" t="n">
        <v>567700</v>
      </c>
      <c r="M1126" s="12" t="s">
        <v>41</v>
      </c>
      <c r="N1126" s="12" t="s">
        <v>42</v>
      </c>
      <c r="P1126" s="10" t="n">
        <v>101</v>
      </c>
      <c r="Q1126" s="12" t="s">
        <v>84</v>
      </c>
      <c r="R1126" s="12" t="s">
        <v>91</v>
      </c>
      <c r="S1126" s="10" t="n">
        <v>4220199</v>
      </c>
      <c r="T1126" s="12" t="s">
        <v>92</v>
      </c>
      <c r="U1126" s="13" t="n">
        <v>233.35</v>
      </c>
      <c r="W1126" s="13" t="n">
        <v>0</v>
      </c>
      <c r="X1126" s="12" t="s">
        <v>1390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543</v>
      </c>
      <c r="F1127" s="10" t="n">
        <v>24</v>
      </c>
      <c r="G1127" s="12" t="s">
        <v>32</v>
      </c>
      <c r="H1127" s="10" t="n">
        <v>1110202</v>
      </c>
      <c r="I1127" s="12" t="s">
        <v>285</v>
      </c>
      <c r="J1127" s="10" t="n">
        <v>1377366</v>
      </c>
      <c r="L1127" s="10" t="n">
        <v>626</v>
      </c>
      <c r="M1127" s="12" t="s">
        <v>41</v>
      </c>
      <c r="N1127" s="12" t="s">
        <v>42</v>
      </c>
      <c r="P1127" s="10" t="n">
        <v>101</v>
      </c>
      <c r="Q1127" s="12" t="s">
        <v>84</v>
      </c>
      <c r="R1127" s="12" t="s">
        <v>290</v>
      </c>
      <c r="S1127" s="10" t="n">
        <v>4210112</v>
      </c>
      <c r="T1127" s="12" t="s">
        <v>544</v>
      </c>
      <c r="U1127" s="13" t="n">
        <v>21248.79</v>
      </c>
      <c r="W1127" s="13" t="n">
        <v>0</v>
      </c>
      <c r="X1127" s="12" t="s">
        <v>1391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568</v>
      </c>
      <c r="F1128" s="10" t="n">
        <v>34</v>
      </c>
      <c r="G1128" s="12" t="s">
        <v>71</v>
      </c>
      <c r="H1128" s="10" t="n">
        <v>1110202</v>
      </c>
      <c r="I1128" s="12" t="s">
        <v>285</v>
      </c>
      <c r="J1128" s="10" t="n">
        <v>1377371</v>
      </c>
      <c r="L1128" s="10" t="n">
        <v>53655</v>
      </c>
      <c r="M1128" s="12" t="s">
        <v>41</v>
      </c>
      <c r="N1128" s="12" t="s">
        <v>42</v>
      </c>
      <c r="P1128" s="10" t="n">
        <v>103</v>
      </c>
      <c r="Q1128" s="12" t="s">
        <v>36</v>
      </c>
      <c r="R1128" s="12" t="s">
        <v>37</v>
      </c>
      <c r="S1128" s="10" t="n">
        <v>1130101</v>
      </c>
      <c r="T1128" s="12" t="s">
        <v>38</v>
      </c>
      <c r="U1128" s="13" t="n">
        <v>952.56</v>
      </c>
      <c r="W1128" s="13" t="n">
        <v>0</v>
      </c>
      <c r="X1128" s="12" t="s">
        <v>1392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780</v>
      </c>
      <c r="F1129" s="10" t="n">
        <v>34</v>
      </c>
      <c r="G1129" s="12" t="s">
        <v>71</v>
      </c>
      <c r="H1129" s="10" t="n">
        <v>1110202</v>
      </c>
      <c r="I1129" s="12" t="s">
        <v>285</v>
      </c>
      <c r="J1129" s="10" t="n">
        <v>1381734</v>
      </c>
      <c r="L1129" s="10" t="n">
        <v>375</v>
      </c>
      <c r="M1129" s="12" t="s">
        <v>41</v>
      </c>
      <c r="N1129" s="12" t="s">
        <v>42</v>
      </c>
      <c r="P1129" s="10" t="n">
        <v>103</v>
      </c>
      <c r="Q1129" s="12" t="s">
        <v>36</v>
      </c>
      <c r="R1129" s="12" t="s">
        <v>37</v>
      </c>
      <c r="S1129" s="10" t="n">
        <v>1130101</v>
      </c>
      <c r="T1129" s="12" t="s">
        <v>38</v>
      </c>
      <c r="U1129" s="13" t="n">
        <v>460</v>
      </c>
      <c r="W1129" s="13" t="n">
        <v>0</v>
      </c>
      <c r="X1129" s="12" t="s">
        <v>1393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74</v>
      </c>
      <c r="F1130" s="10" t="n">
        <v>24</v>
      </c>
      <c r="G1130" s="12" t="s">
        <v>32</v>
      </c>
      <c r="H1130" s="10" t="n">
        <v>1110202</v>
      </c>
      <c r="I1130" s="12" t="s">
        <v>285</v>
      </c>
      <c r="J1130" s="10" t="n">
        <v>1381924</v>
      </c>
      <c r="L1130" s="10" t="n">
        <v>709</v>
      </c>
      <c r="M1130" s="12" t="s">
        <v>41</v>
      </c>
      <c r="N1130" s="12" t="s">
        <v>42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1120</v>
      </c>
      <c r="W1130" s="13" t="n">
        <v>0</v>
      </c>
      <c r="X1130" s="12" t="s">
        <v>1394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74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1368782</v>
      </c>
      <c r="L1131" s="10" t="n">
        <v>703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372.25</v>
      </c>
      <c r="W1131" s="13" t="n">
        <v>0</v>
      </c>
      <c r="X1131" s="12" t="s">
        <v>1395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1396</v>
      </c>
      <c r="F1132" s="10" t="n">
        <v>34</v>
      </c>
      <c r="G1132" s="12" t="s">
        <v>71</v>
      </c>
      <c r="H1132" s="10" t="n">
        <v>1110202</v>
      </c>
      <c r="I1132" s="12" t="s">
        <v>285</v>
      </c>
      <c r="J1132" s="10" t="n">
        <v>1394132</v>
      </c>
      <c r="L1132" s="10" t="n">
        <v>128773</v>
      </c>
      <c r="M1132" s="12" t="s">
        <v>41</v>
      </c>
      <c r="N1132" s="12" t="s">
        <v>42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1033.13</v>
      </c>
      <c r="W1132" s="13" t="n">
        <v>0</v>
      </c>
      <c r="X1132" s="12" t="s">
        <v>1397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643</v>
      </c>
      <c r="F1133" s="10" t="n">
        <v>34</v>
      </c>
      <c r="G1133" s="12" t="s">
        <v>71</v>
      </c>
      <c r="H1133" s="10" t="n">
        <v>1110202</v>
      </c>
      <c r="I1133" s="12" t="s">
        <v>285</v>
      </c>
      <c r="J1133" s="10" t="n">
        <v>1397866</v>
      </c>
      <c r="L1133" s="10" t="n">
        <v>576431</v>
      </c>
      <c r="M1133" s="12" t="s">
        <v>41</v>
      </c>
      <c r="N1133" s="12" t="s">
        <v>42</v>
      </c>
      <c r="P1133" s="10" t="n">
        <v>102</v>
      </c>
      <c r="Q1133" s="12" t="s">
        <v>107</v>
      </c>
      <c r="R1133" s="12" t="s">
        <v>108</v>
      </c>
      <c r="S1133" s="10" t="n">
        <v>4210504</v>
      </c>
      <c r="T1133" s="12" t="s">
        <v>174</v>
      </c>
      <c r="U1133" s="13" t="n">
        <v>16</v>
      </c>
      <c r="W1133" s="13" t="n">
        <v>0</v>
      </c>
      <c r="X1133" s="12" t="s">
        <v>1398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643</v>
      </c>
      <c r="F1134" s="10" t="n">
        <v>34</v>
      </c>
      <c r="G1134" s="12" t="s">
        <v>71</v>
      </c>
      <c r="H1134" s="10" t="n">
        <v>1110202</v>
      </c>
      <c r="I1134" s="12" t="s">
        <v>285</v>
      </c>
      <c r="J1134" s="10" t="n">
        <v>1397879</v>
      </c>
      <c r="L1134" s="10" t="n">
        <v>576436</v>
      </c>
      <c r="M1134" s="12" t="s">
        <v>41</v>
      </c>
      <c r="N1134" s="12" t="s">
        <v>42</v>
      </c>
      <c r="P1134" s="10" t="n">
        <v>102</v>
      </c>
      <c r="Q1134" s="12" t="s">
        <v>107</v>
      </c>
      <c r="R1134" s="12" t="s">
        <v>108</v>
      </c>
      <c r="S1134" s="10" t="n">
        <v>4210504</v>
      </c>
      <c r="T1134" s="12" t="s">
        <v>174</v>
      </c>
      <c r="U1134" s="13" t="n">
        <v>422</v>
      </c>
      <c r="W1134" s="13" t="n">
        <v>0</v>
      </c>
      <c r="X1134" s="12" t="s">
        <v>1399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502</v>
      </c>
      <c r="F1135" s="10" t="n">
        <v>24</v>
      </c>
      <c r="G1135" s="12" t="s">
        <v>32</v>
      </c>
      <c r="H1135" s="10" t="n">
        <v>2110405</v>
      </c>
      <c r="I1135" s="12" t="s">
        <v>83</v>
      </c>
      <c r="J1135" s="10" t="n">
        <v>310123</v>
      </c>
      <c r="L1135" s="10" t="n">
        <v>1212</v>
      </c>
      <c r="M1135" s="12" t="s">
        <v>128</v>
      </c>
      <c r="N1135" s="12" t="s">
        <v>42</v>
      </c>
      <c r="P1135" s="10" t="n">
        <v>102</v>
      </c>
      <c r="Q1135" s="12" t="s">
        <v>107</v>
      </c>
      <c r="R1135" s="12" t="s">
        <v>85</v>
      </c>
      <c r="S1135" s="10" t="n">
        <v>4210315</v>
      </c>
      <c r="T1135" s="12" t="s">
        <v>503</v>
      </c>
      <c r="U1135" s="13" t="n">
        <v>199.8</v>
      </c>
      <c r="W1135" s="13" t="n">
        <v>0</v>
      </c>
      <c r="X1135" s="12" t="s">
        <v>504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106</v>
      </c>
      <c r="F1136" s="10" t="n">
        <v>42</v>
      </c>
      <c r="G1136" s="12" t="s">
        <v>561</v>
      </c>
      <c r="H1136" s="10" t="n">
        <v>1110202</v>
      </c>
      <c r="I1136" s="12" t="s">
        <v>285</v>
      </c>
      <c r="J1136" s="10" t="n">
        <v>1407866</v>
      </c>
      <c r="L1136" s="10" t="n">
        <v>580252</v>
      </c>
      <c r="M1136" s="12" t="s">
        <v>41</v>
      </c>
      <c r="N1136" s="12" t="s">
        <v>42</v>
      </c>
      <c r="P1136" s="10" t="n">
        <v>102</v>
      </c>
      <c r="Q1136" s="12" t="s">
        <v>107</v>
      </c>
      <c r="R1136" s="12" t="s">
        <v>225</v>
      </c>
      <c r="S1136" s="10" t="n">
        <v>1140104</v>
      </c>
      <c r="T1136" s="12" t="s">
        <v>1340</v>
      </c>
      <c r="U1136" s="13" t="n">
        <v>18.75</v>
      </c>
      <c r="W1136" s="13" t="n">
        <v>0</v>
      </c>
      <c r="X1136" s="12" t="s">
        <v>1400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1401</v>
      </c>
      <c r="F1137" s="10" t="n">
        <v>24</v>
      </c>
      <c r="G1137" s="12" t="s">
        <v>32</v>
      </c>
      <c r="H1137" s="10" t="n">
        <v>1110202</v>
      </c>
      <c r="I1137" s="12" t="s">
        <v>285</v>
      </c>
      <c r="J1137" s="10" t="n">
        <v>1449410</v>
      </c>
      <c r="L1137" s="10" t="n">
        <v>596221</v>
      </c>
      <c r="M1137" s="12" t="s">
        <v>41</v>
      </c>
      <c r="N1137" s="12" t="s">
        <v>42</v>
      </c>
      <c r="P1137" s="10" t="n">
        <v>101</v>
      </c>
      <c r="Q1137" s="12" t="s">
        <v>84</v>
      </c>
      <c r="R1137" s="12" t="s">
        <v>37</v>
      </c>
      <c r="S1137" s="10" t="n">
        <v>1130101</v>
      </c>
      <c r="T1137" s="12" t="s">
        <v>38</v>
      </c>
      <c r="U1137" s="13" t="n">
        <v>4.2</v>
      </c>
      <c r="W1137" s="13" t="n">
        <v>0</v>
      </c>
      <c r="X1137" s="12" t="s">
        <v>1402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106</v>
      </c>
      <c r="F1138" s="10" t="n">
        <v>34</v>
      </c>
      <c r="G1138" s="12" t="s">
        <v>71</v>
      </c>
      <c r="H1138" s="10" t="n">
        <v>1110202</v>
      </c>
      <c r="I1138" s="12" t="s">
        <v>285</v>
      </c>
      <c r="J1138" s="10" t="n">
        <v>1449441</v>
      </c>
      <c r="L1138" s="10" t="n">
        <v>596228</v>
      </c>
      <c r="M1138" s="12" t="s">
        <v>41</v>
      </c>
      <c r="N1138" s="12" t="s">
        <v>42</v>
      </c>
      <c r="P1138" s="10" t="n">
        <v>101</v>
      </c>
      <c r="Q1138" s="12" t="s">
        <v>84</v>
      </c>
      <c r="R1138" s="12" t="s">
        <v>91</v>
      </c>
      <c r="S1138" s="10" t="n">
        <v>4220199</v>
      </c>
      <c r="T1138" s="12" t="s">
        <v>92</v>
      </c>
      <c r="U1138" s="13" t="n">
        <v>252.1</v>
      </c>
      <c r="W1138" s="13" t="n">
        <v>0</v>
      </c>
      <c r="X1138" s="12" t="s">
        <v>1403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182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1177249</v>
      </c>
      <c r="L1139" s="10" t="n">
        <v>10589</v>
      </c>
      <c r="M1139" s="12" t="s">
        <v>394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1060.9</v>
      </c>
      <c r="W1139" s="13" t="n">
        <v>0</v>
      </c>
      <c r="X1139" s="12" t="s">
        <v>1404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1405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1235862</v>
      </c>
      <c r="L1140" s="10" t="n">
        <v>6597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525.07</v>
      </c>
      <c r="W1140" s="13" t="n">
        <v>0</v>
      </c>
      <c r="X1140" s="12" t="s">
        <v>1406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238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1261759</v>
      </c>
      <c r="L1141" s="10" t="n">
        <v>20900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2301.99</v>
      </c>
      <c r="W1141" s="13" t="n">
        <v>0</v>
      </c>
      <c r="X1141" s="12" t="s">
        <v>1407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246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1310155</v>
      </c>
      <c r="L1142" s="10" t="n">
        <v>348726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901.94</v>
      </c>
      <c r="W1142" s="13" t="n">
        <v>0</v>
      </c>
      <c r="X1142" s="12" t="s">
        <v>1408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1310257</v>
      </c>
      <c r="L1143" s="10" t="n">
        <v>731754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206.31</v>
      </c>
      <c r="W1143" s="13" t="n">
        <v>0</v>
      </c>
      <c r="X1143" s="12" t="s">
        <v>1409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628</v>
      </c>
      <c r="F1144" s="10" t="n">
        <v>24</v>
      </c>
      <c r="G1144" s="12" t="s">
        <v>32</v>
      </c>
      <c r="H1144" s="10" t="n">
        <v>2110102</v>
      </c>
      <c r="I1144" s="12" t="s">
        <v>59</v>
      </c>
      <c r="J1144" s="10" t="n">
        <v>1323014</v>
      </c>
      <c r="L1144" s="10" t="n">
        <v>3370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60</v>
      </c>
      <c r="S1144" s="10" t="n">
        <v>4210204</v>
      </c>
      <c r="T1144" s="12" t="s">
        <v>61</v>
      </c>
      <c r="U1144" s="13" t="n">
        <v>1580.8</v>
      </c>
      <c r="W1144" s="13" t="n">
        <v>0</v>
      </c>
      <c r="X1144" s="12" t="s">
        <v>1410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144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1333931</v>
      </c>
      <c r="L1145" s="10" t="n">
        <v>39854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4298.22</v>
      </c>
      <c r="W1145" s="13" t="n">
        <v>0</v>
      </c>
      <c r="X1145" s="12" t="s">
        <v>1411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130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1335361</v>
      </c>
      <c r="L1146" s="10" t="n">
        <v>423615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1120.61</v>
      </c>
      <c r="W1146" s="13" t="n">
        <v>0</v>
      </c>
      <c r="X1146" s="12" t="s">
        <v>1412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1413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1340626</v>
      </c>
      <c r="L1147" s="10" t="n">
        <v>101974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584.73</v>
      </c>
      <c r="W1147" s="13" t="n">
        <v>0</v>
      </c>
      <c r="X1147" s="12" t="s">
        <v>1414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201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1340751</v>
      </c>
      <c r="L1148" s="10" t="n">
        <v>1423353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494.27</v>
      </c>
      <c r="W1148" s="13" t="n">
        <v>0</v>
      </c>
      <c r="X1148" s="12" t="s">
        <v>1415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264</v>
      </c>
      <c r="F1149" s="10" t="n">
        <v>24</v>
      </c>
      <c r="G1149" s="12" t="s">
        <v>32</v>
      </c>
      <c r="H1149" s="10" t="n">
        <v>2110101</v>
      </c>
      <c r="I1149" s="12" t="s">
        <v>33</v>
      </c>
      <c r="J1149" s="10" t="n">
        <v>1361249</v>
      </c>
      <c r="L1149" s="10" t="n">
        <v>172658</v>
      </c>
      <c r="M1149" s="12" t="s">
        <v>41</v>
      </c>
      <c r="N1149" s="12" t="s">
        <v>35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5387.4</v>
      </c>
      <c r="W1149" s="13" t="n">
        <v>0</v>
      </c>
      <c r="X1149" s="12" t="s">
        <v>1416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211</v>
      </c>
      <c r="F1150" s="10" t="n">
        <v>24</v>
      </c>
      <c r="G1150" s="12" t="s">
        <v>32</v>
      </c>
      <c r="H1150" s="10" t="n">
        <v>2110101</v>
      </c>
      <c r="I1150" s="12" t="s">
        <v>33</v>
      </c>
      <c r="J1150" s="10" t="n">
        <v>1365606</v>
      </c>
      <c r="L1150" s="10" t="n">
        <v>14643</v>
      </c>
      <c r="M1150" s="12" t="s">
        <v>41</v>
      </c>
      <c r="N1150" s="12" t="s">
        <v>35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1595.65</v>
      </c>
      <c r="W1150" s="13" t="n">
        <v>0</v>
      </c>
      <c r="X1150" s="12" t="s">
        <v>1417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159</v>
      </c>
      <c r="F1151" s="10" t="n">
        <v>24</v>
      </c>
      <c r="G1151" s="12" t="s">
        <v>32</v>
      </c>
      <c r="H1151" s="10" t="n">
        <v>2110101</v>
      </c>
      <c r="I1151" s="12" t="s">
        <v>33</v>
      </c>
      <c r="J1151" s="10" t="n">
        <v>1366342</v>
      </c>
      <c r="L1151" s="10" t="n">
        <v>1030665</v>
      </c>
      <c r="M1151" s="12" t="s">
        <v>41</v>
      </c>
      <c r="N1151" s="12" t="s">
        <v>35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509.45</v>
      </c>
      <c r="W1151" s="13" t="n">
        <v>0</v>
      </c>
      <c r="X1151" s="12" t="s">
        <v>1418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155</v>
      </c>
      <c r="F1152" s="10" t="n">
        <v>24</v>
      </c>
      <c r="G1152" s="12" t="s">
        <v>32</v>
      </c>
      <c r="H1152" s="10" t="n">
        <v>2110101</v>
      </c>
      <c r="I1152" s="12" t="s">
        <v>33</v>
      </c>
      <c r="J1152" s="10" t="n">
        <v>1366370</v>
      </c>
      <c r="L1152" s="10" t="n">
        <v>3502</v>
      </c>
      <c r="M1152" s="12" t="s">
        <v>41</v>
      </c>
      <c r="N1152" s="12" t="s">
        <v>35</v>
      </c>
      <c r="P1152" s="10" t="n">
        <v>103</v>
      </c>
      <c r="Q1152" s="12" t="s">
        <v>36</v>
      </c>
      <c r="R1152" s="12" t="s">
        <v>37</v>
      </c>
      <c r="S1152" s="10" t="n">
        <v>1130101</v>
      </c>
      <c r="T1152" s="12" t="s">
        <v>38</v>
      </c>
      <c r="U1152" s="13" t="n">
        <v>353</v>
      </c>
      <c r="W1152" s="13" t="n">
        <v>0</v>
      </c>
      <c r="X1152" s="12" t="s">
        <v>1419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603</v>
      </c>
      <c r="F1153" s="10" t="n">
        <v>24</v>
      </c>
      <c r="G1153" s="12" t="s">
        <v>32</v>
      </c>
      <c r="H1153" s="10" t="n">
        <v>2110101</v>
      </c>
      <c r="I1153" s="12" t="s">
        <v>33</v>
      </c>
      <c r="J1153" s="10" t="n">
        <v>1366430</v>
      </c>
      <c r="L1153" s="10" t="n">
        <v>7876</v>
      </c>
      <c r="M1153" s="12" t="s">
        <v>41</v>
      </c>
      <c r="N1153" s="12" t="s">
        <v>35</v>
      </c>
      <c r="P1153" s="10" t="n">
        <v>103</v>
      </c>
      <c r="Q1153" s="12" t="s">
        <v>36</v>
      </c>
      <c r="R1153" s="12" t="s">
        <v>37</v>
      </c>
      <c r="S1153" s="10" t="n">
        <v>1130101</v>
      </c>
      <c r="T1153" s="12" t="s">
        <v>38</v>
      </c>
      <c r="U1153" s="13" t="n">
        <v>287.8</v>
      </c>
      <c r="W1153" s="13" t="n">
        <v>0</v>
      </c>
      <c r="X1153" s="12" t="s">
        <v>1420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76</v>
      </c>
      <c r="F1154" s="10" t="n">
        <v>24</v>
      </c>
      <c r="G1154" s="12" t="s">
        <v>32</v>
      </c>
      <c r="H1154" s="10" t="n">
        <v>2110101</v>
      </c>
      <c r="I1154" s="12" t="s">
        <v>33</v>
      </c>
      <c r="J1154" s="10" t="n">
        <v>1368814</v>
      </c>
      <c r="L1154" s="10" t="n">
        <v>225390</v>
      </c>
      <c r="M1154" s="12" t="s">
        <v>41</v>
      </c>
      <c r="N1154" s="12" t="s">
        <v>35</v>
      </c>
      <c r="P1154" s="10" t="n">
        <v>103</v>
      </c>
      <c r="Q1154" s="12" t="s">
        <v>36</v>
      </c>
      <c r="R1154" s="12" t="s">
        <v>37</v>
      </c>
      <c r="S1154" s="10" t="n">
        <v>1130101</v>
      </c>
      <c r="T1154" s="12" t="s">
        <v>38</v>
      </c>
      <c r="U1154" s="13" t="n">
        <v>943.83</v>
      </c>
      <c r="W1154" s="13" t="n">
        <v>0</v>
      </c>
      <c r="X1154" s="12" t="s">
        <v>1421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76</v>
      </c>
      <c r="F1155" s="10" t="n">
        <v>24</v>
      </c>
      <c r="G1155" s="12" t="s">
        <v>32</v>
      </c>
      <c r="H1155" s="10" t="n">
        <v>2110101</v>
      </c>
      <c r="I1155" s="12" t="s">
        <v>33</v>
      </c>
      <c r="J1155" s="10" t="n">
        <v>1368818</v>
      </c>
      <c r="L1155" s="10" t="n">
        <v>225391</v>
      </c>
      <c r="M1155" s="12" t="s">
        <v>41</v>
      </c>
      <c r="N1155" s="12" t="s">
        <v>35</v>
      </c>
      <c r="P1155" s="10" t="n">
        <v>103</v>
      </c>
      <c r="Q1155" s="12" t="s">
        <v>36</v>
      </c>
      <c r="R1155" s="12" t="s">
        <v>37</v>
      </c>
      <c r="S1155" s="10" t="n">
        <v>1130101</v>
      </c>
      <c r="T1155" s="12" t="s">
        <v>38</v>
      </c>
      <c r="U1155" s="13" t="n">
        <v>178.4</v>
      </c>
      <c r="W1155" s="13" t="n">
        <v>0</v>
      </c>
      <c r="X1155" s="12" t="s">
        <v>1422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157</v>
      </c>
      <c r="F1156" s="10" t="n">
        <v>24</v>
      </c>
      <c r="G1156" s="12" t="s">
        <v>32</v>
      </c>
      <c r="H1156" s="10" t="n">
        <v>2110101</v>
      </c>
      <c r="I1156" s="12" t="s">
        <v>33</v>
      </c>
      <c r="J1156" s="10" t="n">
        <v>1369311</v>
      </c>
      <c r="L1156" s="10" t="n">
        <v>31659</v>
      </c>
      <c r="M1156" s="12" t="s">
        <v>41</v>
      </c>
      <c r="N1156" s="12" t="s">
        <v>35</v>
      </c>
      <c r="P1156" s="10" t="n">
        <v>103</v>
      </c>
      <c r="Q1156" s="12" t="s">
        <v>36</v>
      </c>
      <c r="R1156" s="12" t="s">
        <v>37</v>
      </c>
      <c r="S1156" s="10" t="n">
        <v>1130101</v>
      </c>
      <c r="T1156" s="12" t="s">
        <v>38</v>
      </c>
      <c r="U1156" s="13" t="n">
        <v>2880</v>
      </c>
      <c r="W1156" s="13" t="n">
        <v>0</v>
      </c>
      <c r="X1156" s="12" t="s">
        <v>1423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70</v>
      </c>
      <c r="F1157" s="10" t="n">
        <v>24</v>
      </c>
      <c r="G1157" s="12" t="s">
        <v>32</v>
      </c>
      <c r="H1157" s="10" t="n">
        <v>2110101</v>
      </c>
      <c r="I1157" s="12" t="s">
        <v>33</v>
      </c>
      <c r="J1157" s="10" t="n">
        <v>1369426</v>
      </c>
      <c r="L1157" s="10" t="n">
        <v>5275</v>
      </c>
      <c r="M1157" s="12" t="s">
        <v>41</v>
      </c>
      <c r="N1157" s="12" t="s">
        <v>35</v>
      </c>
      <c r="P1157" s="10" t="n">
        <v>103</v>
      </c>
      <c r="Q1157" s="12" t="s">
        <v>36</v>
      </c>
      <c r="R1157" s="12" t="s">
        <v>37</v>
      </c>
      <c r="S1157" s="10" t="n">
        <v>1130101</v>
      </c>
      <c r="T1157" s="12" t="s">
        <v>38</v>
      </c>
      <c r="U1157" s="13" t="n">
        <v>290</v>
      </c>
      <c r="W1157" s="13" t="n">
        <v>0</v>
      </c>
      <c r="X1157" s="12" t="s">
        <v>1424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323</v>
      </c>
      <c r="F1158" s="10" t="n">
        <v>24</v>
      </c>
      <c r="G1158" s="12" t="s">
        <v>32</v>
      </c>
      <c r="H1158" s="10" t="n">
        <v>1110202</v>
      </c>
      <c r="I1158" s="12" t="s">
        <v>285</v>
      </c>
      <c r="J1158" s="10" t="n">
        <v>1374263</v>
      </c>
      <c r="L1158" s="10" t="n">
        <v>3999</v>
      </c>
      <c r="M1158" s="12" t="s">
        <v>41</v>
      </c>
      <c r="N1158" s="12" t="s">
        <v>42</v>
      </c>
      <c r="P1158" s="10" t="n">
        <v>103</v>
      </c>
      <c r="Q1158" s="12" t="s">
        <v>36</v>
      </c>
      <c r="R1158" s="12" t="s">
        <v>37</v>
      </c>
      <c r="S1158" s="10" t="n">
        <v>1130101</v>
      </c>
      <c r="T1158" s="12" t="s">
        <v>38</v>
      </c>
      <c r="U1158" s="13" t="n">
        <v>241.6</v>
      </c>
      <c r="W1158" s="13" t="n">
        <v>0</v>
      </c>
      <c r="X1158" s="12" t="s">
        <v>1425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381</v>
      </c>
      <c r="F1159" s="10" t="n">
        <v>24</v>
      </c>
      <c r="G1159" s="12" t="s">
        <v>32</v>
      </c>
      <c r="H1159" s="10" t="n">
        <v>1110202</v>
      </c>
      <c r="I1159" s="12" t="s">
        <v>285</v>
      </c>
      <c r="J1159" s="10" t="n">
        <v>1374651</v>
      </c>
      <c r="L1159" s="10" t="n">
        <v>143091</v>
      </c>
      <c r="M1159" s="12" t="s">
        <v>41</v>
      </c>
      <c r="N1159" s="12" t="s">
        <v>42</v>
      </c>
      <c r="P1159" s="10" t="n">
        <v>103</v>
      </c>
      <c r="Q1159" s="12" t="s">
        <v>36</v>
      </c>
      <c r="R1159" s="12" t="s">
        <v>37</v>
      </c>
      <c r="S1159" s="10" t="n">
        <v>1130101</v>
      </c>
      <c r="T1159" s="12" t="s">
        <v>38</v>
      </c>
      <c r="U1159" s="13" t="n">
        <v>770</v>
      </c>
      <c r="W1159" s="13" t="n">
        <v>0</v>
      </c>
      <c r="X1159" s="12" t="s">
        <v>1426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161</v>
      </c>
      <c r="F1160" s="10" t="n">
        <v>24</v>
      </c>
      <c r="G1160" s="12" t="s">
        <v>32</v>
      </c>
      <c r="H1160" s="10" t="n">
        <v>1110202</v>
      </c>
      <c r="I1160" s="12" t="s">
        <v>285</v>
      </c>
      <c r="J1160" s="10" t="n">
        <v>1381977</v>
      </c>
      <c r="L1160" s="10" t="n">
        <v>526</v>
      </c>
      <c r="M1160" s="12" t="s">
        <v>41</v>
      </c>
      <c r="N1160" s="12" t="s">
        <v>42</v>
      </c>
      <c r="P1160" s="10" t="n">
        <v>103</v>
      </c>
      <c r="Q1160" s="12" t="s">
        <v>36</v>
      </c>
      <c r="R1160" s="12" t="s">
        <v>37</v>
      </c>
      <c r="S1160" s="10" t="n">
        <v>1130101</v>
      </c>
      <c r="T1160" s="12" t="s">
        <v>38</v>
      </c>
      <c r="U1160" s="13" t="n">
        <v>840</v>
      </c>
      <c r="W1160" s="13" t="n">
        <v>0</v>
      </c>
      <c r="X1160" s="12" t="s">
        <v>1427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70</v>
      </c>
      <c r="F1161" s="10" t="n">
        <v>13</v>
      </c>
      <c r="G1161" s="12" t="s">
        <v>98</v>
      </c>
      <c r="H1161" s="10" t="n">
        <v>2110101</v>
      </c>
      <c r="I1161" s="12" t="s">
        <v>33</v>
      </c>
      <c r="J1161" s="10" t="n">
        <v>1397824</v>
      </c>
      <c r="L1161" s="10" t="n">
        <v>5296</v>
      </c>
      <c r="M1161" s="12" t="s">
        <v>41</v>
      </c>
      <c r="N1161" s="12" t="s">
        <v>35</v>
      </c>
      <c r="P1161" s="10" t="n">
        <v>104</v>
      </c>
      <c r="Q1161" s="12" t="s">
        <v>99</v>
      </c>
      <c r="R1161" s="12" t="s">
        <v>37</v>
      </c>
      <c r="S1161" s="10" t="n">
        <v>1130101</v>
      </c>
      <c r="T1161" s="12" t="s">
        <v>38</v>
      </c>
      <c r="U1161" s="13" t="n">
        <v>280</v>
      </c>
      <c r="W1161" s="13" t="n">
        <v>280</v>
      </c>
      <c r="X1161" s="12" t="s">
        <v>101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643</v>
      </c>
      <c r="F1162" s="10" t="n">
        <v>34</v>
      </c>
      <c r="G1162" s="12" t="s">
        <v>71</v>
      </c>
      <c r="H1162" s="10" t="n">
        <v>1110202</v>
      </c>
      <c r="I1162" s="12" t="s">
        <v>285</v>
      </c>
      <c r="J1162" s="10" t="n">
        <v>1397889</v>
      </c>
      <c r="L1162" s="10" t="n">
        <v>576438</v>
      </c>
      <c r="M1162" s="12" t="s">
        <v>41</v>
      </c>
      <c r="N1162" s="12" t="s">
        <v>42</v>
      </c>
      <c r="P1162" s="10" t="n">
        <v>102</v>
      </c>
      <c r="Q1162" s="12" t="s">
        <v>107</v>
      </c>
      <c r="R1162" s="12" t="s">
        <v>91</v>
      </c>
      <c r="S1162" s="10" t="n">
        <v>4220199</v>
      </c>
      <c r="T1162" s="12" t="s">
        <v>92</v>
      </c>
      <c r="U1162" s="13" t="n">
        <v>450</v>
      </c>
      <c r="W1162" s="13" t="n">
        <v>0</v>
      </c>
      <c r="X1162" s="12" t="s">
        <v>1428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70</v>
      </c>
      <c r="F1163" s="10" t="n">
        <v>13</v>
      </c>
      <c r="G1163" s="12" t="s">
        <v>98</v>
      </c>
      <c r="H1163" s="10" t="n">
        <v>2110101</v>
      </c>
      <c r="I1163" s="12" t="s">
        <v>33</v>
      </c>
      <c r="J1163" s="10" t="n">
        <v>1397913</v>
      </c>
      <c r="L1163" s="10" t="n">
        <v>5297</v>
      </c>
      <c r="M1163" s="12" t="s">
        <v>41</v>
      </c>
      <c r="N1163" s="12" t="s">
        <v>35</v>
      </c>
      <c r="P1163" s="10" t="n">
        <v>104</v>
      </c>
      <c r="Q1163" s="12" t="s">
        <v>99</v>
      </c>
      <c r="R1163" s="12" t="s">
        <v>37</v>
      </c>
      <c r="S1163" s="10" t="n">
        <v>1130101</v>
      </c>
      <c r="T1163" s="12" t="s">
        <v>38</v>
      </c>
      <c r="U1163" s="13" t="n">
        <v>280</v>
      </c>
      <c r="W1163" s="13" t="n">
        <v>280</v>
      </c>
      <c r="X1163" s="12" t="s">
        <v>101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864</v>
      </c>
      <c r="F1164" s="10" t="n">
        <v>34</v>
      </c>
      <c r="G1164" s="12" t="s">
        <v>71</v>
      </c>
      <c r="H1164" s="10" t="n">
        <v>1110202</v>
      </c>
      <c r="I1164" s="12" t="s">
        <v>285</v>
      </c>
      <c r="J1164" s="10" t="n">
        <v>1397925</v>
      </c>
      <c r="L1164" s="10" t="n">
        <v>576445</v>
      </c>
      <c r="M1164" s="12" t="s">
        <v>41</v>
      </c>
      <c r="N1164" s="12" t="s">
        <v>42</v>
      </c>
      <c r="P1164" s="10" t="n">
        <v>102</v>
      </c>
      <c r="Q1164" s="12" t="s">
        <v>107</v>
      </c>
      <c r="R1164" s="12" t="s">
        <v>91</v>
      </c>
      <c r="S1164" s="10" t="n">
        <v>4220199</v>
      </c>
      <c r="T1164" s="12" t="s">
        <v>92</v>
      </c>
      <c r="U1164" s="13" t="n">
        <v>1370</v>
      </c>
      <c r="W1164" s="13" t="n">
        <v>0</v>
      </c>
      <c r="X1164" s="12" t="s">
        <v>1429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70</v>
      </c>
      <c r="F1165" s="10" t="n">
        <v>34</v>
      </c>
      <c r="G1165" s="12" t="s">
        <v>71</v>
      </c>
      <c r="H1165" s="10" t="n">
        <v>2110101</v>
      </c>
      <c r="I1165" s="12" t="s">
        <v>33</v>
      </c>
      <c r="J1165" s="10" t="n">
        <v>1398159</v>
      </c>
      <c r="L1165" s="10" t="n">
        <v>5302</v>
      </c>
      <c r="M1165" s="12" t="s">
        <v>41</v>
      </c>
      <c r="N1165" s="12" t="s">
        <v>35</v>
      </c>
      <c r="P1165" s="10" t="n">
        <v>104</v>
      </c>
      <c r="Q1165" s="12" t="s">
        <v>99</v>
      </c>
      <c r="R1165" s="12" t="s">
        <v>37</v>
      </c>
      <c r="S1165" s="10" t="n">
        <v>1130101</v>
      </c>
      <c r="T1165" s="12" t="s">
        <v>38</v>
      </c>
      <c r="U1165" s="13" t="n">
        <v>3395.95</v>
      </c>
      <c r="W1165" s="13" t="n">
        <v>0</v>
      </c>
      <c r="X1165" s="12" t="s">
        <v>172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97</v>
      </c>
      <c r="F1166" s="10" t="n">
        <v>13</v>
      </c>
      <c r="G1166" s="12" t="s">
        <v>98</v>
      </c>
      <c r="H1166" s="10" t="n">
        <v>2110101</v>
      </c>
      <c r="I1166" s="12" t="s">
        <v>33</v>
      </c>
      <c r="J1166" s="10" t="n">
        <v>1435607</v>
      </c>
      <c r="L1166" s="10" t="n">
        <v>368</v>
      </c>
      <c r="M1166" s="12" t="s">
        <v>41</v>
      </c>
      <c r="N1166" s="12" t="s">
        <v>35</v>
      </c>
      <c r="P1166" s="10" t="n">
        <v>104</v>
      </c>
      <c r="Q1166" s="12" t="s">
        <v>99</v>
      </c>
      <c r="R1166" s="12" t="s">
        <v>37</v>
      </c>
      <c r="S1166" s="10" t="n">
        <v>1130101</v>
      </c>
      <c r="T1166" s="12" t="s">
        <v>38</v>
      </c>
      <c r="U1166" s="13" t="n">
        <v>394</v>
      </c>
      <c r="W1166" s="13" t="n">
        <v>0</v>
      </c>
      <c r="X1166" s="12" t="s">
        <v>1430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168</v>
      </c>
      <c r="F1167" s="10" t="n">
        <v>34</v>
      </c>
      <c r="G1167" s="12" t="s">
        <v>71</v>
      </c>
      <c r="H1167" s="10" t="n">
        <v>1110202</v>
      </c>
      <c r="I1167" s="12" t="s">
        <v>285</v>
      </c>
      <c r="J1167" s="10" t="n">
        <v>1445364</v>
      </c>
      <c r="L1167" s="10" t="n">
        <v>594545</v>
      </c>
      <c r="M1167" s="12" t="s">
        <v>41</v>
      </c>
      <c r="N1167" s="12" t="s">
        <v>42</v>
      </c>
      <c r="P1167" s="10" t="n">
        <v>102</v>
      </c>
      <c r="Q1167" s="12" t="s">
        <v>107</v>
      </c>
      <c r="R1167" s="12" t="s">
        <v>91</v>
      </c>
      <c r="S1167" s="10" t="n">
        <v>4220199</v>
      </c>
      <c r="T1167" s="12" t="s">
        <v>92</v>
      </c>
      <c r="U1167" s="13" t="n">
        <v>2900</v>
      </c>
      <c r="W1167" s="13" t="n">
        <v>0</v>
      </c>
      <c r="X1167" s="12" t="s">
        <v>1431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168</v>
      </c>
      <c r="F1168" s="10" t="n">
        <v>13</v>
      </c>
      <c r="G1168" s="12" t="s">
        <v>98</v>
      </c>
      <c r="H1168" s="10" t="n">
        <v>1110101</v>
      </c>
      <c r="I1168" s="12" t="s">
        <v>1432</v>
      </c>
      <c r="J1168" s="10" t="n">
        <v>1445372</v>
      </c>
      <c r="L1168" s="10" t="n">
        <v>594548</v>
      </c>
      <c r="M1168" s="12" t="s">
        <v>41</v>
      </c>
      <c r="N1168" s="12" t="s">
        <v>42</v>
      </c>
      <c r="P1168" s="10" t="n">
        <v>102</v>
      </c>
      <c r="Q1168" s="12" t="s">
        <v>107</v>
      </c>
      <c r="R1168" s="12" t="s">
        <v>91</v>
      </c>
      <c r="S1168" s="10" t="n">
        <v>4220199</v>
      </c>
      <c r="T1168" s="12" t="s">
        <v>92</v>
      </c>
      <c r="U1168" s="13" t="n">
        <v>4816</v>
      </c>
      <c r="W1168" s="13" t="n">
        <v>0</v>
      </c>
      <c r="X1168" s="12" t="s">
        <v>1433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579</v>
      </c>
      <c r="F1169" s="10" t="n">
        <v>24</v>
      </c>
      <c r="G1169" s="12" t="s">
        <v>32</v>
      </c>
      <c r="H1169" s="10" t="n">
        <v>2110405</v>
      </c>
      <c r="I1169" s="12" t="s">
        <v>83</v>
      </c>
      <c r="J1169" s="10" t="n">
        <v>809298</v>
      </c>
      <c r="L1169" s="10" t="n">
        <v>100914</v>
      </c>
      <c r="M1169" s="12" t="s">
        <v>234</v>
      </c>
      <c r="N1169" s="12" t="s">
        <v>42</v>
      </c>
      <c r="P1169" s="10" t="n">
        <v>101</v>
      </c>
      <c r="Q1169" s="12" t="s">
        <v>84</v>
      </c>
      <c r="R1169" s="12" t="s">
        <v>580</v>
      </c>
      <c r="S1169" s="10" t="n">
        <v>4210401</v>
      </c>
      <c r="T1169" s="12" t="s">
        <v>581</v>
      </c>
      <c r="U1169" s="13" t="n">
        <v>134.55</v>
      </c>
      <c r="W1169" s="13" t="n">
        <v>0</v>
      </c>
      <c r="X1169" s="12" t="s">
        <v>1434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579</v>
      </c>
      <c r="F1170" s="10" t="n">
        <v>24</v>
      </c>
      <c r="G1170" s="12" t="s">
        <v>32</v>
      </c>
      <c r="H1170" s="10" t="n">
        <v>2110405</v>
      </c>
      <c r="I1170" s="12" t="s">
        <v>83</v>
      </c>
      <c r="J1170" s="10" t="n">
        <v>809315</v>
      </c>
      <c r="L1170" s="10" t="n">
        <v>100910</v>
      </c>
      <c r="M1170" s="12" t="s">
        <v>234</v>
      </c>
      <c r="N1170" s="12" t="s">
        <v>42</v>
      </c>
      <c r="P1170" s="10" t="n">
        <v>101</v>
      </c>
      <c r="Q1170" s="12" t="s">
        <v>84</v>
      </c>
      <c r="R1170" s="12" t="s">
        <v>580</v>
      </c>
      <c r="S1170" s="10" t="n">
        <v>4210401</v>
      </c>
      <c r="T1170" s="12" t="s">
        <v>581</v>
      </c>
      <c r="U1170" s="13" t="n">
        <v>185.89</v>
      </c>
      <c r="W1170" s="13" t="n">
        <v>0</v>
      </c>
      <c r="X1170" s="12" t="s">
        <v>1435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94</v>
      </c>
      <c r="F1171" s="10" t="n">
        <v>24</v>
      </c>
      <c r="G1171" s="12" t="s">
        <v>32</v>
      </c>
      <c r="H1171" s="10" t="n">
        <v>2110405</v>
      </c>
      <c r="I1171" s="12" t="s">
        <v>83</v>
      </c>
      <c r="J1171" s="10" t="n">
        <v>809413</v>
      </c>
      <c r="L1171" s="10" t="n">
        <v>2115476</v>
      </c>
      <c r="M1171" s="12" t="s">
        <v>234</v>
      </c>
      <c r="N1171" s="12" t="s">
        <v>42</v>
      </c>
      <c r="P1171" s="10" t="n">
        <v>101</v>
      </c>
      <c r="Q1171" s="12" t="s">
        <v>84</v>
      </c>
      <c r="R1171" s="12" t="s">
        <v>91</v>
      </c>
      <c r="S1171" s="10" t="n">
        <v>4220199</v>
      </c>
      <c r="T1171" s="12" t="s">
        <v>92</v>
      </c>
      <c r="U1171" s="13" t="n">
        <v>102.14</v>
      </c>
      <c r="W1171" s="13" t="n">
        <v>0</v>
      </c>
      <c r="X1171" s="12" t="s">
        <v>584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753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1265872</v>
      </c>
      <c r="L1172" s="10" t="n">
        <v>193491</v>
      </c>
      <c r="M1172" s="12" t="s">
        <v>128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568.92</v>
      </c>
      <c r="W1172" s="13" t="n">
        <v>0</v>
      </c>
      <c r="X1172" s="12" t="s">
        <v>1436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191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1265903</v>
      </c>
      <c r="L1173" s="10" t="n">
        <v>51879</v>
      </c>
      <c r="M1173" s="12" t="s">
        <v>41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636.67</v>
      </c>
      <c r="W1173" s="13" t="n">
        <v>0</v>
      </c>
      <c r="X1173" s="12" t="s">
        <v>1437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1268785</v>
      </c>
      <c r="L1174" s="10" t="n">
        <v>844855</v>
      </c>
      <c r="M1174" s="12" t="s">
        <v>128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985.3</v>
      </c>
      <c r="W1174" s="13" t="n">
        <v>0</v>
      </c>
      <c r="X1174" s="12" t="s">
        <v>1438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44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1295752</v>
      </c>
      <c r="L1175" s="10" t="n">
        <v>1892632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757</v>
      </c>
      <c r="W1175" s="13" t="n">
        <v>0</v>
      </c>
      <c r="X1175" s="12" t="s">
        <v>1439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51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1299186</v>
      </c>
      <c r="L1176" s="10" t="n">
        <v>1679265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1065.06</v>
      </c>
      <c r="W1176" s="13" t="n">
        <v>0</v>
      </c>
      <c r="X1176" s="12" t="s">
        <v>1440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51</v>
      </c>
      <c r="F1177" s="10" t="n">
        <v>24</v>
      </c>
      <c r="G1177" s="12" t="s">
        <v>32</v>
      </c>
      <c r="H1177" s="10" t="n">
        <v>2110101</v>
      </c>
      <c r="I1177" s="12" t="s">
        <v>33</v>
      </c>
      <c r="J1177" s="10" t="n">
        <v>1300337</v>
      </c>
      <c r="L1177" s="10" t="n">
        <v>1679646</v>
      </c>
      <c r="M1177" s="12" t="s">
        <v>41</v>
      </c>
      <c r="N1177" s="12" t="s">
        <v>35</v>
      </c>
      <c r="P1177" s="10" t="n">
        <v>103</v>
      </c>
      <c r="Q1177" s="12" t="s">
        <v>36</v>
      </c>
      <c r="R1177" s="12" t="s">
        <v>37</v>
      </c>
      <c r="S1177" s="10" t="n">
        <v>1130101</v>
      </c>
      <c r="T1177" s="12" t="s">
        <v>38</v>
      </c>
      <c r="U1177" s="13" t="n">
        <v>1271.27</v>
      </c>
      <c r="W1177" s="13" t="n">
        <v>0</v>
      </c>
      <c r="X1177" s="12" t="s">
        <v>1441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551</v>
      </c>
      <c r="F1178" s="10" t="n">
        <v>24</v>
      </c>
      <c r="G1178" s="12" t="s">
        <v>32</v>
      </c>
      <c r="H1178" s="10" t="n">
        <v>2110101</v>
      </c>
      <c r="I1178" s="12" t="s">
        <v>33</v>
      </c>
      <c r="J1178" s="10" t="n">
        <v>1304557</v>
      </c>
      <c r="L1178" s="10" t="n">
        <v>388860</v>
      </c>
      <c r="M1178" s="12" t="s">
        <v>128</v>
      </c>
      <c r="N1178" s="12" t="s">
        <v>35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1283.27</v>
      </c>
      <c r="W1178" s="13" t="n">
        <v>0</v>
      </c>
      <c r="X1178" s="12" t="s">
        <v>1442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340</v>
      </c>
      <c r="F1179" s="10" t="n">
        <v>24</v>
      </c>
      <c r="G1179" s="12" t="s">
        <v>32</v>
      </c>
      <c r="H1179" s="10" t="n">
        <v>2110101</v>
      </c>
      <c r="I1179" s="12" t="s">
        <v>33</v>
      </c>
      <c r="J1179" s="10" t="n">
        <v>1304959</v>
      </c>
      <c r="L1179" s="10" t="n">
        <v>576439</v>
      </c>
      <c r="M1179" s="12" t="s">
        <v>41</v>
      </c>
      <c r="N1179" s="12" t="s">
        <v>35</v>
      </c>
      <c r="P1179" s="10" t="n">
        <v>103</v>
      </c>
      <c r="Q1179" s="12" t="s">
        <v>36</v>
      </c>
      <c r="R1179" s="12" t="s">
        <v>37</v>
      </c>
      <c r="S1179" s="10" t="n">
        <v>1130101</v>
      </c>
      <c r="T1179" s="12" t="s">
        <v>38</v>
      </c>
      <c r="U1179" s="13" t="n">
        <v>1497.41</v>
      </c>
      <c r="W1179" s="13" t="n">
        <v>0</v>
      </c>
      <c r="X1179" s="12" t="s">
        <v>1443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44</v>
      </c>
      <c r="F1180" s="10" t="n">
        <v>24</v>
      </c>
      <c r="G1180" s="12" t="s">
        <v>32</v>
      </c>
      <c r="H1180" s="10" t="n">
        <v>2110101</v>
      </c>
      <c r="I1180" s="12" t="s">
        <v>33</v>
      </c>
      <c r="J1180" s="10" t="n">
        <v>1305288</v>
      </c>
      <c r="L1180" s="10" t="n">
        <v>1895762</v>
      </c>
      <c r="M1180" s="12" t="s">
        <v>41</v>
      </c>
      <c r="N1180" s="12" t="s">
        <v>35</v>
      </c>
      <c r="P1180" s="10" t="n">
        <v>103</v>
      </c>
      <c r="Q1180" s="12" t="s">
        <v>36</v>
      </c>
      <c r="R1180" s="12" t="s">
        <v>37</v>
      </c>
      <c r="S1180" s="10" t="n">
        <v>1130101</v>
      </c>
      <c r="T1180" s="12" t="s">
        <v>38</v>
      </c>
      <c r="U1180" s="13" t="n">
        <v>1686.85</v>
      </c>
      <c r="W1180" s="13" t="n">
        <v>0</v>
      </c>
      <c r="X1180" s="12" t="s">
        <v>1444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44</v>
      </c>
      <c r="F1181" s="10" t="n">
        <v>24</v>
      </c>
      <c r="G1181" s="12" t="s">
        <v>32</v>
      </c>
      <c r="H1181" s="10" t="n">
        <v>2110101</v>
      </c>
      <c r="I1181" s="12" t="s">
        <v>33</v>
      </c>
      <c r="J1181" s="10" t="n">
        <v>1305735</v>
      </c>
      <c r="L1181" s="10" t="n">
        <v>1895809</v>
      </c>
      <c r="M1181" s="12" t="s">
        <v>41</v>
      </c>
      <c r="N1181" s="12" t="s">
        <v>35</v>
      </c>
      <c r="P1181" s="10" t="n">
        <v>103</v>
      </c>
      <c r="Q1181" s="12" t="s">
        <v>36</v>
      </c>
      <c r="R1181" s="12" t="s">
        <v>37</v>
      </c>
      <c r="S1181" s="10" t="n">
        <v>1130101</v>
      </c>
      <c r="T1181" s="12" t="s">
        <v>38</v>
      </c>
      <c r="U1181" s="13" t="n">
        <v>519.51</v>
      </c>
      <c r="W1181" s="13" t="n">
        <v>0</v>
      </c>
      <c r="X1181" s="12" t="s">
        <v>1445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208</v>
      </c>
      <c r="F1182" s="10" t="n">
        <v>24</v>
      </c>
      <c r="G1182" s="12" t="s">
        <v>32</v>
      </c>
      <c r="H1182" s="10" t="n">
        <v>2110101</v>
      </c>
      <c r="I1182" s="12" t="s">
        <v>33</v>
      </c>
      <c r="J1182" s="10" t="n">
        <v>1309293</v>
      </c>
      <c r="L1182" s="10" t="n">
        <v>1600670</v>
      </c>
      <c r="M1182" s="12" t="s">
        <v>34</v>
      </c>
      <c r="N1182" s="12" t="s">
        <v>35</v>
      </c>
      <c r="P1182" s="10" t="n">
        <v>103</v>
      </c>
      <c r="Q1182" s="12" t="s">
        <v>36</v>
      </c>
      <c r="R1182" s="12" t="s">
        <v>37</v>
      </c>
      <c r="S1182" s="10" t="n">
        <v>1130101</v>
      </c>
      <c r="T1182" s="12" t="s">
        <v>38</v>
      </c>
      <c r="U1182" s="13" t="n">
        <v>6714.04</v>
      </c>
      <c r="W1182" s="13" t="n">
        <v>0</v>
      </c>
      <c r="X1182" s="12" t="s">
        <v>1446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201</v>
      </c>
      <c r="F1183" s="10" t="n">
        <v>24</v>
      </c>
      <c r="G1183" s="12" t="s">
        <v>32</v>
      </c>
      <c r="H1183" s="10" t="n">
        <v>2110101</v>
      </c>
      <c r="I1183" s="12" t="s">
        <v>33</v>
      </c>
      <c r="J1183" s="10" t="n">
        <v>1324513</v>
      </c>
      <c r="L1183" s="10" t="n">
        <v>1420457</v>
      </c>
      <c r="M1183" s="12" t="s">
        <v>41</v>
      </c>
      <c r="N1183" s="12" t="s">
        <v>35</v>
      </c>
      <c r="P1183" s="10" t="n">
        <v>103</v>
      </c>
      <c r="Q1183" s="12" t="s">
        <v>36</v>
      </c>
      <c r="R1183" s="12" t="s">
        <v>37</v>
      </c>
      <c r="S1183" s="10" t="n">
        <v>1130101</v>
      </c>
      <c r="T1183" s="12" t="s">
        <v>38</v>
      </c>
      <c r="U1183" s="13" t="n">
        <v>1345.38</v>
      </c>
      <c r="W1183" s="13" t="n">
        <v>0</v>
      </c>
      <c r="X1183" s="12" t="s">
        <v>1447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371</v>
      </c>
      <c r="F1184" s="10" t="n">
        <v>24</v>
      </c>
      <c r="G1184" s="12" t="s">
        <v>32</v>
      </c>
      <c r="H1184" s="10" t="n">
        <v>2110101</v>
      </c>
      <c r="I1184" s="12" t="s">
        <v>33</v>
      </c>
      <c r="J1184" s="10" t="n">
        <v>1334706</v>
      </c>
      <c r="L1184" s="10" t="n">
        <v>306058</v>
      </c>
      <c r="M1184" s="12" t="s">
        <v>41</v>
      </c>
      <c r="N1184" s="12" t="s">
        <v>35</v>
      </c>
      <c r="P1184" s="10" t="n">
        <v>103</v>
      </c>
      <c r="Q1184" s="12" t="s">
        <v>36</v>
      </c>
      <c r="R1184" s="12" t="s">
        <v>37</v>
      </c>
      <c r="S1184" s="10" t="n">
        <v>1130101</v>
      </c>
      <c r="T1184" s="12" t="s">
        <v>38</v>
      </c>
      <c r="U1184" s="13" t="n">
        <v>1613.93</v>
      </c>
      <c r="W1184" s="13" t="n">
        <v>0</v>
      </c>
      <c r="X1184" s="12" t="s">
        <v>1448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208</v>
      </c>
      <c r="F1185" s="10" t="n">
        <v>24</v>
      </c>
      <c r="G1185" s="12" t="s">
        <v>32</v>
      </c>
      <c r="H1185" s="10" t="n">
        <v>2110101</v>
      </c>
      <c r="I1185" s="12" t="s">
        <v>33</v>
      </c>
      <c r="J1185" s="10" t="n">
        <v>1348480</v>
      </c>
      <c r="L1185" s="10" t="n">
        <v>1603506</v>
      </c>
      <c r="M1185" s="12" t="s">
        <v>41</v>
      </c>
      <c r="N1185" s="12" t="s">
        <v>35</v>
      </c>
      <c r="P1185" s="10" t="n">
        <v>103</v>
      </c>
      <c r="Q1185" s="12" t="s">
        <v>36</v>
      </c>
      <c r="R1185" s="12" t="s">
        <v>37</v>
      </c>
      <c r="S1185" s="10" t="n">
        <v>1130101</v>
      </c>
      <c r="T1185" s="12" t="s">
        <v>38</v>
      </c>
      <c r="U1185" s="13" t="n">
        <v>2368.52</v>
      </c>
      <c r="W1185" s="13" t="n">
        <v>0</v>
      </c>
      <c r="X1185" s="12" t="s">
        <v>1449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597</v>
      </c>
      <c r="F1186" s="10" t="n">
        <v>24</v>
      </c>
      <c r="G1186" s="12" t="s">
        <v>32</v>
      </c>
      <c r="H1186" s="10" t="n">
        <v>1110202</v>
      </c>
      <c r="I1186" s="12" t="s">
        <v>285</v>
      </c>
      <c r="J1186" s="10" t="n">
        <v>1377363</v>
      </c>
      <c r="L1186" s="10" t="n">
        <v>567701</v>
      </c>
      <c r="M1186" s="12" t="s">
        <v>41</v>
      </c>
      <c r="N1186" s="12" t="s">
        <v>42</v>
      </c>
      <c r="P1186" s="10" t="n">
        <v>101</v>
      </c>
      <c r="Q1186" s="12" t="s">
        <v>84</v>
      </c>
      <c r="R1186" s="12" t="s">
        <v>85</v>
      </c>
      <c r="S1186" s="10" t="n">
        <v>4210315</v>
      </c>
      <c r="T1186" s="12" t="s">
        <v>503</v>
      </c>
      <c r="U1186" s="13" t="n">
        <v>167.03</v>
      </c>
      <c r="W1186" s="13" t="n">
        <v>0</v>
      </c>
      <c r="X1186" s="12" t="s">
        <v>1450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201</v>
      </c>
      <c r="F1187" s="10" t="n">
        <v>24</v>
      </c>
      <c r="G1187" s="12" t="s">
        <v>32</v>
      </c>
      <c r="H1187" s="10" t="n">
        <v>1110202</v>
      </c>
      <c r="I1187" s="12" t="s">
        <v>285</v>
      </c>
      <c r="J1187" s="10" t="n">
        <v>1381864</v>
      </c>
      <c r="L1187" s="10" t="n">
        <v>1425692</v>
      </c>
      <c r="M1187" s="12" t="s">
        <v>41</v>
      </c>
      <c r="N1187" s="12" t="s">
        <v>42</v>
      </c>
      <c r="P1187" s="10" t="n">
        <v>103</v>
      </c>
      <c r="Q1187" s="12" t="s">
        <v>36</v>
      </c>
      <c r="R1187" s="12" t="s">
        <v>37</v>
      </c>
      <c r="S1187" s="10" t="n">
        <v>1130101</v>
      </c>
      <c r="T1187" s="12" t="s">
        <v>38</v>
      </c>
      <c r="U1187" s="13" t="n">
        <v>1083.11</v>
      </c>
      <c r="W1187" s="13" t="n">
        <v>0</v>
      </c>
      <c r="X1187" s="12" t="s">
        <v>1451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70</v>
      </c>
      <c r="F1188" s="10" t="n">
        <v>34</v>
      </c>
      <c r="G1188" s="12" t="s">
        <v>71</v>
      </c>
      <c r="H1188" s="10" t="n">
        <v>2110101</v>
      </c>
      <c r="I1188" s="12" t="s">
        <v>33</v>
      </c>
      <c r="J1188" s="10" t="n">
        <v>1397765</v>
      </c>
      <c r="L1188" s="10" t="n">
        <v>5295</v>
      </c>
      <c r="M1188" s="12" t="s">
        <v>41</v>
      </c>
      <c r="N1188" s="12" t="s">
        <v>35</v>
      </c>
      <c r="P1188" s="10" t="n">
        <v>104</v>
      </c>
      <c r="Q1188" s="12" t="s">
        <v>99</v>
      </c>
      <c r="R1188" s="12" t="s">
        <v>37</v>
      </c>
      <c r="S1188" s="10" t="n">
        <v>1130101</v>
      </c>
      <c r="T1188" s="12" t="s">
        <v>38</v>
      </c>
      <c r="U1188" s="13" t="n">
        <v>1592</v>
      </c>
      <c r="W1188" s="13" t="n">
        <v>0</v>
      </c>
      <c r="X1188" s="12" t="s">
        <v>1452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221</v>
      </c>
      <c r="F1189" s="10" t="n">
        <v>34</v>
      </c>
      <c r="G1189" s="12" t="s">
        <v>71</v>
      </c>
      <c r="H1189" s="10" t="n">
        <v>2110101</v>
      </c>
      <c r="I1189" s="12" t="s">
        <v>33</v>
      </c>
      <c r="J1189" s="10" t="n">
        <v>1397792</v>
      </c>
      <c r="L1189" s="10" t="n">
        <v>14862</v>
      </c>
      <c r="M1189" s="12" t="s">
        <v>41</v>
      </c>
      <c r="N1189" s="12" t="s">
        <v>35</v>
      </c>
      <c r="P1189" s="10" t="n">
        <v>104</v>
      </c>
      <c r="Q1189" s="12" t="s">
        <v>99</v>
      </c>
      <c r="R1189" s="12" t="s">
        <v>37</v>
      </c>
      <c r="S1189" s="10" t="n">
        <v>1130101</v>
      </c>
      <c r="T1189" s="12" t="s">
        <v>38</v>
      </c>
      <c r="U1189" s="13" t="n">
        <v>340</v>
      </c>
      <c r="W1189" s="13" t="n">
        <v>0</v>
      </c>
      <c r="X1189" s="12" t="s">
        <v>1453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591</v>
      </c>
      <c r="F1190" s="10" t="n">
        <v>34</v>
      </c>
      <c r="G1190" s="12" t="s">
        <v>71</v>
      </c>
      <c r="H1190" s="10" t="n">
        <v>2110101</v>
      </c>
      <c r="I1190" s="12" t="s">
        <v>33</v>
      </c>
      <c r="J1190" s="10" t="n">
        <v>1398444</v>
      </c>
      <c r="L1190" s="10" t="n">
        <v>1644513</v>
      </c>
      <c r="M1190" s="12" t="s">
        <v>41</v>
      </c>
      <c r="N1190" s="12" t="s">
        <v>35</v>
      </c>
      <c r="P1190" s="10" t="n">
        <v>104</v>
      </c>
      <c r="Q1190" s="12" t="s">
        <v>99</v>
      </c>
      <c r="R1190" s="12" t="s">
        <v>37</v>
      </c>
      <c r="S1190" s="10" t="n">
        <v>1130101</v>
      </c>
      <c r="T1190" s="12" t="s">
        <v>38</v>
      </c>
      <c r="U1190" s="13" t="n">
        <v>261</v>
      </c>
      <c r="W1190" s="13" t="n">
        <v>0</v>
      </c>
      <c r="X1190" s="12" t="s">
        <v>1454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591</v>
      </c>
      <c r="F1191" s="10" t="n">
        <v>34</v>
      </c>
      <c r="G1191" s="12" t="s">
        <v>71</v>
      </c>
      <c r="H1191" s="10" t="n">
        <v>2110101</v>
      </c>
      <c r="I1191" s="12" t="s">
        <v>33</v>
      </c>
      <c r="J1191" s="10" t="n">
        <v>1398464</v>
      </c>
      <c r="L1191" s="10" t="n">
        <v>1644532</v>
      </c>
      <c r="M1191" s="12" t="s">
        <v>41</v>
      </c>
      <c r="N1191" s="12" t="s">
        <v>35</v>
      </c>
      <c r="P1191" s="10" t="n">
        <v>104</v>
      </c>
      <c r="Q1191" s="12" t="s">
        <v>99</v>
      </c>
      <c r="R1191" s="12" t="s">
        <v>37</v>
      </c>
      <c r="S1191" s="10" t="n">
        <v>1130101</v>
      </c>
      <c r="T1191" s="12" t="s">
        <v>38</v>
      </c>
      <c r="U1191" s="13" t="n">
        <v>315</v>
      </c>
      <c r="W1191" s="13" t="n">
        <v>0</v>
      </c>
      <c r="X1191" s="12" t="s">
        <v>1455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591</v>
      </c>
      <c r="F1192" s="10" t="n">
        <v>34</v>
      </c>
      <c r="G1192" s="12" t="s">
        <v>71</v>
      </c>
      <c r="H1192" s="10" t="n">
        <v>2110101</v>
      </c>
      <c r="I1192" s="12" t="s">
        <v>33</v>
      </c>
      <c r="J1192" s="10" t="n">
        <v>1398528</v>
      </c>
      <c r="L1192" s="10" t="n">
        <v>1644528</v>
      </c>
      <c r="M1192" s="12" t="s">
        <v>41</v>
      </c>
      <c r="N1192" s="12" t="s">
        <v>35</v>
      </c>
      <c r="P1192" s="10" t="n">
        <v>104</v>
      </c>
      <c r="Q1192" s="12" t="s">
        <v>99</v>
      </c>
      <c r="R1192" s="12" t="s">
        <v>37</v>
      </c>
      <c r="S1192" s="10" t="n">
        <v>1130101</v>
      </c>
      <c r="T1192" s="12" t="s">
        <v>38</v>
      </c>
      <c r="U1192" s="13" t="n">
        <v>210</v>
      </c>
      <c r="W1192" s="13" t="n">
        <v>0</v>
      </c>
      <c r="X1192" s="12" t="s">
        <v>1456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591</v>
      </c>
      <c r="F1193" s="10" t="n">
        <v>34</v>
      </c>
      <c r="G1193" s="12" t="s">
        <v>71</v>
      </c>
      <c r="H1193" s="10" t="n">
        <v>2110101</v>
      </c>
      <c r="I1193" s="12" t="s">
        <v>33</v>
      </c>
      <c r="J1193" s="10" t="n">
        <v>1398549</v>
      </c>
      <c r="L1193" s="10" t="n">
        <v>1644535</v>
      </c>
      <c r="M1193" s="12" t="s">
        <v>41</v>
      </c>
      <c r="N1193" s="12" t="s">
        <v>35</v>
      </c>
      <c r="P1193" s="10" t="n">
        <v>104</v>
      </c>
      <c r="Q1193" s="12" t="s">
        <v>99</v>
      </c>
      <c r="R1193" s="12" t="s">
        <v>37</v>
      </c>
      <c r="S1193" s="10" t="n">
        <v>1130101</v>
      </c>
      <c r="T1193" s="12" t="s">
        <v>38</v>
      </c>
      <c r="U1193" s="13" t="n">
        <v>210</v>
      </c>
      <c r="W1193" s="13" t="n">
        <v>0</v>
      </c>
      <c r="X1193" s="12" t="s">
        <v>1457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591</v>
      </c>
      <c r="F1194" s="10" t="n">
        <v>34</v>
      </c>
      <c r="G1194" s="12" t="s">
        <v>71</v>
      </c>
      <c r="H1194" s="10" t="n">
        <v>2110101</v>
      </c>
      <c r="I1194" s="12" t="s">
        <v>33</v>
      </c>
      <c r="J1194" s="10" t="n">
        <v>1401380</v>
      </c>
      <c r="L1194" s="10" t="n">
        <v>1644538</v>
      </c>
      <c r="M1194" s="12" t="s">
        <v>41</v>
      </c>
      <c r="N1194" s="12" t="s">
        <v>35</v>
      </c>
      <c r="P1194" s="10" t="n">
        <v>104</v>
      </c>
      <c r="Q1194" s="12" t="s">
        <v>99</v>
      </c>
      <c r="R1194" s="12" t="s">
        <v>37</v>
      </c>
      <c r="S1194" s="10" t="n">
        <v>1130101</v>
      </c>
      <c r="T1194" s="12" t="s">
        <v>38</v>
      </c>
      <c r="U1194" s="13" t="n">
        <v>246</v>
      </c>
      <c r="W1194" s="13" t="n">
        <v>0</v>
      </c>
      <c r="X1194" s="12" t="s">
        <v>1458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591</v>
      </c>
      <c r="F1195" s="10" t="n">
        <v>34</v>
      </c>
      <c r="G1195" s="12" t="s">
        <v>71</v>
      </c>
      <c r="H1195" s="10" t="n">
        <v>2110101</v>
      </c>
      <c r="I1195" s="12" t="s">
        <v>33</v>
      </c>
      <c r="J1195" s="10" t="n">
        <v>1401410</v>
      </c>
      <c r="L1195" s="10" t="n">
        <v>1645598</v>
      </c>
      <c r="M1195" s="12" t="s">
        <v>41</v>
      </c>
      <c r="N1195" s="12" t="s">
        <v>35</v>
      </c>
      <c r="P1195" s="10" t="n">
        <v>104</v>
      </c>
      <c r="Q1195" s="12" t="s">
        <v>99</v>
      </c>
      <c r="R1195" s="12" t="s">
        <v>37</v>
      </c>
      <c r="S1195" s="10" t="n">
        <v>1130101</v>
      </c>
      <c r="T1195" s="12" t="s">
        <v>38</v>
      </c>
      <c r="U1195" s="13" t="n">
        <v>90</v>
      </c>
      <c r="W1195" s="13" t="n">
        <v>0</v>
      </c>
      <c r="X1195" s="12" t="s">
        <v>1459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591</v>
      </c>
      <c r="F1196" s="10" t="n">
        <v>34</v>
      </c>
      <c r="G1196" s="12" t="s">
        <v>71</v>
      </c>
      <c r="H1196" s="10" t="n">
        <v>2110101</v>
      </c>
      <c r="I1196" s="12" t="s">
        <v>33</v>
      </c>
      <c r="J1196" s="10" t="n">
        <v>1401472</v>
      </c>
      <c r="L1196" s="10" t="n">
        <v>1647045</v>
      </c>
      <c r="M1196" s="12" t="s">
        <v>41</v>
      </c>
      <c r="N1196" s="12" t="s">
        <v>35</v>
      </c>
      <c r="P1196" s="10" t="n">
        <v>104</v>
      </c>
      <c r="Q1196" s="12" t="s">
        <v>99</v>
      </c>
      <c r="R1196" s="12" t="s">
        <v>37</v>
      </c>
      <c r="S1196" s="10" t="n">
        <v>1130101</v>
      </c>
      <c r="T1196" s="12" t="s">
        <v>38</v>
      </c>
      <c r="U1196" s="13" t="n">
        <v>261</v>
      </c>
      <c r="W1196" s="13" t="n">
        <v>0</v>
      </c>
      <c r="X1196" s="12" t="s">
        <v>1460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591</v>
      </c>
      <c r="F1197" s="10" t="n">
        <v>34</v>
      </c>
      <c r="G1197" s="12" t="s">
        <v>71</v>
      </c>
      <c r="H1197" s="10" t="n">
        <v>2110101</v>
      </c>
      <c r="I1197" s="12" t="s">
        <v>33</v>
      </c>
      <c r="J1197" s="10" t="n">
        <v>1401502</v>
      </c>
      <c r="L1197" s="10" t="n">
        <v>1647051</v>
      </c>
      <c r="M1197" s="12" t="s">
        <v>41</v>
      </c>
      <c r="N1197" s="12" t="s">
        <v>35</v>
      </c>
      <c r="P1197" s="10" t="n">
        <v>104</v>
      </c>
      <c r="Q1197" s="12" t="s">
        <v>99</v>
      </c>
      <c r="R1197" s="12" t="s">
        <v>37</v>
      </c>
      <c r="S1197" s="10" t="n">
        <v>1130101</v>
      </c>
      <c r="T1197" s="12" t="s">
        <v>38</v>
      </c>
      <c r="U1197" s="13" t="n">
        <v>210</v>
      </c>
      <c r="W1197" s="13" t="n">
        <v>0</v>
      </c>
      <c r="X1197" s="12" t="s">
        <v>1461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591</v>
      </c>
      <c r="F1198" s="10" t="n">
        <v>34</v>
      </c>
      <c r="G1198" s="12" t="s">
        <v>71</v>
      </c>
      <c r="H1198" s="10" t="n">
        <v>2110101</v>
      </c>
      <c r="I1198" s="12" t="s">
        <v>33</v>
      </c>
      <c r="J1198" s="10" t="n">
        <v>1406042</v>
      </c>
      <c r="L1198" s="10" t="n">
        <v>1647750</v>
      </c>
      <c r="M1198" s="12" t="s">
        <v>41</v>
      </c>
      <c r="N1198" s="12" t="s">
        <v>35</v>
      </c>
      <c r="P1198" s="10" t="n">
        <v>104</v>
      </c>
      <c r="Q1198" s="12" t="s">
        <v>99</v>
      </c>
      <c r="R1198" s="12" t="s">
        <v>37</v>
      </c>
      <c r="S1198" s="10" t="n">
        <v>1130101</v>
      </c>
      <c r="T1198" s="12" t="s">
        <v>38</v>
      </c>
      <c r="U1198" s="13" t="n">
        <v>225</v>
      </c>
      <c r="W1198" s="13" t="n">
        <v>0</v>
      </c>
      <c r="X1198" s="12" t="s">
        <v>1462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82</v>
      </c>
      <c r="F1199" s="10" t="n">
        <v>34</v>
      </c>
      <c r="G1199" s="12" t="s">
        <v>71</v>
      </c>
      <c r="H1199" s="10" t="n">
        <v>1110202</v>
      </c>
      <c r="I1199" s="12" t="s">
        <v>285</v>
      </c>
      <c r="J1199" s="10" t="n">
        <v>1406880</v>
      </c>
      <c r="L1199" s="10" t="n">
        <v>579953</v>
      </c>
      <c r="M1199" s="12" t="s">
        <v>41</v>
      </c>
      <c r="N1199" s="12" t="s">
        <v>42</v>
      </c>
      <c r="P1199" s="10" t="n">
        <v>101</v>
      </c>
      <c r="Q1199" s="12" t="s">
        <v>84</v>
      </c>
      <c r="R1199" s="12" t="s">
        <v>85</v>
      </c>
      <c r="S1199" s="10" t="n">
        <v>4210301</v>
      </c>
      <c r="T1199" s="12" t="s">
        <v>295</v>
      </c>
      <c r="U1199" s="13" t="n">
        <v>5500</v>
      </c>
      <c r="W1199" s="13" t="n">
        <v>0</v>
      </c>
      <c r="X1199" s="12" t="s">
        <v>1463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284</v>
      </c>
      <c r="F1200" s="10" t="n">
        <v>34</v>
      </c>
      <c r="G1200" s="12" t="s">
        <v>71</v>
      </c>
      <c r="H1200" s="10" t="n">
        <v>1110202</v>
      </c>
      <c r="I1200" s="12" t="s">
        <v>285</v>
      </c>
      <c r="J1200" s="10" t="n">
        <v>1449315</v>
      </c>
      <c r="L1200" s="10" t="n">
        <v>596195</v>
      </c>
      <c r="M1200" s="12" t="s">
        <v>41</v>
      </c>
      <c r="N1200" s="12" t="s">
        <v>42</v>
      </c>
      <c r="P1200" s="10" t="n">
        <v>102</v>
      </c>
      <c r="Q1200" s="12" t="s">
        <v>107</v>
      </c>
      <c r="R1200" s="12" t="s">
        <v>91</v>
      </c>
      <c r="S1200" s="10" t="n">
        <v>4220199</v>
      </c>
      <c r="T1200" s="12" t="s">
        <v>92</v>
      </c>
      <c r="U1200" s="13" t="n">
        <v>810</v>
      </c>
      <c r="W1200" s="13" t="n">
        <v>0</v>
      </c>
      <c r="X1200" s="12" t="s">
        <v>1464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82</v>
      </c>
      <c r="F1201" s="10" t="n">
        <v>34</v>
      </c>
      <c r="G1201" s="12" t="s">
        <v>71</v>
      </c>
      <c r="H1201" s="10" t="n">
        <v>1110202</v>
      </c>
      <c r="I1201" s="12" t="s">
        <v>285</v>
      </c>
      <c r="J1201" s="10" t="n">
        <v>1207186</v>
      </c>
      <c r="L1201" s="10" t="n">
        <v>502160</v>
      </c>
      <c r="M1201" s="12" t="s">
        <v>34</v>
      </c>
      <c r="N1201" s="12" t="s">
        <v>42</v>
      </c>
      <c r="P1201" s="10" t="n">
        <v>102</v>
      </c>
      <c r="Q1201" s="12" t="s">
        <v>107</v>
      </c>
      <c r="R1201" s="12" t="s">
        <v>85</v>
      </c>
      <c r="S1201" s="10" t="n">
        <v>4210309</v>
      </c>
      <c r="T1201" s="12" t="s">
        <v>86</v>
      </c>
      <c r="U1201" s="13" t="n">
        <v>260</v>
      </c>
      <c r="W1201" s="13" t="n">
        <v>0</v>
      </c>
      <c r="X1201" s="12" t="s">
        <v>334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182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1028242</v>
      </c>
      <c r="L1202" s="10" t="n">
        <v>10262</v>
      </c>
      <c r="M1202" s="12" t="s">
        <v>391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1488.3</v>
      </c>
      <c r="W1202" s="13" t="n">
        <v>0</v>
      </c>
      <c r="X1202" s="12" t="s">
        <v>1465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204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1261364</v>
      </c>
      <c r="L1203" s="10" t="n">
        <v>1957890</v>
      </c>
      <c r="M1203" s="12" t="s">
        <v>128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3937.78</v>
      </c>
      <c r="W1203" s="13" t="n">
        <v>0</v>
      </c>
      <c r="X1203" s="12" t="s">
        <v>1466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54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1262158</v>
      </c>
      <c r="L1204" s="10" t="n">
        <v>878848</v>
      </c>
      <c r="M1204" s="12" t="s">
        <v>128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1402.88</v>
      </c>
      <c r="W1204" s="13" t="n">
        <v>0</v>
      </c>
      <c r="X1204" s="12" t="s">
        <v>1467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371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1265932</v>
      </c>
      <c r="L1205" s="10" t="n">
        <v>304776</v>
      </c>
      <c r="M1205" s="12" t="s">
        <v>128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1568.1</v>
      </c>
      <c r="W1205" s="13" t="n">
        <v>0</v>
      </c>
      <c r="X1205" s="12" t="s">
        <v>1468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51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1269204</v>
      </c>
      <c r="L1206" s="10" t="n">
        <v>1675757</v>
      </c>
      <c r="M1206" s="12" t="s">
        <v>34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1279.76</v>
      </c>
      <c r="W1206" s="13" t="n">
        <v>0</v>
      </c>
      <c r="X1206" s="12" t="s">
        <v>1469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132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1272947</v>
      </c>
      <c r="L1207" s="10" t="n">
        <v>20352</v>
      </c>
      <c r="M1207" s="12" t="s">
        <v>34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1263.3</v>
      </c>
      <c r="W1207" s="13" t="n">
        <v>0</v>
      </c>
      <c r="X1207" s="12" t="s">
        <v>1470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1062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1280916</v>
      </c>
      <c r="L1208" s="10" t="n">
        <v>293860</v>
      </c>
      <c r="M1208" s="12" t="s">
        <v>128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1250.11</v>
      </c>
      <c r="W1208" s="13" t="n">
        <v>0</v>
      </c>
      <c r="X1208" s="12" t="s">
        <v>1471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51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1299280</v>
      </c>
      <c r="L1209" s="10" t="n">
        <v>1680082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1310.03</v>
      </c>
      <c r="W1209" s="13" t="n">
        <v>0</v>
      </c>
      <c r="X1209" s="12" t="s">
        <v>1472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1305846</v>
      </c>
      <c r="L1210" s="10" t="n">
        <v>311084</v>
      </c>
      <c r="M1210" s="12" t="s">
        <v>34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2048.68</v>
      </c>
      <c r="W1210" s="13" t="n">
        <v>0</v>
      </c>
      <c r="X1210" s="12" t="s">
        <v>1473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753</v>
      </c>
      <c r="F1211" s="10" t="n">
        <v>24</v>
      </c>
      <c r="G1211" s="12" t="s">
        <v>32</v>
      </c>
      <c r="H1211" s="10" t="n">
        <v>2110101</v>
      </c>
      <c r="I1211" s="12" t="s">
        <v>33</v>
      </c>
      <c r="J1211" s="10" t="n">
        <v>1310224</v>
      </c>
      <c r="L1211" s="10" t="n">
        <v>193797</v>
      </c>
      <c r="M1211" s="12" t="s">
        <v>34</v>
      </c>
      <c r="N1211" s="12" t="s">
        <v>35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1024.54</v>
      </c>
      <c r="W1211" s="13" t="n">
        <v>0</v>
      </c>
      <c r="X1211" s="12" t="s">
        <v>1474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201</v>
      </c>
      <c r="F1212" s="10" t="n">
        <v>24</v>
      </c>
      <c r="G1212" s="12" t="s">
        <v>32</v>
      </c>
      <c r="H1212" s="10" t="n">
        <v>2110101</v>
      </c>
      <c r="I1212" s="12" t="s">
        <v>33</v>
      </c>
      <c r="J1212" s="10" t="n">
        <v>1324820</v>
      </c>
      <c r="L1212" s="10" t="n">
        <v>1420957</v>
      </c>
      <c r="M1212" s="12" t="s">
        <v>41</v>
      </c>
      <c r="N1212" s="12" t="s">
        <v>35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1493.87</v>
      </c>
      <c r="W1212" s="13" t="n">
        <v>0</v>
      </c>
      <c r="X1212" s="12" t="s">
        <v>1475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258</v>
      </c>
      <c r="F1213" s="10" t="n">
        <v>24</v>
      </c>
      <c r="G1213" s="12" t="s">
        <v>32</v>
      </c>
      <c r="H1213" s="10" t="n">
        <v>2110101</v>
      </c>
      <c r="I1213" s="12" t="s">
        <v>33</v>
      </c>
      <c r="J1213" s="10" t="n">
        <v>1325622</v>
      </c>
      <c r="L1213" s="10" t="n">
        <v>1240896</v>
      </c>
      <c r="M1213" s="12" t="s">
        <v>41</v>
      </c>
      <c r="N1213" s="12" t="s">
        <v>35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983.77</v>
      </c>
      <c r="W1213" s="13" t="n">
        <v>0</v>
      </c>
      <c r="X1213" s="12" t="s">
        <v>1476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80</v>
      </c>
      <c r="F1214" s="10" t="n">
        <v>24</v>
      </c>
      <c r="G1214" s="12" t="s">
        <v>32</v>
      </c>
      <c r="H1214" s="10" t="n">
        <v>2110101</v>
      </c>
      <c r="I1214" s="12" t="s">
        <v>33</v>
      </c>
      <c r="J1214" s="10" t="n">
        <v>1341229</v>
      </c>
      <c r="L1214" s="10" t="n">
        <v>496957</v>
      </c>
      <c r="M1214" s="12" t="s">
        <v>41</v>
      </c>
      <c r="N1214" s="12" t="s">
        <v>35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1012.57</v>
      </c>
      <c r="W1214" s="13" t="n">
        <v>0</v>
      </c>
      <c r="X1214" s="12" t="s">
        <v>1477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1064</v>
      </c>
      <c r="F1215" s="10" t="n">
        <v>24</v>
      </c>
      <c r="G1215" s="12" t="s">
        <v>32</v>
      </c>
      <c r="H1215" s="10" t="n">
        <v>2110101</v>
      </c>
      <c r="I1215" s="12" t="s">
        <v>33</v>
      </c>
      <c r="J1215" s="10" t="n">
        <v>1343984</v>
      </c>
      <c r="L1215" s="10" t="n">
        <v>10653</v>
      </c>
      <c r="M1215" s="12" t="s">
        <v>41</v>
      </c>
      <c r="N1215" s="12" t="s">
        <v>35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228</v>
      </c>
      <c r="W1215" s="13" t="n">
        <v>0</v>
      </c>
      <c r="X1215" s="12" t="s">
        <v>1478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148</v>
      </c>
      <c r="F1216" s="10" t="n">
        <v>24</v>
      </c>
      <c r="G1216" s="12" t="s">
        <v>32</v>
      </c>
      <c r="H1216" s="10" t="n">
        <v>2110101</v>
      </c>
      <c r="I1216" s="12" t="s">
        <v>33</v>
      </c>
      <c r="J1216" s="10" t="n">
        <v>1348536</v>
      </c>
      <c r="L1216" s="10" t="n">
        <v>1910367</v>
      </c>
      <c r="M1216" s="12" t="s">
        <v>41</v>
      </c>
      <c r="N1216" s="12" t="s">
        <v>35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56.96</v>
      </c>
      <c r="W1216" s="13" t="n">
        <v>0</v>
      </c>
      <c r="X1216" s="12" t="s">
        <v>1479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148</v>
      </c>
      <c r="F1217" s="10" t="n">
        <v>24</v>
      </c>
      <c r="G1217" s="12" t="s">
        <v>32</v>
      </c>
      <c r="H1217" s="10" t="n">
        <v>2110101</v>
      </c>
      <c r="I1217" s="12" t="s">
        <v>33</v>
      </c>
      <c r="J1217" s="10" t="n">
        <v>1348564</v>
      </c>
      <c r="L1217" s="10" t="n">
        <v>1182811</v>
      </c>
      <c r="M1217" s="12" t="s">
        <v>41</v>
      </c>
      <c r="N1217" s="12" t="s">
        <v>35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335.01</v>
      </c>
      <c r="W1217" s="13" t="n">
        <v>0</v>
      </c>
      <c r="X1217" s="12" t="s">
        <v>1480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148</v>
      </c>
      <c r="F1218" s="10" t="n">
        <v>24</v>
      </c>
      <c r="G1218" s="12" t="s">
        <v>32</v>
      </c>
      <c r="H1218" s="10" t="n">
        <v>2110101</v>
      </c>
      <c r="I1218" s="12" t="s">
        <v>33</v>
      </c>
      <c r="J1218" s="10" t="n">
        <v>1348586</v>
      </c>
      <c r="L1218" s="10" t="n">
        <v>1184135</v>
      </c>
      <c r="M1218" s="12" t="s">
        <v>41</v>
      </c>
      <c r="N1218" s="12" t="s">
        <v>35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3237</v>
      </c>
      <c r="W1218" s="13" t="n">
        <v>0</v>
      </c>
      <c r="X1218" s="12" t="s">
        <v>1481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148</v>
      </c>
      <c r="F1219" s="10" t="n">
        <v>24</v>
      </c>
      <c r="G1219" s="12" t="s">
        <v>32</v>
      </c>
      <c r="H1219" s="10" t="n">
        <v>2110101</v>
      </c>
      <c r="I1219" s="12" t="s">
        <v>33</v>
      </c>
      <c r="J1219" s="10" t="n">
        <v>1348607</v>
      </c>
      <c r="L1219" s="10" t="n">
        <v>1910815</v>
      </c>
      <c r="M1219" s="12" t="s">
        <v>41</v>
      </c>
      <c r="N1219" s="12" t="s">
        <v>35</v>
      </c>
      <c r="P1219" s="10" t="n">
        <v>103</v>
      </c>
      <c r="Q1219" s="12" t="s">
        <v>36</v>
      </c>
      <c r="R1219" s="12" t="s">
        <v>37</v>
      </c>
      <c r="S1219" s="10" t="n">
        <v>1130101</v>
      </c>
      <c r="T1219" s="12" t="s">
        <v>38</v>
      </c>
      <c r="U1219" s="13" t="n">
        <v>6181.16</v>
      </c>
      <c r="W1219" s="13" t="n">
        <v>0</v>
      </c>
      <c r="X1219" s="12" t="s">
        <v>1482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157</v>
      </c>
      <c r="F1220" s="10" t="n">
        <v>24</v>
      </c>
      <c r="G1220" s="12" t="s">
        <v>32</v>
      </c>
      <c r="H1220" s="10" t="n">
        <v>1110202</v>
      </c>
      <c r="I1220" s="12" t="s">
        <v>285</v>
      </c>
      <c r="J1220" s="10" t="n">
        <v>1374885</v>
      </c>
      <c r="L1220" s="10" t="n">
        <v>31702</v>
      </c>
      <c r="M1220" s="12" t="s">
        <v>41</v>
      </c>
      <c r="N1220" s="12" t="s">
        <v>42</v>
      </c>
      <c r="P1220" s="10" t="n">
        <v>103</v>
      </c>
      <c r="Q1220" s="12" t="s">
        <v>36</v>
      </c>
      <c r="R1220" s="12" t="s">
        <v>37</v>
      </c>
      <c r="S1220" s="10" t="n">
        <v>1130101</v>
      </c>
      <c r="T1220" s="12" t="s">
        <v>38</v>
      </c>
      <c r="U1220" s="13" t="n">
        <v>3130</v>
      </c>
      <c r="W1220" s="13" t="n">
        <v>0</v>
      </c>
      <c r="X1220" s="12" t="s">
        <v>1483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31</v>
      </c>
      <c r="F1221" s="10" t="n">
        <v>24</v>
      </c>
      <c r="G1221" s="12" t="s">
        <v>32</v>
      </c>
      <c r="H1221" s="10" t="n">
        <v>1110202</v>
      </c>
      <c r="I1221" s="12" t="s">
        <v>285</v>
      </c>
      <c r="J1221" s="10" t="n">
        <v>1376753</v>
      </c>
      <c r="L1221" s="10" t="n">
        <v>566298</v>
      </c>
      <c r="M1221" s="12" t="s">
        <v>41</v>
      </c>
      <c r="N1221" s="12" t="s">
        <v>42</v>
      </c>
      <c r="P1221" s="10" t="n">
        <v>103</v>
      </c>
      <c r="Q1221" s="12" t="s">
        <v>36</v>
      </c>
      <c r="R1221" s="12" t="s">
        <v>37</v>
      </c>
      <c r="S1221" s="10" t="n">
        <v>1130101</v>
      </c>
      <c r="T1221" s="12" t="s">
        <v>38</v>
      </c>
      <c r="U1221" s="13" t="n">
        <v>5877.89</v>
      </c>
      <c r="W1221" s="13" t="n">
        <v>0</v>
      </c>
      <c r="X1221" s="12" t="s">
        <v>1484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66</v>
      </c>
      <c r="F1222" s="10" t="n">
        <v>24</v>
      </c>
      <c r="G1222" s="12" t="s">
        <v>32</v>
      </c>
      <c r="H1222" s="10" t="n">
        <v>1110202</v>
      </c>
      <c r="I1222" s="12" t="s">
        <v>285</v>
      </c>
      <c r="J1222" s="10" t="n">
        <v>1376903</v>
      </c>
      <c r="L1222" s="10" t="n">
        <v>11400</v>
      </c>
      <c r="M1222" s="12" t="s">
        <v>34</v>
      </c>
      <c r="N1222" s="12" t="s">
        <v>42</v>
      </c>
      <c r="P1222" s="10" t="n">
        <v>103</v>
      </c>
      <c r="Q1222" s="12" t="s">
        <v>36</v>
      </c>
      <c r="R1222" s="12" t="s">
        <v>37</v>
      </c>
      <c r="S1222" s="10" t="n">
        <v>1130101</v>
      </c>
      <c r="T1222" s="12" t="s">
        <v>38</v>
      </c>
      <c r="U1222" s="13" t="n">
        <v>259.39</v>
      </c>
      <c r="W1222" s="13" t="n">
        <v>0</v>
      </c>
      <c r="X1222" s="12" t="s">
        <v>1485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478</v>
      </c>
      <c r="F1223" s="10" t="n">
        <v>24</v>
      </c>
      <c r="G1223" s="12" t="s">
        <v>32</v>
      </c>
      <c r="H1223" s="10" t="n">
        <v>1110202</v>
      </c>
      <c r="I1223" s="12" t="s">
        <v>285</v>
      </c>
      <c r="J1223" s="10" t="n">
        <v>1376959</v>
      </c>
      <c r="L1223" s="10" t="n">
        <v>464</v>
      </c>
      <c r="M1223" s="12" t="s">
        <v>41</v>
      </c>
      <c r="N1223" s="12" t="s">
        <v>42</v>
      </c>
      <c r="P1223" s="10" t="n">
        <v>103</v>
      </c>
      <c r="Q1223" s="12" t="s">
        <v>36</v>
      </c>
      <c r="R1223" s="12" t="s">
        <v>37</v>
      </c>
      <c r="S1223" s="10" t="n">
        <v>1130101</v>
      </c>
      <c r="T1223" s="12" t="s">
        <v>38</v>
      </c>
      <c r="U1223" s="13" t="n">
        <v>465</v>
      </c>
      <c r="W1223" s="13" t="n">
        <v>0</v>
      </c>
      <c r="X1223" s="12" t="s">
        <v>1486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278</v>
      </c>
      <c r="F1224" s="10" t="n">
        <v>24</v>
      </c>
      <c r="G1224" s="12" t="s">
        <v>32</v>
      </c>
      <c r="H1224" s="10" t="n">
        <v>1110202</v>
      </c>
      <c r="I1224" s="12" t="s">
        <v>285</v>
      </c>
      <c r="J1224" s="10" t="n">
        <v>1392932</v>
      </c>
      <c r="L1224" s="10" t="n">
        <v>31367</v>
      </c>
      <c r="M1224" s="12" t="s">
        <v>41</v>
      </c>
      <c r="N1224" s="12" t="s">
        <v>42</v>
      </c>
      <c r="P1224" s="10" t="n">
        <v>103</v>
      </c>
      <c r="Q1224" s="12" t="s">
        <v>36</v>
      </c>
      <c r="R1224" s="12" t="s">
        <v>37</v>
      </c>
      <c r="S1224" s="10" t="n">
        <v>1130101</v>
      </c>
      <c r="T1224" s="12" t="s">
        <v>38</v>
      </c>
      <c r="U1224" s="13" t="n">
        <v>363.5</v>
      </c>
      <c r="W1224" s="13" t="n">
        <v>0</v>
      </c>
      <c r="X1224" s="12" t="s">
        <v>1487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74</v>
      </c>
      <c r="F1225" s="10" t="n">
        <v>24</v>
      </c>
      <c r="G1225" s="12" t="s">
        <v>32</v>
      </c>
      <c r="H1225" s="10" t="n">
        <v>1110202</v>
      </c>
      <c r="I1225" s="12" t="s">
        <v>285</v>
      </c>
      <c r="J1225" s="10" t="n">
        <v>1393619</v>
      </c>
      <c r="L1225" s="10" t="n">
        <v>710</v>
      </c>
      <c r="M1225" s="12" t="s">
        <v>41</v>
      </c>
      <c r="N1225" s="12" t="s">
        <v>42</v>
      </c>
      <c r="P1225" s="10" t="n">
        <v>103</v>
      </c>
      <c r="Q1225" s="12" t="s">
        <v>36</v>
      </c>
      <c r="R1225" s="12" t="s">
        <v>37</v>
      </c>
      <c r="S1225" s="10" t="n">
        <v>1130101</v>
      </c>
      <c r="T1225" s="12" t="s">
        <v>38</v>
      </c>
      <c r="U1225" s="13" t="n">
        <v>664.48</v>
      </c>
      <c r="W1225" s="13" t="n">
        <v>0</v>
      </c>
      <c r="X1225" s="12" t="s">
        <v>1488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66</v>
      </c>
      <c r="F1226" s="10" t="n">
        <v>24</v>
      </c>
      <c r="G1226" s="12" t="s">
        <v>32</v>
      </c>
      <c r="H1226" s="10" t="n">
        <v>1110202</v>
      </c>
      <c r="I1226" s="12" t="s">
        <v>285</v>
      </c>
      <c r="J1226" s="10" t="n">
        <v>1393772</v>
      </c>
      <c r="L1226" s="10" t="n">
        <v>11415</v>
      </c>
      <c r="M1226" s="12" t="s">
        <v>41</v>
      </c>
      <c r="N1226" s="12" t="s">
        <v>42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378.43</v>
      </c>
      <c r="W1226" s="13" t="n">
        <v>0</v>
      </c>
      <c r="X1226" s="12" t="s">
        <v>1489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161</v>
      </c>
      <c r="F1227" s="10" t="n">
        <v>24</v>
      </c>
      <c r="G1227" s="12" t="s">
        <v>32</v>
      </c>
      <c r="H1227" s="10" t="n">
        <v>1110202</v>
      </c>
      <c r="I1227" s="12" t="s">
        <v>285</v>
      </c>
      <c r="J1227" s="10" t="n">
        <v>1398367</v>
      </c>
      <c r="L1227" s="10" t="n">
        <v>531</v>
      </c>
      <c r="M1227" s="12" t="s">
        <v>41</v>
      </c>
      <c r="N1227" s="12" t="s">
        <v>42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840</v>
      </c>
      <c r="W1227" s="13" t="n">
        <v>0</v>
      </c>
      <c r="X1227" s="12" t="s">
        <v>1490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1491</v>
      </c>
      <c r="F1228" s="10" t="n">
        <v>24</v>
      </c>
      <c r="G1228" s="12" t="s">
        <v>32</v>
      </c>
      <c r="H1228" s="10" t="n">
        <v>1110202</v>
      </c>
      <c r="I1228" s="12" t="s">
        <v>285</v>
      </c>
      <c r="J1228" s="10" t="n">
        <v>1405668</v>
      </c>
      <c r="L1228" s="10" t="n">
        <v>579610</v>
      </c>
      <c r="M1228" s="12" t="s">
        <v>41</v>
      </c>
      <c r="N1228" s="12" t="s">
        <v>42</v>
      </c>
      <c r="P1228" s="10" t="n">
        <v>102</v>
      </c>
      <c r="Q1228" s="12" t="s">
        <v>107</v>
      </c>
      <c r="R1228" s="12" t="s">
        <v>37</v>
      </c>
      <c r="S1228" s="10" t="n">
        <v>1130101</v>
      </c>
      <c r="T1228" s="12" t="s">
        <v>38</v>
      </c>
      <c r="U1228" s="13" t="n">
        <v>36.15</v>
      </c>
      <c r="W1228" s="13" t="n">
        <v>0</v>
      </c>
      <c r="X1228" s="12" t="s">
        <v>1492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82</v>
      </c>
      <c r="F1229" s="10" t="n">
        <v>34</v>
      </c>
      <c r="G1229" s="12" t="s">
        <v>71</v>
      </c>
      <c r="H1229" s="10" t="n">
        <v>1110202</v>
      </c>
      <c r="I1229" s="12" t="s">
        <v>285</v>
      </c>
      <c r="J1229" s="10" t="n">
        <v>1406866</v>
      </c>
      <c r="L1229" s="10" t="n">
        <v>579950</v>
      </c>
      <c r="M1229" s="12" t="s">
        <v>41</v>
      </c>
      <c r="N1229" s="12" t="s">
        <v>42</v>
      </c>
      <c r="P1229" s="10" t="n">
        <v>101</v>
      </c>
      <c r="Q1229" s="12" t="s">
        <v>84</v>
      </c>
      <c r="R1229" s="12" t="s">
        <v>85</v>
      </c>
      <c r="S1229" s="10" t="n">
        <v>4210301</v>
      </c>
      <c r="T1229" s="12" t="s">
        <v>295</v>
      </c>
      <c r="U1229" s="13" t="n">
        <v>3500</v>
      </c>
      <c r="W1229" s="13" t="n">
        <v>0</v>
      </c>
      <c r="X1229" s="12" t="s">
        <v>1493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643</v>
      </c>
      <c r="F1230" s="10" t="n">
        <v>34</v>
      </c>
      <c r="G1230" s="12" t="s">
        <v>71</v>
      </c>
      <c r="H1230" s="10" t="n">
        <v>1110202</v>
      </c>
      <c r="I1230" s="12" t="s">
        <v>285</v>
      </c>
      <c r="J1230" s="10" t="n">
        <v>1406993</v>
      </c>
      <c r="L1230" s="10" t="n">
        <v>579980</v>
      </c>
      <c r="M1230" s="12" t="s">
        <v>41</v>
      </c>
      <c r="N1230" s="12" t="s">
        <v>42</v>
      </c>
      <c r="P1230" s="10" t="n">
        <v>102</v>
      </c>
      <c r="Q1230" s="12" t="s">
        <v>107</v>
      </c>
      <c r="R1230" s="12" t="s">
        <v>60</v>
      </c>
      <c r="S1230" s="10" t="n">
        <v>4210210</v>
      </c>
      <c r="T1230" s="12" t="s">
        <v>644</v>
      </c>
      <c r="U1230" s="13" t="n">
        <v>709.67</v>
      </c>
      <c r="W1230" s="13" t="n">
        <v>0</v>
      </c>
      <c r="X1230" s="12" t="s">
        <v>1494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643</v>
      </c>
      <c r="F1231" s="10" t="n">
        <v>34</v>
      </c>
      <c r="G1231" s="12" t="s">
        <v>71</v>
      </c>
      <c r="H1231" s="10" t="n">
        <v>1110202</v>
      </c>
      <c r="I1231" s="12" t="s">
        <v>285</v>
      </c>
      <c r="J1231" s="10" t="n">
        <v>1406999</v>
      </c>
      <c r="L1231" s="10" t="n">
        <v>579982</v>
      </c>
      <c r="M1231" s="12" t="s">
        <v>41</v>
      </c>
      <c r="N1231" s="12" t="s">
        <v>42</v>
      </c>
      <c r="P1231" s="10" t="n">
        <v>102</v>
      </c>
      <c r="Q1231" s="12" t="s">
        <v>107</v>
      </c>
      <c r="R1231" s="12" t="s">
        <v>91</v>
      </c>
      <c r="S1231" s="10" t="n">
        <v>4220199</v>
      </c>
      <c r="T1231" s="12" t="s">
        <v>92</v>
      </c>
      <c r="U1231" s="13" t="n">
        <v>710</v>
      </c>
      <c r="W1231" s="13" t="n">
        <v>0</v>
      </c>
      <c r="X1231" s="12" t="s">
        <v>1428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568</v>
      </c>
      <c r="F1232" s="10" t="n">
        <v>34</v>
      </c>
      <c r="G1232" s="12" t="s">
        <v>71</v>
      </c>
      <c r="H1232" s="10" t="n">
        <v>1110202</v>
      </c>
      <c r="I1232" s="12" t="s">
        <v>285</v>
      </c>
      <c r="J1232" s="10" t="n">
        <v>1434803</v>
      </c>
      <c r="L1232" s="10" t="n">
        <v>590716</v>
      </c>
      <c r="M1232" s="12" t="s">
        <v>41</v>
      </c>
      <c r="N1232" s="12" t="s">
        <v>42</v>
      </c>
      <c r="P1232" s="10" t="n">
        <v>102</v>
      </c>
      <c r="Q1232" s="12" t="s">
        <v>107</v>
      </c>
      <c r="R1232" s="12" t="s">
        <v>37</v>
      </c>
      <c r="S1232" s="10" t="n">
        <v>1130101</v>
      </c>
      <c r="T1232" s="12" t="s">
        <v>38</v>
      </c>
      <c r="U1232" s="13" t="n">
        <v>118.45</v>
      </c>
      <c r="W1232" s="13" t="n">
        <v>0</v>
      </c>
      <c r="X1232" s="12" t="s">
        <v>1495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1496</v>
      </c>
      <c r="F1233" s="10" t="n">
        <v>13</v>
      </c>
      <c r="G1233" s="12" t="s">
        <v>98</v>
      </c>
      <c r="H1233" s="10" t="n">
        <v>2110101</v>
      </c>
      <c r="I1233" s="12" t="s">
        <v>33</v>
      </c>
      <c r="J1233" s="10" t="n">
        <v>1460043</v>
      </c>
      <c r="L1233" s="10" t="n">
        <v>26</v>
      </c>
      <c r="M1233" s="12" t="s">
        <v>41</v>
      </c>
      <c r="N1233" s="12" t="s">
        <v>35</v>
      </c>
      <c r="P1233" s="10" t="n">
        <v>104</v>
      </c>
      <c r="Q1233" s="12" t="s">
        <v>99</v>
      </c>
      <c r="R1233" s="12" t="s">
        <v>37</v>
      </c>
      <c r="S1233" s="10" t="n">
        <v>1130101</v>
      </c>
      <c r="T1233" s="12" t="s">
        <v>38</v>
      </c>
      <c r="U1233" s="13" t="n">
        <v>560</v>
      </c>
      <c r="W1233" s="13" t="n">
        <v>560</v>
      </c>
      <c r="X1233" s="12" t="s">
        <v>1497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652</v>
      </c>
      <c r="F1234" s="10" t="n">
        <v>34</v>
      </c>
      <c r="G1234" s="12" t="s">
        <v>71</v>
      </c>
      <c r="H1234" s="10" t="n">
        <v>2110405</v>
      </c>
      <c r="I1234" s="12" t="s">
        <v>83</v>
      </c>
      <c r="J1234" s="10" t="n">
        <v>1117358</v>
      </c>
      <c r="L1234" s="10" t="n">
        <v>467458</v>
      </c>
      <c r="M1234" s="12" t="s">
        <v>34</v>
      </c>
      <c r="N1234" s="12" t="s">
        <v>42</v>
      </c>
      <c r="P1234" s="10" t="n">
        <v>101</v>
      </c>
      <c r="Q1234" s="12" t="s">
        <v>84</v>
      </c>
      <c r="R1234" s="12" t="s">
        <v>165</v>
      </c>
      <c r="S1234" s="10" t="n">
        <v>2110901</v>
      </c>
      <c r="T1234" s="12" t="s">
        <v>166</v>
      </c>
      <c r="U1234" s="13" t="n">
        <v>6000</v>
      </c>
      <c r="W1234" s="13" t="n">
        <v>0</v>
      </c>
      <c r="X1234" s="12" t="s">
        <v>653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1273162</v>
      </c>
      <c r="L1235" s="10" t="n">
        <v>250257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477.39</v>
      </c>
      <c r="W1235" s="13" t="n">
        <v>0</v>
      </c>
      <c r="X1235" s="12" t="s">
        <v>1498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134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1280728</v>
      </c>
      <c r="L1236" s="10" t="n">
        <v>674930</v>
      </c>
      <c r="M1236" s="12" t="s">
        <v>128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478.43</v>
      </c>
      <c r="W1236" s="13" t="n">
        <v>0</v>
      </c>
      <c r="X1236" s="12" t="s">
        <v>1499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258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1289301</v>
      </c>
      <c r="L1237" s="10" t="n">
        <v>1238958</v>
      </c>
      <c r="M1237" s="12" t="s">
        <v>128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2272.59</v>
      </c>
      <c r="W1237" s="13" t="n">
        <v>0</v>
      </c>
      <c r="X1237" s="12" t="s">
        <v>1500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193</v>
      </c>
      <c r="F1238" s="10" t="n">
        <v>24</v>
      </c>
      <c r="G1238" s="12" t="s">
        <v>32</v>
      </c>
      <c r="H1238" s="10" t="n">
        <v>2110101</v>
      </c>
      <c r="I1238" s="12" t="s">
        <v>33</v>
      </c>
      <c r="J1238" s="10" t="n">
        <v>1309121</v>
      </c>
      <c r="L1238" s="10" t="n">
        <v>2295786</v>
      </c>
      <c r="M1238" s="12" t="s">
        <v>41</v>
      </c>
      <c r="N1238" s="12" t="s">
        <v>35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1646.34</v>
      </c>
      <c r="W1238" s="13" t="n">
        <v>0</v>
      </c>
      <c r="X1238" s="12" t="s">
        <v>1501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703</v>
      </c>
      <c r="F1239" s="10" t="n">
        <v>24</v>
      </c>
      <c r="G1239" s="12" t="s">
        <v>32</v>
      </c>
      <c r="H1239" s="10" t="n">
        <v>2110101</v>
      </c>
      <c r="I1239" s="12" t="s">
        <v>33</v>
      </c>
      <c r="J1239" s="10" t="n">
        <v>1312870</v>
      </c>
      <c r="L1239" s="10" t="n">
        <v>2033</v>
      </c>
      <c r="M1239" s="12" t="s">
        <v>128</v>
      </c>
      <c r="N1239" s="12" t="s">
        <v>35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754.66</v>
      </c>
      <c r="W1239" s="13" t="n">
        <v>0</v>
      </c>
      <c r="X1239" s="12" t="s">
        <v>1502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258</v>
      </c>
      <c r="F1240" s="10" t="n">
        <v>24</v>
      </c>
      <c r="G1240" s="12" t="s">
        <v>32</v>
      </c>
      <c r="H1240" s="10" t="n">
        <v>2110101</v>
      </c>
      <c r="I1240" s="12" t="s">
        <v>33</v>
      </c>
      <c r="J1240" s="10" t="n">
        <v>1322290</v>
      </c>
      <c r="L1240" s="10" t="n">
        <v>1241434</v>
      </c>
      <c r="M1240" s="12" t="s">
        <v>34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537.72</v>
      </c>
      <c r="W1240" s="13" t="n">
        <v>0</v>
      </c>
      <c r="X1240" s="12" t="s">
        <v>1503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325</v>
      </c>
      <c r="F1241" s="10" t="n">
        <v>24</v>
      </c>
      <c r="G1241" s="12" t="s">
        <v>32</v>
      </c>
      <c r="H1241" s="10" t="n">
        <v>2110101</v>
      </c>
      <c r="I1241" s="12" t="s">
        <v>33</v>
      </c>
      <c r="J1241" s="10" t="n">
        <v>1330337</v>
      </c>
      <c r="L1241" s="10" t="n">
        <v>8208</v>
      </c>
      <c r="M1241" s="12" t="s">
        <v>34</v>
      </c>
      <c r="N1241" s="12" t="s">
        <v>35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526.89</v>
      </c>
      <c r="W1241" s="13" t="n">
        <v>0</v>
      </c>
      <c r="X1241" s="12" t="s">
        <v>1504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551</v>
      </c>
      <c r="F1242" s="10" t="n">
        <v>24</v>
      </c>
      <c r="G1242" s="12" t="s">
        <v>32</v>
      </c>
      <c r="H1242" s="10" t="n">
        <v>2110101</v>
      </c>
      <c r="I1242" s="12" t="s">
        <v>33</v>
      </c>
      <c r="J1242" s="10" t="n">
        <v>1348411</v>
      </c>
      <c r="L1242" s="10" t="n">
        <v>390550</v>
      </c>
      <c r="M1242" s="12" t="s">
        <v>34</v>
      </c>
      <c r="N1242" s="12" t="s">
        <v>35</v>
      </c>
      <c r="P1242" s="10" t="n">
        <v>103</v>
      </c>
      <c r="Q1242" s="12" t="s">
        <v>36</v>
      </c>
      <c r="R1242" s="12" t="s">
        <v>37</v>
      </c>
      <c r="S1242" s="10" t="n">
        <v>1130101</v>
      </c>
      <c r="T1242" s="12" t="s">
        <v>38</v>
      </c>
      <c r="U1242" s="13" t="n">
        <v>2340.64</v>
      </c>
      <c r="W1242" s="13" t="n">
        <v>0</v>
      </c>
      <c r="X1242" s="12" t="s">
        <v>1505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144</v>
      </c>
      <c r="F1243" s="10" t="n">
        <v>24</v>
      </c>
      <c r="G1243" s="12" t="s">
        <v>32</v>
      </c>
      <c r="H1243" s="10" t="n">
        <v>2110101</v>
      </c>
      <c r="I1243" s="12" t="s">
        <v>33</v>
      </c>
      <c r="J1243" s="10" t="n">
        <v>1348443</v>
      </c>
      <c r="L1243" s="10" t="n">
        <v>40130</v>
      </c>
      <c r="M1243" s="12" t="s">
        <v>41</v>
      </c>
      <c r="N1243" s="12" t="s">
        <v>35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5344.86</v>
      </c>
      <c r="W1243" s="13" t="n">
        <v>0</v>
      </c>
      <c r="X1243" s="12" t="s">
        <v>1506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568</v>
      </c>
      <c r="F1244" s="10" t="n">
        <v>24</v>
      </c>
      <c r="G1244" s="12" t="s">
        <v>32</v>
      </c>
      <c r="H1244" s="10" t="n">
        <v>2110101</v>
      </c>
      <c r="I1244" s="12" t="s">
        <v>33</v>
      </c>
      <c r="J1244" s="10" t="n">
        <v>1348708</v>
      </c>
      <c r="L1244" s="10" t="n">
        <v>19022</v>
      </c>
      <c r="M1244" s="12" t="s">
        <v>34</v>
      </c>
      <c r="N1244" s="12" t="s">
        <v>35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595</v>
      </c>
      <c r="W1244" s="13" t="n">
        <v>0</v>
      </c>
      <c r="X1244" s="12" t="s">
        <v>1507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201</v>
      </c>
      <c r="F1245" s="10" t="n">
        <v>24</v>
      </c>
      <c r="G1245" s="12" t="s">
        <v>32</v>
      </c>
      <c r="H1245" s="10" t="n">
        <v>2110101</v>
      </c>
      <c r="I1245" s="12" t="s">
        <v>33</v>
      </c>
      <c r="J1245" s="10" t="n">
        <v>1360393</v>
      </c>
      <c r="L1245" s="10" t="n">
        <v>1424401</v>
      </c>
      <c r="M1245" s="12" t="s">
        <v>34</v>
      </c>
      <c r="N1245" s="12" t="s">
        <v>35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868.86</v>
      </c>
      <c r="W1245" s="13" t="n">
        <v>0</v>
      </c>
      <c r="X1245" s="12" t="s">
        <v>1508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309</v>
      </c>
      <c r="F1246" s="10" t="n">
        <v>24</v>
      </c>
      <c r="G1246" s="12" t="s">
        <v>32</v>
      </c>
      <c r="H1246" s="10" t="n">
        <v>2110101</v>
      </c>
      <c r="I1246" s="12" t="s">
        <v>33</v>
      </c>
      <c r="J1246" s="10" t="n">
        <v>1369484</v>
      </c>
      <c r="L1246" s="10" t="n">
        <v>2602</v>
      </c>
      <c r="M1246" s="12" t="s">
        <v>41</v>
      </c>
      <c r="N1246" s="12" t="s">
        <v>35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580.5</v>
      </c>
      <c r="W1246" s="13" t="n">
        <v>0</v>
      </c>
      <c r="X1246" s="12" t="s">
        <v>1509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159</v>
      </c>
      <c r="F1247" s="10" t="n">
        <v>24</v>
      </c>
      <c r="G1247" s="12" t="s">
        <v>32</v>
      </c>
      <c r="H1247" s="10" t="n">
        <v>1110202</v>
      </c>
      <c r="I1247" s="12" t="s">
        <v>285</v>
      </c>
      <c r="J1247" s="10" t="n">
        <v>1376504</v>
      </c>
      <c r="L1247" s="10" t="n">
        <v>1031245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756.45</v>
      </c>
      <c r="W1247" s="13" t="n">
        <v>0</v>
      </c>
      <c r="X1247" s="12" t="s">
        <v>1510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31</v>
      </c>
      <c r="F1248" s="10" t="n">
        <v>24</v>
      </c>
      <c r="G1248" s="12" t="s">
        <v>32</v>
      </c>
      <c r="H1248" s="10" t="n">
        <v>1110202</v>
      </c>
      <c r="I1248" s="12" t="s">
        <v>285</v>
      </c>
      <c r="J1248" s="10" t="n">
        <v>1376881</v>
      </c>
      <c r="L1248" s="10" t="n">
        <v>566543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282.34</v>
      </c>
      <c r="W1248" s="13" t="n">
        <v>0</v>
      </c>
      <c r="X1248" s="12" t="s">
        <v>1511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70</v>
      </c>
      <c r="F1249" s="10" t="n">
        <v>34</v>
      </c>
      <c r="G1249" s="12" t="s">
        <v>71</v>
      </c>
      <c r="H1249" s="10" t="n">
        <v>2110101</v>
      </c>
      <c r="I1249" s="12" t="s">
        <v>33</v>
      </c>
      <c r="J1249" s="10" t="n">
        <v>1377147</v>
      </c>
      <c r="L1249" s="10" t="n">
        <v>5286</v>
      </c>
      <c r="M1249" s="12" t="s">
        <v>41</v>
      </c>
      <c r="N1249" s="12" t="s">
        <v>35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1395</v>
      </c>
      <c r="W1249" s="13" t="n">
        <v>0</v>
      </c>
      <c r="X1249" s="12" t="s">
        <v>1512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319</v>
      </c>
      <c r="F1250" s="10" t="n">
        <v>24</v>
      </c>
      <c r="G1250" s="12" t="s">
        <v>32</v>
      </c>
      <c r="H1250" s="10" t="n">
        <v>1110202</v>
      </c>
      <c r="I1250" s="12" t="s">
        <v>285</v>
      </c>
      <c r="J1250" s="10" t="n">
        <v>1377326</v>
      </c>
      <c r="L1250" s="10" t="n">
        <v>10280</v>
      </c>
      <c r="M1250" s="12" t="s">
        <v>41</v>
      </c>
      <c r="N1250" s="12" t="s">
        <v>42</v>
      </c>
      <c r="P1250" s="10" t="n">
        <v>103</v>
      </c>
      <c r="Q1250" s="12" t="s">
        <v>36</v>
      </c>
      <c r="R1250" s="12" t="s">
        <v>37</v>
      </c>
      <c r="S1250" s="10" t="n">
        <v>1130101</v>
      </c>
      <c r="T1250" s="12" t="s">
        <v>38</v>
      </c>
      <c r="U1250" s="13" t="n">
        <v>540</v>
      </c>
      <c r="W1250" s="13" t="n">
        <v>0</v>
      </c>
      <c r="X1250" s="12" t="s">
        <v>1513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597</v>
      </c>
      <c r="F1251" s="10" t="n">
        <v>24</v>
      </c>
      <c r="G1251" s="12" t="s">
        <v>32</v>
      </c>
      <c r="H1251" s="10" t="n">
        <v>1110202</v>
      </c>
      <c r="I1251" s="12" t="s">
        <v>285</v>
      </c>
      <c r="J1251" s="10" t="n">
        <v>1382112</v>
      </c>
      <c r="L1251" s="10" t="n">
        <v>570410</v>
      </c>
      <c r="M1251" s="12" t="s">
        <v>41</v>
      </c>
      <c r="N1251" s="12" t="s">
        <v>42</v>
      </c>
      <c r="P1251" s="10" t="n">
        <v>101</v>
      </c>
      <c r="Q1251" s="12" t="s">
        <v>84</v>
      </c>
      <c r="R1251" s="12" t="s">
        <v>60</v>
      </c>
      <c r="S1251" s="10" t="n">
        <v>4210206</v>
      </c>
      <c r="T1251" s="12" t="s">
        <v>232</v>
      </c>
      <c r="U1251" s="13" t="n">
        <v>28.9</v>
      </c>
      <c r="W1251" s="13" t="n">
        <v>0</v>
      </c>
      <c r="X1251" s="12" t="s">
        <v>1514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215</v>
      </c>
      <c r="F1252" s="10" t="n">
        <v>24</v>
      </c>
      <c r="G1252" s="12" t="s">
        <v>32</v>
      </c>
      <c r="H1252" s="10" t="n">
        <v>1110202</v>
      </c>
      <c r="I1252" s="12" t="s">
        <v>285</v>
      </c>
      <c r="J1252" s="10" t="n">
        <v>1382295</v>
      </c>
      <c r="L1252" s="10" t="n">
        <v>43438</v>
      </c>
      <c r="M1252" s="12" t="s">
        <v>41</v>
      </c>
      <c r="N1252" s="12" t="s">
        <v>42</v>
      </c>
      <c r="P1252" s="10" t="n">
        <v>103</v>
      </c>
      <c r="Q1252" s="12" t="s">
        <v>36</v>
      </c>
      <c r="R1252" s="12" t="s">
        <v>37</v>
      </c>
      <c r="S1252" s="10" t="n">
        <v>1130101</v>
      </c>
      <c r="T1252" s="12" t="s">
        <v>38</v>
      </c>
      <c r="U1252" s="13" t="n">
        <v>1380</v>
      </c>
      <c r="W1252" s="13" t="n">
        <v>0</v>
      </c>
      <c r="X1252" s="12" t="s">
        <v>1515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76</v>
      </c>
      <c r="F1253" s="10" t="n">
        <v>24</v>
      </c>
      <c r="G1253" s="12" t="s">
        <v>32</v>
      </c>
      <c r="H1253" s="10" t="n">
        <v>1110202</v>
      </c>
      <c r="I1253" s="12" t="s">
        <v>285</v>
      </c>
      <c r="J1253" s="10" t="n">
        <v>1382317</v>
      </c>
      <c r="L1253" s="10" t="n">
        <v>225770</v>
      </c>
      <c r="M1253" s="12" t="s">
        <v>41</v>
      </c>
      <c r="N1253" s="12" t="s">
        <v>42</v>
      </c>
      <c r="P1253" s="10" t="n">
        <v>103</v>
      </c>
      <c r="Q1253" s="12" t="s">
        <v>36</v>
      </c>
      <c r="R1253" s="12" t="s">
        <v>37</v>
      </c>
      <c r="S1253" s="10" t="n">
        <v>1130101</v>
      </c>
      <c r="T1253" s="12" t="s">
        <v>38</v>
      </c>
      <c r="U1253" s="13" t="n">
        <v>460.18</v>
      </c>
      <c r="W1253" s="13" t="n">
        <v>0</v>
      </c>
      <c r="X1253" s="12" t="s">
        <v>1516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551</v>
      </c>
      <c r="F1254" s="10" t="n">
        <v>24</v>
      </c>
      <c r="G1254" s="12" t="s">
        <v>32</v>
      </c>
      <c r="H1254" s="10" t="n">
        <v>1110202</v>
      </c>
      <c r="I1254" s="12" t="s">
        <v>285</v>
      </c>
      <c r="J1254" s="10" t="n">
        <v>1382433</v>
      </c>
      <c r="L1254" s="10" t="n">
        <v>391785</v>
      </c>
      <c r="M1254" s="12" t="s">
        <v>41</v>
      </c>
      <c r="N1254" s="12" t="s">
        <v>42</v>
      </c>
      <c r="P1254" s="10" t="n">
        <v>103</v>
      </c>
      <c r="Q1254" s="12" t="s">
        <v>36</v>
      </c>
      <c r="R1254" s="12" t="s">
        <v>37</v>
      </c>
      <c r="S1254" s="10" t="n">
        <v>1130101</v>
      </c>
      <c r="T1254" s="12" t="s">
        <v>38</v>
      </c>
      <c r="U1254" s="13" t="n">
        <v>785.66</v>
      </c>
      <c r="W1254" s="13" t="n">
        <v>0</v>
      </c>
      <c r="X1254" s="12" t="s">
        <v>1517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311</v>
      </c>
      <c r="F1255" s="10" t="n">
        <v>24</v>
      </c>
      <c r="G1255" s="12" t="s">
        <v>32</v>
      </c>
      <c r="H1255" s="10" t="n">
        <v>1110202</v>
      </c>
      <c r="I1255" s="12" t="s">
        <v>285</v>
      </c>
      <c r="J1255" s="10" t="n">
        <v>1392454</v>
      </c>
      <c r="L1255" s="10" t="n">
        <v>900346</v>
      </c>
      <c r="M1255" s="12" t="s">
        <v>41</v>
      </c>
      <c r="N1255" s="12" t="s">
        <v>42</v>
      </c>
      <c r="P1255" s="10" t="n">
        <v>103</v>
      </c>
      <c r="Q1255" s="12" t="s">
        <v>36</v>
      </c>
      <c r="R1255" s="12" t="s">
        <v>37</v>
      </c>
      <c r="S1255" s="10" t="n">
        <v>1130101</v>
      </c>
      <c r="T1255" s="12" t="s">
        <v>38</v>
      </c>
      <c r="U1255" s="13" t="n">
        <v>552.36</v>
      </c>
      <c r="W1255" s="13" t="n">
        <v>0</v>
      </c>
      <c r="X1255" s="12" t="s">
        <v>1518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311</v>
      </c>
      <c r="F1256" s="10" t="n">
        <v>24</v>
      </c>
      <c r="G1256" s="12" t="s">
        <v>32</v>
      </c>
      <c r="H1256" s="10" t="n">
        <v>1110202</v>
      </c>
      <c r="I1256" s="12" t="s">
        <v>285</v>
      </c>
      <c r="J1256" s="10" t="n">
        <v>1392495</v>
      </c>
      <c r="L1256" s="10" t="n">
        <v>900347</v>
      </c>
      <c r="M1256" s="12" t="s">
        <v>41</v>
      </c>
      <c r="N1256" s="12" t="s">
        <v>42</v>
      </c>
      <c r="P1256" s="10" t="n">
        <v>103</v>
      </c>
      <c r="Q1256" s="12" t="s">
        <v>36</v>
      </c>
      <c r="R1256" s="12" t="s">
        <v>37</v>
      </c>
      <c r="S1256" s="10" t="n">
        <v>1130101</v>
      </c>
      <c r="T1256" s="12" t="s">
        <v>38</v>
      </c>
      <c r="U1256" s="13" t="n">
        <v>1321.58</v>
      </c>
      <c r="W1256" s="13" t="n">
        <v>0</v>
      </c>
      <c r="X1256" s="12" t="s">
        <v>1519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74</v>
      </c>
      <c r="F1257" s="10" t="n">
        <v>24</v>
      </c>
      <c r="G1257" s="12" t="s">
        <v>32</v>
      </c>
      <c r="H1257" s="10" t="n">
        <v>1110202</v>
      </c>
      <c r="I1257" s="12" t="s">
        <v>285</v>
      </c>
      <c r="J1257" s="10" t="n">
        <v>1397123</v>
      </c>
      <c r="L1257" s="10" t="n">
        <v>713</v>
      </c>
      <c r="M1257" s="12" t="s">
        <v>41</v>
      </c>
      <c r="N1257" s="12" t="s">
        <v>42</v>
      </c>
      <c r="P1257" s="10" t="n">
        <v>103</v>
      </c>
      <c r="Q1257" s="12" t="s">
        <v>36</v>
      </c>
      <c r="R1257" s="12" t="s">
        <v>37</v>
      </c>
      <c r="S1257" s="10" t="n">
        <v>1130101</v>
      </c>
      <c r="T1257" s="12" t="s">
        <v>38</v>
      </c>
      <c r="U1257" s="13" t="n">
        <v>374.7</v>
      </c>
      <c r="W1257" s="13" t="n">
        <v>0</v>
      </c>
      <c r="X1257" s="12" t="s">
        <v>1520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74</v>
      </c>
      <c r="F1258" s="10" t="n">
        <v>24</v>
      </c>
      <c r="G1258" s="12" t="s">
        <v>32</v>
      </c>
      <c r="H1258" s="10" t="n">
        <v>1110202</v>
      </c>
      <c r="I1258" s="12" t="s">
        <v>285</v>
      </c>
      <c r="J1258" s="10" t="n">
        <v>1397354</v>
      </c>
      <c r="L1258" s="10" t="n">
        <v>715</v>
      </c>
      <c r="M1258" s="12" t="s">
        <v>41</v>
      </c>
      <c r="N1258" s="12" t="s">
        <v>42</v>
      </c>
      <c r="P1258" s="10" t="n">
        <v>103</v>
      </c>
      <c r="Q1258" s="12" t="s">
        <v>36</v>
      </c>
      <c r="R1258" s="12" t="s">
        <v>37</v>
      </c>
      <c r="S1258" s="10" t="n">
        <v>1130101</v>
      </c>
      <c r="T1258" s="12" t="s">
        <v>38</v>
      </c>
      <c r="U1258" s="13" t="n">
        <v>1120</v>
      </c>
      <c r="W1258" s="13" t="n">
        <v>0</v>
      </c>
      <c r="X1258" s="12" t="s">
        <v>1521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70</v>
      </c>
      <c r="F1259" s="10" t="n">
        <v>34</v>
      </c>
      <c r="G1259" s="12" t="s">
        <v>71</v>
      </c>
      <c r="H1259" s="10" t="n">
        <v>2110101</v>
      </c>
      <c r="I1259" s="12" t="s">
        <v>33</v>
      </c>
      <c r="J1259" s="10" t="n">
        <v>1411286</v>
      </c>
      <c r="L1259" s="10" t="n">
        <v>5309</v>
      </c>
      <c r="M1259" s="12" t="s">
        <v>41</v>
      </c>
      <c r="N1259" s="12" t="s">
        <v>35</v>
      </c>
      <c r="P1259" s="10" t="n">
        <v>104</v>
      </c>
      <c r="Q1259" s="12" t="s">
        <v>99</v>
      </c>
      <c r="R1259" s="12" t="s">
        <v>37</v>
      </c>
      <c r="S1259" s="10" t="n">
        <v>1130101</v>
      </c>
      <c r="T1259" s="12" t="s">
        <v>38</v>
      </c>
      <c r="U1259" s="13" t="n">
        <v>2682</v>
      </c>
      <c r="W1259" s="13" t="n">
        <v>0</v>
      </c>
      <c r="X1259" s="12" t="s">
        <v>220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70</v>
      </c>
      <c r="F1260" s="10" t="n">
        <v>34</v>
      </c>
      <c r="G1260" s="12" t="s">
        <v>71</v>
      </c>
      <c r="H1260" s="10" t="n">
        <v>2110101</v>
      </c>
      <c r="I1260" s="12" t="s">
        <v>33</v>
      </c>
      <c r="J1260" s="10" t="n">
        <v>1411296</v>
      </c>
      <c r="L1260" s="10" t="n">
        <v>581698</v>
      </c>
      <c r="M1260" s="12" t="s">
        <v>41</v>
      </c>
      <c r="N1260" s="12" t="s">
        <v>42</v>
      </c>
      <c r="P1260" s="10" t="n">
        <v>104</v>
      </c>
      <c r="Q1260" s="12" t="s">
        <v>99</v>
      </c>
      <c r="R1260" s="12" t="s">
        <v>37</v>
      </c>
      <c r="S1260" s="10" t="n">
        <v>1130101</v>
      </c>
      <c r="T1260" s="12" t="s">
        <v>38</v>
      </c>
      <c r="U1260" s="13" t="n">
        <v>160</v>
      </c>
      <c r="W1260" s="13" t="n">
        <v>0</v>
      </c>
      <c r="X1260" s="12" t="s">
        <v>573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221</v>
      </c>
      <c r="F1261" s="10" t="n">
        <v>34</v>
      </c>
      <c r="G1261" s="12" t="s">
        <v>71</v>
      </c>
      <c r="H1261" s="10" t="n">
        <v>2110101</v>
      </c>
      <c r="I1261" s="12" t="s">
        <v>33</v>
      </c>
      <c r="J1261" s="10" t="n">
        <v>1411307</v>
      </c>
      <c r="L1261" s="10" t="n">
        <v>14888</v>
      </c>
      <c r="M1261" s="12" t="s">
        <v>41</v>
      </c>
      <c r="N1261" s="12" t="s">
        <v>35</v>
      </c>
      <c r="P1261" s="10" t="n">
        <v>104</v>
      </c>
      <c r="Q1261" s="12" t="s">
        <v>99</v>
      </c>
      <c r="R1261" s="12" t="s">
        <v>37</v>
      </c>
      <c r="S1261" s="10" t="n">
        <v>1130101</v>
      </c>
      <c r="T1261" s="12" t="s">
        <v>38</v>
      </c>
      <c r="U1261" s="13" t="n">
        <v>990</v>
      </c>
      <c r="W1261" s="13" t="n">
        <v>0</v>
      </c>
      <c r="X1261" s="12" t="s">
        <v>1522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168</v>
      </c>
      <c r="F1262" s="10" t="n">
        <v>34</v>
      </c>
      <c r="G1262" s="12" t="s">
        <v>71</v>
      </c>
      <c r="H1262" s="10" t="n">
        <v>1110202</v>
      </c>
      <c r="I1262" s="12" t="s">
        <v>285</v>
      </c>
      <c r="J1262" s="10" t="n">
        <v>1411594</v>
      </c>
      <c r="L1262" s="10" t="n">
        <v>581772</v>
      </c>
      <c r="M1262" s="12" t="s">
        <v>41</v>
      </c>
      <c r="N1262" s="12" t="s">
        <v>42</v>
      </c>
      <c r="P1262" s="10" t="n">
        <v>101</v>
      </c>
      <c r="Q1262" s="12" t="s">
        <v>84</v>
      </c>
      <c r="R1262" s="12" t="s">
        <v>91</v>
      </c>
      <c r="S1262" s="10" t="n">
        <v>4220199</v>
      </c>
      <c r="T1262" s="12" t="s">
        <v>92</v>
      </c>
      <c r="U1262" s="13" t="n">
        <v>2624</v>
      </c>
      <c r="W1262" s="13" t="n">
        <v>0</v>
      </c>
      <c r="X1262" s="12" t="s">
        <v>1523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70</v>
      </c>
      <c r="F1263" s="10" t="n">
        <v>34</v>
      </c>
      <c r="G1263" s="12" t="s">
        <v>71</v>
      </c>
      <c r="H1263" s="10" t="n">
        <v>2110101</v>
      </c>
      <c r="I1263" s="12" t="s">
        <v>33</v>
      </c>
      <c r="J1263" s="10" t="n">
        <v>1411783</v>
      </c>
      <c r="L1263" s="10" t="n">
        <v>5310</v>
      </c>
      <c r="M1263" s="12" t="s">
        <v>41</v>
      </c>
      <c r="N1263" s="12" t="s">
        <v>35</v>
      </c>
      <c r="P1263" s="10" t="n">
        <v>104</v>
      </c>
      <c r="Q1263" s="12" t="s">
        <v>99</v>
      </c>
      <c r="R1263" s="12" t="s">
        <v>37</v>
      </c>
      <c r="S1263" s="10" t="n">
        <v>1130101</v>
      </c>
      <c r="T1263" s="12" t="s">
        <v>38</v>
      </c>
      <c r="U1263" s="13" t="n">
        <v>3110</v>
      </c>
      <c r="W1263" s="13" t="n">
        <v>0</v>
      </c>
      <c r="X1263" s="12" t="s">
        <v>172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82</v>
      </c>
      <c r="F1264" s="10" t="n">
        <v>34</v>
      </c>
      <c r="G1264" s="12" t="s">
        <v>71</v>
      </c>
      <c r="H1264" s="10" t="n">
        <v>1110202</v>
      </c>
      <c r="I1264" s="12" t="s">
        <v>285</v>
      </c>
      <c r="J1264" s="10" t="n">
        <v>1412497</v>
      </c>
      <c r="L1264" s="10" t="n">
        <v>582124</v>
      </c>
      <c r="M1264" s="12" t="s">
        <v>41</v>
      </c>
      <c r="N1264" s="12" t="s">
        <v>42</v>
      </c>
      <c r="P1264" s="10" t="n">
        <v>101</v>
      </c>
      <c r="Q1264" s="12" t="s">
        <v>84</v>
      </c>
      <c r="R1264" s="12" t="s">
        <v>85</v>
      </c>
      <c r="S1264" s="10" t="n">
        <v>4210301</v>
      </c>
      <c r="T1264" s="12" t="s">
        <v>295</v>
      </c>
      <c r="U1264" s="13" t="n">
        <v>100</v>
      </c>
      <c r="W1264" s="13" t="n">
        <v>0</v>
      </c>
      <c r="X1264" s="12" t="s">
        <v>1524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97</v>
      </c>
      <c r="F1265" s="10" t="n">
        <v>13</v>
      </c>
      <c r="G1265" s="12" t="s">
        <v>98</v>
      </c>
      <c r="H1265" s="10" t="n">
        <v>2110101</v>
      </c>
      <c r="I1265" s="12" t="s">
        <v>33</v>
      </c>
      <c r="J1265" s="10" t="n">
        <v>1425085</v>
      </c>
      <c r="L1265" s="10" t="n">
        <v>375</v>
      </c>
      <c r="M1265" s="12" t="s">
        <v>41</v>
      </c>
      <c r="N1265" s="12" t="s">
        <v>35</v>
      </c>
      <c r="P1265" s="10" t="n">
        <v>104</v>
      </c>
      <c r="Q1265" s="12" t="s">
        <v>99</v>
      </c>
      <c r="R1265" s="12" t="s">
        <v>37</v>
      </c>
      <c r="S1265" s="10" t="n">
        <v>1130101</v>
      </c>
      <c r="T1265" s="12" t="s">
        <v>38</v>
      </c>
      <c r="U1265" s="13" t="n">
        <v>416.5</v>
      </c>
      <c r="W1265" s="13" t="n">
        <v>0</v>
      </c>
      <c r="X1265" s="12" t="s">
        <v>1525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336</v>
      </c>
      <c r="F1266" s="10" t="n">
        <v>13</v>
      </c>
      <c r="G1266" s="12" t="s">
        <v>98</v>
      </c>
      <c r="H1266" s="10" t="n">
        <v>2110101</v>
      </c>
      <c r="I1266" s="12" t="s">
        <v>33</v>
      </c>
      <c r="J1266" s="10" t="n">
        <v>1425318</v>
      </c>
      <c r="L1266" s="10" t="n">
        <v>363</v>
      </c>
      <c r="M1266" s="12" t="s">
        <v>41</v>
      </c>
      <c r="N1266" s="12" t="s">
        <v>35</v>
      </c>
      <c r="P1266" s="10" t="n">
        <v>104</v>
      </c>
      <c r="Q1266" s="12" t="s">
        <v>99</v>
      </c>
      <c r="R1266" s="12" t="s">
        <v>37</v>
      </c>
      <c r="S1266" s="10" t="n">
        <v>1130101</v>
      </c>
      <c r="T1266" s="12" t="s">
        <v>38</v>
      </c>
      <c r="U1266" s="13" t="n">
        <v>270</v>
      </c>
      <c r="W1266" s="13" t="n">
        <v>0</v>
      </c>
      <c r="X1266" s="12" t="s">
        <v>1526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1496</v>
      </c>
      <c r="F1267" s="10" t="n">
        <v>13</v>
      </c>
      <c r="G1267" s="12" t="s">
        <v>98</v>
      </c>
      <c r="H1267" s="10" t="n">
        <v>2110101</v>
      </c>
      <c r="I1267" s="12" t="s">
        <v>33</v>
      </c>
      <c r="J1267" s="10" t="n">
        <v>1425418</v>
      </c>
      <c r="L1267" s="10" t="n">
        <v>33</v>
      </c>
      <c r="M1267" s="12" t="s">
        <v>41</v>
      </c>
      <c r="N1267" s="12" t="s">
        <v>35</v>
      </c>
      <c r="P1267" s="10" t="n">
        <v>104</v>
      </c>
      <c r="Q1267" s="12" t="s">
        <v>99</v>
      </c>
      <c r="R1267" s="12" t="s">
        <v>37</v>
      </c>
      <c r="S1267" s="10" t="n">
        <v>1130101</v>
      </c>
      <c r="T1267" s="12" t="s">
        <v>38</v>
      </c>
      <c r="U1267" s="13" t="n">
        <v>480</v>
      </c>
      <c r="W1267" s="13" t="n">
        <v>0</v>
      </c>
      <c r="X1267" s="12" t="s">
        <v>1527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1496</v>
      </c>
      <c r="F1268" s="10" t="n">
        <v>13</v>
      </c>
      <c r="G1268" s="12" t="s">
        <v>98</v>
      </c>
      <c r="H1268" s="10" t="n">
        <v>2110101</v>
      </c>
      <c r="I1268" s="12" t="s">
        <v>33</v>
      </c>
      <c r="J1268" s="10" t="n">
        <v>1460091</v>
      </c>
      <c r="L1268" s="10" t="n">
        <v>25</v>
      </c>
      <c r="M1268" s="12" t="s">
        <v>41</v>
      </c>
      <c r="N1268" s="12" t="s">
        <v>35</v>
      </c>
      <c r="P1268" s="10" t="n">
        <v>104</v>
      </c>
      <c r="Q1268" s="12" t="s">
        <v>99</v>
      </c>
      <c r="R1268" s="12" t="s">
        <v>37</v>
      </c>
      <c r="S1268" s="10" t="n">
        <v>1130101</v>
      </c>
      <c r="T1268" s="12" t="s">
        <v>38</v>
      </c>
      <c r="U1268" s="13" t="n">
        <v>440</v>
      </c>
      <c r="W1268" s="13" t="n">
        <v>440</v>
      </c>
      <c r="X1268" s="12" t="s">
        <v>1528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1496</v>
      </c>
      <c r="F1269" s="10" t="n">
        <v>13</v>
      </c>
      <c r="G1269" s="12" t="s">
        <v>98</v>
      </c>
      <c r="H1269" s="10" t="n">
        <v>2110101</v>
      </c>
      <c r="I1269" s="12" t="s">
        <v>33</v>
      </c>
      <c r="J1269" s="10" t="n">
        <v>1460196</v>
      </c>
      <c r="L1269" s="10" t="n">
        <v>32</v>
      </c>
      <c r="M1269" s="12" t="s">
        <v>41</v>
      </c>
      <c r="N1269" s="12" t="s">
        <v>35</v>
      </c>
      <c r="P1269" s="10" t="n">
        <v>104</v>
      </c>
      <c r="Q1269" s="12" t="s">
        <v>99</v>
      </c>
      <c r="R1269" s="12" t="s">
        <v>37</v>
      </c>
      <c r="S1269" s="10" t="n">
        <v>1130101</v>
      </c>
      <c r="T1269" s="12" t="s">
        <v>38</v>
      </c>
      <c r="U1269" s="13" t="n">
        <v>300</v>
      </c>
      <c r="W1269" s="13" t="n">
        <v>300</v>
      </c>
      <c r="X1269" s="12" t="s">
        <v>1529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1496</v>
      </c>
      <c r="F1270" s="10" t="n">
        <v>13</v>
      </c>
      <c r="G1270" s="12" t="s">
        <v>98</v>
      </c>
      <c r="H1270" s="10" t="n">
        <v>2110101</v>
      </c>
      <c r="I1270" s="12" t="s">
        <v>33</v>
      </c>
      <c r="J1270" s="10" t="n">
        <v>1460251</v>
      </c>
      <c r="L1270" s="10" t="n">
        <v>31</v>
      </c>
      <c r="M1270" s="12" t="s">
        <v>41</v>
      </c>
      <c r="N1270" s="12" t="s">
        <v>35</v>
      </c>
      <c r="P1270" s="10" t="n">
        <v>104</v>
      </c>
      <c r="Q1270" s="12" t="s">
        <v>99</v>
      </c>
      <c r="R1270" s="12" t="s">
        <v>37</v>
      </c>
      <c r="S1270" s="10" t="n">
        <v>1130101</v>
      </c>
      <c r="T1270" s="12" t="s">
        <v>38</v>
      </c>
      <c r="U1270" s="13" t="n">
        <v>420</v>
      </c>
      <c r="W1270" s="13" t="n">
        <v>420</v>
      </c>
      <c r="X1270" s="12" t="s">
        <v>1530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1496</v>
      </c>
      <c r="F1271" s="10" t="n">
        <v>13</v>
      </c>
      <c r="G1271" s="12" t="s">
        <v>98</v>
      </c>
      <c r="H1271" s="10" t="n">
        <v>2110101</v>
      </c>
      <c r="I1271" s="12" t="s">
        <v>33</v>
      </c>
      <c r="J1271" s="10" t="n">
        <v>1460314</v>
      </c>
      <c r="L1271" s="10" t="n">
        <v>29</v>
      </c>
      <c r="M1271" s="12" t="s">
        <v>41</v>
      </c>
      <c r="N1271" s="12" t="s">
        <v>35</v>
      </c>
      <c r="P1271" s="10" t="n">
        <v>104</v>
      </c>
      <c r="Q1271" s="12" t="s">
        <v>99</v>
      </c>
      <c r="R1271" s="12" t="s">
        <v>37</v>
      </c>
      <c r="S1271" s="10" t="n">
        <v>1130101</v>
      </c>
      <c r="T1271" s="12" t="s">
        <v>38</v>
      </c>
      <c r="U1271" s="13" t="n">
        <v>480</v>
      </c>
      <c r="W1271" s="13" t="n">
        <v>480</v>
      </c>
      <c r="X1271" s="12" t="s">
        <v>1531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1496</v>
      </c>
      <c r="F1272" s="10" t="n">
        <v>13</v>
      </c>
      <c r="G1272" s="12" t="s">
        <v>98</v>
      </c>
      <c r="H1272" s="10" t="n">
        <v>2110101</v>
      </c>
      <c r="I1272" s="12" t="s">
        <v>33</v>
      </c>
      <c r="J1272" s="10" t="n">
        <v>1462689</v>
      </c>
      <c r="L1272" s="10" t="n">
        <v>28</v>
      </c>
      <c r="M1272" s="12" t="s">
        <v>41</v>
      </c>
      <c r="N1272" s="12" t="s">
        <v>35</v>
      </c>
      <c r="P1272" s="10" t="n">
        <v>104</v>
      </c>
      <c r="Q1272" s="12" t="s">
        <v>99</v>
      </c>
      <c r="R1272" s="12" t="s">
        <v>37</v>
      </c>
      <c r="S1272" s="10" t="n">
        <v>1130101</v>
      </c>
      <c r="T1272" s="12" t="s">
        <v>38</v>
      </c>
      <c r="U1272" s="13" t="n">
        <v>400</v>
      </c>
      <c r="W1272" s="13" t="n">
        <v>400</v>
      </c>
      <c r="X1272" s="12" t="s">
        <v>1532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1496</v>
      </c>
      <c r="F1273" s="10" t="n">
        <v>13</v>
      </c>
      <c r="G1273" s="12" t="s">
        <v>98</v>
      </c>
      <c r="H1273" s="10" t="n">
        <v>2110101</v>
      </c>
      <c r="I1273" s="12" t="s">
        <v>33</v>
      </c>
      <c r="J1273" s="10" t="n">
        <v>1462933</v>
      </c>
      <c r="L1273" s="10" t="n">
        <v>30</v>
      </c>
      <c r="M1273" s="12" t="s">
        <v>41</v>
      </c>
      <c r="N1273" s="12" t="s">
        <v>35</v>
      </c>
      <c r="P1273" s="10" t="n">
        <v>104</v>
      </c>
      <c r="Q1273" s="12" t="s">
        <v>99</v>
      </c>
      <c r="R1273" s="12" t="s">
        <v>37</v>
      </c>
      <c r="S1273" s="10" t="n">
        <v>1130101</v>
      </c>
      <c r="T1273" s="12" t="s">
        <v>38</v>
      </c>
      <c r="U1273" s="13" t="n">
        <v>440</v>
      </c>
      <c r="W1273" s="13" t="n">
        <v>440</v>
      </c>
      <c r="X1273" s="12" t="s">
        <v>1533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1496</v>
      </c>
      <c r="F1274" s="10" t="n">
        <v>13</v>
      </c>
      <c r="G1274" s="12" t="s">
        <v>98</v>
      </c>
      <c r="H1274" s="10" t="n">
        <v>2110101</v>
      </c>
      <c r="I1274" s="12" t="s">
        <v>33</v>
      </c>
      <c r="J1274" s="10" t="n">
        <v>1463047</v>
      </c>
      <c r="L1274" s="10" t="n">
        <v>27</v>
      </c>
      <c r="M1274" s="12" t="s">
        <v>41</v>
      </c>
      <c r="N1274" s="12" t="s">
        <v>35</v>
      </c>
      <c r="P1274" s="10" t="n">
        <v>104</v>
      </c>
      <c r="Q1274" s="12" t="s">
        <v>99</v>
      </c>
      <c r="R1274" s="12" t="s">
        <v>37</v>
      </c>
      <c r="S1274" s="10" t="n">
        <v>1130101</v>
      </c>
      <c r="T1274" s="12" t="s">
        <v>38</v>
      </c>
      <c r="U1274" s="13" t="n">
        <v>240</v>
      </c>
      <c r="W1274" s="13" t="n">
        <v>240</v>
      </c>
      <c r="X1274" s="12" t="s">
        <v>1534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1496</v>
      </c>
      <c r="F1275" s="10" t="n">
        <v>13</v>
      </c>
      <c r="G1275" s="12" t="s">
        <v>98</v>
      </c>
      <c r="H1275" s="10" t="n">
        <v>2110101</v>
      </c>
      <c r="I1275" s="12" t="s">
        <v>33</v>
      </c>
      <c r="J1275" s="10" t="n">
        <v>1463081</v>
      </c>
      <c r="L1275" s="10" t="n">
        <v>1</v>
      </c>
      <c r="M1275" s="12" t="s">
        <v>41</v>
      </c>
      <c r="N1275" s="12" t="s">
        <v>35</v>
      </c>
      <c r="P1275" s="10" t="n">
        <v>104</v>
      </c>
      <c r="Q1275" s="12" t="s">
        <v>99</v>
      </c>
      <c r="R1275" s="12" t="s">
        <v>37</v>
      </c>
      <c r="S1275" s="10" t="n">
        <v>1130101</v>
      </c>
      <c r="T1275" s="12" t="s">
        <v>38</v>
      </c>
      <c r="U1275" s="13" t="n">
        <v>560</v>
      </c>
      <c r="W1275" s="13" t="n">
        <v>560</v>
      </c>
      <c r="X1275" s="12" t="s">
        <v>1535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1496</v>
      </c>
      <c r="F1276" s="10" t="n">
        <v>13</v>
      </c>
      <c r="G1276" s="12" t="s">
        <v>98</v>
      </c>
      <c r="H1276" s="10" t="n">
        <v>2110101</v>
      </c>
      <c r="I1276" s="12" t="s">
        <v>33</v>
      </c>
      <c r="J1276" s="10" t="n">
        <v>1463156</v>
      </c>
      <c r="L1276" s="10" t="n">
        <v>24</v>
      </c>
      <c r="M1276" s="12" t="s">
        <v>41</v>
      </c>
      <c r="N1276" s="12" t="s">
        <v>35</v>
      </c>
      <c r="P1276" s="10" t="n">
        <v>104</v>
      </c>
      <c r="Q1276" s="12" t="s">
        <v>99</v>
      </c>
      <c r="R1276" s="12" t="s">
        <v>37</v>
      </c>
      <c r="S1276" s="10" t="n">
        <v>1130101</v>
      </c>
      <c r="T1276" s="12" t="s">
        <v>38</v>
      </c>
      <c r="U1276" s="13" t="n">
        <v>240</v>
      </c>
      <c r="W1276" s="13" t="n">
        <v>240</v>
      </c>
      <c r="X1276" s="12" t="s">
        <v>1536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182</v>
      </c>
      <c r="F1277" s="10" t="n">
        <v>24</v>
      </c>
      <c r="G1277" s="12" t="s">
        <v>32</v>
      </c>
      <c r="H1277" s="10" t="n">
        <v>2110101</v>
      </c>
      <c r="I1277" s="12" t="s">
        <v>33</v>
      </c>
      <c r="J1277" s="10" t="n">
        <v>1057743</v>
      </c>
      <c r="L1277" s="10" t="n">
        <v>10336</v>
      </c>
      <c r="M1277" s="12" t="s">
        <v>391</v>
      </c>
      <c r="N1277" s="12" t="s">
        <v>35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250.35</v>
      </c>
      <c r="W1277" s="13" t="n">
        <v>0</v>
      </c>
      <c r="X1277" s="12" t="s">
        <v>1537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132</v>
      </c>
      <c r="F1278" s="10" t="n">
        <v>24</v>
      </c>
      <c r="G1278" s="12" t="s">
        <v>32</v>
      </c>
      <c r="H1278" s="10" t="n">
        <v>2110101</v>
      </c>
      <c r="I1278" s="12" t="s">
        <v>33</v>
      </c>
      <c r="J1278" s="10" t="n">
        <v>1227398</v>
      </c>
      <c r="L1278" s="10" t="n">
        <v>20167</v>
      </c>
      <c r="M1278" s="12" t="s">
        <v>394</v>
      </c>
      <c r="N1278" s="12" t="s">
        <v>35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4521.75</v>
      </c>
      <c r="W1278" s="13" t="n">
        <v>0</v>
      </c>
      <c r="X1278" s="12" t="s">
        <v>1538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540</v>
      </c>
      <c r="F1279" s="10" t="n">
        <v>24</v>
      </c>
      <c r="G1279" s="12" t="s">
        <v>32</v>
      </c>
      <c r="H1279" s="10" t="n">
        <v>2110101</v>
      </c>
      <c r="I1279" s="12" t="s">
        <v>33</v>
      </c>
      <c r="J1279" s="10" t="n">
        <v>1273218</v>
      </c>
      <c r="L1279" s="10" t="n">
        <v>2494</v>
      </c>
      <c r="M1279" s="12" t="s">
        <v>41</v>
      </c>
      <c r="N1279" s="12" t="s">
        <v>35</v>
      </c>
      <c r="P1279" s="10" t="n">
        <v>103</v>
      </c>
      <c r="Q1279" s="12" t="s">
        <v>36</v>
      </c>
      <c r="R1279" s="12" t="s">
        <v>37</v>
      </c>
      <c r="S1279" s="10" t="n">
        <v>1130101</v>
      </c>
      <c r="T1279" s="12" t="s">
        <v>38</v>
      </c>
      <c r="U1279" s="13" t="n">
        <v>1098.8</v>
      </c>
      <c r="W1279" s="13" t="n">
        <v>0</v>
      </c>
      <c r="X1279" s="12" t="s">
        <v>1539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703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1323701</v>
      </c>
      <c r="L1280" s="10" t="n">
        <v>2053</v>
      </c>
      <c r="M1280" s="12" t="s">
        <v>41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689.5</v>
      </c>
      <c r="W1280" s="13" t="n">
        <v>0</v>
      </c>
      <c r="X1280" s="12" t="s">
        <v>1540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71</v>
      </c>
      <c r="H1281" s="10" t="n">
        <v>1110202</v>
      </c>
      <c r="I1281" s="12" t="s">
        <v>285</v>
      </c>
      <c r="J1281" s="10" t="n">
        <v>1345479</v>
      </c>
      <c r="L1281" s="10" t="n">
        <v>555726</v>
      </c>
      <c r="M1281" s="12" t="s">
        <v>41</v>
      </c>
      <c r="N1281" s="12" t="s">
        <v>42</v>
      </c>
      <c r="P1281" s="10" t="n">
        <v>101</v>
      </c>
      <c r="Q1281" s="12" t="s">
        <v>84</v>
      </c>
      <c r="R1281" s="12" t="s">
        <v>60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1541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71</v>
      </c>
      <c r="H1282" s="10" t="n">
        <v>1110202</v>
      </c>
      <c r="I1282" s="12" t="s">
        <v>285</v>
      </c>
      <c r="J1282" s="10" t="n">
        <v>1345494</v>
      </c>
      <c r="L1282" s="10" t="n">
        <v>555731</v>
      </c>
      <c r="M1282" s="12" t="s">
        <v>41</v>
      </c>
      <c r="N1282" s="12" t="s">
        <v>42</v>
      </c>
      <c r="P1282" s="10" t="n">
        <v>101</v>
      </c>
      <c r="Q1282" s="12" t="s">
        <v>84</v>
      </c>
      <c r="R1282" s="12" t="s">
        <v>91</v>
      </c>
      <c r="S1282" s="10" t="n">
        <v>4220199</v>
      </c>
      <c r="T1282" s="12" t="s">
        <v>92</v>
      </c>
      <c r="U1282" s="13" t="n">
        <v>1621</v>
      </c>
      <c r="W1282" s="13" t="n">
        <v>0</v>
      </c>
      <c r="X1282" s="12" t="s">
        <v>1542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1356</v>
      </c>
      <c r="F1283" s="10" t="n">
        <v>24</v>
      </c>
      <c r="G1283" s="12" t="s">
        <v>32</v>
      </c>
      <c r="H1283" s="10" t="n">
        <v>2110101</v>
      </c>
      <c r="I1283" s="12" t="s">
        <v>33</v>
      </c>
      <c r="J1283" s="10" t="n">
        <v>1366201</v>
      </c>
      <c r="L1283" s="10" t="n">
        <v>264</v>
      </c>
      <c r="M1283" s="12" t="s">
        <v>34</v>
      </c>
      <c r="N1283" s="12" t="s">
        <v>35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2812.18</v>
      </c>
      <c r="W1283" s="13" t="n">
        <v>0</v>
      </c>
      <c r="X1283" s="12" t="s">
        <v>1543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264</v>
      </c>
      <c r="F1284" s="10" t="n">
        <v>24</v>
      </c>
      <c r="G1284" s="12" t="s">
        <v>32</v>
      </c>
      <c r="H1284" s="10" t="n">
        <v>2110101</v>
      </c>
      <c r="I1284" s="12" t="s">
        <v>33</v>
      </c>
      <c r="J1284" s="10" t="n">
        <v>1370529</v>
      </c>
      <c r="L1284" s="10" t="n">
        <v>172856</v>
      </c>
      <c r="M1284" s="12" t="s">
        <v>41</v>
      </c>
      <c r="N1284" s="12" t="s">
        <v>35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6394.2</v>
      </c>
      <c r="W1284" s="13" t="n">
        <v>0</v>
      </c>
      <c r="X1284" s="12" t="s">
        <v>1544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1356</v>
      </c>
      <c r="F1285" s="10" t="n">
        <v>24</v>
      </c>
      <c r="G1285" s="12" t="s">
        <v>32</v>
      </c>
      <c r="H1285" s="10" t="n">
        <v>1110202</v>
      </c>
      <c r="I1285" s="12" t="s">
        <v>285</v>
      </c>
      <c r="J1285" s="10" t="n">
        <v>1377385</v>
      </c>
      <c r="L1285" s="10" t="n">
        <v>271</v>
      </c>
      <c r="M1285" s="12" t="s">
        <v>41</v>
      </c>
      <c r="N1285" s="12" t="s">
        <v>42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1646.64</v>
      </c>
      <c r="W1285" s="13" t="n">
        <v>0</v>
      </c>
      <c r="X1285" s="12" t="s">
        <v>1545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211</v>
      </c>
      <c r="F1286" s="10" t="n">
        <v>24</v>
      </c>
      <c r="G1286" s="12" t="s">
        <v>32</v>
      </c>
      <c r="H1286" s="10" t="n">
        <v>1110202</v>
      </c>
      <c r="I1286" s="12" t="s">
        <v>285</v>
      </c>
      <c r="J1286" s="10" t="n">
        <v>1392828</v>
      </c>
      <c r="L1286" s="10" t="n">
        <v>14684</v>
      </c>
      <c r="M1286" s="12" t="s">
        <v>41</v>
      </c>
      <c r="N1286" s="12" t="s">
        <v>42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8622.58</v>
      </c>
      <c r="W1286" s="13" t="n">
        <v>0</v>
      </c>
      <c r="X1286" s="12" t="s">
        <v>1546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280</v>
      </c>
      <c r="F1287" s="10" t="n">
        <v>24</v>
      </c>
      <c r="G1287" s="12" t="s">
        <v>32</v>
      </c>
      <c r="H1287" s="10" t="n">
        <v>1110202</v>
      </c>
      <c r="I1287" s="12" t="s">
        <v>285</v>
      </c>
      <c r="J1287" s="10" t="n">
        <v>1397166</v>
      </c>
      <c r="L1287" s="10" t="n">
        <v>742</v>
      </c>
      <c r="M1287" s="12" t="s">
        <v>41</v>
      </c>
      <c r="N1287" s="12" t="s">
        <v>42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607.5</v>
      </c>
      <c r="W1287" s="13" t="n">
        <v>0</v>
      </c>
      <c r="X1287" s="12" t="s">
        <v>1547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1496</v>
      </c>
      <c r="F1288" s="10" t="n">
        <v>13</v>
      </c>
      <c r="G1288" s="12" t="s">
        <v>98</v>
      </c>
      <c r="H1288" s="10" t="n">
        <v>2110101</v>
      </c>
      <c r="I1288" s="12" t="s">
        <v>33</v>
      </c>
      <c r="J1288" s="10" t="n">
        <v>1425390</v>
      </c>
      <c r="L1288" s="10" t="n">
        <v>34</v>
      </c>
      <c r="M1288" s="12" t="s">
        <v>41</v>
      </c>
      <c r="N1288" s="12" t="s">
        <v>35</v>
      </c>
      <c r="P1288" s="10" t="n">
        <v>104</v>
      </c>
      <c r="Q1288" s="12" t="s">
        <v>99</v>
      </c>
      <c r="R1288" s="12" t="s">
        <v>37</v>
      </c>
      <c r="S1288" s="10" t="n">
        <v>1130101</v>
      </c>
      <c r="T1288" s="12" t="s">
        <v>38</v>
      </c>
      <c r="U1288" s="13" t="n">
        <v>560</v>
      </c>
      <c r="W1288" s="13" t="n">
        <v>0</v>
      </c>
      <c r="X1288" s="12" t="s">
        <v>1548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46172</v>
      </c>
      <c r="C1289" s="11" t="n">
        <v>46222</v>
      </c>
      <c r="D1289" s="10" t="n">
        <v>607</v>
      </c>
      <c r="E1289" s="12" t="s">
        <v>182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1177308</v>
      </c>
      <c r="L1289" s="10" t="n">
        <v>10643</v>
      </c>
      <c r="M1289" s="12" t="s">
        <v>394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319.72</v>
      </c>
      <c r="W1289" s="13" t="n">
        <v>0</v>
      </c>
      <c r="X1289" s="12" t="s">
        <v>1549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46209</v>
      </c>
      <c r="C1290" s="11" t="n">
        <v>46222</v>
      </c>
      <c r="D1290" s="10" t="n">
        <v>10020</v>
      </c>
      <c r="E1290" s="12" t="s">
        <v>260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1360452</v>
      </c>
      <c r="L1290" s="10" t="n">
        <v>707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410.72</v>
      </c>
      <c r="W1290" s="13" t="n">
        <v>0</v>
      </c>
      <c r="X1290" s="12" t="s">
        <v>1550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46211</v>
      </c>
      <c r="C1291" s="11" t="n">
        <v>46222</v>
      </c>
      <c r="D1291" s="10" t="n">
        <v>1613</v>
      </c>
      <c r="E1291" s="12" t="s">
        <v>208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1368798</v>
      </c>
      <c r="L1291" s="10" t="n">
        <v>1604302</v>
      </c>
      <c r="M1291" s="12" t="s">
        <v>41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650.23</v>
      </c>
      <c r="W1291" s="13" t="n">
        <v>0</v>
      </c>
      <c r="X1291" s="12" t="s">
        <v>1551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46216</v>
      </c>
      <c r="C1292" s="11" t="n">
        <v>46222</v>
      </c>
      <c r="D1292" s="10" t="n">
        <v>1628</v>
      </c>
      <c r="E1292" s="12" t="s">
        <v>352</v>
      </c>
      <c r="F1292" s="10" t="n">
        <v>24</v>
      </c>
      <c r="G1292" s="12" t="s">
        <v>32</v>
      </c>
      <c r="H1292" s="10" t="n">
        <v>1110202</v>
      </c>
      <c r="I1292" s="12" t="s">
        <v>285</v>
      </c>
      <c r="J1292" s="10" t="n">
        <v>1393744</v>
      </c>
      <c r="L1292" s="10" t="n">
        <v>89871</v>
      </c>
      <c r="M1292" s="12" t="s">
        <v>41</v>
      </c>
      <c r="N1292" s="12" t="s">
        <v>42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436.29</v>
      </c>
      <c r="W1292" s="13" t="n">
        <v>0</v>
      </c>
      <c r="X1292" s="12" t="s">
        <v>1552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46219</v>
      </c>
      <c r="C1293" s="11" t="n">
        <v>46222</v>
      </c>
      <c r="D1293" s="10" t="n">
        <v>821</v>
      </c>
      <c r="E1293" s="12" t="s">
        <v>745</v>
      </c>
      <c r="F1293" s="10" t="n">
        <v>24</v>
      </c>
      <c r="G1293" s="12" t="s">
        <v>32</v>
      </c>
      <c r="H1293" s="10" t="n">
        <v>1110202</v>
      </c>
      <c r="I1293" s="12" t="s">
        <v>285</v>
      </c>
      <c r="J1293" s="10" t="n">
        <v>1405504</v>
      </c>
      <c r="L1293" s="10" t="n">
        <v>473149</v>
      </c>
      <c r="M1293" s="12" t="s">
        <v>41</v>
      </c>
      <c r="N1293" s="12" t="s">
        <v>42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374</v>
      </c>
      <c r="W1293" s="13" t="n">
        <v>0</v>
      </c>
      <c r="X1293" s="12" t="s">
        <v>1553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46223</v>
      </c>
      <c r="D1294" s="10" t="n">
        <v>659</v>
      </c>
      <c r="E1294" s="12" t="s">
        <v>733</v>
      </c>
      <c r="F1294" s="10" t="n">
        <v>24</v>
      </c>
      <c r="G1294" s="12" t="s">
        <v>32</v>
      </c>
      <c r="H1294" s="10" t="n">
        <v>2110405</v>
      </c>
      <c r="I1294" s="12" t="s">
        <v>83</v>
      </c>
      <c r="J1294" s="10" t="n">
        <v>1176202</v>
      </c>
      <c r="L1294" s="10" t="n">
        <v>489997</v>
      </c>
      <c r="M1294" s="12" t="s">
        <v>41</v>
      </c>
      <c r="N1294" s="12" t="s">
        <v>42</v>
      </c>
      <c r="P1294" s="10" t="n">
        <v>101</v>
      </c>
      <c r="Q1294" s="12" t="s">
        <v>84</v>
      </c>
      <c r="R1294" s="12" t="s">
        <v>85</v>
      </c>
      <c r="S1294" s="10" t="n">
        <v>4210311</v>
      </c>
      <c r="T1294" s="12" t="s">
        <v>301</v>
      </c>
      <c r="U1294" s="13" t="n">
        <v>6193.08</v>
      </c>
      <c r="W1294" s="13" t="n">
        <v>0</v>
      </c>
      <c r="X1294" s="12" t="s">
        <v>1554</v>
      </c>
      <c r="Z1294" s="1" t="str">
        <f aca="false">IF($T1294="","",IFERROR(INDEX('Resumo Grupos'!$AC$3:$AC$200,MATCH($T1294,'Resumo Grupos'!$AB$3:$AB$200,0)),"n/d"))</f>
        <v>Salários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46183</v>
      </c>
      <c r="C1295" s="11" t="n">
        <v>46223</v>
      </c>
      <c r="D1295" s="10" t="n">
        <v>1624</v>
      </c>
      <c r="E1295" s="12" t="s">
        <v>244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1230768</v>
      </c>
      <c r="L1295" s="10" t="n">
        <v>657246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1755.4</v>
      </c>
      <c r="W1295" s="13" t="n">
        <v>0</v>
      </c>
      <c r="X1295" s="12" t="s">
        <v>1555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46193</v>
      </c>
      <c r="C1296" s="11" t="n">
        <v>46223</v>
      </c>
      <c r="D1296" s="10" t="n">
        <v>1608</v>
      </c>
      <c r="E1296" s="12" t="s">
        <v>51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1279794</v>
      </c>
      <c r="L1296" s="10" t="n">
        <v>1677170</v>
      </c>
      <c r="M1296" s="12" t="s">
        <v>34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1680.21</v>
      </c>
      <c r="W1296" s="13" t="n">
        <v>0</v>
      </c>
      <c r="X1296" s="12" t="s">
        <v>1556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1107</v>
      </c>
      <c r="E1297" s="12" t="s">
        <v>130</v>
      </c>
      <c r="F1297" s="10" t="n">
        <v>24</v>
      </c>
      <c r="G1297" s="12" t="s">
        <v>32</v>
      </c>
      <c r="H1297" s="10" t="n">
        <v>2110101</v>
      </c>
      <c r="I1297" s="12" t="s">
        <v>33</v>
      </c>
      <c r="J1297" s="10" t="n">
        <v>1294118</v>
      </c>
      <c r="L1297" s="10" t="n">
        <v>419583</v>
      </c>
      <c r="M1297" s="12" t="s">
        <v>34</v>
      </c>
      <c r="N1297" s="12" t="s">
        <v>35</v>
      </c>
      <c r="P1297" s="10" t="n">
        <v>103</v>
      </c>
      <c r="Q1297" s="12" t="s">
        <v>36</v>
      </c>
      <c r="R1297" s="12" t="s">
        <v>37</v>
      </c>
      <c r="S1297" s="10" t="n">
        <v>1130101</v>
      </c>
      <c r="T1297" s="12" t="s">
        <v>38</v>
      </c>
      <c r="U1297" s="13" t="n">
        <v>1351</v>
      </c>
      <c r="W1297" s="13" t="n">
        <v>0</v>
      </c>
      <c r="X1297" s="12" t="s">
        <v>1557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130</v>
      </c>
      <c r="F1298" s="10" t="n">
        <v>24</v>
      </c>
      <c r="G1298" s="12" t="s">
        <v>32</v>
      </c>
      <c r="H1298" s="10" t="n">
        <v>2110101</v>
      </c>
      <c r="I1298" s="12" t="s">
        <v>33</v>
      </c>
      <c r="J1298" s="10" t="n">
        <v>1294268</v>
      </c>
      <c r="L1298" s="10" t="n">
        <v>419611</v>
      </c>
      <c r="M1298" s="12" t="s">
        <v>41</v>
      </c>
      <c r="N1298" s="12" t="s">
        <v>35</v>
      </c>
      <c r="P1298" s="10" t="n">
        <v>103</v>
      </c>
      <c r="Q1298" s="12" t="s">
        <v>36</v>
      </c>
      <c r="R1298" s="12" t="s">
        <v>37</v>
      </c>
      <c r="S1298" s="10" t="n">
        <v>1130101</v>
      </c>
      <c r="T1298" s="12" t="s">
        <v>38</v>
      </c>
      <c r="U1298" s="13" t="n">
        <v>1805.4</v>
      </c>
      <c r="W1298" s="13" t="n">
        <v>0</v>
      </c>
      <c r="X1298" s="12" t="s">
        <v>1558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1637</v>
      </c>
      <c r="E1299" s="12" t="s">
        <v>44</v>
      </c>
      <c r="F1299" s="10" t="n">
        <v>24</v>
      </c>
      <c r="G1299" s="12" t="s">
        <v>32</v>
      </c>
      <c r="H1299" s="10" t="n">
        <v>2110101</v>
      </c>
      <c r="I1299" s="12" t="s">
        <v>33</v>
      </c>
      <c r="J1299" s="10" t="n">
        <v>1296353</v>
      </c>
      <c r="L1299" s="10" t="n">
        <v>1894398</v>
      </c>
      <c r="M1299" s="12" t="s">
        <v>41</v>
      </c>
      <c r="N1299" s="12" t="s">
        <v>35</v>
      </c>
      <c r="P1299" s="10" t="n">
        <v>103</v>
      </c>
      <c r="Q1299" s="12" t="s">
        <v>36</v>
      </c>
      <c r="R1299" s="12" t="s">
        <v>37</v>
      </c>
      <c r="S1299" s="10" t="n">
        <v>1130101</v>
      </c>
      <c r="T1299" s="12" t="s">
        <v>38</v>
      </c>
      <c r="U1299" s="13" t="n">
        <v>977.5</v>
      </c>
      <c r="W1299" s="13" t="n">
        <v>0</v>
      </c>
      <c r="X1299" s="12" t="s">
        <v>1559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46223</v>
      </c>
      <c r="D1300" s="10" t="n">
        <v>1659</v>
      </c>
      <c r="E1300" s="12" t="s">
        <v>54</v>
      </c>
      <c r="F1300" s="10" t="n">
        <v>24</v>
      </c>
      <c r="G1300" s="12" t="s">
        <v>32</v>
      </c>
      <c r="H1300" s="10" t="n">
        <v>2110101</v>
      </c>
      <c r="I1300" s="12" t="s">
        <v>33</v>
      </c>
      <c r="J1300" s="10" t="n">
        <v>1323112</v>
      </c>
      <c r="L1300" s="10" t="n">
        <v>882141</v>
      </c>
      <c r="M1300" s="12" t="s">
        <v>34</v>
      </c>
      <c r="N1300" s="12" t="s">
        <v>35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1326.93</v>
      </c>
      <c r="W1300" s="13" t="n">
        <v>0</v>
      </c>
      <c r="X1300" s="12" t="s">
        <v>1560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46223</v>
      </c>
      <c r="D1301" s="10" t="n">
        <v>10037</v>
      </c>
      <c r="E1301" s="12" t="s">
        <v>540</v>
      </c>
      <c r="F1301" s="10" t="n">
        <v>24</v>
      </c>
      <c r="G1301" s="12" t="s">
        <v>32</v>
      </c>
      <c r="H1301" s="10" t="n">
        <v>2110101</v>
      </c>
      <c r="I1301" s="12" t="s">
        <v>33</v>
      </c>
      <c r="J1301" s="10" t="n">
        <v>1329937</v>
      </c>
      <c r="L1301" s="10" t="n">
        <v>2524</v>
      </c>
      <c r="M1301" s="12" t="s">
        <v>34</v>
      </c>
      <c r="N1301" s="12" t="s">
        <v>35</v>
      </c>
      <c r="P1301" s="10" t="n">
        <v>103</v>
      </c>
      <c r="Q1301" s="12" t="s">
        <v>36</v>
      </c>
      <c r="R1301" s="12" t="s">
        <v>37</v>
      </c>
      <c r="S1301" s="10" t="n">
        <v>1130101</v>
      </c>
      <c r="T1301" s="12" t="s">
        <v>38</v>
      </c>
      <c r="U1301" s="13" t="n">
        <v>663.81</v>
      </c>
      <c r="W1301" s="13" t="n">
        <v>0</v>
      </c>
      <c r="X1301" s="12" t="s">
        <v>1561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10011</v>
      </c>
      <c r="E1302" s="12" t="s">
        <v>189</v>
      </c>
      <c r="F1302" s="10" t="n">
        <v>24</v>
      </c>
      <c r="G1302" s="12" t="s">
        <v>32</v>
      </c>
      <c r="H1302" s="10" t="n">
        <v>2110101</v>
      </c>
      <c r="I1302" s="12" t="s">
        <v>33</v>
      </c>
      <c r="J1302" s="10" t="n">
        <v>1330475</v>
      </c>
      <c r="L1302" s="10" t="n">
        <v>34300</v>
      </c>
      <c r="M1302" s="12" t="s">
        <v>41</v>
      </c>
      <c r="N1302" s="12" t="s">
        <v>35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3377.6</v>
      </c>
      <c r="W1302" s="13" t="n">
        <v>0</v>
      </c>
      <c r="X1302" s="12" t="s">
        <v>1562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46204</v>
      </c>
      <c r="C1303" s="11" t="n">
        <v>46223</v>
      </c>
      <c r="D1303" s="10" t="n">
        <v>1637</v>
      </c>
      <c r="E1303" s="12" t="s">
        <v>44</v>
      </c>
      <c r="F1303" s="10" t="n">
        <v>24</v>
      </c>
      <c r="G1303" s="12" t="s">
        <v>32</v>
      </c>
      <c r="H1303" s="10" t="n">
        <v>2110101</v>
      </c>
      <c r="I1303" s="12" t="s">
        <v>33</v>
      </c>
      <c r="J1303" s="10" t="n">
        <v>1334033</v>
      </c>
      <c r="L1303" s="10" t="n">
        <v>1897392</v>
      </c>
      <c r="M1303" s="12" t="s">
        <v>41</v>
      </c>
      <c r="N1303" s="12" t="s">
        <v>35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499.5</v>
      </c>
      <c r="W1303" s="13" t="n">
        <v>0</v>
      </c>
      <c r="X1303" s="12" t="s">
        <v>1563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46210</v>
      </c>
      <c r="C1304" s="11" t="n">
        <v>46223</v>
      </c>
      <c r="D1304" s="10" t="n">
        <v>1292</v>
      </c>
      <c r="E1304" s="12" t="s">
        <v>321</v>
      </c>
      <c r="F1304" s="10" t="n">
        <v>24</v>
      </c>
      <c r="G1304" s="12" t="s">
        <v>32</v>
      </c>
      <c r="H1304" s="10" t="n">
        <v>2110101</v>
      </c>
      <c r="I1304" s="12" t="s">
        <v>33</v>
      </c>
      <c r="J1304" s="10" t="n">
        <v>1364168</v>
      </c>
      <c r="L1304" s="10" t="n">
        <v>3552</v>
      </c>
      <c r="M1304" s="12" t="s">
        <v>34</v>
      </c>
      <c r="N1304" s="12" t="s">
        <v>35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1584</v>
      </c>
      <c r="W1304" s="13" t="n">
        <v>0</v>
      </c>
      <c r="X1304" s="12" t="s">
        <v>1564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1114</v>
      </c>
      <c r="E1305" s="12" t="s">
        <v>144</v>
      </c>
      <c r="F1305" s="10" t="n">
        <v>24</v>
      </c>
      <c r="G1305" s="12" t="s">
        <v>32</v>
      </c>
      <c r="H1305" s="10" t="n">
        <v>2110101</v>
      </c>
      <c r="I1305" s="12" t="s">
        <v>33</v>
      </c>
      <c r="J1305" s="10" t="n">
        <v>1366284</v>
      </c>
      <c r="L1305" s="10" t="n">
        <v>40389</v>
      </c>
      <c r="M1305" s="12" t="s">
        <v>41</v>
      </c>
      <c r="N1305" s="12" t="s">
        <v>35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2754.99</v>
      </c>
      <c r="W1305" s="13" t="n">
        <v>0</v>
      </c>
      <c r="X1305" s="12" t="s">
        <v>1565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46211</v>
      </c>
      <c r="C1306" s="11" t="n">
        <v>46223</v>
      </c>
      <c r="D1306" s="10" t="n">
        <v>1932</v>
      </c>
      <c r="E1306" s="12" t="s">
        <v>747</v>
      </c>
      <c r="F1306" s="10" t="n">
        <v>24</v>
      </c>
      <c r="G1306" s="12" t="s">
        <v>32</v>
      </c>
      <c r="H1306" s="10" t="n">
        <v>2110405</v>
      </c>
      <c r="I1306" s="12" t="s">
        <v>83</v>
      </c>
      <c r="J1306" s="10" t="n">
        <v>1370654</v>
      </c>
      <c r="L1306" s="10" t="n">
        <v>565734</v>
      </c>
      <c r="M1306" s="12" t="s">
        <v>41</v>
      </c>
      <c r="N1306" s="12" t="s">
        <v>42</v>
      </c>
      <c r="P1306" s="10" t="n">
        <v>101</v>
      </c>
      <c r="Q1306" s="12" t="s">
        <v>84</v>
      </c>
      <c r="R1306" s="12" t="s">
        <v>85</v>
      </c>
      <c r="S1306" s="10" t="n">
        <v>4210315</v>
      </c>
      <c r="T1306" s="12" t="s">
        <v>503</v>
      </c>
      <c r="U1306" s="13" t="n">
        <v>139.97</v>
      </c>
      <c r="W1306" s="13" t="n">
        <v>0</v>
      </c>
      <c r="X1306" s="12" t="s">
        <v>743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10028</v>
      </c>
      <c r="E1307" s="12" t="s">
        <v>742</v>
      </c>
      <c r="F1307" s="10" t="n">
        <v>24</v>
      </c>
      <c r="G1307" s="12" t="s">
        <v>32</v>
      </c>
      <c r="H1307" s="10" t="n">
        <v>2110405</v>
      </c>
      <c r="I1307" s="12" t="s">
        <v>83</v>
      </c>
      <c r="J1307" s="10" t="n">
        <v>1370662</v>
      </c>
      <c r="L1307" s="10" t="n">
        <v>565739</v>
      </c>
      <c r="M1307" s="12" t="s">
        <v>41</v>
      </c>
      <c r="N1307" s="12" t="s">
        <v>42</v>
      </c>
      <c r="P1307" s="10" t="n">
        <v>101</v>
      </c>
      <c r="Q1307" s="12" t="s">
        <v>84</v>
      </c>
      <c r="R1307" s="12" t="s">
        <v>85</v>
      </c>
      <c r="S1307" s="10" t="n">
        <v>4210315</v>
      </c>
      <c r="T1307" s="12" t="s">
        <v>503</v>
      </c>
      <c r="U1307" s="13" t="n">
        <v>595.9</v>
      </c>
      <c r="W1307" s="13" t="n">
        <v>0</v>
      </c>
      <c r="X1307" s="12" t="s">
        <v>1566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17</v>
      </c>
      <c r="E1308" s="12" t="s">
        <v>94</v>
      </c>
      <c r="F1308" s="10" t="n">
        <v>24</v>
      </c>
      <c r="G1308" s="12" t="s">
        <v>32</v>
      </c>
      <c r="H1308" s="10" t="n">
        <v>1110202</v>
      </c>
      <c r="I1308" s="12" t="s">
        <v>285</v>
      </c>
      <c r="J1308" s="10" t="n">
        <v>1370668</v>
      </c>
      <c r="L1308" s="10" t="n">
        <v>565745</v>
      </c>
      <c r="M1308" s="12" t="s">
        <v>41</v>
      </c>
      <c r="N1308" s="12" t="s">
        <v>42</v>
      </c>
      <c r="P1308" s="10" t="n">
        <v>101</v>
      </c>
      <c r="Q1308" s="12" t="s">
        <v>84</v>
      </c>
      <c r="R1308" s="12" t="s">
        <v>91</v>
      </c>
      <c r="S1308" s="10" t="n">
        <v>4220199</v>
      </c>
      <c r="T1308" s="12" t="s">
        <v>92</v>
      </c>
      <c r="U1308" s="13" t="n">
        <v>448.38</v>
      </c>
      <c r="W1308" s="13" t="n">
        <v>0</v>
      </c>
      <c r="X1308" s="12" t="s">
        <v>1567</v>
      </c>
      <c r="Z1308" s="1" t="str">
        <f aca="false">IF($T1308="","",IFERROR(INDEX('Resumo Grupos'!$AC$3:$AC$200,MATCH($T1308,'Resumo Grupos'!$AB$3:$AB$200,0)),"n/d"))</f>
        <v>Pagamentos outros não operacionais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78</v>
      </c>
      <c r="F1309" s="10" t="n">
        <v>24</v>
      </c>
      <c r="G1309" s="12" t="s">
        <v>32</v>
      </c>
      <c r="H1309" s="10" t="n">
        <v>1110202</v>
      </c>
      <c r="I1309" s="12" t="s">
        <v>285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46213</v>
      </c>
      <c r="C1310" s="11" t="n">
        <v>46223</v>
      </c>
      <c r="D1310" s="10" t="n">
        <v>1666</v>
      </c>
      <c r="E1310" s="12" t="s">
        <v>31</v>
      </c>
      <c r="F1310" s="10" t="n">
        <v>24</v>
      </c>
      <c r="G1310" s="12" t="s">
        <v>32</v>
      </c>
      <c r="H1310" s="10" t="n">
        <v>1110202</v>
      </c>
      <c r="I1310" s="12" t="s">
        <v>285</v>
      </c>
      <c r="J1310" s="10" t="n">
        <v>1376853</v>
      </c>
      <c r="L1310" s="10" t="n">
        <v>566688</v>
      </c>
      <c r="M1310" s="12" t="s">
        <v>41</v>
      </c>
      <c r="N1310" s="12" t="s">
        <v>42</v>
      </c>
      <c r="P1310" s="10" t="n">
        <v>103</v>
      </c>
      <c r="Q1310" s="12" t="s">
        <v>36</v>
      </c>
      <c r="R1310" s="12" t="s">
        <v>37</v>
      </c>
      <c r="S1310" s="10" t="n">
        <v>1130101</v>
      </c>
      <c r="T1310" s="12" t="s">
        <v>38</v>
      </c>
      <c r="U1310" s="13" t="n">
        <v>6643.66</v>
      </c>
      <c r="W1310" s="13" t="n">
        <v>0</v>
      </c>
      <c r="X1310" s="12" t="s">
        <v>1569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659</v>
      </c>
      <c r="E1311" s="12" t="s">
        <v>733</v>
      </c>
      <c r="F1311" s="10" t="n">
        <v>24</v>
      </c>
      <c r="G1311" s="12" t="s">
        <v>32</v>
      </c>
      <c r="H1311" s="10" t="n">
        <v>1110202</v>
      </c>
      <c r="I1311" s="12" t="s">
        <v>285</v>
      </c>
      <c r="J1311" s="10" t="n">
        <v>1377357</v>
      </c>
      <c r="L1311" s="10" t="n">
        <v>567699</v>
      </c>
      <c r="M1311" s="12" t="s">
        <v>41</v>
      </c>
      <c r="N1311" s="12" t="s">
        <v>42</v>
      </c>
      <c r="P1311" s="10" t="n">
        <v>101</v>
      </c>
      <c r="Q1311" s="12" t="s">
        <v>84</v>
      </c>
      <c r="R1311" s="12" t="s">
        <v>85</v>
      </c>
      <c r="S1311" s="10" t="n">
        <v>4210311</v>
      </c>
      <c r="T1311" s="12" t="s">
        <v>301</v>
      </c>
      <c r="U1311" s="13" t="n">
        <v>6193.08</v>
      </c>
      <c r="W1311" s="13" t="n">
        <v>0</v>
      </c>
      <c r="X1311" s="12" t="s">
        <v>1570</v>
      </c>
      <c r="Z1311" s="1" t="str">
        <f aca="false">IF($T1311="","",IFERROR(INDEX('Resumo Grupos'!$AC$3:$AC$200,MATCH($T1311,'Resumo Grupos'!$AB$3:$AB$200,0)),"n/d"))</f>
        <v>Salários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46214</v>
      </c>
      <c r="C1312" s="11" t="n">
        <v>46223</v>
      </c>
      <c r="D1312" s="10" t="n">
        <v>1609</v>
      </c>
      <c r="E1312" s="12" t="s">
        <v>64</v>
      </c>
      <c r="F1312" s="10" t="n">
        <v>24</v>
      </c>
      <c r="G1312" s="12" t="s">
        <v>32</v>
      </c>
      <c r="H1312" s="10" t="n">
        <v>1110202</v>
      </c>
      <c r="I1312" s="12" t="s">
        <v>285</v>
      </c>
      <c r="J1312" s="10" t="n">
        <v>1382471</v>
      </c>
      <c r="L1312" s="10" t="n">
        <v>5787</v>
      </c>
      <c r="M1312" s="12" t="s">
        <v>41</v>
      </c>
      <c r="N1312" s="12" t="s">
        <v>42</v>
      </c>
      <c r="P1312" s="10" t="n">
        <v>103</v>
      </c>
      <c r="Q1312" s="12" t="s">
        <v>36</v>
      </c>
      <c r="R1312" s="12" t="s">
        <v>37</v>
      </c>
      <c r="S1312" s="10" t="n">
        <v>1130101</v>
      </c>
      <c r="T1312" s="12" t="s">
        <v>38</v>
      </c>
      <c r="U1312" s="13" t="n">
        <v>1285.3</v>
      </c>
      <c r="W1312" s="13" t="n">
        <v>0</v>
      </c>
      <c r="X1312" s="12" t="s">
        <v>1571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46216</v>
      </c>
      <c r="C1313" s="11" t="n">
        <v>46223</v>
      </c>
      <c r="D1313" s="10" t="n">
        <v>1292</v>
      </c>
      <c r="E1313" s="12" t="s">
        <v>321</v>
      </c>
      <c r="F1313" s="10" t="n">
        <v>24</v>
      </c>
      <c r="G1313" s="12" t="s">
        <v>32</v>
      </c>
      <c r="H1313" s="10" t="n">
        <v>1110202</v>
      </c>
      <c r="I1313" s="12" t="s">
        <v>285</v>
      </c>
      <c r="J1313" s="10" t="n">
        <v>1393587</v>
      </c>
      <c r="L1313" s="10" t="n">
        <v>3599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448.5</v>
      </c>
      <c r="W1313" s="13" t="n">
        <v>0</v>
      </c>
      <c r="X1313" s="12" t="s">
        <v>1572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560</v>
      </c>
      <c r="E1314" s="12" t="s">
        <v>853</v>
      </c>
      <c r="F1314" s="10" t="n">
        <v>24</v>
      </c>
      <c r="G1314" s="12" t="s">
        <v>32</v>
      </c>
      <c r="H1314" s="10" t="n">
        <v>1110202</v>
      </c>
      <c r="I1314" s="12" t="s">
        <v>285</v>
      </c>
      <c r="J1314" s="10" t="n">
        <v>1393675</v>
      </c>
      <c r="L1314" s="10" t="n">
        <v>1790</v>
      </c>
      <c r="M1314" s="12" t="s">
        <v>41</v>
      </c>
      <c r="N1314" s="12" t="s">
        <v>42</v>
      </c>
      <c r="P1314" s="10" t="n">
        <v>103</v>
      </c>
      <c r="Q1314" s="12" t="s">
        <v>36</v>
      </c>
      <c r="R1314" s="12" t="s">
        <v>37</v>
      </c>
      <c r="S1314" s="10" t="n">
        <v>1130101</v>
      </c>
      <c r="T1314" s="12" t="s">
        <v>38</v>
      </c>
      <c r="U1314" s="13" t="n">
        <v>250</v>
      </c>
      <c r="W1314" s="13" t="n">
        <v>0</v>
      </c>
      <c r="X1314" s="12" t="s">
        <v>1573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1614</v>
      </c>
      <c r="E1315" s="12" t="s">
        <v>66</v>
      </c>
      <c r="F1315" s="10" t="n">
        <v>24</v>
      </c>
      <c r="G1315" s="12" t="s">
        <v>32</v>
      </c>
      <c r="H1315" s="10" t="n">
        <v>1110202</v>
      </c>
      <c r="I1315" s="12" t="s">
        <v>285</v>
      </c>
      <c r="J1315" s="10" t="n">
        <v>1393772</v>
      </c>
      <c r="L1315" s="10" t="n">
        <v>11415</v>
      </c>
      <c r="M1315" s="12" t="s">
        <v>34</v>
      </c>
      <c r="N1315" s="12" t="s">
        <v>42</v>
      </c>
      <c r="P1315" s="10" t="n">
        <v>103</v>
      </c>
      <c r="Q1315" s="12" t="s">
        <v>36</v>
      </c>
      <c r="R1315" s="12" t="s">
        <v>37</v>
      </c>
      <c r="S1315" s="10" t="n">
        <v>1130101</v>
      </c>
      <c r="T1315" s="12" t="s">
        <v>38</v>
      </c>
      <c r="U1315" s="13" t="n">
        <v>378.43</v>
      </c>
      <c r="W1315" s="13" t="n">
        <v>0</v>
      </c>
      <c r="X1315" s="12" t="s">
        <v>1574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1625</v>
      </c>
      <c r="E1316" s="12" t="s">
        <v>211</v>
      </c>
      <c r="F1316" s="10" t="n">
        <v>24</v>
      </c>
      <c r="G1316" s="12" t="s">
        <v>32</v>
      </c>
      <c r="H1316" s="10" t="n">
        <v>1110202</v>
      </c>
      <c r="I1316" s="12" t="s">
        <v>285</v>
      </c>
      <c r="J1316" s="10" t="n">
        <v>1394176</v>
      </c>
      <c r="L1316" s="10" t="n">
        <v>14695</v>
      </c>
      <c r="M1316" s="12" t="s">
        <v>41</v>
      </c>
      <c r="N1316" s="12" t="s">
        <v>42</v>
      </c>
      <c r="P1316" s="10" t="n">
        <v>103</v>
      </c>
      <c r="Q1316" s="12" t="s">
        <v>36</v>
      </c>
      <c r="R1316" s="12" t="s">
        <v>37</v>
      </c>
      <c r="S1316" s="10" t="n">
        <v>1130101</v>
      </c>
      <c r="T1316" s="12" t="s">
        <v>38</v>
      </c>
      <c r="U1316" s="13" t="n">
        <v>1607.58</v>
      </c>
      <c r="W1316" s="13" t="n">
        <v>0</v>
      </c>
      <c r="X1316" s="12" t="s">
        <v>1575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46217</v>
      </c>
      <c r="C1317" s="11" t="n">
        <v>46223</v>
      </c>
      <c r="D1317" s="10" t="n">
        <v>1328</v>
      </c>
      <c r="E1317" s="12" t="s">
        <v>323</v>
      </c>
      <c r="F1317" s="10" t="n">
        <v>24</v>
      </c>
      <c r="G1317" s="12" t="s">
        <v>32</v>
      </c>
      <c r="H1317" s="10" t="n">
        <v>1110202</v>
      </c>
      <c r="I1317" s="12" t="s">
        <v>285</v>
      </c>
      <c r="J1317" s="10" t="n">
        <v>1397292</v>
      </c>
      <c r="L1317" s="10" t="n">
        <v>4053</v>
      </c>
      <c r="M1317" s="12" t="s">
        <v>41</v>
      </c>
      <c r="N1317" s="12" t="s">
        <v>42</v>
      </c>
      <c r="P1317" s="10" t="n">
        <v>103</v>
      </c>
      <c r="Q1317" s="12" t="s">
        <v>36</v>
      </c>
      <c r="R1317" s="12" t="s">
        <v>37</v>
      </c>
      <c r="S1317" s="10" t="n">
        <v>1130101</v>
      </c>
      <c r="T1317" s="12" t="s">
        <v>38</v>
      </c>
      <c r="U1317" s="13" t="n">
        <v>358.25</v>
      </c>
      <c r="W1317" s="13" t="n">
        <v>0</v>
      </c>
      <c r="X1317" s="12" t="s">
        <v>1576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1363</v>
      </c>
      <c r="E1318" s="12" t="s">
        <v>155</v>
      </c>
      <c r="F1318" s="10" t="n">
        <v>24</v>
      </c>
      <c r="G1318" s="12" t="s">
        <v>32</v>
      </c>
      <c r="H1318" s="10" t="n">
        <v>1110202</v>
      </c>
      <c r="I1318" s="12" t="s">
        <v>285</v>
      </c>
      <c r="J1318" s="10" t="n">
        <v>1397372</v>
      </c>
      <c r="L1318" s="10" t="n">
        <v>3541</v>
      </c>
      <c r="M1318" s="12" t="s">
        <v>41</v>
      </c>
      <c r="N1318" s="12" t="s">
        <v>42</v>
      </c>
      <c r="P1318" s="10" t="n">
        <v>103</v>
      </c>
      <c r="Q1318" s="12" t="s">
        <v>36</v>
      </c>
      <c r="R1318" s="12" t="s">
        <v>37</v>
      </c>
      <c r="S1318" s="10" t="n">
        <v>1130101</v>
      </c>
      <c r="T1318" s="12" t="s">
        <v>38</v>
      </c>
      <c r="U1318" s="13" t="n">
        <v>297</v>
      </c>
      <c r="W1318" s="13" t="n">
        <v>0</v>
      </c>
      <c r="X1318" s="12" t="s">
        <v>1577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1947</v>
      </c>
      <c r="E1319" s="12" t="s">
        <v>716</v>
      </c>
      <c r="F1319" s="10" t="n">
        <v>34</v>
      </c>
      <c r="G1319" s="12" t="s">
        <v>71</v>
      </c>
      <c r="H1319" s="10" t="n">
        <v>2110405</v>
      </c>
      <c r="I1319" s="12" t="s">
        <v>83</v>
      </c>
      <c r="J1319" s="10" t="n">
        <v>1397793</v>
      </c>
      <c r="L1319" s="10" t="n">
        <v>576413</v>
      </c>
      <c r="M1319" s="12" t="s">
        <v>41</v>
      </c>
      <c r="N1319" s="12" t="s">
        <v>42</v>
      </c>
      <c r="P1319" s="10" t="n">
        <v>101</v>
      </c>
      <c r="Q1319" s="12" t="s">
        <v>84</v>
      </c>
      <c r="R1319" s="12" t="s">
        <v>85</v>
      </c>
      <c r="S1319" s="10" t="n">
        <v>4210302</v>
      </c>
      <c r="T1319" s="12" t="s">
        <v>719</v>
      </c>
      <c r="U1319" s="13" t="n">
        <v>7169.13</v>
      </c>
      <c r="W1319" s="13" t="n">
        <v>0</v>
      </c>
      <c r="X1319" s="12" t="s">
        <v>1578</v>
      </c>
      <c r="Z1319" s="1" t="str">
        <f aca="false">IF($T1319="","",IFERROR(INDEX('Resumo Grupos'!$AC$3:$AC$200,MATCH($T1319,'Resumo Grupos'!$AB$3:$AB$200,0)),"n/d"))</f>
        <v>Impostos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716</v>
      </c>
      <c r="F1320" s="10" t="n">
        <v>34</v>
      </c>
      <c r="G1320" s="12" t="s">
        <v>71</v>
      </c>
      <c r="H1320" s="10" t="n">
        <v>1110202</v>
      </c>
      <c r="I1320" s="12" t="s">
        <v>285</v>
      </c>
      <c r="J1320" s="10" t="n">
        <v>1397870</v>
      </c>
      <c r="L1320" s="10" t="n">
        <v>576435</v>
      </c>
      <c r="M1320" s="12" t="s">
        <v>41</v>
      </c>
      <c r="N1320" s="12" t="s">
        <v>42</v>
      </c>
      <c r="P1320" s="10" t="n">
        <v>101</v>
      </c>
      <c r="Q1320" s="12" t="s">
        <v>84</v>
      </c>
      <c r="R1320" s="12" t="s">
        <v>85</v>
      </c>
      <c r="S1320" s="10" t="n">
        <v>4210303</v>
      </c>
      <c r="T1320" s="12" t="s">
        <v>717</v>
      </c>
      <c r="U1320" s="13" t="n">
        <v>3462.39</v>
      </c>
      <c r="W1320" s="13" t="n">
        <v>0</v>
      </c>
      <c r="X1320" s="12" t="s">
        <v>1579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716</v>
      </c>
      <c r="F1321" s="10" t="n">
        <v>34</v>
      </c>
      <c r="G1321" s="12" t="s">
        <v>71</v>
      </c>
      <c r="H1321" s="10" t="n">
        <v>1110202</v>
      </c>
      <c r="I1321" s="12" t="s">
        <v>285</v>
      </c>
      <c r="J1321" s="10" t="n">
        <v>1397905</v>
      </c>
      <c r="L1321" s="10" t="n">
        <v>576442</v>
      </c>
      <c r="M1321" s="12" t="s">
        <v>41</v>
      </c>
      <c r="N1321" s="12" t="s">
        <v>42</v>
      </c>
      <c r="P1321" s="10" t="n">
        <v>101</v>
      </c>
      <c r="Q1321" s="12" t="s">
        <v>84</v>
      </c>
      <c r="R1321" s="12" t="s">
        <v>775</v>
      </c>
      <c r="S1321" s="10" t="n">
        <v>2110707</v>
      </c>
      <c r="T1321" s="12" t="s">
        <v>776</v>
      </c>
      <c r="U1321" s="13" t="n">
        <v>5411.15</v>
      </c>
      <c r="W1321" s="13" t="n">
        <v>0</v>
      </c>
      <c r="X1321" s="12" t="s">
        <v>1580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46219</v>
      </c>
      <c r="C1322" s="11" t="n">
        <v>46223</v>
      </c>
      <c r="D1322" s="10" t="n">
        <v>1614</v>
      </c>
      <c r="E1322" s="12" t="s">
        <v>66</v>
      </c>
      <c r="F1322" s="10" t="n">
        <v>24</v>
      </c>
      <c r="G1322" s="12" t="s">
        <v>32</v>
      </c>
      <c r="H1322" s="10" t="n">
        <v>1110202</v>
      </c>
      <c r="I1322" s="12" t="s">
        <v>285</v>
      </c>
      <c r="J1322" s="10" t="n">
        <v>1407883</v>
      </c>
      <c r="L1322" s="10" t="n">
        <v>11430</v>
      </c>
      <c r="M1322" s="12" t="s">
        <v>41</v>
      </c>
      <c r="N1322" s="12" t="s">
        <v>42</v>
      </c>
      <c r="P1322" s="10" t="n">
        <v>103</v>
      </c>
      <c r="Q1322" s="12" t="s">
        <v>36</v>
      </c>
      <c r="R1322" s="12" t="s">
        <v>37</v>
      </c>
      <c r="S1322" s="10" t="n">
        <v>1130101</v>
      </c>
      <c r="T1322" s="12" t="s">
        <v>38</v>
      </c>
      <c r="U1322" s="13" t="n">
        <v>417.42</v>
      </c>
      <c r="W1322" s="13" t="n">
        <v>0</v>
      </c>
      <c r="X1322" s="12" t="s">
        <v>1581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46221</v>
      </c>
      <c r="C1323" s="11" t="n">
        <v>46223</v>
      </c>
      <c r="D1323" s="10" t="n">
        <v>947</v>
      </c>
      <c r="E1323" s="12" t="s">
        <v>764</v>
      </c>
      <c r="F1323" s="10" t="n">
        <v>24</v>
      </c>
      <c r="G1323" s="12" t="s">
        <v>32</v>
      </c>
      <c r="H1323" s="10" t="n">
        <v>1110202</v>
      </c>
      <c r="I1323" s="12" t="s">
        <v>285</v>
      </c>
      <c r="J1323" s="10" t="n">
        <v>1415266</v>
      </c>
      <c r="L1323" s="10" t="n">
        <v>29092692</v>
      </c>
      <c r="M1323" s="12" t="s">
        <v>41</v>
      </c>
      <c r="N1323" s="12" t="s">
        <v>42</v>
      </c>
      <c r="P1323" s="10" t="n">
        <v>101</v>
      </c>
      <c r="Q1323" s="12" t="s">
        <v>84</v>
      </c>
      <c r="R1323" s="12" t="s">
        <v>60</v>
      </c>
      <c r="S1323" s="10" t="n">
        <v>4210201</v>
      </c>
      <c r="T1323" s="12" t="s">
        <v>1582</v>
      </c>
      <c r="U1323" s="13" t="n">
        <v>129</v>
      </c>
      <c r="W1323" s="13" t="n">
        <v>0</v>
      </c>
      <c r="X1323" s="12" t="s">
        <v>1583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542</v>
      </c>
      <c r="E1324" s="12" t="s">
        <v>738</v>
      </c>
      <c r="F1324" s="10" t="n">
        <v>34</v>
      </c>
      <c r="G1324" s="12" t="s">
        <v>71</v>
      </c>
      <c r="H1324" s="10" t="n">
        <v>2110405</v>
      </c>
      <c r="I1324" s="12" t="s">
        <v>83</v>
      </c>
      <c r="J1324" s="10" t="n">
        <v>1424234</v>
      </c>
      <c r="L1324" s="10" t="n">
        <v>587289</v>
      </c>
      <c r="M1324" s="12" t="s">
        <v>41</v>
      </c>
      <c r="N1324" s="12" t="s">
        <v>42</v>
      </c>
      <c r="P1324" s="10" t="n">
        <v>101</v>
      </c>
      <c r="Q1324" s="12" t="s">
        <v>84</v>
      </c>
      <c r="R1324" s="12" t="s">
        <v>290</v>
      </c>
      <c r="S1324" s="10" t="n">
        <v>4210107</v>
      </c>
      <c r="T1324" s="12" t="s">
        <v>739</v>
      </c>
      <c r="U1324" s="13" t="n">
        <v>464.59</v>
      </c>
      <c r="W1324" s="13" t="n">
        <v>0</v>
      </c>
      <c r="X1324" s="12" t="s">
        <v>1584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738</v>
      </c>
      <c r="F1325" s="10" t="n">
        <v>34</v>
      </c>
      <c r="G1325" s="12" t="s">
        <v>71</v>
      </c>
      <c r="H1325" s="10" t="n">
        <v>2110405</v>
      </c>
      <c r="I1325" s="12" t="s">
        <v>83</v>
      </c>
      <c r="J1325" s="10" t="n">
        <v>1424241</v>
      </c>
      <c r="L1325" s="10" t="n">
        <v>587291</v>
      </c>
      <c r="M1325" s="12" t="s">
        <v>41</v>
      </c>
      <c r="N1325" s="12" t="s">
        <v>42</v>
      </c>
      <c r="P1325" s="10" t="n">
        <v>101</v>
      </c>
      <c r="Q1325" s="12" t="s">
        <v>84</v>
      </c>
      <c r="R1325" s="12" t="s">
        <v>91</v>
      </c>
      <c r="S1325" s="10" t="n">
        <v>4220199</v>
      </c>
      <c r="T1325" s="12" t="s">
        <v>92</v>
      </c>
      <c r="U1325" s="13" t="n">
        <v>900</v>
      </c>
      <c r="W1325" s="13" t="n">
        <v>0</v>
      </c>
      <c r="X1325" s="12" t="s">
        <v>1585</v>
      </c>
      <c r="Z1325" s="1" t="str">
        <f aca="false">IF($T1325="","",IFERROR(INDEX('Resumo Grupos'!$AC$3:$AC$200,MATCH($T1325,'Resumo Grupos'!$AB$3:$AB$200,0)),"n/d"))</f>
        <v>Pagamentos outros não operacionais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978</v>
      </c>
      <c r="E1326" s="12" t="s">
        <v>97</v>
      </c>
      <c r="F1326" s="10" t="n">
        <v>13</v>
      </c>
      <c r="G1326" s="12" t="s">
        <v>98</v>
      </c>
      <c r="H1326" s="10" t="n">
        <v>2110101</v>
      </c>
      <c r="I1326" s="12" t="s">
        <v>33</v>
      </c>
      <c r="J1326" s="10" t="n">
        <v>1424926</v>
      </c>
      <c r="L1326" s="10" t="n">
        <v>381</v>
      </c>
      <c r="M1326" s="12" t="s">
        <v>41</v>
      </c>
      <c r="N1326" s="12" t="s">
        <v>35</v>
      </c>
      <c r="P1326" s="10" t="n">
        <v>104</v>
      </c>
      <c r="Q1326" s="12" t="s">
        <v>99</v>
      </c>
      <c r="R1326" s="12" t="s">
        <v>37</v>
      </c>
      <c r="S1326" s="10" t="n">
        <v>1130101</v>
      </c>
      <c r="T1326" s="12" t="s">
        <v>38</v>
      </c>
      <c r="U1326" s="13" t="n">
        <v>405.5</v>
      </c>
      <c r="W1326" s="13" t="n">
        <v>0</v>
      </c>
      <c r="X1326" s="12" t="s">
        <v>1586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1936</v>
      </c>
      <c r="E1327" s="12" t="s">
        <v>1075</v>
      </c>
      <c r="F1327" s="10" t="n">
        <v>24</v>
      </c>
      <c r="G1327" s="12" t="s">
        <v>32</v>
      </c>
      <c r="H1327" s="10" t="n">
        <v>1110202</v>
      </c>
      <c r="I1327" s="12" t="s">
        <v>285</v>
      </c>
      <c r="J1327" s="10" t="n">
        <v>1436285</v>
      </c>
      <c r="L1327" s="10" t="n">
        <v>591109</v>
      </c>
      <c r="M1327" s="12" t="s">
        <v>41</v>
      </c>
      <c r="N1327" s="12" t="s">
        <v>42</v>
      </c>
      <c r="P1327" s="10" t="n">
        <v>102</v>
      </c>
      <c r="Q1327" s="12" t="s">
        <v>107</v>
      </c>
      <c r="R1327" s="12" t="s">
        <v>37</v>
      </c>
      <c r="S1327" s="10" t="n">
        <v>1130101</v>
      </c>
      <c r="T1327" s="12" t="s">
        <v>38</v>
      </c>
      <c r="U1327" s="13" t="n">
        <v>105.45</v>
      </c>
      <c r="W1327" s="13" t="n">
        <v>0</v>
      </c>
      <c r="X1327" s="12" t="s">
        <v>1587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1000001</v>
      </c>
      <c r="E1328" s="12" t="s">
        <v>782</v>
      </c>
      <c r="F1328" s="10" t="n">
        <v>24</v>
      </c>
      <c r="G1328" s="12" t="s">
        <v>32</v>
      </c>
      <c r="H1328" s="10" t="n">
        <v>1110202</v>
      </c>
      <c r="I1328" s="12" t="s">
        <v>285</v>
      </c>
      <c r="J1328" s="10" t="n">
        <v>1436328</v>
      </c>
      <c r="L1328" s="10" t="n">
        <v>591112</v>
      </c>
      <c r="M1328" s="12" t="s">
        <v>41</v>
      </c>
      <c r="N1328" s="12" t="s">
        <v>42</v>
      </c>
      <c r="P1328" s="10" t="n">
        <v>102</v>
      </c>
      <c r="Q1328" s="12" t="s">
        <v>107</v>
      </c>
      <c r="R1328" s="12" t="s">
        <v>91</v>
      </c>
      <c r="S1328" s="10" t="n">
        <v>4220199</v>
      </c>
      <c r="T1328" s="12" t="s">
        <v>92</v>
      </c>
      <c r="U1328" s="13" t="n">
        <v>142.9</v>
      </c>
      <c r="W1328" s="13" t="n">
        <v>0</v>
      </c>
      <c r="X1328" s="12" t="s">
        <v>1588</v>
      </c>
      <c r="Z1328" s="1" t="str">
        <f aca="false">IF($T1328="","",IFERROR(INDEX('Resumo Grupos'!$AC$3:$AC$200,MATCH($T1328,'Resumo Grupos'!$AB$3:$AB$200,0)),"n/d"))</f>
        <v>Pagamentos outros não operacionais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782</v>
      </c>
      <c r="F1329" s="10" t="n">
        <v>24</v>
      </c>
      <c r="G1329" s="12" t="s">
        <v>32</v>
      </c>
      <c r="H1329" s="10" t="n">
        <v>1110202</v>
      </c>
      <c r="I1329" s="12" t="s">
        <v>285</v>
      </c>
      <c r="J1329" s="10" t="n">
        <v>1436359</v>
      </c>
      <c r="L1329" s="10" t="n">
        <v>591135</v>
      </c>
      <c r="M1329" s="12" t="s">
        <v>41</v>
      </c>
      <c r="N1329" s="12" t="s">
        <v>42</v>
      </c>
      <c r="P1329" s="10" t="n">
        <v>102</v>
      </c>
      <c r="Q1329" s="12" t="s">
        <v>107</v>
      </c>
      <c r="R1329" s="12" t="s">
        <v>91</v>
      </c>
      <c r="S1329" s="10" t="n">
        <v>4220199</v>
      </c>
      <c r="T1329" s="12" t="s">
        <v>92</v>
      </c>
      <c r="U1329" s="13" t="n">
        <v>589.29</v>
      </c>
      <c r="W1329" s="13" t="n">
        <v>0</v>
      </c>
      <c r="X1329" s="12" t="s">
        <v>903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782</v>
      </c>
      <c r="F1330" s="10" t="n">
        <v>24</v>
      </c>
      <c r="G1330" s="12" t="s">
        <v>32</v>
      </c>
      <c r="H1330" s="10" t="n">
        <v>1110202</v>
      </c>
      <c r="I1330" s="12" t="s">
        <v>285</v>
      </c>
      <c r="J1330" s="10" t="n">
        <v>1436378</v>
      </c>
      <c r="L1330" s="10" t="n">
        <v>591151</v>
      </c>
      <c r="M1330" s="12" t="s">
        <v>41</v>
      </c>
      <c r="N1330" s="12" t="s">
        <v>42</v>
      </c>
      <c r="P1330" s="10" t="n">
        <v>102</v>
      </c>
      <c r="Q1330" s="12" t="s">
        <v>107</v>
      </c>
      <c r="R1330" s="12" t="s">
        <v>91</v>
      </c>
      <c r="S1330" s="10" t="n">
        <v>4220199</v>
      </c>
      <c r="T1330" s="12" t="s">
        <v>92</v>
      </c>
      <c r="U1330" s="13" t="n">
        <v>1342.68</v>
      </c>
      <c r="W1330" s="13" t="n">
        <v>0</v>
      </c>
      <c r="X1330" s="12" t="s">
        <v>903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1807</v>
      </c>
      <c r="E1331" s="12" t="s">
        <v>224</v>
      </c>
      <c r="F1331" s="10" t="n">
        <v>24</v>
      </c>
      <c r="G1331" s="12" t="s">
        <v>32</v>
      </c>
      <c r="H1331" s="10" t="n">
        <v>1110202</v>
      </c>
      <c r="I1331" s="12" t="s">
        <v>285</v>
      </c>
      <c r="J1331" s="10" t="n">
        <v>1436427</v>
      </c>
      <c r="L1331" s="10" t="n">
        <v>591174</v>
      </c>
      <c r="M1331" s="12" t="s">
        <v>41</v>
      </c>
      <c r="N1331" s="12" t="s">
        <v>42</v>
      </c>
      <c r="P1331" s="10" t="n">
        <v>102</v>
      </c>
      <c r="Q1331" s="12" t="s">
        <v>107</v>
      </c>
      <c r="R1331" s="12" t="s">
        <v>775</v>
      </c>
      <c r="S1331" s="10" t="n">
        <v>2110701</v>
      </c>
      <c r="T1331" s="12" t="s">
        <v>778</v>
      </c>
      <c r="U1331" s="13" t="n">
        <v>5092.77</v>
      </c>
      <c r="W1331" s="13" t="n">
        <v>0</v>
      </c>
      <c r="X1331" s="12" t="s">
        <v>1589</v>
      </c>
      <c r="Z1331" s="1" t="str">
        <f aca="false">IF($T1331="","",IFERROR(INDEX('Resumo Grupos'!$AC$3:$AC$200,MATCH($T1331,'Resumo Grupos'!$AB$3:$AB$200,0)),"n/d"))</f>
        <v>Impostos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1000017</v>
      </c>
      <c r="E1332" s="12" t="s">
        <v>1590</v>
      </c>
      <c r="F1332" s="10" t="n">
        <v>24</v>
      </c>
      <c r="G1332" s="12" t="s">
        <v>32</v>
      </c>
      <c r="H1332" s="10" t="n">
        <v>1110202</v>
      </c>
      <c r="I1332" s="12" t="s">
        <v>285</v>
      </c>
      <c r="J1332" s="10" t="n">
        <v>1436467</v>
      </c>
      <c r="L1332" s="10" t="n">
        <v>591192</v>
      </c>
      <c r="M1332" s="12" t="s">
        <v>41</v>
      </c>
      <c r="N1332" s="12" t="s">
        <v>42</v>
      </c>
      <c r="P1332" s="10" t="n">
        <v>102</v>
      </c>
      <c r="Q1332" s="12" t="s">
        <v>107</v>
      </c>
      <c r="R1332" s="12" t="s">
        <v>775</v>
      </c>
      <c r="S1332" s="10" t="n">
        <v>2110711</v>
      </c>
      <c r="T1332" s="12" t="s">
        <v>1591</v>
      </c>
      <c r="U1332" s="13" t="n">
        <v>155.96</v>
      </c>
      <c r="W1332" s="13" t="n">
        <v>0</v>
      </c>
      <c r="X1332" s="12" t="s">
        <v>1592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10098</v>
      </c>
      <c r="E1333" s="12" t="s">
        <v>1202</v>
      </c>
      <c r="F1333" s="10" t="n">
        <v>13</v>
      </c>
      <c r="G1333" s="12" t="s">
        <v>98</v>
      </c>
      <c r="H1333" s="10" t="n">
        <v>2110101</v>
      </c>
      <c r="I1333" s="12" t="s">
        <v>33</v>
      </c>
      <c r="J1333" s="10" t="n">
        <v>1463352</v>
      </c>
      <c r="L1333" s="10" t="n">
        <v>1140</v>
      </c>
      <c r="M1333" s="12" t="s">
        <v>41</v>
      </c>
      <c r="N1333" s="12" t="s">
        <v>35</v>
      </c>
      <c r="P1333" s="10" t="n">
        <v>104</v>
      </c>
      <c r="Q1333" s="12" t="s">
        <v>99</v>
      </c>
      <c r="R1333" s="12" t="s">
        <v>37</v>
      </c>
      <c r="S1333" s="10" t="n">
        <v>1130101</v>
      </c>
      <c r="T1333" s="12" t="s">
        <v>38</v>
      </c>
      <c r="U1333" s="13" t="n">
        <v>302.5</v>
      </c>
      <c r="W1333" s="13" t="n">
        <v>302.5</v>
      </c>
      <c r="X1333" s="12" t="s">
        <v>1593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46184</v>
      </c>
      <c r="C1334" s="11" t="n">
        <v>46224</v>
      </c>
      <c r="D1334" s="10" t="n">
        <v>1390</v>
      </c>
      <c r="E1334" s="12" t="s">
        <v>1405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1235862</v>
      </c>
      <c r="L1334" s="10" t="n">
        <v>6597</v>
      </c>
      <c r="M1334" s="12" t="s">
        <v>34</v>
      </c>
      <c r="N1334" s="12" t="s">
        <v>35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525.06</v>
      </c>
      <c r="W1334" s="13" t="n">
        <v>0</v>
      </c>
      <c r="X1334" s="12" t="s">
        <v>1594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46197</v>
      </c>
      <c r="C1335" s="11" t="n">
        <v>46224</v>
      </c>
      <c r="D1335" s="10" t="n">
        <v>1611</v>
      </c>
      <c r="E1335" s="12" t="s">
        <v>206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1300492</v>
      </c>
      <c r="L1335" s="10" t="n">
        <v>538390</v>
      </c>
      <c r="M1335" s="12" t="s">
        <v>41</v>
      </c>
      <c r="N1335" s="12" t="s">
        <v>42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891.38</v>
      </c>
      <c r="W1335" s="13" t="n">
        <v>0</v>
      </c>
      <c r="X1335" s="12" t="s">
        <v>1595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46191</v>
      </c>
      <c r="C1336" s="11" t="n">
        <v>46224</v>
      </c>
      <c r="D1336" s="10" t="n">
        <v>514</v>
      </c>
      <c r="E1336" s="12" t="s">
        <v>643</v>
      </c>
      <c r="F1336" s="10" t="n">
        <v>34</v>
      </c>
      <c r="G1336" s="12" t="s">
        <v>71</v>
      </c>
      <c r="H1336" s="10" t="n">
        <v>2110405</v>
      </c>
      <c r="I1336" s="12" t="s">
        <v>83</v>
      </c>
      <c r="J1336" s="10" t="n">
        <v>1309516</v>
      </c>
      <c r="L1336" s="10" t="n">
        <v>541968</v>
      </c>
      <c r="M1336" s="12" t="s">
        <v>34</v>
      </c>
      <c r="N1336" s="12" t="s">
        <v>42</v>
      </c>
      <c r="P1336" s="10" t="n">
        <v>101</v>
      </c>
      <c r="Q1336" s="12" t="s">
        <v>84</v>
      </c>
      <c r="R1336" s="12" t="s">
        <v>165</v>
      </c>
      <c r="S1336" s="10" t="n">
        <v>2110901</v>
      </c>
      <c r="T1336" s="12" t="s">
        <v>166</v>
      </c>
      <c r="U1336" s="13" t="n">
        <v>3370.37</v>
      </c>
      <c r="W1336" s="13" t="n">
        <v>0</v>
      </c>
      <c r="X1336" s="12" t="s">
        <v>694</v>
      </c>
      <c r="Z1336" s="1" t="str">
        <f aca="false">IF($T1336="","",IFERROR(INDEX('Resumo Grupos'!$AC$3:$AC$200,MATCH($T1336,'Resumo Grupos'!$AB$3:$AB$200,0)),"n/d"))</f>
        <v>Empréstimo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46202</v>
      </c>
      <c r="C1337" s="11" t="n">
        <v>46224</v>
      </c>
      <c r="D1337" s="10" t="n">
        <v>1668</v>
      </c>
      <c r="E1337" s="12" t="s">
        <v>57</v>
      </c>
      <c r="F1337" s="10" t="n">
        <v>24</v>
      </c>
      <c r="G1337" s="12" t="s">
        <v>32</v>
      </c>
      <c r="H1337" s="10" t="n">
        <v>2110102</v>
      </c>
      <c r="I1337" s="12" t="s">
        <v>59</v>
      </c>
      <c r="J1337" s="10" t="n">
        <v>1322877</v>
      </c>
      <c r="L1337" s="10" t="n">
        <v>731751</v>
      </c>
      <c r="M1337" s="12" t="s">
        <v>41</v>
      </c>
      <c r="N1337" s="12" t="s">
        <v>35</v>
      </c>
      <c r="P1337" s="10" t="n">
        <v>103</v>
      </c>
      <c r="Q1337" s="12" t="s">
        <v>36</v>
      </c>
      <c r="R1337" s="12" t="s">
        <v>60</v>
      </c>
      <c r="S1337" s="10" t="n">
        <v>4210204</v>
      </c>
      <c r="T1337" s="12" t="s">
        <v>61</v>
      </c>
      <c r="U1337" s="13" t="n">
        <v>1958.51</v>
      </c>
      <c r="W1337" s="13" t="n">
        <v>0</v>
      </c>
      <c r="X1337" s="12" t="s">
        <v>1596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1078</v>
      </c>
      <c r="E1338" s="12" t="s">
        <v>57</v>
      </c>
      <c r="F1338" s="10" t="n">
        <v>24</v>
      </c>
      <c r="G1338" s="12" t="s">
        <v>32</v>
      </c>
      <c r="H1338" s="10" t="n">
        <v>2110101</v>
      </c>
      <c r="I1338" s="12" t="s">
        <v>33</v>
      </c>
      <c r="J1338" s="10" t="n">
        <v>1322976</v>
      </c>
      <c r="L1338" s="10" t="n">
        <v>28355</v>
      </c>
      <c r="M1338" s="12" t="s">
        <v>41</v>
      </c>
      <c r="N1338" s="12" t="s">
        <v>35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346.8</v>
      </c>
      <c r="W1338" s="13" t="n">
        <v>0</v>
      </c>
      <c r="X1338" s="12" t="s">
        <v>1597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46204</v>
      </c>
      <c r="C1339" s="11" t="n">
        <v>46224</v>
      </c>
      <c r="D1339" s="10" t="n">
        <v>1402</v>
      </c>
      <c r="E1339" s="12" t="s">
        <v>628</v>
      </c>
      <c r="F1339" s="10" t="n">
        <v>24</v>
      </c>
      <c r="G1339" s="12" t="s">
        <v>32</v>
      </c>
      <c r="H1339" s="10" t="n">
        <v>2110102</v>
      </c>
      <c r="I1339" s="12" t="s">
        <v>59</v>
      </c>
      <c r="J1339" s="10" t="n">
        <v>1334301</v>
      </c>
      <c r="L1339" s="10" t="n">
        <v>3479</v>
      </c>
      <c r="M1339" s="12" t="s">
        <v>41</v>
      </c>
      <c r="N1339" s="12" t="s">
        <v>35</v>
      </c>
      <c r="P1339" s="10" t="n">
        <v>103</v>
      </c>
      <c r="Q1339" s="12" t="s">
        <v>36</v>
      </c>
      <c r="R1339" s="12" t="s">
        <v>60</v>
      </c>
      <c r="S1339" s="10" t="n">
        <v>4210204</v>
      </c>
      <c r="T1339" s="12" t="s">
        <v>61</v>
      </c>
      <c r="U1339" s="13" t="n">
        <v>870.53</v>
      </c>
      <c r="W1339" s="13" t="n">
        <v>0</v>
      </c>
      <c r="X1339" s="12" t="s">
        <v>1598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1107</v>
      </c>
      <c r="E1340" s="12" t="s">
        <v>130</v>
      </c>
      <c r="F1340" s="10" t="n">
        <v>24</v>
      </c>
      <c r="G1340" s="12" t="s">
        <v>32</v>
      </c>
      <c r="H1340" s="10" t="n">
        <v>2110101</v>
      </c>
      <c r="I1340" s="12" t="s">
        <v>33</v>
      </c>
      <c r="J1340" s="10" t="n">
        <v>1335361</v>
      </c>
      <c r="L1340" s="10" t="n">
        <v>423615</v>
      </c>
      <c r="M1340" s="12" t="s">
        <v>34</v>
      </c>
      <c r="N1340" s="12" t="s">
        <v>35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1120.6</v>
      </c>
      <c r="W1340" s="13" t="n">
        <v>0</v>
      </c>
      <c r="X1340" s="12" t="s">
        <v>1599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46205</v>
      </c>
      <c r="C1341" s="11" t="n">
        <v>46224</v>
      </c>
      <c r="D1341" s="10" t="n">
        <v>10009</v>
      </c>
      <c r="E1341" s="12" t="s">
        <v>201</v>
      </c>
      <c r="F1341" s="10" t="n">
        <v>24</v>
      </c>
      <c r="G1341" s="12" t="s">
        <v>32</v>
      </c>
      <c r="H1341" s="10" t="n">
        <v>2110101</v>
      </c>
      <c r="I1341" s="12" t="s">
        <v>33</v>
      </c>
      <c r="J1341" s="10" t="n">
        <v>1340832</v>
      </c>
      <c r="L1341" s="10" t="n">
        <v>1423352</v>
      </c>
      <c r="M1341" s="12" t="s">
        <v>41</v>
      </c>
      <c r="N1341" s="12" t="s">
        <v>35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1733.25</v>
      </c>
      <c r="W1341" s="13" t="n">
        <v>0</v>
      </c>
      <c r="X1341" s="12" t="s">
        <v>1600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46207</v>
      </c>
      <c r="C1342" s="11" t="n">
        <v>46224</v>
      </c>
      <c r="D1342" s="10" t="n">
        <v>1672</v>
      </c>
      <c r="E1342" s="12" t="s">
        <v>146</v>
      </c>
      <c r="F1342" s="10" t="n">
        <v>24</v>
      </c>
      <c r="G1342" s="12" t="s">
        <v>32</v>
      </c>
      <c r="H1342" s="10" t="n">
        <v>2110101</v>
      </c>
      <c r="I1342" s="12" t="s">
        <v>33</v>
      </c>
      <c r="J1342" s="10" t="n">
        <v>1348878</v>
      </c>
      <c r="L1342" s="10" t="n">
        <v>1385956</v>
      </c>
      <c r="M1342" s="12" t="s">
        <v>41</v>
      </c>
      <c r="N1342" s="12" t="s">
        <v>35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3494.6</v>
      </c>
      <c r="W1342" s="13" t="n">
        <v>0</v>
      </c>
      <c r="X1342" s="12" t="s">
        <v>1601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46209</v>
      </c>
      <c r="C1343" s="11" t="n">
        <v>46224</v>
      </c>
      <c r="D1343" s="10" t="n">
        <v>1611</v>
      </c>
      <c r="E1343" s="12" t="s">
        <v>206</v>
      </c>
      <c r="F1343" s="10" t="n">
        <v>24</v>
      </c>
      <c r="G1343" s="12" t="s">
        <v>32</v>
      </c>
      <c r="H1343" s="10" t="n">
        <v>2110101</v>
      </c>
      <c r="I1343" s="12" t="s">
        <v>33</v>
      </c>
      <c r="J1343" s="10" t="n">
        <v>1360267</v>
      </c>
      <c r="L1343" s="10" t="n">
        <v>561687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3184.13</v>
      </c>
      <c r="W1343" s="13" t="n">
        <v>0</v>
      </c>
      <c r="X1343" s="12" t="s">
        <v>1602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46210</v>
      </c>
      <c r="C1344" s="11" t="n">
        <v>46224</v>
      </c>
      <c r="D1344" s="10" t="n">
        <v>666</v>
      </c>
      <c r="E1344" s="12" t="s">
        <v>603</v>
      </c>
      <c r="F1344" s="10" t="n">
        <v>24</v>
      </c>
      <c r="G1344" s="12" t="s">
        <v>32</v>
      </c>
      <c r="H1344" s="10" t="n">
        <v>2110101</v>
      </c>
      <c r="I1344" s="12" t="s">
        <v>33</v>
      </c>
      <c r="J1344" s="10" t="n">
        <v>1366430</v>
      </c>
      <c r="L1344" s="10" t="n">
        <v>7876</v>
      </c>
      <c r="M1344" s="12" t="s">
        <v>34</v>
      </c>
      <c r="N1344" s="12" t="s">
        <v>35</v>
      </c>
      <c r="P1344" s="10" t="n">
        <v>103</v>
      </c>
      <c r="Q1344" s="12" t="s">
        <v>36</v>
      </c>
      <c r="R1344" s="12" t="s">
        <v>37</v>
      </c>
      <c r="S1344" s="10" t="n">
        <v>1130101</v>
      </c>
      <c r="T1344" s="12" t="s">
        <v>38</v>
      </c>
      <c r="U1344" s="13" t="n">
        <v>287.8</v>
      </c>
      <c r="W1344" s="13" t="n">
        <v>0</v>
      </c>
      <c r="X1344" s="12" t="s">
        <v>1603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46211</v>
      </c>
      <c r="C1345" s="11" t="n">
        <v>46224</v>
      </c>
      <c r="D1345" s="10" t="n">
        <v>10002</v>
      </c>
      <c r="E1345" s="12" t="s">
        <v>253</v>
      </c>
      <c r="F1345" s="10" t="n">
        <v>24</v>
      </c>
      <c r="G1345" s="12" t="s">
        <v>32</v>
      </c>
      <c r="H1345" s="10" t="n">
        <v>2110101</v>
      </c>
      <c r="I1345" s="12" t="s">
        <v>33</v>
      </c>
      <c r="J1345" s="10" t="n">
        <v>1369047</v>
      </c>
      <c r="L1345" s="10" t="n">
        <v>196429</v>
      </c>
      <c r="M1345" s="12" t="s">
        <v>41</v>
      </c>
      <c r="N1345" s="12" t="s">
        <v>35</v>
      </c>
      <c r="P1345" s="10" t="n">
        <v>103</v>
      </c>
      <c r="Q1345" s="12" t="s">
        <v>36</v>
      </c>
      <c r="R1345" s="12" t="s">
        <v>37</v>
      </c>
      <c r="S1345" s="10" t="n">
        <v>1130101</v>
      </c>
      <c r="T1345" s="12" t="s">
        <v>38</v>
      </c>
      <c r="U1345" s="13" t="n">
        <v>799.73</v>
      </c>
      <c r="W1345" s="13" t="n">
        <v>0</v>
      </c>
      <c r="X1345" s="12" t="s">
        <v>1604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46217</v>
      </c>
      <c r="C1346" s="11" t="n">
        <v>46224</v>
      </c>
      <c r="D1346" s="10" t="n">
        <v>1642</v>
      </c>
      <c r="E1346" s="12" t="s">
        <v>159</v>
      </c>
      <c r="F1346" s="10" t="n">
        <v>24</v>
      </c>
      <c r="G1346" s="12" t="s">
        <v>32</v>
      </c>
      <c r="H1346" s="10" t="n">
        <v>1110202</v>
      </c>
      <c r="I1346" s="12" t="s">
        <v>285</v>
      </c>
      <c r="J1346" s="10" t="n">
        <v>1397305</v>
      </c>
      <c r="L1346" s="10" t="n">
        <v>1031671</v>
      </c>
      <c r="M1346" s="12" t="s">
        <v>41</v>
      </c>
      <c r="N1346" s="12" t="s">
        <v>42</v>
      </c>
      <c r="P1346" s="10" t="n">
        <v>103</v>
      </c>
      <c r="Q1346" s="12" t="s">
        <v>36</v>
      </c>
      <c r="R1346" s="12" t="s">
        <v>37</v>
      </c>
      <c r="S1346" s="10" t="n">
        <v>1130101</v>
      </c>
      <c r="T1346" s="12" t="s">
        <v>38</v>
      </c>
      <c r="U1346" s="13" t="n">
        <v>869.87</v>
      </c>
      <c r="W1346" s="13" t="n">
        <v>0</v>
      </c>
      <c r="X1346" s="12" t="s">
        <v>1605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70</v>
      </c>
      <c r="F1347" s="10" t="n">
        <v>34</v>
      </c>
      <c r="G1347" s="12" t="s">
        <v>71</v>
      </c>
      <c r="H1347" s="10" t="n">
        <v>2110101</v>
      </c>
      <c r="I1347" s="12" t="s">
        <v>33</v>
      </c>
      <c r="J1347" s="10" t="n">
        <v>1428696</v>
      </c>
      <c r="L1347" s="10" t="n">
        <v>5328</v>
      </c>
      <c r="M1347" s="12" t="s">
        <v>41</v>
      </c>
      <c r="N1347" s="12" t="s">
        <v>35</v>
      </c>
      <c r="P1347" s="10" t="n">
        <v>104</v>
      </c>
      <c r="Q1347" s="12" t="s">
        <v>99</v>
      </c>
      <c r="R1347" s="12" t="s">
        <v>37</v>
      </c>
      <c r="S1347" s="10" t="n">
        <v>1130101</v>
      </c>
      <c r="T1347" s="12" t="s">
        <v>38</v>
      </c>
      <c r="U1347" s="13" t="n">
        <v>2320</v>
      </c>
      <c r="W1347" s="13" t="n">
        <v>0</v>
      </c>
      <c r="X1347" s="12" t="s">
        <v>172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46217</v>
      </c>
      <c r="C1348" s="11" t="n">
        <v>46224</v>
      </c>
      <c r="D1348" s="10" t="n">
        <v>1798</v>
      </c>
      <c r="E1348" s="12" t="s">
        <v>315</v>
      </c>
      <c r="F1348" s="10" t="n">
        <v>24</v>
      </c>
      <c r="G1348" s="12" t="s">
        <v>32</v>
      </c>
      <c r="H1348" s="10" t="n">
        <v>1110202</v>
      </c>
      <c r="I1348" s="12" t="s">
        <v>285</v>
      </c>
      <c r="J1348" s="10" t="n">
        <v>1398194</v>
      </c>
      <c r="L1348" s="10" t="n">
        <v>831704</v>
      </c>
      <c r="M1348" s="12" t="s">
        <v>41</v>
      </c>
      <c r="N1348" s="12" t="s">
        <v>42</v>
      </c>
      <c r="P1348" s="10" t="n">
        <v>103</v>
      </c>
      <c r="Q1348" s="12" t="s">
        <v>36</v>
      </c>
      <c r="R1348" s="12" t="s">
        <v>37</v>
      </c>
      <c r="S1348" s="10" t="n">
        <v>1130101</v>
      </c>
      <c r="T1348" s="12" t="s">
        <v>38</v>
      </c>
      <c r="U1348" s="13" t="n">
        <v>1592.9</v>
      </c>
      <c r="W1348" s="13" t="n">
        <v>0</v>
      </c>
      <c r="X1348" s="12" t="s">
        <v>1606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46219</v>
      </c>
      <c r="C1349" s="11" t="n">
        <v>46224</v>
      </c>
      <c r="D1349" s="10" t="n">
        <v>1286</v>
      </c>
      <c r="E1349" s="12" t="s">
        <v>319</v>
      </c>
      <c r="F1349" s="10" t="n">
        <v>24</v>
      </c>
      <c r="G1349" s="12" t="s">
        <v>32</v>
      </c>
      <c r="H1349" s="10" t="n">
        <v>1110202</v>
      </c>
      <c r="I1349" s="12" t="s">
        <v>285</v>
      </c>
      <c r="J1349" s="10" t="n">
        <v>1405535</v>
      </c>
      <c r="L1349" s="10" t="n">
        <v>10312</v>
      </c>
      <c r="M1349" s="12" t="s">
        <v>41</v>
      </c>
      <c r="N1349" s="12" t="s">
        <v>42</v>
      </c>
      <c r="P1349" s="10" t="n">
        <v>103</v>
      </c>
      <c r="Q1349" s="12" t="s">
        <v>36</v>
      </c>
      <c r="R1349" s="12" t="s">
        <v>37</v>
      </c>
      <c r="S1349" s="10" t="n">
        <v>1130101</v>
      </c>
      <c r="T1349" s="12" t="s">
        <v>38</v>
      </c>
      <c r="U1349" s="13" t="n">
        <v>756</v>
      </c>
      <c r="W1349" s="13" t="n">
        <v>0</v>
      </c>
      <c r="X1349" s="12" t="s">
        <v>1607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46220</v>
      </c>
      <c r="C1350" s="11" t="n">
        <v>46224</v>
      </c>
      <c r="D1350" s="10" t="n">
        <v>1899</v>
      </c>
      <c r="E1350" s="12" t="s">
        <v>74</v>
      </c>
      <c r="F1350" s="10" t="n">
        <v>24</v>
      </c>
      <c r="G1350" s="12" t="s">
        <v>32</v>
      </c>
      <c r="H1350" s="10" t="n">
        <v>1110202</v>
      </c>
      <c r="I1350" s="12" t="s">
        <v>285</v>
      </c>
      <c r="J1350" s="10" t="n">
        <v>1410422</v>
      </c>
      <c r="L1350" s="10" t="n">
        <v>718</v>
      </c>
      <c r="M1350" s="12" t="s">
        <v>41</v>
      </c>
      <c r="N1350" s="12" t="s">
        <v>42</v>
      </c>
      <c r="P1350" s="10" t="n">
        <v>103</v>
      </c>
      <c r="Q1350" s="12" t="s">
        <v>36</v>
      </c>
      <c r="R1350" s="12" t="s">
        <v>37</v>
      </c>
      <c r="S1350" s="10" t="n">
        <v>1130101</v>
      </c>
      <c r="T1350" s="12" t="s">
        <v>38</v>
      </c>
      <c r="U1350" s="13" t="n">
        <v>297.13</v>
      </c>
      <c r="W1350" s="13" t="n">
        <v>0</v>
      </c>
      <c r="X1350" s="12" t="s">
        <v>1608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74</v>
      </c>
      <c r="F1351" s="10" t="n">
        <v>24</v>
      </c>
      <c r="G1351" s="12" t="s">
        <v>32</v>
      </c>
      <c r="H1351" s="10" t="n">
        <v>1110202</v>
      </c>
      <c r="I1351" s="12" t="s">
        <v>285</v>
      </c>
      <c r="J1351" s="10" t="n">
        <v>1410464</v>
      </c>
      <c r="L1351" s="10" t="n">
        <v>720</v>
      </c>
      <c r="M1351" s="12" t="s">
        <v>41</v>
      </c>
      <c r="N1351" s="12" t="s">
        <v>42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700</v>
      </c>
      <c r="W1351" s="13" t="n">
        <v>0</v>
      </c>
      <c r="X1351" s="12" t="s">
        <v>1609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10018</v>
      </c>
      <c r="E1352" s="12" t="s">
        <v>328</v>
      </c>
      <c r="F1352" s="10" t="n">
        <v>24</v>
      </c>
      <c r="G1352" s="12" t="s">
        <v>32</v>
      </c>
      <c r="H1352" s="10" t="n">
        <v>1110202</v>
      </c>
      <c r="I1352" s="12" t="s">
        <v>285</v>
      </c>
      <c r="J1352" s="10" t="n">
        <v>1410760</v>
      </c>
      <c r="L1352" s="10" t="n">
        <v>336</v>
      </c>
      <c r="M1352" s="12" t="s">
        <v>41</v>
      </c>
      <c r="N1352" s="12" t="s">
        <v>42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1850</v>
      </c>
      <c r="W1352" s="13" t="n">
        <v>0</v>
      </c>
      <c r="X1352" s="12" t="s">
        <v>1610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46221</v>
      </c>
      <c r="C1353" s="11" t="n">
        <v>46224</v>
      </c>
      <c r="D1353" s="10" t="n">
        <v>642</v>
      </c>
      <c r="E1353" s="12" t="s">
        <v>161</v>
      </c>
      <c r="F1353" s="10" t="n">
        <v>24</v>
      </c>
      <c r="G1353" s="12" t="s">
        <v>32</v>
      </c>
      <c r="H1353" s="10" t="n">
        <v>1110202</v>
      </c>
      <c r="I1353" s="12" t="s">
        <v>285</v>
      </c>
      <c r="J1353" s="10" t="n">
        <v>1415556</v>
      </c>
      <c r="L1353" s="10" t="n">
        <v>534</v>
      </c>
      <c r="M1353" s="12" t="s">
        <v>41</v>
      </c>
      <c r="N1353" s="12" t="s">
        <v>42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960</v>
      </c>
      <c r="W1353" s="13" t="n">
        <v>0</v>
      </c>
      <c r="X1353" s="12" t="s">
        <v>1611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46224</v>
      </c>
      <c r="C1354" s="11" t="n">
        <v>46224</v>
      </c>
      <c r="D1354" s="10" t="n">
        <v>578</v>
      </c>
      <c r="E1354" s="12" t="s">
        <v>647</v>
      </c>
      <c r="F1354" s="10" t="n">
        <v>24</v>
      </c>
      <c r="G1354" s="12" t="s">
        <v>32</v>
      </c>
      <c r="H1354" s="10" t="n">
        <v>1110202</v>
      </c>
      <c r="I1354" s="12" t="s">
        <v>285</v>
      </c>
      <c r="J1354" s="10" t="n">
        <v>1289597</v>
      </c>
      <c r="L1354" s="10" t="n">
        <v>534500</v>
      </c>
      <c r="M1354" s="12" t="s">
        <v>34</v>
      </c>
      <c r="N1354" s="12" t="s">
        <v>42</v>
      </c>
      <c r="P1354" s="10" t="n">
        <v>102</v>
      </c>
      <c r="Q1354" s="12" t="s">
        <v>107</v>
      </c>
      <c r="R1354" s="12" t="s">
        <v>91</v>
      </c>
      <c r="S1354" s="10" t="n">
        <v>4220199</v>
      </c>
      <c r="T1354" s="12" t="s">
        <v>92</v>
      </c>
      <c r="U1354" s="13" t="n">
        <v>500</v>
      </c>
      <c r="W1354" s="13" t="n">
        <v>0</v>
      </c>
      <c r="X1354" s="12" t="s">
        <v>784</v>
      </c>
      <c r="Z1354" s="1" t="str">
        <f aca="false">IF($T1354="","",IFERROR(INDEX('Resumo Grupos'!$AC$3:$AC$200,MATCH($T1354,'Resumo Grupos'!$AB$3:$AB$200,0)),"n/d"))</f>
        <v>Pagamentos outros não operacionais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1037</v>
      </c>
      <c r="E1355" s="12" t="s">
        <v>168</v>
      </c>
      <c r="F1355" s="10" t="n">
        <v>34</v>
      </c>
      <c r="G1355" s="12" t="s">
        <v>71</v>
      </c>
      <c r="H1355" s="10" t="n">
        <v>1110202</v>
      </c>
      <c r="I1355" s="12" t="s">
        <v>285</v>
      </c>
      <c r="J1355" s="10" t="n">
        <v>1429767</v>
      </c>
      <c r="L1355" s="10" t="n">
        <v>589270</v>
      </c>
      <c r="M1355" s="12" t="s">
        <v>41</v>
      </c>
      <c r="N1355" s="12" t="s">
        <v>42</v>
      </c>
      <c r="P1355" s="10" t="n">
        <v>101</v>
      </c>
      <c r="Q1355" s="12" t="s">
        <v>84</v>
      </c>
      <c r="R1355" s="12" t="s">
        <v>91</v>
      </c>
      <c r="S1355" s="10" t="n">
        <v>4220199</v>
      </c>
      <c r="T1355" s="12" t="s">
        <v>92</v>
      </c>
      <c r="U1355" s="13" t="n">
        <v>2513.08</v>
      </c>
      <c r="W1355" s="13" t="n">
        <v>0</v>
      </c>
      <c r="X1355" s="12" t="s">
        <v>1612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70</v>
      </c>
      <c r="F1356" s="10" t="n">
        <v>34</v>
      </c>
      <c r="G1356" s="12" t="s">
        <v>71</v>
      </c>
      <c r="H1356" s="10" t="n">
        <v>2110101</v>
      </c>
      <c r="I1356" s="12" t="s">
        <v>33</v>
      </c>
      <c r="J1356" s="10" t="n">
        <v>1430498</v>
      </c>
      <c r="L1356" s="10" t="n">
        <v>5329</v>
      </c>
      <c r="M1356" s="12" t="s">
        <v>41</v>
      </c>
      <c r="N1356" s="12" t="s">
        <v>35</v>
      </c>
      <c r="P1356" s="10" t="n">
        <v>104</v>
      </c>
      <c r="Q1356" s="12" t="s">
        <v>99</v>
      </c>
      <c r="R1356" s="12" t="s">
        <v>37</v>
      </c>
      <c r="S1356" s="10" t="n">
        <v>1130101</v>
      </c>
      <c r="T1356" s="12" t="s">
        <v>38</v>
      </c>
      <c r="U1356" s="13" t="n">
        <v>55</v>
      </c>
      <c r="W1356" s="13" t="n">
        <v>0</v>
      </c>
      <c r="X1356" s="12" t="s">
        <v>1613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1758</v>
      </c>
      <c r="E1357" s="12" t="s">
        <v>451</v>
      </c>
      <c r="F1357" s="10" t="n">
        <v>13</v>
      </c>
      <c r="G1357" s="12" t="s">
        <v>98</v>
      </c>
      <c r="H1357" s="10" t="n">
        <v>1110202</v>
      </c>
      <c r="I1357" s="12" t="s">
        <v>285</v>
      </c>
      <c r="J1357" s="10" t="n">
        <v>1433908</v>
      </c>
      <c r="L1357" s="10" t="n">
        <v>590543</v>
      </c>
      <c r="M1357" s="12" t="s">
        <v>41</v>
      </c>
      <c r="N1357" s="12" t="s">
        <v>42</v>
      </c>
      <c r="P1357" s="10" t="n">
        <v>101</v>
      </c>
      <c r="Q1357" s="12" t="s">
        <v>84</v>
      </c>
      <c r="R1357" s="12" t="s">
        <v>60</v>
      </c>
      <c r="S1357" s="10" t="n">
        <v>4210223</v>
      </c>
      <c r="T1357" s="12" t="s">
        <v>116</v>
      </c>
      <c r="U1357" s="13" t="n">
        <v>615</v>
      </c>
      <c r="W1357" s="13" t="n">
        <v>0</v>
      </c>
      <c r="X1357" s="12" t="s">
        <v>1614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515</v>
      </c>
      <c r="E1358" s="12" t="s">
        <v>106</v>
      </c>
      <c r="F1358" s="10" t="n">
        <v>34</v>
      </c>
      <c r="G1358" s="12" t="s">
        <v>71</v>
      </c>
      <c r="H1358" s="10" t="n">
        <v>1110202</v>
      </c>
      <c r="I1358" s="12" t="s">
        <v>285</v>
      </c>
      <c r="J1358" s="10" t="n">
        <v>1434182</v>
      </c>
      <c r="L1358" s="10" t="n">
        <v>590590</v>
      </c>
      <c r="M1358" s="12" t="s">
        <v>41</v>
      </c>
      <c r="N1358" s="12" t="s">
        <v>42</v>
      </c>
      <c r="P1358" s="10" t="n">
        <v>102</v>
      </c>
      <c r="Q1358" s="12" t="s">
        <v>107</v>
      </c>
      <c r="R1358" s="12" t="s">
        <v>91</v>
      </c>
      <c r="S1358" s="10" t="n">
        <v>4220199</v>
      </c>
      <c r="T1358" s="12" t="s">
        <v>92</v>
      </c>
      <c r="U1358" s="13" t="n">
        <v>37295.4</v>
      </c>
      <c r="W1358" s="13" t="n">
        <v>0</v>
      </c>
      <c r="X1358" s="12" t="s">
        <v>1615</v>
      </c>
      <c r="Z1358" s="1" t="str">
        <f aca="false">IF($T1358="","",IFERROR(INDEX('Resumo Grupos'!$AC$3:$AC$200,MATCH($T1358,'Resumo Grupos'!$AB$3:$AB$200,0)),"n/d"))</f>
        <v>Pagamentos outros não operacionais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10096</v>
      </c>
      <c r="E1359" s="12" t="s">
        <v>1496</v>
      </c>
      <c r="F1359" s="10" t="n">
        <v>13</v>
      </c>
      <c r="G1359" s="12" t="s">
        <v>98</v>
      </c>
      <c r="H1359" s="10" t="n">
        <v>2110101</v>
      </c>
      <c r="I1359" s="12" t="s">
        <v>33</v>
      </c>
      <c r="J1359" s="10" t="n">
        <v>1435742</v>
      </c>
      <c r="L1359" s="10" t="n">
        <v>66</v>
      </c>
      <c r="M1359" s="12" t="s">
        <v>41</v>
      </c>
      <c r="N1359" s="12" t="s">
        <v>35</v>
      </c>
      <c r="P1359" s="10" t="n">
        <v>104</v>
      </c>
      <c r="Q1359" s="12" t="s">
        <v>99</v>
      </c>
      <c r="R1359" s="12" t="s">
        <v>37</v>
      </c>
      <c r="S1359" s="10" t="n">
        <v>1130101</v>
      </c>
      <c r="T1359" s="12" t="s">
        <v>38</v>
      </c>
      <c r="U1359" s="13" t="n">
        <v>420</v>
      </c>
      <c r="W1359" s="13" t="n">
        <v>0</v>
      </c>
      <c r="X1359" s="12" t="s">
        <v>1616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46195</v>
      </c>
      <c r="C1360" s="11" t="n">
        <v>46225</v>
      </c>
      <c r="D1360" s="10" t="n">
        <v>10011</v>
      </c>
      <c r="E1360" s="12" t="s">
        <v>189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1291292</v>
      </c>
      <c r="L1360" s="10" t="n">
        <v>34212</v>
      </c>
      <c r="M1360" s="12" t="s">
        <v>34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1975</v>
      </c>
      <c r="W1360" s="13" t="n">
        <v>0</v>
      </c>
      <c r="X1360" s="12" t="s">
        <v>1617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1608</v>
      </c>
      <c r="E1361" s="12" t="s">
        <v>51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1299186</v>
      </c>
      <c r="L1361" s="10" t="n">
        <v>1679265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1065.06</v>
      </c>
      <c r="W1361" s="13" t="n">
        <v>0</v>
      </c>
      <c r="X1361" s="12" t="s">
        <v>1618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1659</v>
      </c>
      <c r="E1362" s="12" t="s">
        <v>54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1299933</v>
      </c>
      <c r="L1362" s="10" t="n">
        <v>880066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1028.46</v>
      </c>
      <c r="W1362" s="13" t="n">
        <v>0</v>
      </c>
      <c r="X1362" s="12" t="s">
        <v>1619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1608</v>
      </c>
      <c r="E1363" s="12" t="s">
        <v>51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1300337</v>
      </c>
      <c r="L1363" s="10" t="n">
        <v>1679646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1271.28</v>
      </c>
      <c r="W1363" s="13" t="n">
        <v>0</v>
      </c>
      <c r="X1363" s="12" t="s">
        <v>1620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1671</v>
      </c>
      <c r="E1364" s="12" t="s">
        <v>340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1304959</v>
      </c>
      <c r="L1364" s="10" t="n">
        <v>576439</v>
      </c>
      <c r="M1364" s="12" t="s">
        <v>34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1499.41</v>
      </c>
      <c r="W1364" s="13" t="n">
        <v>0</v>
      </c>
      <c r="X1364" s="12" t="s">
        <v>1621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44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1305340</v>
      </c>
      <c r="L1365" s="10" t="n">
        <v>1895763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1367.5</v>
      </c>
      <c r="W1365" s="13" t="n">
        <v>0</v>
      </c>
      <c r="X1365" s="12" t="s">
        <v>1622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44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1305753</v>
      </c>
      <c r="L1366" s="10" t="n">
        <v>1895810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495.45</v>
      </c>
      <c r="W1366" s="13" t="n">
        <v>0</v>
      </c>
      <c r="X1366" s="12" t="s">
        <v>1623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46199</v>
      </c>
      <c r="C1367" s="11" t="n">
        <v>46225</v>
      </c>
      <c r="D1367" s="10" t="n">
        <v>1705</v>
      </c>
      <c r="E1367" s="12" t="s">
        <v>148</v>
      </c>
      <c r="F1367" s="10" t="n">
        <v>24</v>
      </c>
      <c r="G1367" s="12" t="s">
        <v>32</v>
      </c>
      <c r="H1367" s="10" t="n">
        <v>2110101</v>
      </c>
      <c r="I1367" s="12" t="s">
        <v>33</v>
      </c>
      <c r="J1367" s="10" t="n">
        <v>1309451</v>
      </c>
      <c r="L1367" s="10" t="n">
        <v>1174709</v>
      </c>
      <c r="M1367" s="12" t="s">
        <v>41</v>
      </c>
      <c r="N1367" s="12" t="s">
        <v>35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257.85</v>
      </c>
      <c r="W1367" s="13" t="n">
        <v>0</v>
      </c>
      <c r="X1367" s="12" t="s">
        <v>1624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46202</v>
      </c>
      <c r="C1368" s="11" t="n">
        <v>46225</v>
      </c>
      <c r="D1368" s="10" t="n">
        <v>1624</v>
      </c>
      <c r="E1368" s="12" t="s">
        <v>244</v>
      </c>
      <c r="F1368" s="10" t="n">
        <v>24</v>
      </c>
      <c r="G1368" s="12" t="s">
        <v>32</v>
      </c>
      <c r="H1368" s="10" t="n">
        <v>2110101</v>
      </c>
      <c r="I1368" s="12" t="s">
        <v>33</v>
      </c>
      <c r="J1368" s="10" t="n">
        <v>1322405</v>
      </c>
      <c r="L1368" s="10" t="n">
        <v>660505</v>
      </c>
      <c r="M1368" s="12" t="s">
        <v>41</v>
      </c>
      <c r="N1368" s="12" t="s">
        <v>35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660</v>
      </c>
      <c r="W1368" s="13" t="n">
        <v>0</v>
      </c>
      <c r="X1368" s="12" t="s">
        <v>1625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46204</v>
      </c>
      <c r="C1369" s="11" t="n">
        <v>46225</v>
      </c>
      <c r="D1369" s="10" t="n">
        <v>1608</v>
      </c>
      <c r="E1369" s="12" t="s">
        <v>51</v>
      </c>
      <c r="F1369" s="10" t="n">
        <v>24</v>
      </c>
      <c r="G1369" s="12" t="s">
        <v>32</v>
      </c>
      <c r="H1369" s="10" t="n">
        <v>2110101</v>
      </c>
      <c r="I1369" s="12" t="s">
        <v>33</v>
      </c>
      <c r="J1369" s="10" t="n">
        <v>1334069</v>
      </c>
      <c r="L1369" s="10" t="n">
        <v>1685233</v>
      </c>
      <c r="M1369" s="12" t="s">
        <v>41</v>
      </c>
      <c r="N1369" s="12" t="s">
        <v>35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1862.4</v>
      </c>
      <c r="W1369" s="13" t="n">
        <v>0</v>
      </c>
      <c r="X1369" s="12" t="s">
        <v>1626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1699</v>
      </c>
      <c r="E1370" s="12" t="s">
        <v>371</v>
      </c>
      <c r="F1370" s="10" t="n">
        <v>24</v>
      </c>
      <c r="G1370" s="12" t="s">
        <v>32</v>
      </c>
      <c r="H1370" s="10" t="n">
        <v>2110101</v>
      </c>
      <c r="I1370" s="12" t="s">
        <v>33</v>
      </c>
      <c r="J1370" s="10" t="n">
        <v>1334706</v>
      </c>
      <c r="L1370" s="10" t="n">
        <v>306058</v>
      </c>
      <c r="M1370" s="12" t="s">
        <v>34</v>
      </c>
      <c r="N1370" s="12" t="s">
        <v>35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1613.93</v>
      </c>
      <c r="W1370" s="13" t="n">
        <v>0</v>
      </c>
      <c r="X1370" s="12" t="s">
        <v>1627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46206</v>
      </c>
      <c r="C1371" s="11" t="n">
        <v>46225</v>
      </c>
      <c r="D1371" s="10" t="n">
        <v>1706</v>
      </c>
      <c r="E1371" s="12" t="s">
        <v>366</v>
      </c>
      <c r="F1371" s="10" t="n">
        <v>24</v>
      </c>
      <c r="G1371" s="12" t="s">
        <v>32</v>
      </c>
      <c r="H1371" s="10" t="n">
        <v>2110101</v>
      </c>
      <c r="I1371" s="12" t="s">
        <v>33</v>
      </c>
      <c r="J1371" s="10" t="n">
        <v>1344279</v>
      </c>
      <c r="L1371" s="10" t="n">
        <v>203761</v>
      </c>
      <c r="M1371" s="12" t="s">
        <v>41</v>
      </c>
      <c r="N1371" s="12" t="s">
        <v>35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1438.2</v>
      </c>
      <c r="W1371" s="13" t="n">
        <v>0</v>
      </c>
      <c r="X1371" s="12" t="s">
        <v>1628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46207</v>
      </c>
      <c r="C1372" s="11" t="n">
        <v>46225</v>
      </c>
      <c r="D1372" s="10" t="n">
        <v>1613</v>
      </c>
      <c r="E1372" s="12" t="s">
        <v>208</v>
      </c>
      <c r="F1372" s="10" t="n">
        <v>24</v>
      </c>
      <c r="G1372" s="12" t="s">
        <v>32</v>
      </c>
      <c r="H1372" s="10" t="n">
        <v>2110101</v>
      </c>
      <c r="I1372" s="12" t="s">
        <v>33</v>
      </c>
      <c r="J1372" s="10" t="n">
        <v>1348480</v>
      </c>
      <c r="L1372" s="10" t="n">
        <v>1603506</v>
      </c>
      <c r="M1372" s="12" t="s">
        <v>34</v>
      </c>
      <c r="N1372" s="12" t="s">
        <v>35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2368.51</v>
      </c>
      <c r="W1372" s="13" t="n">
        <v>0</v>
      </c>
      <c r="X1372" s="12" t="s">
        <v>1629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46211</v>
      </c>
      <c r="C1373" s="11" t="n">
        <v>46225</v>
      </c>
      <c r="D1373" s="10" t="n">
        <v>1705</v>
      </c>
      <c r="E1373" s="12" t="s">
        <v>148</v>
      </c>
      <c r="F1373" s="10" t="n">
        <v>24</v>
      </c>
      <c r="G1373" s="12" t="s">
        <v>32</v>
      </c>
      <c r="H1373" s="10" t="n">
        <v>2110101</v>
      </c>
      <c r="I1373" s="12" t="s">
        <v>33</v>
      </c>
      <c r="J1373" s="10" t="n">
        <v>1369065</v>
      </c>
      <c r="L1373" s="10" t="n">
        <v>1191435</v>
      </c>
      <c r="M1373" s="12" t="s">
        <v>41</v>
      </c>
      <c r="N1373" s="12" t="s">
        <v>35</v>
      </c>
      <c r="P1373" s="10" t="n">
        <v>103</v>
      </c>
      <c r="Q1373" s="12" t="s">
        <v>36</v>
      </c>
      <c r="R1373" s="12" t="s">
        <v>37</v>
      </c>
      <c r="S1373" s="10" t="n">
        <v>1130101</v>
      </c>
      <c r="T1373" s="12" t="s">
        <v>38</v>
      </c>
      <c r="U1373" s="13" t="n">
        <v>897.72</v>
      </c>
      <c r="W1373" s="13" t="n">
        <v>0</v>
      </c>
      <c r="X1373" s="12" t="s">
        <v>1630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148</v>
      </c>
      <c r="F1374" s="10" t="n">
        <v>24</v>
      </c>
      <c r="G1374" s="12" t="s">
        <v>32</v>
      </c>
      <c r="H1374" s="10" t="n">
        <v>2110101</v>
      </c>
      <c r="I1374" s="12" t="s">
        <v>33</v>
      </c>
      <c r="J1374" s="10" t="n">
        <v>1369074</v>
      </c>
      <c r="L1374" s="10" t="n">
        <v>1922435</v>
      </c>
      <c r="M1374" s="12" t="s">
        <v>41</v>
      </c>
      <c r="N1374" s="12" t="s">
        <v>35</v>
      </c>
      <c r="P1374" s="10" t="n">
        <v>103</v>
      </c>
      <c r="Q1374" s="12" t="s">
        <v>36</v>
      </c>
      <c r="R1374" s="12" t="s">
        <v>37</v>
      </c>
      <c r="S1374" s="10" t="n">
        <v>1130101</v>
      </c>
      <c r="T1374" s="12" t="s">
        <v>38</v>
      </c>
      <c r="U1374" s="13" t="n">
        <v>1827.23</v>
      </c>
      <c r="W1374" s="13" t="n">
        <v>0</v>
      </c>
      <c r="X1374" s="12" t="s">
        <v>1631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148</v>
      </c>
      <c r="F1375" s="10" t="n">
        <v>24</v>
      </c>
      <c r="G1375" s="12" t="s">
        <v>32</v>
      </c>
      <c r="H1375" s="10" t="n">
        <v>2110101</v>
      </c>
      <c r="I1375" s="12" t="s">
        <v>33</v>
      </c>
      <c r="J1375" s="10" t="n">
        <v>1369102</v>
      </c>
      <c r="L1375" s="10" t="n">
        <v>1922459</v>
      </c>
      <c r="M1375" s="12" t="s">
        <v>41</v>
      </c>
      <c r="N1375" s="12" t="s">
        <v>35</v>
      </c>
      <c r="P1375" s="10" t="n">
        <v>103</v>
      </c>
      <c r="Q1375" s="12" t="s">
        <v>36</v>
      </c>
      <c r="R1375" s="12" t="s">
        <v>37</v>
      </c>
      <c r="S1375" s="10" t="n">
        <v>1130101</v>
      </c>
      <c r="T1375" s="12" t="s">
        <v>38</v>
      </c>
      <c r="U1375" s="13" t="n">
        <v>365.08</v>
      </c>
      <c r="W1375" s="13" t="n">
        <v>0</v>
      </c>
      <c r="X1375" s="12" t="s">
        <v>1632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46214</v>
      </c>
      <c r="C1376" s="11" t="n">
        <v>46225</v>
      </c>
      <c r="D1376" s="10" t="n">
        <v>10009</v>
      </c>
      <c r="E1376" s="12" t="s">
        <v>201</v>
      </c>
      <c r="F1376" s="10" t="n">
        <v>24</v>
      </c>
      <c r="G1376" s="12" t="s">
        <v>32</v>
      </c>
      <c r="H1376" s="10" t="n">
        <v>1110202</v>
      </c>
      <c r="I1376" s="12" t="s">
        <v>285</v>
      </c>
      <c r="J1376" s="10" t="n">
        <v>1381864</v>
      </c>
      <c r="L1376" s="10" t="n">
        <v>1425692</v>
      </c>
      <c r="M1376" s="12" t="s">
        <v>34</v>
      </c>
      <c r="N1376" s="12" t="s">
        <v>42</v>
      </c>
      <c r="P1376" s="10" t="n">
        <v>103</v>
      </c>
      <c r="Q1376" s="12" t="s">
        <v>36</v>
      </c>
      <c r="R1376" s="12" t="s">
        <v>37</v>
      </c>
      <c r="S1376" s="10" t="n">
        <v>1130101</v>
      </c>
      <c r="T1376" s="12" t="s">
        <v>38</v>
      </c>
      <c r="U1376" s="13" t="n">
        <v>1051.26</v>
      </c>
      <c r="W1376" s="13" t="n">
        <v>0</v>
      </c>
      <c r="X1376" s="12" t="s">
        <v>1633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1613</v>
      </c>
      <c r="E1377" s="12" t="s">
        <v>208</v>
      </c>
      <c r="F1377" s="10" t="n">
        <v>24</v>
      </c>
      <c r="G1377" s="12" t="s">
        <v>32</v>
      </c>
      <c r="H1377" s="10" t="n">
        <v>1110202</v>
      </c>
      <c r="I1377" s="12" t="s">
        <v>285</v>
      </c>
      <c r="J1377" s="10" t="n">
        <v>1382549</v>
      </c>
      <c r="L1377" s="10" t="n">
        <v>1605894</v>
      </c>
      <c r="M1377" s="12" t="s">
        <v>41</v>
      </c>
      <c r="N1377" s="12" t="s">
        <v>42</v>
      </c>
      <c r="P1377" s="10" t="n">
        <v>103</v>
      </c>
      <c r="Q1377" s="12" t="s">
        <v>36</v>
      </c>
      <c r="R1377" s="12" t="s">
        <v>37</v>
      </c>
      <c r="S1377" s="10" t="n">
        <v>1130101</v>
      </c>
      <c r="T1377" s="12" t="s">
        <v>38</v>
      </c>
      <c r="U1377" s="13" t="n">
        <v>3073.81</v>
      </c>
      <c r="W1377" s="13" t="n">
        <v>0</v>
      </c>
      <c r="X1377" s="12" t="s">
        <v>1634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371</v>
      </c>
      <c r="F1378" s="10" t="n">
        <v>24</v>
      </c>
      <c r="G1378" s="12" t="s">
        <v>32</v>
      </c>
      <c r="H1378" s="10" t="n">
        <v>1110202</v>
      </c>
      <c r="I1378" s="12" t="s">
        <v>285</v>
      </c>
      <c r="J1378" s="10" t="n">
        <v>1401907</v>
      </c>
      <c r="L1378" s="10" t="n">
        <v>307805</v>
      </c>
      <c r="M1378" s="12" t="s">
        <v>41</v>
      </c>
      <c r="N1378" s="12" t="s">
        <v>42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732.47</v>
      </c>
      <c r="W1378" s="13" t="n">
        <v>0</v>
      </c>
      <c r="X1378" s="12" t="s">
        <v>1635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1363</v>
      </c>
      <c r="E1379" s="12" t="s">
        <v>155</v>
      </c>
      <c r="F1379" s="10" t="n">
        <v>24</v>
      </c>
      <c r="G1379" s="12" t="s">
        <v>32</v>
      </c>
      <c r="H1379" s="10" t="n">
        <v>1110202</v>
      </c>
      <c r="I1379" s="12" t="s">
        <v>285</v>
      </c>
      <c r="J1379" s="10" t="n">
        <v>1405648</v>
      </c>
      <c r="L1379" s="10" t="n">
        <v>3550</v>
      </c>
      <c r="M1379" s="12" t="s">
        <v>41</v>
      </c>
      <c r="N1379" s="12" t="s">
        <v>42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315</v>
      </c>
      <c r="W1379" s="13" t="n">
        <v>0</v>
      </c>
      <c r="X1379" s="12" t="s">
        <v>1636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1819</v>
      </c>
      <c r="E1380" s="12" t="s">
        <v>217</v>
      </c>
      <c r="F1380" s="10" t="n">
        <v>24</v>
      </c>
      <c r="G1380" s="12" t="s">
        <v>32</v>
      </c>
      <c r="H1380" s="10" t="n">
        <v>1110202</v>
      </c>
      <c r="I1380" s="12" t="s">
        <v>285</v>
      </c>
      <c r="J1380" s="10" t="n">
        <v>1406046</v>
      </c>
      <c r="L1380" s="10" t="n">
        <v>16646</v>
      </c>
      <c r="M1380" s="12" t="s">
        <v>41</v>
      </c>
      <c r="N1380" s="12" t="s">
        <v>42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450</v>
      </c>
      <c r="W1380" s="13" t="n">
        <v>0</v>
      </c>
      <c r="X1380" s="12" t="s">
        <v>1637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46223</v>
      </c>
      <c r="C1381" s="11" t="n">
        <v>46225</v>
      </c>
      <c r="D1381" s="10" t="n">
        <v>1899</v>
      </c>
      <c r="E1381" s="12" t="s">
        <v>74</v>
      </c>
      <c r="F1381" s="10" t="n">
        <v>24</v>
      </c>
      <c r="G1381" s="12" t="s">
        <v>32</v>
      </c>
      <c r="H1381" s="10" t="n">
        <v>1110202</v>
      </c>
      <c r="I1381" s="12" t="s">
        <v>285</v>
      </c>
      <c r="J1381" s="10" t="n">
        <v>1425420</v>
      </c>
      <c r="L1381" s="10" t="n">
        <v>721</v>
      </c>
      <c r="M1381" s="12" t="s">
        <v>41</v>
      </c>
      <c r="N1381" s="12" t="s">
        <v>42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602.15</v>
      </c>
      <c r="W1381" s="13" t="n">
        <v>0</v>
      </c>
      <c r="X1381" s="12" t="s">
        <v>1638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46224</v>
      </c>
      <c r="C1382" s="11" t="n">
        <v>46225</v>
      </c>
      <c r="D1382" s="10" t="n">
        <v>33</v>
      </c>
      <c r="E1382" s="12" t="s">
        <v>70</v>
      </c>
      <c r="F1382" s="10" t="n">
        <v>34</v>
      </c>
      <c r="G1382" s="12" t="s">
        <v>71</v>
      </c>
      <c r="H1382" s="10" t="n">
        <v>2110101</v>
      </c>
      <c r="I1382" s="12" t="s">
        <v>33</v>
      </c>
      <c r="J1382" s="10" t="n">
        <v>1430734</v>
      </c>
      <c r="L1382" s="10" t="n">
        <v>5330</v>
      </c>
      <c r="M1382" s="12" t="s">
        <v>41</v>
      </c>
      <c r="N1382" s="12" t="s">
        <v>35</v>
      </c>
      <c r="P1382" s="10" t="n">
        <v>104</v>
      </c>
      <c r="Q1382" s="12" t="s">
        <v>99</v>
      </c>
      <c r="R1382" s="12" t="s">
        <v>37</v>
      </c>
      <c r="S1382" s="10" t="n">
        <v>1130101</v>
      </c>
      <c r="T1382" s="12" t="s">
        <v>38</v>
      </c>
      <c r="U1382" s="13" t="n">
        <v>1529</v>
      </c>
      <c r="W1382" s="13" t="n">
        <v>0</v>
      </c>
      <c r="X1382" s="12" t="s">
        <v>220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5" t="n">
        <v>46225</v>
      </c>
      <c r="D1383" s="16" t="n">
        <v>1615</v>
      </c>
      <c r="E1383" s="1" t="s">
        <v>221</v>
      </c>
      <c r="F1383" s="16" t="n">
        <v>34</v>
      </c>
      <c r="G1383" s="1" t="s">
        <v>71</v>
      </c>
      <c r="H1383" s="16" t="n">
        <v>2110101</v>
      </c>
      <c r="I1383" s="1" t="s">
        <v>33</v>
      </c>
      <c r="J1383" s="16" t="n">
        <v>1430810</v>
      </c>
      <c r="L1383" s="16" t="n">
        <v>14911</v>
      </c>
      <c r="M1383" s="1" t="s">
        <v>41</v>
      </c>
      <c r="N1383" s="1" t="s">
        <v>35</v>
      </c>
      <c r="P1383" s="16" t="n">
        <v>104</v>
      </c>
      <c r="Q1383" s="1" t="s">
        <v>99</v>
      </c>
      <c r="R1383" s="1" t="s">
        <v>37</v>
      </c>
      <c r="S1383" s="16" t="n">
        <v>1130101</v>
      </c>
      <c r="T1383" s="1" t="s">
        <v>38</v>
      </c>
      <c r="U1383" s="17" t="n">
        <v>850</v>
      </c>
      <c r="W1383" s="17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46224</v>
      </c>
      <c r="C1384" s="15" t="n">
        <v>46225</v>
      </c>
      <c r="D1384" s="16" t="n">
        <v>33</v>
      </c>
      <c r="E1384" s="1" t="s">
        <v>70</v>
      </c>
      <c r="F1384" s="16" t="n">
        <v>34</v>
      </c>
      <c r="G1384" s="1" t="s">
        <v>71</v>
      </c>
      <c r="H1384" s="16" t="n">
        <v>2110101</v>
      </c>
      <c r="I1384" s="1" t="s">
        <v>33</v>
      </c>
      <c r="J1384" s="16" t="n">
        <v>1430952</v>
      </c>
      <c r="K1384" s="19"/>
      <c r="L1384" s="16" t="n">
        <v>589447</v>
      </c>
      <c r="M1384" s="1" t="s">
        <v>41</v>
      </c>
      <c r="N1384" s="1" t="s">
        <v>42</v>
      </c>
      <c r="P1384" s="16" t="n">
        <v>104</v>
      </c>
      <c r="Q1384" s="1" t="s">
        <v>99</v>
      </c>
      <c r="R1384" s="1" t="s">
        <v>37</v>
      </c>
      <c r="S1384" s="16" t="n">
        <v>1130101</v>
      </c>
      <c r="T1384" s="1" t="s">
        <v>38</v>
      </c>
      <c r="U1384" s="17" t="n">
        <v>70</v>
      </c>
      <c r="V1384" s="20"/>
      <c r="W1384" s="17" t="n">
        <v>0</v>
      </c>
      <c r="X1384" s="1" t="s">
        <v>1640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46225</v>
      </c>
      <c r="C1385" s="15" t="n">
        <v>46225</v>
      </c>
      <c r="D1385" s="16" t="n">
        <v>1961</v>
      </c>
      <c r="E1385" s="1" t="s">
        <v>1014</v>
      </c>
      <c r="F1385" s="16" t="n">
        <v>34</v>
      </c>
      <c r="G1385" s="1" t="s">
        <v>71</v>
      </c>
      <c r="H1385" s="16" t="n">
        <v>1110202</v>
      </c>
      <c r="I1385" s="1" t="s">
        <v>285</v>
      </c>
      <c r="J1385" s="16" t="n">
        <v>1448545</v>
      </c>
      <c r="L1385" s="16" t="n">
        <v>595964</v>
      </c>
      <c r="M1385" s="1" t="s">
        <v>41</v>
      </c>
      <c r="N1385" s="1" t="s">
        <v>42</v>
      </c>
      <c r="P1385" s="16" t="n">
        <v>102</v>
      </c>
      <c r="Q1385" s="1" t="s">
        <v>107</v>
      </c>
      <c r="R1385" s="1" t="s">
        <v>85</v>
      </c>
      <c r="S1385" s="16" t="n">
        <v>4210310</v>
      </c>
      <c r="T1385" s="1" t="s">
        <v>1015</v>
      </c>
      <c r="U1385" s="17" t="n">
        <v>360</v>
      </c>
      <c r="W1385" s="17" t="n">
        <v>0</v>
      </c>
      <c r="X1385" s="1" t="s">
        <v>1641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46126</v>
      </c>
      <c r="C1386" s="15" t="n">
        <v>46226</v>
      </c>
      <c r="D1386" s="16" t="n">
        <v>17</v>
      </c>
      <c r="E1386" s="1" t="s">
        <v>94</v>
      </c>
      <c r="F1386" s="16" t="n">
        <v>24</v>
      </c>
      <c r="G1386" s="1" t="s">
        <v>32</v>
      </c>
      <c r="H1386" s="16" t="n">
        <v>2110405</v>
      </c>
      <c r="I1386" s="1" t="s">
        <v>83</v>
      </c>
      <c r="J1386" s="16" t="n">
        <v>950724</v>
      </c>
      <c r="L1386" s="16" t="n">
        <v>403362</v>
      </c>
      <c r="M1386" s="1" t="s">
        <v>394</v>
      </c>
      <c r="N1386" s="1" t="s">
        <v>42</v>
      </c>
      <c r="P1386" s="16" t="n">
        <v>101</v>
      </c>
      <c r="Q1386" s="1" t="s">
        <v>84</v>
      </c>
      <c r="R1386" s="1" t="s">
        <v>91</v>
      </c>
      <c r="S1386" s="16" t="n">
        <v>4220199</v>
      </c>
      <c r="T1386" s="1" t="s">
        <v>92</v>
      </c>
      <c r="U1386" s="17" t="n">
        <v>2720.81</v>
      </c>
      <c r="W1386" s="17" t="n">
        <v>0</v>
      </c>
      <c r="X1386" s="1" t="s">
        <v>1642</v>
      </c>
      <c r="Z1386" s="1" t="str">
        <f aca="false">IF($T1386="","",IFERROR(INDEX('Resumo Grupos'!$AC$3:$AC$200,MATCH($T1386,'Resumo Grupos'!$AB$3:$AB$200,0)),"n/d"))</f>
        <v>Pagamentos outros não operacionais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46189</v>
      </c>
      <c r="C1387" s="15" t="n">
        <v>46226</v>
      </c>
      <c r="D1387" s="16" t="n">
        <v>10012</v>
      </c>
      <c r="E1387" s="1" t="s">
        <v>204</v>
      </c>
      <c r="F1387" s="16" t="n">
        <v>24</v>
      </c>
      <c r="G1387" s="1" t="s">
        <v>32</v>
      </c>
      <c r="H1387" s="16" t="n">
        <v>2110101</v>
      </c>
      <c r="I1387" s="1" t="s">
        <v>33</v>
      </c>
      <c r="J1387" s="16" t="n">
        <v>1261364</v>
      </c>
      <c r="L1387" s="16" t="n">
        <v>1957890</v>
      </c>
      <c r="M1387" s="1" t="s">
        <v>394</v>
      </c>
      <c r="N1387" s="1" t="s">
        <v>35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3937.78</v>
      </c>
      <c r="W1387" s="17" t="n">
        <v>0</v>
      </c>
      <c r="X1387" s="1" t="s">
        <v>1643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46197</v>
      </c>
      <c r="C1388" s="15" t="n">
        <v>46226</v>
      </c>
      <c r="D1388" s="16" t="n">
        <v>1608</v>
      </c>
      <c r="E1388" s="1" t="s">
        <v>51</v>
      </c>
      <c r="F1388" s="16" t="n">
        <v>24</v>
      </c>
      <c r="G1388" s="1" t="s">
        <v>32</v>
      </c>
      <c r="H1388" s="16" t="n">
        <v>2110101</v>
      </c>
      <c r="I1388" s="1" t="s">
        <v>33</v>
      </c>
      <c r="J1388" s="16" t="n">
        <v>1299280</v>
      </c>
      <c r="L1388" s="16" t="n">
        <v>1680082</v>
      </c>
      <c r="M1388" s="1" t="s">
        <v>34</v>
      </c>
      <c r="N1388" s="1" t="s">
        <v>35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1310.04</v>
      </c>
      <c r="W1388" s="17" t="n">
        <v>0</v>
      </c>
      <c r="X1388" s="1" t="s">
        <v>1644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46198</v>
      </c>
      <c r="C1389" s="15" t="n">
        <v>46226</v>
      </c>
      <c r="D1389" s="16" t="n">
        <v>1626</v>
      </c>
      <c r="E1389" s="1" t="s">
        <v>40</v>
      </c>
      <c r="F1389" s="16" t="n">
        <v>24</v>
      </c>
      <c r="G1389" s="1" t="s">
        <v>32</v>
      </c>
      <c r="H1389" s="16" t="n">
        <v>2110101</v>
      </c>
      <c r="I1389" s="1" t="s">
        <v>33</v>
      </c>
      <c r="J1389" s="16" t="n">
        <v>1305846</v>
      </c>
      <c r="L1389" s="16" t="n">
        <v>311084</v>
      </c>
      <c r="M1389" s="1" t="s">
        <v>128</v>
      </c>
      <c r="N1389" s="1" t="s">
        <v>35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2048.68</v>
      </c>
      <c r="W1389" s="17" t="n">
        <v>0</v>
      </c>
      <c r="X1389" s="1" t="s">
        <v>1645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46199</v>
      </c>
      <c r="C1390" s="15" t="n">
        <v>46226</v>
      </c>
      <c r="D1390" s="16" t="n">
        <v>10017</v>
      </c>
      <c r="E1390" s="1" t="s">
        <v>753</v>
      </c>
      <c r="F1390" s="16" t="n">
        <v>24</v>
      </c>
      <c r="G1390" s="1" t="s">
        <v>32</v>
      </c>
      <c r="H1390" s="16" t="n">
        <v>2110101</v>
      </c>
      <c r="I1390" s="1" t="s">
        <v>33</v>
      </c>
      <c r="J1390" s="16" t="n">
        <v>1310224</v>
      </c>
      <c r="L1390" s="16" t="n">
        <v>193797</v>
      </c>
      <c r="M1390" s="1" t="s">
        <v>128</v>
      </c>
      <c r="N1390" s="1" t="s">
        <v>35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1024.54</v>
      </c>
      <c r="W1390" s="17" t="n">
        <v>0</v>
      </c>
      <c r="X1390" s="1" t="s">
        <v>1646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46202</v>
      </c>
      <c r="C1391" s="15" t="n">
        <v>46226</v>
      </c>
      <c r="D1391" s="16" t="n">
        <v>1740</v>
      </c>
      <c r="E1391" s="1" t="s">
        <v>258</v>
      </c>
      <c r="F1391" s="16" t="n">
        <v>24</v>
      </c>
      <c r="G1391" s="1" t="s">
        <v>32</v>
      </c>
      <c r="H1391" s="16" t="n">
        <v>2110101</v>
      </c>
      <c r="I1391" s="1" t="s">
        <v>33</v>
      </c>
      <c r="J1391" s="16" t="n">
        <v>1325622</v>
      </c>
      <c r="L1391" s="16" t="n">
        <v>1240896</v>
      </c>
      <c r="M1391" s="1" t="s">
        <v>34</v>
      </c>
      <c r="N1391" s="1" t="s">
        <v>35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983.78</v>
      </c>
      <c r="W1391" s="17" t="n">
        <v>0</v>
      </c>
      <c r="X1391" s="1" t="s">
        <v>1647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46205</v>
      </c>
      <c r="C1392" s="15" t="n">
        <v>46226</v>
      </c>
      <c r="D1392" s="16" t="n">
        <v>1740</v>
      </c>
      <c r="E1392" s="1" t="s">
        <v>258</v>
      </c>
      <c r="F1392" s="16" t="n">
        <v>24</v>
      </c>
      <c r="G1392" s="1" t="s">
        <v>32</v>
      </c>
      <c r="H1392" s="16" t="n">
        <v>2110101</v>
      </c>
      <c r="I1392" s="1" t="s">
        <v>33</v>
      </c>
      <c r="J1392" s="16" t="n">
        <v>1340464</v>
      </c>
      <c r="L1392" s="16" t="n">
        <v>1243403</v>
      </c>
      <c r="M1392" s="1" t="s">
        <v>41</v>
      </c>
      <c r="N1392" s="1" t="s">
        <v>35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972.3</v>
      </c>
      <c r="W1392" s="17" t="n">
        <v>0</v>
      </c>
      <c r="X1392" s="1" t="s">
        <v>1648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46205</v>
      </c>
      <c r="C1393" s="15" t="n">
        <v>46226</v>
      </c>
      <c r="D1393" s="16" t="n">
        <v>1667</v>
      </c>
      <c r="E1393" s="1" t="s">
        <v>40</v>
      </c>
      <c r="F1393" s="16" t="n">
        <v>24</v>
      </c>
      <c r="G1393" s="1" t="s">
        <v>32</v>
      </c>
      <c r="H1393" s="16" t="n">
        <v>2110101</v>
      </c>
      <c r="I1393" s="1" t="s">
        <v>33</v>
      </c>
      <c r="J1393" s="16" t="n">
        <v>1341509</v>
      </c>
      <c r="L1393" s="16" t="n">
        <v>396010</v>
      </c>
      <c r="M1393" s="1" t="s">
        <v>41</v>
      </c>
      <c r="N1393" s="1" t="s">
        <v>35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917.86</v>
      </c>
      <c r="W1393" s="17" t="n">
        <v>0</v>
      </c>
      <c r="X1393" s="1" t="s">
        <v>1649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46212</v>
      </c>
      <c r="C1394" s="15" t="n">
        <v>46226</v>
      </c>
      <c r="D1394" s="16" t="n">
        <v>1670</v>
      </c>
      <c r="E1394" s="1" t="s">
        <v>661</v>
      </c>
      <c r="F1394" s="16" t="n">
        <v>24</v>
      </c>
      <c r="G1394" s="1" t="s">
        <v>32</v>
      </c>
      <c r="H1394" s="16" t="n">
        <v>1110202</v>
      </c>
      <c r="I1394" s="1" t="s">
        <v>285</v>
      </c>
      <c r="J1394" s="16" t="n">
        <v>1374363</v>
      </c>
      <c r="L1394" s="16" t="n">
        <v>271007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478</v>
      </c>
      <c r="W1394" s="17" t="n">
        <v>0</v>
      </c>
      <c r="X1394" s="1" t="s">
        <v>1650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46213</v>
      </c>
      <c r="C1395" s="15" t="n">
        <v>46226</v>
      </c>
      <c r="D1395" s="16" t="n">
        <v>1626</v>
      </c>
      <c r="E1395" s="1" t="s">
        <v>40</v>
      </c>
      <c r="F1395" s="16" t="n">
        <v>24</v>
      </c>
      <c r="G1395" s="1" t="s">
        <v>32</v>
      </c>
      <c r="H1395" s="16" t="n">
        <v>2110405</v>
      </c>
      <c r="I1395" s="1" t="s">
        <v>83</v>
      </c>
      <c r="J1395" s="16" t="n">
        <v>1376626</v>
      </c>
      <c r="L1395" s="16" t="n">
        <v>312590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1643.76</v>
      </c>
      <c r="W1395" s="17" t="n">
        <v>0</v>
      </c>
      <c r="X1395" s="1" t="s">
        <v>1651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46213</v>
      </c>
      <c r="C1396" s="15" t="n">
        <v>46226</v>
      </c>
      <c r="D1396" s="16" t="n">
        <v>1666</v>
      </c>
      <c r="E1396" s="1" t="s">
        <v>31</v>
      </c>
      <c r="F1396" s="16" t="n">
        <v>24</v>
      </c>
      <c r="G1396" s="1" t="s">
        <v>32</v>
      </c>
      <c r="H1396" s="16" t="n">
        <v>1110202</v>
      </c>
      <c r="I1396" s="1" t="s">
        <v>285</v>
      </c>
      <c r="J1396" s="16" t="n">
        <v>1376753</v>
      </c>
      <c r="L1396" s="16" t="n">
        <v>566298</v>
      </c>
      <c r="M1396" s="1" t="s">
        <v>34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5877.9</v>
      </c>
      <c r="W1396" s="17" t="n">
        <v>0</v>
      </c>
      <c r="X1396" s="1" t="s">
        <v>1652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46214</v>
      </c>
      <c r="C1397" s="15" t="n">
        <v>46226</v>
      </c>
      <c r="D1397" s="16" t="n">
        <v>1114</v>
      </c>
      <c r="E1397" s="1" t="s">
        <v>144</v>
      </c>
      <c r="F1397" s="16" t="n">
        <v>24</v>
      </c>
      <c r="G1397" s="1" t="s">
        <v>32</v>
      </c>
      <c r="H1397" s="16" t="n">
        <v>1110202</v>
      </c>
      <c r="I1397" s="1" t="s">
        <v>285</v>
      </c>
      <c r="J1397" s="16" t="n">
        <v>1382512</v>
      </c>
      <c r="L1397" s="16" t="n">
        <v>40749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4978.85</v>
      </c>
      <c r="W1397" s="17" t="n">
        <v>0</v>
      </c>
      <c r="X1397" s="1" t="s">
        <v>1653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46219</v>
      </c>
      <c r="C1398" s="15" t="n">
        <v>46226</v>
      </c>
      <c r="D1398" s="16" t="n">
        <v>1614</v>
      </c>
      <c r="E1398" s="1" t="s">
        <v>66</v>
      </c>
      <c r="F1398" s="16" t="n">
        <v>24</v>
      </c>
      <c r="G1398" s="1" t="s">
        <v>32</v>
      </c>
      <c r="H1398" s="16" t="n">
        <v>1110202</v>
      </c>
      <c r="I1398" s="1" t="s">
        <v>285</v>
      </c>
      <c r="J1398" s="16" t="n">
        <v>1407883</v>
      </c>
      <c r="L1398" s="16" t="n">
        <v>11430</v>
      </c>
      <c r="M1398" s="1" t="s">
        <v>34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417.42</v>
      </c>
      <c r="W1398" s="17" t="n">
        <v>0</v>
      </c>
      <c r="X1398" s="1" t="s">
        <v>1654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46220</v>
      </c>
      <c r="C1399" s="15" t="n">
        <v>46226</v>
      </c>
      <c r="D1399" s="16" t="n">
        <v>1024</v>
      </c>
      <c r="E1399" s="1" t="s">
        <v>688</v>
      </c>
      <c r="F1399" s="16" t="n">
        <v>24</v>
      </c>
      <c r="G1399" s="1" t="s">
        <v>32</v>
      </c>
      <c r="H1399" s="16" t="n">
        <v>1110202</v>
      </c>
      <c r="I1399" s="1" t="s">
        <v>285</v>
      </c>
      <c r="J1399" s="16" t="n">
        <v>1410444</v>
      </c>
      <c r="L1399" s="16" t="n">
        <v>604178</v>
      </c>
      <c r="M1399" s="1" t="s">
        <v>41</v>
      </c>
      <c r="N1399" s="1" t="s">
        <v>42</v>
      </c>
      <c r="P1399" s="16" t="n">
        <v>103</v>
      </c>
      <c r="Q1399" s="1" t="s">
        <v>36</v>
      </c>
      <c r="R1399" s="1" t="s">
        <v>37</v>
      </c>
      <c r="S1399" s="16" t="n">
        <v>1130101</v>
      </c>
      <c r="T1399" s="1" t="s">
        <v>38</v>
      </c>
      <c r="U1399" s="17" t="n">
        <v>704</v>
      </c>
      <c r="W1399" s="17" t="n">
        <v>0</v>
      </c>
      <c r="X1399" s="1" t="s">
        <v>1655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46221</v>
      </c>
      <c r="C1400" s="15" t="n">
        <v>46226</v>
      </c>
      <c r="D1400" s="16" t="n">
        <v>1625</v>
      </c>
      <c r="E1400" s="1" t="s">
        <v>211</v>
      </c>
      <c r="F1400" s="16" t="n">
        <v>24</v>
      </c>
      <c r="G1400" s="1" t="s">
        <v>32</v>
      </c>
      <c r="H1400" s="16" t="n">
        <v>1110202</v>
      </c>
      <c r="I1400" s="1" t="s">
        <v>285</v>
      </c>
      <c r="J1400" s="16" t="n">
        <v>1415314</v>
      </c>
      <c r="L1400" s="16" t="n">
        <v>14727</v>
      </c>
      <c r="M1400" s="1" t="s">
        <v>41</v>
      </c>
      <c r="N1400" s="1" t="s">
        <v>42</v>
      </c>
      <c r="P1400" s="16" t="n">
        <v>103</v>
      </c>
      <c r="Q1400" s="1" t="s">
        <v>36</v>
      </c>
      <c r="R1400" s="1" t="s">
        <v>37</v>
      </c>
      <c r="S1400" s="16" t="n">
        <v>1130101</v>
      </c>
      <c r="T1400" s="1" t="s">
        <v>38</v>
      </c>
      <c r="U1400" s="17" t="n">
        <v>6254.1</v>
      </c>
      <c r="W1400" s="17" t="n">
        <v>0</v>
      </c>
      <c r="X1400" s="1" t="s">
        <v>1656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46223</v>
      </c>
      <c r="C1401" s="15" t="n">
        <v>46226</v>
      </c>
      <c r="D1401" s="16" t="n">
        <v>1614</v>
      </c>
      <c r="E1401" s="1" t="s">
        <v>66</v>
      </c>
      <c r="F1401" s="16" t="n">
        <v>24</v>
      </c>
      <c r="G1401" s="1" t="s">
        <v>32</v>
      </c>
      <c r="H1401" s="16" t="n">
        <v>1110202</v>
      </c>
      <c r="I1401" s="1" t="s">
        <v>285</v>
      </c>
      <c r="J1401" s="16" t="n">
        <v>1424878</v>
      </c>
      <c r="L1401" s="16" t="n">
        <v>11447</v>
      </c>
      <c r="M1401" s="1" t="s">
        <v>41</v>
      </c>
      <c r="N1401" s="1" t="s">
        <v>42</v>
      </c>
      <c r="P1401" s="16" t="n">
        <v>103</v>
      </c>
      <c r="Q1401" s="1" t="s">
        <v>36</v>
      </c>
      <c r="R1401" s="1" t="s">
        <v>37</v>
      </c>
      <c r="S1401" s="16" t="n">
        <v>1130101</v>
      </c>
      <c r="T1401" s="1" t="s">
        <v>38</v>
      </c>
      <c r="U1401" s="17" t="n">
        <v>624.28</v>
      </c>
      <c r="W1401" s="17" t="n">
        <v>0</v>
      </c>
      <c r="X1401" s="1" t="s">
        <v>1657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46224</v>
      </c>
      <c r="C1402" s="15" t="n">
        <v>46226</v>
      </c>
      <c r="D1402" s="16" t="n">
        <v>1899</v>
      </c>
      <c r="E1402" s="1" t="s">
        <v>74</v>
      </c>
      <c r="F1402" s="16" t="n">
        <v>24</v>
      </c>
      <c r="G1402" s="1" t="s">
        <v>32</v>
      </c>
      <c r="H1402" s="16" t="n">
        <v>1110202</v>
      </c>
      <c r="I1402" s="1" t="s">
        <v>285</v>
      </c>
      <c r="J1402" s="16" t="n">
        <v>1427755</v>
      </c>
      <c r="L1402" s="16" t="n">
        <v>723</v>
      </c>
      <c r="M1402" s="1" t="s">
        <v>41</v>
      </c>
      <c r="N1402" s="1" t="s">
        <v>42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149.85</v>
      </c>
      <c r="W1402" s="17" t="n">
        <v>0</v>
      </c>
      <c r="X1402" s="1" t="s">
        <v>1658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46224</v>
      </c>
      <c r="C1403" s="15" t="n">
        <v>46226</v>
      </c>
      <c r="D1403" s="16" t="n">
        <v>1286</v>
      </c>
      <c r="E1403" s="1" t="s">
        <v>319</v>
      </c>
      <c r="F1403" s="16" t="n">
        <v>24</v>
      </c>
      <c r="G1403" s="1" t="s">
        <v>32</v>
      </c>
      <c r="H1403" s="16" t="n">
        <v>1110202</v>
      </c>
      <c r="I1403" s="1" t="s">
        <v>285</v>
      </c>
      <c r="J1403" s="16" t="n">
        <v>1427791</v>
      </c>
      <c r="L1403" s="16" t="n">
        <v>10334</v>
      </c>
      <c r="M1403" s="1" t="s">
        <v>41</v>
      </c>
      <c r="N1403" s="1" t="s">
        <v>42</v>
      </c>
      <c r="P1403" s="16" t="n">
        <v>103</v>
      </c>
      <c r="Q1403" s="1" t="s">
        <v>36</v>
      </c>
      <c r="R1403" s="1" t="s">
        <v>37</v>
      </c>
      <c r="S1403" s="16" t="n">
        <v>1130101</v>
      </c>
      <c r="T1403" s="1" t="s">
        <v>38</v>
      </c>
      <c r="U1403" s="17" t="n">
        <v>972</v>
      </c>
      <c r="W1403" s="17" t="n">
        <v>0</v>
      </c>
      <c r="X1403" s="1" t="s">
        <v>1659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46224</v>
      </c>
      <c r="C1404" s="15" t="n">
        <v>46226</v>
      </c>
      <c r="D1404" s="16" t="n">
        <v>581</v>
      </c>
      <c r="E1404" s="1" t="s">
        <v>278</v>
      </c>
      <c r="F1404" s="16" t="n">
        <v>24</v>
      </c>
      <c r="G1404" s="1" t="s">
        <v>32</v>
      </c>
      <c r="H1404" s="16" t="n">
        <v>1110202</v>
      </c>
      <c r="I1404" s="1" t="s">
        <v>285</v>
      </c>
      <c r="J1404" s="16" t="n">
        <v>1427827</v>
      </c>
      <c r="L1404" s="16" t="n">
        <v>31493</v>
      </c>
      <c r="M1404" s="1" t="s">
        <v>41</v>
      </c>
      <c r="N1404" s="1" t="s">
        <v>42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233.5</v>
      </c>
      <c r="W1404" s="17" t="n">
        <v>0</v>
      </c>
      <c r="X1404" s="1" t="s">
        <v>1660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46224</v>
      </c>
      <c r="C1405" s="15" t="n">
        <v>46226</v>
      </c>
      <c r="D1405" s="16" t="n">
        <v>642</v>
      </c>
      <c r="E1405" s="1" t="s">
        <v>161</v>
      </c>
      <c r="F1405" s="16" t="n">
        <v>24</v>
      </c>
      <c r="G1405" s="1" t="s">
        <v>32</v>
      </c>
      <c r="H1405" s="16" t="n">
        <v>1110202</v>
      </c>
      <c r="I1405" s="1" t="s">
        <v>285</v>
      </c>
      <c r="J1405" s="16" t="n">
        <v>1430906</v>
      </c>
      <c r="L1405" s="16" t="n">
        <v>539</v>
      </c>
      <c r="M1405" s="1" t="s">
        <v>41</v>
      </c>
      <c r="N1405" s="1" t="s">
        <v>42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480</v>
      </c>
      <c r="W1405" s="17" t="n">
        <v>0</v>
      </c>
      <c r="X1405" s="1" t="s">
        <v>1661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46225</v>
      </c>
      <c r="C1406" s="15" t="n">
        <v>46226</v>
      </c>
      <c r="D1406" s="16" t="n">
        <v>10009</v>
      </c>
      <c r="E1406" s="1" t="s">
        <v>201</v>
      </c>
      <c r="F1406" s="16" t="n">
        <v>24</v>
      </c>
      <c r="G1406" s="1" t="s">
        <v>32</v>
      </c>
      <c r="H1406" s="16" t="n">
        <v>2110405</v>
      </c>
      <c r="I1406" s="1" t="s">
        <v>83</v>
      </c>
      <c r="J1406" s="16" t="n">
        <v>1434102</v>
      </c>
      <c r="L1406" s="16" t="n">
        <v>1428642</v>
      </c>
      <c r="M1406" s="1" t="s">
        <v>41</v>
      </c>
      <c r="N1406" s="1" t="s">
        <v>42</v>
      </c>
      <c r="P1406" s="16" t="n">
        <v>103</v>
      </c>
      <c r="Q1406" s="1" t="s">
        <v>36</v>
      </c>
      <c r="R1406" s="1" t="s">
        <v>37</v>
      </c>
      <c r="S1406" s="16" t="n">
        <v>1130101</v>
      </c>
      <c r="T1406" s="1" t="s">
        <v>38</v>
      </c>
      <c r="U1406" s="17" t="n">
        <v>986.86</v>
      </c>
      <c r="W1406" s="17" t="n">
        <v>0</v>
      </c>
      <c r="X1406" s="1" t="s">
        <v>1662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46225</v>
      </c>
      <c r="C1407" s="15" t="n">
        <v>46226</v>
      </c>
      <c r="D1407" s="16" t="n">
        <v>1899</v>
      </c>
      <c r="E1407" s="1" t="s">
        <v>74</v>
      </c>
      <c r="F1407" s="16" t="n">
        <v>24</v>
      </c>
      <c r="G1407" s="1" t="s">
        <v>32</v>
      </c>
      <c r="H1407" s="16" t="n">
        <v>1110202</v>
      </c>
      <c r="I1407" s="1" t="s">
        <v>285</v>
      </c>
      <c r="J1407" s="16" t="n">
        <v>1435818</v>
      </c>
      <c r="L1407" s="16" t="n">
        <v>722</v>
      </c>
      <c r="M1407" s="1" t="s">
        <v>41</v>
      </c>
      <c r="N1407" s="1" t="s">
        <v>42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501.9</v>
      </c>
      <c r="W1407" s="17" t="n">
        <v>0</v>
      </c>
      <c r="X1407" s="1" t="s">
        <v>1663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46226</v>
      </c>
      <c r="C1408" s="15" t="n">
        <v>46226</v>
      </c>
      <c r="D1408" s="16" t="n">
        <v>1936</v>
      </c>
      <c r="E1408" s="1" t="s">
        <v>1075</v>
      </c>
      <c r="F1408" s="16" t="n">
        <v>24</v>
      </c>
      <c r="G1408" s="1" t="s">
        <v>32</v>
      </c>
      <c r="H1408" s="16" t="n">
        <v>1110202</v>
      </c>
      <c r="I1408" s="1" t="s">
        <v>285</v>
      </c>
      <c r="J1408" s="16" t="n">
        <v>1439362</v>
      </c>
      <c r="L1408" s="16" t="n">
        <v>592404</v>
      </c>
      <c r="M1408" s="1" t="s">
        <v>41</v>
      </c>
      <c r="N1408" s="1" t="s">
        <v>42</v>
      </c>
      <c r="P1408" s="16" t="n">
        <v>101</v>
      </c>
      <c r="Q1408" s="1" t="s">
        <v>84</v>
      </c>
      <c r="R1408" s="1" t="s">
        <v>37</v>
      </c>
      <c r="S1408" s="16" t="n">
        <v>1130101</v>
      </c>
      <c r="T1408" s="1" t="s">
        <v>38</v>
      </c>
      <c r="U1408" s="17" t="n">
        <v>55.95</v>
      </c>
      <c r="W1408" s="17" t="n">
        <v>0</v>
      </c>
      <c r="X1408" s="1" t="s">
        <v>1664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46226</v>
      </c>
      <c r="C1409" s="15" t="n">
        <v>46226</v>
      </c>
      <c r="D1409" s="16" t="n">
        <v>1936</v>
      </c>
      <c r="E1409" s="1" t="s">
        <v>1075</v>
      </c>
      <c r="F1409" s="16" t="n">
        <v>24</v>
      </c>
      <c r="G1409" s="1" t="s">
        <v>32</v>
      </c>
      <c r="H1409" s="16" t="n">
        <v>1110202</v>
      </c>
      <c r="I1409" s="1" t="s">
        <v>285</v>
      </c>
      <c r="J1409" s="16" t="n">
        <v>1439371</v>
      </c>
      <c r="L1409" s="16" t="n">
        <v>592407</v>
      </c>
      <c r="M1409" s="1" t="s">
        <v>41</v>
      </c>
      <c r="N1409" s="1" t="s">
        <v>42</v>
      </c>
      <c r="P1409" s="16" t="n">
        <v>101</v>
      </c>
      <c r="Q1409" s="1" t="s">
        <v>84</v>
      </c>
      <c r="R1409" s="1" t="s">
        <v>37</v>
      </c>
      <c r="S1409" s="16" t="n">
        <v>1130101</v>
      </c>
      <c r="T1409" s="1" t="s">
        <v>38</v>
      </c>
      <c r="U1409" s="17" t="n">
        <v>421.5</v>
      </c>
      <c r="W1409" s="17" t="n">
        <v>0</v>
      </c>
      <c r="X1409" s="1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46226</v>
      </c>
      <c r="C1410" s="15" t="n">
        <v>46226</v>
      </c>
      <c r="D1410" s="16" t="n">
        <v>10096</v>
      </c>
      <c r="E1410" s="1" t="s">
        <v>1496</v>
      </c>
      <c r="F1410" s="16" t="n">
        <v>13</v>
      </c>
      <c r="G1410" s="1" t="s">
        <v>98</v>
      </c>
      <c r="H1410" s="16" t="n">
        <v>2110101</v>
      </c>
      <c r="I1410" s="1" t="s">
        <v>33</v>
      </c>
      <c r="J1410" s="16" t="n">
        <v>1440378</v>
      </c>
      <c r="L1410" s="16" t="n">
        <v>71</v>
      </c>
      <c r="M1410" s="1" t="s">
        <v>41</v>
      </c>
      <c r="N1410" s="1" t="s">
        <v>35</v>
      </c>
      <c r="P1410" s="16" t="n">
        <v>104</v>
      </c>
      <c r="Q1410" s="1" t="s">
        <v>99</v>
      </c>
      <c r="R1410" s="1" t="s">
        <v>37</v>
      </c>
      <c r="S1410" s="16" t="n">
        <v>1130101</v>
      </c>
      <c r="T1410" s="1" t="s">
        <v>38</v>
      </c>
      <c r="U1410" s="17" t="n">
        <v>420</v>
      </c>
      <c r="W1410" s="17" t="n">
        <v>0</v>
      </c>
      <c r="X1410" s="1" t="s">
        <v>1665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46172</v>
      </c>
      <c r="C1411" s="15" t="n">
        <v>46227</v>
      </c>
      <c r="D1411" s="16" t="n">
        <v>607</v>
      </c>
      <c r="E1411" s="1" t="s">
        <v>182</v>
      </c>
      <c r="F1411" s="16" t="n">
        <v>24</v>
      </c>
      <c r="G1411" s="1" t="s">
        <v>32</v>
      </c>
      <c r="H1411" s="16" t="n">
        <v>2110101</v>
      </c>
      <c r="I1411" s="1" t="s">
        <v>33</v>
      </c>
      <c r="J1411" s="16" t="n">
        <v>1177249</v>
      </c>
      <c r="L1411" s="16" t="n">
        <v>10589</v>
      </c>
      <c r="M1411" s="1" t="s">
        <v>234</v>
      </c>
      <c r="N1411" s="1" t="s">
        <v>35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1060.88</v>
      </c>
      <c r="W1411" s="17" t="n">
        <v>0</v>
      </c>
      <c r="X1411" s="1" t="s">
        <v>1666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46203</v>
      </c>
      <c r="C1412" s="15" t="n">
        <v>46227</v>
      </c>
      <c r="D1412" s="16" t="n">
        <v>794</v>
      </c>
      <c r="E1412" s="1" t="s">
        <v>325</v>
      </c>
      <c r="F1412" s="16" t="n">
        <v>24</v>
      </c>
      <c r="G1412" s="1" t="s">
        <v>32</v>
      </c>
      <c r="H1412" s="16" t="n">
        <v>2110101</v>
      </c>
      <c r="I1412" s="1" t="s">
        <v>33</v>
      </c>
      <c r="J1412" s="16" t="n">
        <v>1330337</v>
      </c>
      <c r="L1412" s="16" t="n">
        <v>8208</v>
      </c>
      <c r="M1412" s="1" t="s">
        <v>128</v>
      </c>
      <c r="N1412" s="1" t="s">
        <v>35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526.88</v>
      </c>
      <c r="W1412" s="17" t="n">
        <v>0</v>
      </c>
      <c r="X1412" s="1" t="s">
        <v>1667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46198</v>
      </c>
      <c r="C1413" s="15" t="n">
        <v>46227</v>
      </c>
      <c r="D1413" s="16" t="n">
        <v>536</v>
      </c>
      <c r="E1413" s="1" t="s">
        <v>832</v>
      </c>
      <c r="F1413" s="16" t="n">
        <v>24</v>
      </c>
      <c r="G1413" s="1" t="s">
        <v>32</v>
      </c>
      <c r="H1413" s="16" t="n">
        <v>2110405</v>
      </c>
      <c r="I1413" s="1" t="s">
        <v>83</v>
      </c>
      <c r="J1413" s="16" t="n">
        <v>847424</v>
      </c>
      <c r="L1413" s="16" t="n">
        <v>363545</v>
      </c>
      <c r="M1413" s="1" t="s">
        <v>234</v>
      </c>
      <c r="N1413" s="1" t="s">
        <v>42</v>
      </c>
      <c r="P1413" s="16" t="n">
        <v>102</v>
      </c>
      <c r="Q1413" s="1" t="s">
        <v>107</v>
      </c>
      <c r="R1413" s="1" t="s">
        <v>60</v>
      </c>
      <c r="S1413" s="16" t="n">
        <v>4210227</v>
      </c>
      <c r="T1413" s="1" t="s">
        <v>418</v>
      </c>
      <c r="U1413" s="17" t="n">
        <v>1001.34</v>
      </c>
      <c r="W1413" s="17" t="n">
        <v>0</v>
      </c>
      <c r="X1413" s="1" t="s">
        <v>833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46202</v>
      </c>
      <c r="C1414" s="15" t="n">
        <v>46227</v>
      </c>
      <c r="D1414" s="16" t="n">
        <v>1740</v>
      </c>
      <c r="E1414" s="1" t="s">
        <v>258</v>
      </c>
      <c r="F1414" s="16" t="n">
        <v>24</v>
      </c>
      <c r="G1414" s="1" t="s">
        <v>32</v>
      </c>
      <c r="H1414" s="16" t="n">
        <v>2110101</v>
      </c>
      <c r="I1414" s="1" t="s">
        <v>33</v>
      </c>
      <c r="J1414" s="16" t="n">
        <v>1322290</v>
      </c>
      <c r="L1414" s="16" t="n">
        <v>1241434</v>
      </c>
      <c r="M1414" s="1" t="s">
        <v>128</v>
      </c>
      <c r="N1414" s="1" t="s">
        <v>35</v>
      </c>
      <c r="P1414" s="16" t="n">
        <v>103</v>
      </c>
      <c r="Q1414" s="1" t="s">
        <v>36</v>
      </c>
      <c r="R1414" s="1" t="s">
        <v>37</v>
      </c>
      <c r="S1414" s="16" t="n">
        <v>1130101</v>
      </c>
      <c r="T1414" s="1" t="s">
        <v>38</v>
      </c>
      <c r="U1414" s="17" t="n">
        <v>537.72</v>
      </c>
      <c r="W1414" s="17" t="n">
        <v>0</v>
      </c>
      <c r="X1414" s="1" t="s">
        <v>1668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46227</v>
      </c>
      <c r="C1415" s="15" t="n">
        <v>46227</v>
      </c>
      <c r="D1415" s="16" t="n">
        <v>10035</v>
      </c>
      <c r="E1415" s="1" t="s">
        <v>336</v>
      </c>
      <c r="F1415" s="16" t="n">
        <v>13</v>
      </c>
      <c r="G1415" s="1" t="s">
        <v>98</v>
      </c>
      <c r="H1415" s="16" t="n">
        <v>2110101</v>
      </c>
      <c r="I1415" s="1" t="s">
        <v>33</v>
      </c>
      <c r="J1415" s="16" t="n">
        <v>1459549</v>
      </c>
      <c r="L1415" s="16" t="n">
        <v>377</v>
      </c>
      <c r="M1415" s="1" t="s">
        <v>41</v>
      </c>
      <c r="N1415" s="1" t="s">
        <v>35</v>
      </c>
      <c r="P1415" s="16" t="n">
        <v>104</v>
      </c>
      <c r="Q1415" s="1" t="s">
        <v>99</v>
      </c>
      <c r="R1415" s="1" t="s">
        <v>37</v>
      </c>
      <c r="S1415" s="16" t="n">
        <v>1130101</v>
      </c>
      <c r="T1415" s="1" t="s">
        <v>38</v>
      </c>
      <c r="U1415" s="17" t="n">
        <v>560</v>
      </c>
      <c r="W1415" s="17" t="n">
        <v>0</v>
      </c>
      <c r="X1415" s="1" t="s">
        <v>1669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46207</v>
      </c>
      <c r="C1416" s="15" t="n">
        <v>46227</v>
      </c>
      <c r="D1416" s="16" t="n">
        <v>1815</v>
      </c>
      <c r="E1416" s="1" t="s">
        <v>551</v>
      </c>
      <c r="F1416" s="16" t="n">
        <v>24</v>
      </c>
      <c r="G1416" s="1" t="s">
        <v>32</v>
      </c>
      <c r="H1416" s="16" t="n">
        <v>2110101</v>
      </c>
      <c r="I1416" s="1" t="s">
        <v>33</v>
      </c>
      <c r="J1416" s="16" t="n">
        <v>1348411</v>
      </c>
      <c r="L1416" s="16" t="n">
        <v>390550</v>
      </c>
      <c r="M1416" s="1" t="s">
        <v>128</v>
      </c>
      <c r="N1416" s="1" t="s">
        <v>35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2340.64</v>
      </c>
      <c r="W1416" s="17" t="n">
        <v>0</v>
      </c>
      <c r="X1416" s="1" t="s">
        <v>1670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46207</v>
      </c>
      <c r="C1417" s="15" t="n">
        <v>46227</v>
      </c>
      <c r="D1417" s="16" t="n">
        <v>1695</v>
      </c>
      <c r="E1417" s="1" t="s">
        <v>568</v>
      </c>
      <c r="F1417" s="16" t="n">
        <v>24</v>
      </c>
      <c r="G1417" s="1" t="s">
        <v>32</v>
      </c>
      <c r="H1417" s="16" t="n">
        <v>2110101</v>
      </c>
      <c r="I1417" s="1" t="s">
        <v>33</v>
      </c>
      <c r="J1417" s="16" t="n">
        <v>1348708</v>
      </c>
      <c r="L1417" s="16" t="n">
        <v>19022</v>
      </c>
      <c r="M1417" s="1" t="s">
        <v>128</v>
      </c>
      <c r="N1417" s="1" t="s">
        <v>35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595</v>
      </c>
      <c r="W1417" s="17" t="n">
        <v>0</v>
      </c>
      <c r="X1417" s="1" t="s">
        <v>1671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46209</v>
      </c>
      <c r="C1418" s="15" t="n">
        <v>46227</v>
      </c>
      <c r="D1418" s="16" t="n">
        <v>10009</v>
      </c>
      <c r="E1418" s="1" t="s">
        <v>201</v>
      </c>
      <c r="F1418" s="16" t="n">
        <v>24</v>
      </c>
      <c r="G1418" s="1" t="s">
        <v>32</v>
      </c>
      <c r="H1418" s="16" t="n">
        <v>2110101</v>
      </c>
      <c r="I1418" s="1" t="s">
        <v>33</v>
      </c>
      <c r="J1418" s="16" t="n">
        <v>1360393</v>
      </c>
      <c r="L1418" s="16" t="n">
        <v>1424401</v>
      </c>
      <c r="M1418" s="1" t="s">
        <v>128</v>
      </c>
      <c r="N1418" s="1" t="s">
        <v>35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868.87</v>
      </c>
      <c r="W1418" s="17" t="n">
        <v>0</v>
      </c>
      <c r="X1418" s="1" t="s">
        <v>1672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46212</v>
      </c>
      <c r="C1419" s="15" t="n">
        <v>46227</v>
      </c>
      <c r="D1419" s="16" t="n">
        <v>10074</v>
      </c>
      <c r="E1419" s="1" t="s">
        <v>256</v>
      </c>
      <c r="F1419" s="16" t="n">
        <v>24</v>
      </c>
      <c r="G1419" s="1" t="s">
        <v>32</v>
      </c>
      <c r="H1419" s="16" t="n">
        <v>1110202</v>
      </c>
      <c r="I1419" s="1" t="s">
        <v>285</v>
      </c>
      <c r="J1419" s="16" t="n">
        <v>1374335</v>
      </c>
      <c r="L1419" s="16" t="n">
        <v>3299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550</v>
      </c>
      <c r="W1419" s="17" t="n">
        <v>0</v>
      </c>
      <c r="X1419" s="1" t="s">
        <v>1673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46212</v>
      </c>
      <c r="C1420" s="15" t="n">
        <v>46227</v>
      </c>
      <c r="D1420" s="16" t="n">
        <v>10037</v>
      </c>
      <c r="E1420" s="1" t="s">
        <v>540</v>
      </c>
      <c r="F1420" s="16" t="n">
        <v>24</v>
      </c>
      <c r="G1420" s="1" t="s">
        <v>32</v>
      </c>
      <c r="H1420" s="16" t="n">
        <v>2110405</v>
      </c>
      <c r="I1420" s="1" t="s">
        <v>83</v>
      </c>
      <c r="J1420" s="16" t="n">
        <v>1374662</v>
      </c>
      <c r="L1420" s="16" t="n">
        <v>2737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527.3</v>
      </c>
      <c r="W1420" s="17" t="n">
        <v>0</v>
      </c>
      <c r="X1420" s="1" t="s">
        <v>1674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46212</v>
      </c>
      <c r="C1421" s="15" t="n">
        <v>46227</v>
      </c>
      <c r="D1421" s="16" t="n">
        <v>1718</v>
      </c>
      <c r="E1421" s="1" t="s">
        <v>134</v>
      </c>
      <c r="F1421" s="16" t="n">
        <v>24</v>
      </c>
      <c r="G1421" s="1" t="s">
        <v>32</v>
      </c>
      <c r="H1421" s="16" t="n">
        <v>2110405</v>
      </c>
      <c r="I1421" s="1" t="s">
        <v>83</v>
      </c>
      <c r="J1421" s="16" t="n">
        <v>1375395</v>
      </c>
      <c r="L1421" s="16" t="n">
        <v>681131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871.13</v>
      </c>
      <c r="W1421" s="17" t="n">
        <v>0</v>
      </c>
      <c r="X1421" s="1" t="s">
        <v>1675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46213</v>
      </c>
      <c r="C1422" s="15" t="n">
        <v>46227</v>
      </c>
      <c r="D1422" s="16" t="n">
        <v>1666</v>
      </c>
      <c r="E1422" s="1" t="s">
        <v>31</v>
      </c>
      <c r="F1422" s="16" t="n">
        <v>24</v>
      </c>
      <c r="G1422" s="1" t="s">
        <v>32</v>
      </c>
      <c r="H1422" s="16" t="n">
        <v>1110202</v>
      </c>
      <c r="I1422" s="1" t="s">
        <v>285</v>
      </c>
      <c r="J1422" s="16" t="n">
        <v>1376853</v>
      </c>
      <c r="L1422" s="16" t="n">
        <v>566688</v>
      </c>
      <c r="M1422" s="1" t="s">
        <v>34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6643.67</v>
      </c>
      <c r="W1422" s="17" t="n">
        <v>0</v>
      </c>
      <c r="X1422" s="1" t="s">
        <v>1676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10096</v>
      </c>
      <c r="E1423" s="1" t="s">
        <v>1496</v>
      </c>
      <c r="F1423" s="16" t="n">
        <v>13</v>
      </c>
      <c r="G1423" s="1" t="s">
        <v>98</v>
      </c>
      <c r="H1423" s="16" t="n">
        <v>2110101</v>
      </c>
      <c r="I1423" s="1" t="s">
        <v>33</v>
      </c>
      <c r="J1423" s="16" t="n">
        <v>1459634</v>
      </c>
      <c r="L1423" s="16" t="n">
        <v>75</v>
      </c>
      <c r="M1423" s="1" t="s">
        <v>41</v>
      </c>
      <c r="N1423" s="1" t="s">
        <v>35</v>
      </c>
      <c r="P1423" s="16" t="n">
        <v>104</v>
      </c>
      <c r="Q1423" s="1" t="s">
        <v>99</v>
      </c>
      <c r="R1423" s="1" t="s">
        <v>37</v>
      </c>
      <c r="S1423" s="16" t="n">
        <v>1130101</v>
      </c>
      <c r="T1423" s="1" t="s">
        <v>38</v>
      </c>
      <c r="U1423" s="17" t="n">
        <v>300</v>
      </c>
      <c r="W1423" s="17" t="n">
        <v>0</v>
      </c>
      <c r="X1423" s="1" t="s">
        <v>1677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46214</v>
      </c>
      <c r="C1424" s="15" t="n">
        <v>46227</v>
      </c>
      <c r="D1424" s="16" t="n">
        <v>1270</v>
      </c>
      <c r="E1424" s="1" t="s">
        <v>309</v>
      </c>
      <c r="F1424" s="16" t="n">
        <v>24</v>
      </c>
      <c r="G1424" s="1" t="s">
        <v>32</v>
      </c>
      <c r="H1424" s="16" t="n">
        <v>1110202</v>
      </c>
      <c r="I1424" s="1" t="s">
        <v>285</v>
      </c>
      <c r="J1424" s="16" t="n">
        <v>1382075</v>
      </c>
      <c r="L1424" s="16" t="n">
        <v>2634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493</v>
      </c>
      <c r="W1424" s="17" t="n">
        <v>0</v>
      </c>
      <c r="X1424" s="1" t="s">
        <v>1678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46214</v>
      </c>
      <c r="C1425" s="15" t="n">
        <v>46227</v>
      </c>
      <c r="D1425" s="16" t="n">
        <v>1815</v>
      </c>
      <c r="E1425" s="1" t="s">
        <v>551</v>
      </c>
      <c r="F1425" s="16" t="n">
        <v>24</v>
      </c>
      <c r="G1425" s="1" t="s">
        <v>32</v>
      </c>
      <c r="H1425" s="16" t="n">
        <v>1110202</v>
      </c>
      <c r="I1425" s="1" t="s">
        <v>285</v>
      </c>
      <c r="J1425" s="16" t="n">
        <v>1382433</v>
      </c>
      <c r="L1425" s="16" t="n">
        <v>391785</v>
      </c>
      <c r="M1425" s="1" t="s">
        <v>34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785.66</v>
      </c>
      <c r="W1425" s="17" t="n">
        <v>0</v>
      </c>
      <c r="X1425" s="1" t="s">
        <v>1679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46216</v>
      </c>
      <c r="C1426" s="15" t="n">
        <v>46227</v>
      </c>
      <c r="D1426" s="16" t="n">
        <v>794</v>
      </c>
      <c r="E1426" s="1" t="s">
        <v>325</v>
      </c>
      <c r="F1426" s="16" t="n">
        <v>24</v>
      </c>
      <c r="G1426" s="1" t="s">
        <v>32</v>
      </c>
      <c r="H1426" s="16" t="n">
        <v>1110202</v>
      </c>
      <c r="I1426" s="1" t="s">
        <v>285</v>
      </c>
      <c r="J1426" s="16" t="n">
        <v>1393075</v>
      </c>
      <c r="L1426" s="16" t="n">
        <v>8365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550</v>
      </c>
      <c r="W1426" s="17" t="n">
        <v>0</v>
      </c>
      <c r="X1426" s="1" t="s">
        <v>1680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46217</v>
      </c>
      <c r="C1427" s="15" t="n">
        <v>46227</v>
      </c>
      <c r="D1427" s="16" t="n">
        <v>1723</v>
      </c>
      <c r="E1427" s="1" t="s">
        <v>264</v>
      </c>
      <c r="F1427" s="16" t="n">
        <v>24</v>
      </c>
      <c r="G1427" s="1" t="s">
        <v>32</v>
      </c>
      <c r="H1427" s="16" t="n">
        <v>1110202</v>
      </c>
      <c r="I1427" s="1" t="s">
        <v>285</v>
      </c>
      <c r="J1427" s="16" t="n">
        <v>1398025</v>
      </c>
      <c r="L1427" s="16" t="n">
        <v>173143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5478.8</v>
      </c>
      <c r="W1427" s="17" t="n">
        <v>0</v>
      </c>
      <c r="X1427" s="1" t="s">
        <v>1681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46219</v>
      </c>
      <c r="C1428" s="15" t="n">
        <v>46227</v>
      </c>
      <c r="D1428" s="16" t="n">
        <v>10010</v>
      </c>
      <c r="E1428" s="1" t="s">
        <v>248</v>
      </c>
      <c r="F1428" s="16" t="n">
        <v>24</v>
      </c>
      <c r="G1428" s="1" t="s">
        <v>32</v>
      </c>
      <c r="H1428" s="16" t="n">
        <v>1110202</v>
      </c>
      <c r="I1428" s="1" t="s">
        <v>285</v>
      </c>
      <c r="J1428" s="16" t="n">
        <v>1407193</v>
      </c>
      <c r="L1428" s="16" t="n">
        <v>42934</v>
      </c>
      <c r="M1428" s="1" t="s">
        <v>41</v>
      </c>
      <c r="N1428" s="1" t="s">
        <v>42</v>
      </c>
      <c r="P1428" s="16" t="n">
        <v>103</v>
      </c>
      <c r="Q1428" s="1" t="s">
        <v>36</v>
      </c>
      <c r="R1428" s="1" t="s">
        <v>37</v>
      </c>
      <c r="S1428" s="16" t="n">
        <v>1130101</v>
      </c>
      <c r="T1428" s="1" t="s">
        <v>38</v>
      </c>
      <c r="U1428" s="17" t="n">
        <v>304.8</v>
      </c>
      <c r="W1428" s="17" t="n">
        <v>0</v>
      </c>
      <c r="X1428" s="1" t="s">
        <v>1682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46223</v>
      </c>
      <c r="C1429" s="15" t="n">
        <v>46227</v>
      </c>
      <c r="D1429" s="16" t="n">
        <v>1292</v>
      </c>
      <c r="E1429" s="1" t="s">
        <v>321</v>
      </c>
      <c r="F1429" s="16" t="n">
        <v>24</v>
      </c>
      <c r="G1429" s="1" t="s">
        <v>32</v>
      </c>
      <c r="H1429" s="16" t="n">
        <v>1110202</v>
      </c>
      <c r="I1429" s="1" t="s">
        <v>285</v>
      </c>
      <c r="J1429" s="16" t="n">
        <v>1425396</v>
      </c>
      <c r="L1429" s="16" t="n">
        <v>3634</v>
      </c>
      <c r="M1429" s="1" t="s">
        <v>41</v>
      </c>
      <c r="N1429" s="1" t="s">
        <v>42</v>
      </c>
      <c r="P1429" s="16" t="n">
        <v>103</v>
      </c>
      <c r="Q1429" s="1" t="s">
        <v>36</v>
      </c>
      <c r="R1429" s="1" t="s">
        <v>37</v>
      </c>
      <c r="S1429" s="16" t="n">
        <v>1130101</v>
      </c>
      <c r="T1429" s="1" t="s">
        <v>38</v>
      </c>
      <c r="U1429" s="17" t="n">
        <v>2108.5</v>
      </c>
      <c r="W1429" s="17" t="n">
        <v>0</v>
      </c>
      <c r="X1429" s="1" t="s">
        <v>1683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46224</v>
      </c>
      <c r="C1430" s="15" t="n">
        <v>46227</v>
      </c>
      <c r="D1430" s="16" t="n">
        <v>1328</v>
      </c>
      <c r="E1430" s="1" t="s">
        <v>323</v>
      </c>
      <c r="F1430" s="16" t="n">
        <v>24</v>
      </c>
      <c r="G1430" s="1" t="s">
        <v>32</v>
      </c>
      <c r="H1430" s="16" t="n">
        <v>1110202</v>
      </c>
      <c r="I1430" s="1" t="s">
        <v>285</v>
      </c>
      <c r="J1430" s="16" t="n">
        <v>1427862</v>
      </c>
      <c r="L1430" s="16" t="n">
        <v>4110</v>
      </c>
      <c r="M1430" s="1" t="s">
        <v>41</v>
      </c>
      <c r="N1430" s="1" t="s">
        <v>42</v>
      </c>
      <c r="P1430" s="16" t="n">
        <v>103</v>
      </c>
      <c r="Q1430" s="1" t="s">
        <v>36</v>
      </c>
      <c r="R1430" s="1" t="s">
        <v>37</v>
      </c>
      <c r="S1430" s="16" t="n">
        <v>1130101</v>
      </c>
      <c r="T1430" s="1" t="s">
        <v>38</v>
      </c>
      <c r="U1430" s="17" t="n">
        <v>422</v>
      </c>
      <c r="W1430" s="17" t="n">
        <v>0</v>
      </c>
      <c r="X1430" s="1" t="s">
        <v>1684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46224</v>
      </c>
      <c r="C1431" s="15" t="n">
        <v>46227</v>
      </c>
      <c r="D1431" s="16" t="n">
        <v>1642</v>
      </c>
      <c r="E1431" s="1" t="s">
        <v>159</v>
      </c>
      <c r="F1431" s="16" t="n">
        <v>24</v>
      </c>
      <c r="G1431" s="1" t="s">
        <v>32</v>
      </c>
      <c r="H1431" s="16" t="n">
        <v>1110202</v>
      </c>
      <c r="I1431" s="1" t="s">
        <v>285</v>
      </c>
      <c r="J1431" s="16" t="n">
        <v>1429486</v>
      </c>
      <c r="L1431" s="16" t="n">
        <v>1032212</v>
      </c>
      <c r="M1431" s="1" t="s">
        <v>41</v>
      </c>
      <c r="N1431" s="1" t="s">
        <v>42</v>
      </c>
      <c r="P1431" s="16" t="n">
        <v>103</v>
      </c>
      <c r="Q1431" s="1" t="s">
        <v>36</v>
      </c>
      <c r="R1431" s="1" t="s">
        <v>37</v>
      </c>
      <c r="S1431" s="16" t="n">
        <v>1130101</v>
      </c>
      <c r="T1431" s="1" t="s">
        <v>38</v>
      </c>
      <c r="U1431" s="17" t="n">
        <v>653.6</v>
      </c>
      <c r="W1431" s="17" t="n">
        <v>0</v>
      </c>
      <c r="X1431" s="1" t="s">
        <v>1685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46224</v>
      </c>
      <c r="C1432" s="15" t="n">
        <v>46227</v>
      </c>
      <c r="D1432" s="16" t="n">
        <v>1123</v>
      </c>
      <c r="E1432" s="1" t="s">
        <v>215</v>
      </c>
      <c r="F1432" s="16" t="n">
        <v>24</v>
      </c>
      <c r="G1432" s="1" t="s">
        <v>32</v>
      </c>
      <c r="H1432" s="16" t="n">
        <v>1110202</v>
      </c>
      <c r="I1432" s="1" t="s">
        <v>285</v>
      </c>
      <c r="J1432" s="16" t="n">
        <v>1429538</v>
      </c>
      <c r="L1432" s="16" t="n">
        <v>43986</v>
      </c>
      <c r="M1432" s="1" t="s">
        <v>41</v>
      </c>
      <c r="N1432" s="1" t="s">
        <v>42</v>
      </c>
      <c r="P1432" s="16" t="n">
        <v>103</v>
      </c>
      <c r="Q1432" s="1" t="s">
        <v>36</v>
      </c>
      <c r="R1432" s="1" t="s">
        <v>37</v>
      </c>
      <c r="S1432" s="16" t="n">
        <v>1130101</v>
      </c>
      <c r="T1432" s="1" t="s">
        <v>38</v>
      </c>
      <c r="U1432" s="17" t="n">
        <v>1840</v>
      </c>
      <c r="W1432" s="17" t="n">
        <v>0</v>
      </c>
      <c r="X1432" s="1" t="s">
        <v>1686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46224</v>
      </c>
      <c r="C1433" s="15" t="n">
        <v>46227</v>
      </c>
      <c r="D1433" s="16" t="n">
        <v>1024</v>
      </c>
      <c r="E1433" s="1" t="s">
        <v>688</v>
      </c>
      <c r="F1433" s="16" t="n">
        <v>24</v>
      </c>
      <c r="G1433" s="1" t="s">
        <v>32</v>
      </c>
      <c r="H1433" s="16" t="n">
        <v>1110202</v>
      </c>
      <c r="I1433" s="1" t="s">
        <v>285</v>
      </c>
      <c r="J1433" s="16" t="n">
        <v>1429597</v>
      </c>
      <c r="L1433" s="16" t="n">
        <v>605021</v>
      </c>
      <c r="M1433" s="1" t="s">
        <v>41</v>
      </c>
      <c r="N1433" s="1" t="s">
        <v>42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210</v>
      </c>
      <c r="W1433" s="17" t="n">
        <v>0</v>
      </c>
      <c r="X1433" s="1" t="s">
        <v>1687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46225</v>
      </c>
      <c r="C1434" s="15" t="n">
        <v>46227</v>
      </c>
      <c r="D1434" s="16" t="n">
        <v>1276</v>
      </c>
      <c r="E1434" s="1" t="s">
        <v>383</v>
      </c>
      <c r="F1434" s="16" t="n">
        <v>24</v>
      </c>
      <c r="G1434" s="1" t="s">
        <v>32</v>
      </c>
      <c r="H1434" s="16" t="n">
        <v>1110202</v>
      </c>
      <c r="I1434" s="1" t="s">
        <v>285</v>
      </c>
      <c r="J1434" s="16" t="n">
        <v>1435831</v>
      </c>
      <c r="L1434" s="16" t="n">
        <v>3067</v>
      </c>
      <c r="M1434" s="1" t="s">
        <v>41</v>
      </c>
      <c r="N1434" s="1" t="s">
        <v>42</v>
      </c>
      <c r="P1434" s="16" t="n">
        <v>103</v>
      </c>
      <c r="Q1434" s="1" t="s">
        <v>36</v>
      </c>
      <c r="R1434" s="1" t="s">
        <v>37</v>
      </c>
      <c r="S1434" s="16" t="n">
        <v>1130101</v>
      </c>
      <c r="T1434" s="1" t="s">
        <v>38</v>
      </c>
      <c r="U1434" s="17" t="n">
        <v>1393.5</v>
      </c>
      <c r="W1434" s="17" t="n">
        <v>0</v>
      </c>
      <c r="X1434" s="1" t="s">
        <v>1688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46226</v>
      </c>
      <c r="C1435" s="15" t="n">
        <v>46227</v>
      </c>
      <c r="D1435" s="16" t="n">
        <v>1899</v>
      </c>
      <c r="E1435" s="1" t="s">
        <v>74</v>
      </c>
      <c r="F1435" s="16" t="n">
        <v>24</v>
      </c>
      <c r="G1435" s="1" t="s">
        <v>32</v>
      </c>
      <c r="H1435" s="16" t="n">
        <v>1110202</v>
      </c>
      <c r="I1435" s="1" t="s">
        <v>285</v>
      </c>
      <c r="J1435" s="16" t="n">
        <v>1439157</v>
      </c>
      <c r="L1435" s="16" t="n">
        <v>725</v>
      </c>
      <c r="M1435" s="1" t="s">
        <v>41</v>
      </c>
      <c r="N1435" s="1" t="s">
        <v>42</v>
      </c>
      <c r="P1435" s="16" t="n">
        <v>103</v>
      </c>
      <c r="Q1435" s="1" t="s">
        <v>36</v>
      </c>
      <c r="R1435" s="1" t="s">
        <v>37</v>
      </c>
      <c r="S1435" s="16" t="n">
        <v>1130101</v>
      </c>
      <c r="T1435" s="1" t="s">
        <v>38</v>
      </c>
      <c r="U1435" s="17" t="n">
        <v>1120</v>
      </c>
      <c r="W1435" s="17" t="n">
        <v>0</v>
      </c>
      <c r="X1435" s="1" t="s">
        <v>1689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46210</v>
      </c>
      <c r="C1436" s="15" t="n">
        <v>46227</v>
      </c>
      <c r="D1436" s="16" t="n">
        <v>967</v>
      </c>
      <c r="E1436" s="1" t="s">
        <v>1028</v>
      </c>
      <c r="F1436" s="16" t="n">
        <v>24</v>
      </c>
      <c r="G1436" s="1" t="s">
        <v>32</v>
      </c>
      <c r="H1436" s="16" t="n">
        <v>1110202</v>
      </c>
      <c r="I1436" s="1" t="s">
        <v>285</v>
      </c>
      <c r="J1436" s="16" t="n">
        <v>1440510</v>
      </c>
      <c r="L1436" s="16" t="n">
        <v>34608</v>
      </c>
      <c r="M1436" s="1" t="s">
        <v>41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2838.97</v>
      </c>
      <c r="W1436" s="17" t="n">
        <v>0</v>
      </c>
      <c r="X1436" s="1" t="s">
        <v>1690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46227</v>
      </c>
      <c r="C1437" s="15" t="n">
        <v>46227</v>
      </c>
      <c r="D1437" s="16" t="n">
        <v>33</v>
      </c>
      <c r="E1437" s="1" t="s">
        <v>70</v>
      </c>
      <c r="F1437" s="16" t="n">
        <v>34</v>
      </c>
      <c r="G1437" s="1" t="s">
        <v>71</v>
      </c>
      <c r="H1437" s="16" t="n">
        <v>2110101</v>
      </c>
      <c r="I1437" s="1" t="s">
        <v>33</v>
      </c>
      <c r="J1437" s="16" t="n">
        <v>1444502</v>
      </c>
      <c r="L1437" s="16" t="n">
        <v>5343</v>
      </c>
      <c r="M1437" s="1" t="s">
        <v>41</v>
      </c>
      <c r="N1437" s="1" t="s">
        <v>35</v>
      </c>
      <c r="P1437" s="16" t="n">
        <v>104</v>
      </c>
      <c r="Q1437" s="1" t="s">
        <v>99</v>
      </c>
      <c r="R1437" s="1" t="s">
        <v>37</v>
      </c>
      <c r="S1437" s="16" t="n">
        <v>1130101</v>
      </c>
      <c r="T1437" s="1" t="s">
        <v>38</v>
      </c>
      <c r="U1437" s="17" t="n">
        <v>2970</v>
      </c>
      <c r="W1437" s="17" t="n">
        <v>0</v>
      </c>
      <c r="X1437" s="1" t="s">
        <v>172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46227</v>
      </c>
      <c r="C1438" s="15" t="n">
        <v>46227</v>
      </c>
      <c r="D1438" s="16" t="n">
        <v>1037</v>
      </c>
      <c r="E1438" s="1" t="s">
        <v>168</v>
      </c>
      <c r="F1438" s="16" t="n">
        <v>34</v>
      </c>
      <c r="G1438" s="1" t="s">
        <v>71</v>
      </c>
      <c r="H1438" s="16" t="n">
        <v>1110202</v>
      </c>
      <c r="I1438" s="1" t="s">
        <v>285</v>
      </c>
      <c r="J1438" s="16" t="n">
        <v>1445274</v>
      </c>
      <c r="L1438" s="16" t="n">
        <v>594501</v>
      </c>
      <c r="M1438" s="1" t="s">
        <v>41</v>
      </c>
      <c r="N1438" s="1" t="s">
        <v>42</v>
      </c>
      <c r="P1438" s="16" t="n">
        <v>102</v>
      </c>
      <c r="Q1438" s="1" t="s">
        <v>107</v>
      </c>
      <c r="R1438" s="1" t="s">
        <v>91</v>
      </c>
      <c r="S1438" s="16" t="n">
        <v>4220199</v>
      </c>
      <c r="T1438" s="1" t="s">
        <v>92</v>
      </c>
      <c r="U1438" s="17" t="n">
        <v>6346</v>
      </c>
      <c r="W1438" s="17" t="n">
        <v>0</v>
      </c>
      <c r="X1438" s="1" t="s">
        <v>1691</v>
      </c>
      <c r="Z1438" s="1" t="str">
        <f aca="false">IF($T1438="","",IFERROR(INDEX('Resumo Grupos'!$AC$3:$AC$200,MATCH($T1438,'Resumo Grupos'!$AB$3:$AB$200,0)),"n/d"))</f>
        <v>Pagamentos outros não operacionais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46227</v>
      </c>
      <c r="C1439" s="15" t="n">
        <v>46227</v>
      </c>
      <c r="D1439" s="16" t="n">
        <v>350</v>
      </c>
      <c r="E1439" s="1" t="s">
        <v>1692</v>
      </c>
      <c r="F1439" s="16" t="n">
        <v>34</v>
      </c>
      <c r="G1439" s="1" t="s">
        <v>71</v>
      </c>
      <c r="H1439" s="16" t="n">
        <v>1110202</v>
      </c>
      <c r="I1439" s="1" t="s">
        <v>285</v>
      </c>
      <c r="J1439" s="16" t="n">
        <v>1445279</v>
      </c>
      <c r="L1439" s="16" t="n">
        <v>594502</v>
      </c>
      <c r="M1439" s="1" t="s">
        <v>41</v>
      </c>
      <c r="N1439" s="1" t="s">
        <v>42</v>
      </c>
      <c r="P1439" s="16" t="n">
        <v>101</v>
      </c>
      <c r="Q1439" s="1" t="s">
        <v>84</v>
      </c>
      <c r="R1439" s="1" t="s">
        <v>85</v>
      </c>
      <c r="S1439" s="16" t="n">
        <v>4210305</v>
      </c>
      <c r="T1439" s="1" t="s">
        <v>1693</v>
      </c>
      <c r="U1439" s="17" t="n">
        <v>1749.99</v>
      </c>
      <c r="W1439" s="17" t="n">
        <v>0</v>
      </c>
      <c r="X1439" s="1" t="s">
        <v>1694</v>
      </c>
      <c r="Z1439" s="1" t="str">
        <f aca="false">IF($T1439="","",IFERROR(INDEX('Resumo Grupos'!$AC$3:$AC$200,MATCH($T1439,'Resumo Grupos'!$AB$3:$AB$200,0)),"n/d"))</f>
        <v>Salários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46228</v>
      </c>
      <c r="C1440" s="15" t="n">
        <v>46228</v>
      </c>
      <c r="D1440" s="16" t="n">
        <v>1173</v>
      </c>
      <c r="E1440" s="1" t="s">
        <v>867</v>
      </c>
      <c r="F1440" s="16" t="n">
        <v>13</v>
      </c>
      <c r="G1440" s="1" t="s">
        <v>98</v>
      </c>
      <c r="H1440" s="16" t="n">
        <v>2110101</v>
      </c>
      <c r="I1440" s="1" t="s">
        <v>33</v>
      </c>
      <c r="J1440" s="16" t="n">
        <v>1459790</v>
      </c>
      <c r="L1440" s="16" t="n">
        <v>1036</v>
      </c>
      <c r="M1440" s="1" t="s">
        <v>41</v>
      </c>
      <c r="N1440" s="1" t="s">
        <v>35</v>
      </c>
      <c r="P1440" s="16" t="n">
        <v>104</v>
      </c>
      <c r="Q1440" s="1" t="s">
        <v>99</v>
      </c>
      <c r="R1440" s="1" t="s">
        <v>37</v>
      </c>
      <c r="S1440" s="16" t="n">
        <v>1130101</v>
      </c>
      <c r="T1440" s="1" t="s">
        <v>38</v>
      </c>
      <c r="U1440" s="17" t="n">
        <v>180</v>
      </c>
      <c r="W1440" s="17" t="n">
        <v>0</v>
      </c>
      <c r="X1440" s="1" t="s">
        <v>1695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46038</v>
      </c>
      <c r="C1441" s="15" t="n">
        <v>46228</v>
      </c>
      <c r="D1441" s="16" t="n">
        <v>10039</v>
      </c>
      <c r="E1441" s="1" t="s">
        <v>835</v>
      </c>
      <c r="F1441" s="16" t="n">
        <v>36</v>
      </c>
      <c r="G1441" s="1" t="s">
        <v>445</v>
      </c>
      <c r="H1441" s="16" t="n">
        <v>2110102</v>
      </c>
      <c r="I1441" s="1" t="s">
        <v>59</v>
      </c>
      <c r="J1441" s="16" t="n">
        <v>532309</v>
      </c>
      <c r="L1441" s="16" t="n">
        <v>2543</v>
      </c>
      <c r="M1441" s="1" t="s">
        <v>1696</v>
      </c>
      <c r="N1441" s="1" t="s">
        <v>35</v>
      </c>
      <c r="P1441" s="16" t="n">
        <v>101</v>
      </c>
      <c r="Q1441" s="1" t="s">
        <v>84</v>
      </c>
      <c r="R1441" s="1" t="s">
        <v>60</v>
      </c>
      <c r="S1441" s="16" t="n">
        <v>4210204</v>
      </c>
      <c r="T1441" s="1" t="s">
        <v>61</v>
      </c>
      <c r="U1441" s="17" t="n">
        <v>285.77</v>
      </c>
      <c r="W1441" s="17" t="n">
        <v>0</v>
      </c>
      <c r="X1441" s="1" t="s">
        <v>1697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46039</v>
      </c>
      <c r="C1442" s="15" t="n">
        <v>46228</v>
      </c>
      <c r="D1442" s="16" t="n">
        <v>438</v>
      </c>
      <c r="E1442" s="1" t="s">
        <v>837</v>
      </c>
      <c r="F1442" s="16" t="n">
        <v>36</v>
      </c>
      <c r="G1442" s="1" t="s">
        <v>445</v>
      </c>
      <c r="H1442" s="16" t="n">
        <v>2110101</v>
      </c>
      <c r="I1442" s="1" t="s">
        <v>33</v>
      </c>
      <c r="J1442" s="16" t="n">
        <v>535198</v>
      </c>
      <c r="L1442" s="16" t="n">
        <v>6277</v>
      </c>
      <c r="M1442" s="1" t="s">
        <v>391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666.65</v>
      </c>
      <c r="W1442" s="17" t="n">
        <v>0</v>
      </c>
      <c r="X1442" s="1" t="s">
        <v>1698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46078</v>
      </c>
      <c r="C1443" s="15" t="n">
        <v>46228</v>
      </c>
      <c r="D1443" s="16" t="n">
        <v>10039</v>
      </c>
      <c r="E1443" s="1" t="s">
        <v>835</v>
      </c>
      <c r="F1443" s="16" t="n">
        <v>36</v>
      </c>
      <c r="G1443" s="1" t="s">
        <v>445</v>
      </c>
      <c r="H1443" s="16" t="n">
        <v>2110405</v>
      </c>
      <c r="I1443" s="1" t="s">
        <v>83</v>
      </c>
      <c r="J1443" s="16" t="n">
        <v>717562</v>
      </c>
      <c r="L1443" s="16" t="n">
        <v>313465</v>
      </c>
      <c r="M1443" s="1" t="s">
        <v>391</v>
      </c>
      <c r="N1443" s="1" t="s">
        <v>42</v>
      </c>
      <c r="P1443" s="16" t="n">
        <v>103</v>
      </c>
      <c r="Q1443" s="1" t="s">
        <v>36</v>
      </c>
      <c r="R1443" s="1" t="s">
        <v>765</v>
      </c>
      <c r="S1443" s="16" t="n">
        <v>1240103</v>
      </c>
      <c r="T1443" s="1" t="s">
        <v>839</v>
      </c>
      <c r="U1443" s="17" t="n">
        <v>212.45</v>
      </c>
      <c r="W1443" s="17" t="n">
        <v>0</v>
      </c>
      <c r="X1443" s="1" t="s">
        <v>1699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46085</v>
      </c>
      <c r="C1444" s="15" t="n">
        <v>46228</v>
      </c>
      <c r="D1444" s="16" t="n">
        <v>500</v>
      </c>
      <c r="E1444" s="1" t="s">
        <v>444</v>
      </c>
      <c r="F1444" s="16" t="n">
        <v>36</v>
      </c>
      <c r="G1444" s="1" t="s">
        <v>445</v>
      </c>
      <c r="H1444" s="16" t="n">
        <v>2110101</v>
      </c>
      <c r="I1444" s="1" t="s">
        <v>33</v>
      </c>
      <c r="J1444" s="16" t="n">
        <v>808801</v>
      </c>
      <c r="L1444" s="16" t="n">
        <v>349045</v>
      </c>
      <c r="M1444" s="1" t="s">
        <v>234</v>
      </c>
      <c r="N1444" s="1" t="s">
        <v>42</v>
      </c>
      <c r="P1444" s="16" t="n">
        <v>103</v>
      </c>
      <c r="Q1444" s="1" t="s">
        <v>36</v>
      </c>
      <c r="R1444" s="1" t="s">
        <v>83</v>
      </c>
      <c r="S1444" s="16" t="n">
        <v>2110405</v>
      </c>
      <c r="T1444" s="1" t="s">
        <v>83</v>
      </c>
      <c r="U1444" s="17" t="n">
        <v>399.1</v>
      </c>
      <c r="W1444" s="17" t="n">
        <v>0</v>
      </c>
      <c r="X1444" s="1" t="s">
        <v>1700</v>
      </c>
      <c r="Z1444" s="1" t="str">
        <f aca="false">IF($T1444="","",IFERROR(INDEX('Resumo Grupos'!$AC$3:$AC$200,MATCH($T1444,'Resumo Grupos'!$AB$3:$AB$200,0)),"n/d"))</f>
        <v>Cobertura de conta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46098</v>
      </c>
      <c r="C1445" s="15" t="n">
        <v>46228</v>
      </c>
      <c r="D1445" s="16" t="n">
        <v>468</v>
      </c>
      <c r="E1445" s="1" t="s">
        <v>842</v>
      </c>
      <c r="F1445" s="16" t="n">
        <v>36</v>
      </c>
      <c r="G1445" s="1" t="s">
        <v>445</v>
      </c>
      <c r="H1445" s="16" t="n">
        <v>2110101</v>
      </c>
      <c r="I1445" s="1" t="s">
        <v>33</v>
      </c>
      <c r="J1445" s="16" t="n">
        <v>826843</v>
      </c>
      <c r="L1445" s="16" t="n">
        <v>355659</v>
      </c>
      <c r="M1445" s="1" t="s">
        <v>394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233.33</v>
      </c>
      <c r="W1445" s="17" t="n">
        <v>0</v>
      </c>
      <c r="X1445" s="1" t="s">
        <v>1701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46120</v>
      </c>
      <c r="C1446" s="15" t="n">
        <v>46228</v>
      </c>
      <c r="D1446" s="16" t="n">
        <v>500</v>
      </c>
      <c r="E1446" s="1" t="s">
        <v>444</v>
      </c>
      <c r="F1446" s="16" t="n">
        <v>36</v>
      </c>
      <c r="G1446" s="1" t="s">
        <v>445</v>
      </c>
      <c r="H1446" s="16" t="n">
        <v>2110405</v>
      </c>
      <c r="I1446" s="1" t="s">
        <v>83</v>
      </c>
      <c r="J1446" s="16" t="n">
        <v>920498</v>
      </c>
      <c r="L1446" s="16" t="n">
        <v>391987</v>
      </c>
      <c r="M1446" s="1" t="s">
        <v>394</v>
      </c>
      <c r="N1446" s="1" t="s">
        <v>42</v>
      </c>
      <c r="P1446" s="16" t="n">
        <v>103</v>
      </c>
      <c r="Q1446" s="1" t="s">
        <v>36</v>
      </c>
      <c r="R1446" s="1" t="s">
        <v>765</v>
      </c>
      <c r="S1446" s="16" t="n">
        <v>1240103</v>
      </c>
      <c r="T1446" s="1" t="s">
        <v>839</v>
      </c>
      <c r="U1446" s="17" t="n">
        <v>4934.34</v>
      </c>
      <c r="W1446" s="17" t="n">
        <v>0</v>
      </c>
      <c r="X1446" s="1" t="s">
        <v>1702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46094</v>
      </c>
      <c r="C1447" s="15" t="n">
        <v>46228</v>
      </c>
      <c r="D1447" s="16" t="n">
        <v>468</v>
      </c>
      <c r="E1447" s="1" t="s">
        <v>842</v>
      </c>
      <c r="F1447" s="16" t="n">
        <v>36</v>
      </c>
      <c r="G1447" s="1" t="s">
        <v>445</v>
      </c>
      <c r="H1447" s="16" t="n">
        <v>2110405</v>
      </c>
      <c r="I1447" s="1" t="s">
        <v>83</v>
      </c>
      <c r="J1447" s="16" t="n">
        <v>1024118</v>
      </c>
      <c r="L1447" s="16" t="n">
        <v>14289</v>
      </c>
      <c r="M1447" s="1" t="s">
        <v>394</v>
      </c>
      <c r="N1447" s="1" t="s">
        <v>42</v>
      </c>
      <c r="P1447" s="16" t="n">
        <v>101</v>
      </c>
      <c r="Q1447" s="1" t="s">
        <v>84</v>
      </c>
      <c r="R1447" s="1" t="s">
        <v>765</v>
      </c>
      <c r="S1447" s="16" t="n">
        <v>1240103</v>
      </c>
      <c r="T1447" s="1" t="s">
        <v>839</v>
      </c>
      <c r="U1447" s="17" t="n">
        <v>1197</v>
      </c>
      <c r="W1447" s="17" t="n">
        <v>0</v>
      </c>
      <c r="X1447" s="1" t="s">
        <v>845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46198</v>
      </c>
      <c r="C1448" s="15" t="n">
        <v>46228</v>
      </c>
      <c r="D1448" s="16" t="n">
        <v>875</v>
      </c>
      <c r="E1448" s="1" t="s">
        <v>860</v>
      </c>
      <c r="F1448" s="16" t="n">
        <v>36</v>
      </c>
      <c r="G1448" s="1" t="s">
        <v>445</v>
      </c>
      <c r="H1448" s="16" t="n">
        <v>2110101</v>
      </c>
      <c r="I1448" s="1" t="s">
        <v>33</v>
      </c>
      <c r="J1448" s="16" t="n">
        <v>1305944</v>
      </c>
      <c r="L1448" s="16" t="n">
        <v>540382</v>
      </c>
      <c r="M1448" s="1" t="s">
        <v>34</v>
      </c>
      <c r="N1448" s="1" t="s">
        <v>42</v>
      </c>
      <c r="P1448" s="16" t="n">
        <v>102</v>
      </c>
      <c r="Q1448" s="1" t="s">
        <v>107</v>
      </c>
      <c r="R1448" s="1" t="s">
        <v>37</v>
      </c>
      <c r="S1448" s="16" t="n">
        <v>1130101</v>
      </c>
      <c r="T1448" s="1" t="s">
        <v>38</v>
      </c>
      <c r="U1448" s="17" t="n">
        <v>2564.18</v>
      </c>
      <c r="W1448" s="17" t="n">
        <v>0</v>
      </c>
      <c r="X1448" s="1" t="s">
        <v>861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46202</v>
      </c>
      <c r="C1449" s="15" t="n">
        <v>46228</v>
      </c>
      <c r="D1449" s="16" t="n">
        <v>1749</v>
      </c>
      <c r="E1449" s="1" t="s">
        <v>703</v>
      </c>
      <c r="F1449" s="16" t="n">
        <v>24</v>
      </c>
      <c r="G1449" s="1" t="s">
        <v>32</v>
      </c>
      <c r="H1449" s="16" t="n">
        <v>2110101</v>
      </c>
      <c r="I1449" s="1" t="s">
        <v>33</v>
      </c>
      <c r="J1449" s="16" t="n">
        <v>1323701</v>
      </c>
      <c r="L1449" s="16" t="n">
        <v>2053</v>
      </c>
      <c r="M1449" s="1" t="s">
        <v>34</v>
      </c>
      <c r="N1449" s="1" t="s">
        <v>35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689.5</v>
      </c>
      <c r="W1449" s="17" t="n">
        <v>0</v>
      </c>
      <c r="X1449" s="1" t="s">
        <v>1703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46204</v>
      </c>
      <c r="C1450" s="15" t="n">
        <v>46228</v>
      </c>
      <c r="D1450" s="16" t="n">
        <v>607</v>
      </c>
      <c r="E1450" s="1" t="s">
        <v>182</v>
      </c>
      <c r="F1450" s="16" t="n">
        <v>24</v>
      </c>
      <c r="G1450" s="1" t="s">
        <v>32</v>
      </c>
      <c r="H1450" s="16" t="n">
        <v>2110101</v>
      </c>
      <c r="I1450" s="1" t="s">
        <v>33</v>
      </c>
      <c r="J1450" s="16" t="n">
        <v>1335231</v>
      </c>
      <c r="L1450" s="16" t="n">
        <v>11002</v>
      </c>
      <c r="M1450" s="1" t="s">
        <v>41</v>
      </c>
      <c r="N1450" s="1" t="s">
        <v>35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1849.57</v>
      </c>
      <c r="W1450" s="17" t="n">
        <v>0</v>
      </c>
      <c r="X1450" s="1" t="s">
        <v>1704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46206</v>
      </c>
      <c r="C1451" s="15" t="n">
        <v>46228</v>
      </c>
      <c r="D1451" s="16" t="n">
        <v>1608</v>
      </c>
      <c r="E1451" s="1" t="s">
        <v>51</v>
      </c>
      <c r="F1451" s="16" t="n">
        <v>24</v>
      </c>
      <c r="G1451" s="1" t="s">
        <v>32</v>
      </c>
      <c r="H1451" s="16" t="n">
        <v>2110101</v>
      </c>
      <c r="I1451" s="1" t="s">
        <v>33</v>
      </c>
      <c r="J1451" s="16" t="n">
        <v>1344441</v>
      </c>
      <c r="L1451" s="16" t="n">
        <v>1686012</v>
      </c>
      <c r="M1451" s="1" t="s">
        <v>41</v>
      </c>
      <c r="N1451" s="1" t="s">
        <v>35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1731.24</v>
      </c>
      <c r="W1451" s="17" t="n">
        <v>0</v>
      </c>
      <c r="X1451" s="1" t="s">
        <v>1705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46213</v>
      </c>
      <c r="C1452" s="15" t="n">
        <v>46228</v>
      </c>
      <c r="D1452" s="16" t="n">
        <v>10090</v>
      </c>
      <c r="E1452" s="1" t="s">
        <v>1356</v>
      </c>
      <c r="F1452" s="16" t="n">
        <v>24</v>
      </c>
      <c r="G1452" s="1" t="s">
        <v>32</v>
      </c>
      <c r="H1452" s="16" t="n">
        <v>1110202</v>
      </c>
      <c r="I1452" s="1" t="s">
        <v>285</v>
      </c>
      <c r="J1452" s="16" t="n">
        <v>1377385</v>
      </c>
      <c r="L1452" s="16" t="n">
        <v>271</v>
      </c>
      <c r="M1452" s="1" t="s">
        <v>34</v>
      </c>
      <c r="N1452" s="1" t="s">
        <v>42</v>
      </c>
      <c r="P1452" s="16" t="n">
        <v>103</v>
      </c>
      <c r="Q1452" s="1" t="s">
        <v>36</v>
      </c>
      <c r="R1452" s="1" t="s">
        <v>37</v>
      </c>
      <c r="S1452" s="16" t="n">
        <v>1130101</v>
      </c>
      <c r="T1452" s="1" t="s">
        <v>38</v>
      </c>
      <c r="U1452" s="17" t="n">
        <v>1646.64</v>
      </c>
      <c r="W1452" s="17" t="n">
        <v>0</v>
      </c>
      <c r="X1452" s="1" t="s">
        <v>1706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46216</v>
      </c>
      <c r="C1453" s="15" t="n">
        <v>46228</v>
      </c>
      <c r="D1453" s="16" t="n">
        <v>1705</v>
      </c>
      <c r="E1453" s="1" t="s">
        <v>148</v>
      </c>
      <c r="F1453" s="16" t="n">
        <v>24</v>
      </c>
      <c r="G1453" s="1" t="s">
        <v>32</v>
      </c>
      <c r="H1453" s="16" t="n">
        <v>1110202</v>
      </c>
      <c r="I1453" s="1" t="s">
        <v>285</v>
      </c>
      <c r="J1453" s="16" t="n">
        <v>1392596</v>
      </c>
      <c r="L1453" s="16" t="n">
        <v>1929170</v>
      </c>
      <c r="M1453" s="1" t="s">
        <v>41</v>
      </c>
      <c r="N1453" s="1" t="s">
        <v>42</v>
      </c>
      <c r="P1453" s="16" t="n">
        <v>103</v>
      </c>
      <c r="Q1453" s="1" t="s">
        <v>36</v>
      </c>
      <c r="R1453" s="1" t="s">
        <v>37</v>
      </c>
      <c r="S1453" s="16" t="n">
        <v>1130101</v>
      </c>
      <c r="T1453" s="1" t="s">
        <v>38</v>
      </c>
      <c r="U1453" s="17" t="n">
        <v>5949.9</v>
      </c>
      <c r="W1453" s="17" t="n">
        <v>0</v>
      </c>
      <c r="X1453" s="1" t="s">
        <v>1707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46216</v>
      </c>
      <c r="C1454" s="15" t="n">
        <v>46228</v>
      </c>
      <c r="D1454" s="16" t="n">
        <v>1705</v>
      </c>
      <c r="E1454" s="1" t="s">
        <v>148</v>
      </c>
      <c r="F1454" s="16" t="n">
        <v>24</v>
      </c>
      <c r="G1454" s="1" t="s">
        <v>32</v>
      </c>
      <c r="H1454" s="16" t="n">
        <v>1110202</v>
      </c>
      <c r="I1454" s="1" t="s">
        <v>285</v>
      </c>
      <c r="J1454" s="16" t="n">
        <v>1392644</v>
      </c>
      <c r="L1454" s="16" t="n">
        <v>1198018</v>
      </c>
      <c r="M1454" s="1" t="s">
        <v>41</v>
      </c>
      <c r="N1454" s="1" t="s">
        <v>42</v>
      </c>
      <c r="P1454" s="16" t="n">
        <v>103</v>
      </c>
      <c r="Q1454" s="1" t="s">
        <v>36</v>
      </c>
      <c r="R1454" s="1" t="s">
        <v>37</v>
      </c>
      <c r="S1454" s="16" t="n">
        <v>1130101</v>
      </c>
      <c r="T1454" s="1" t="s">
        <v>38</v>
      </c>
      <c r="U1454" s="17" t="n">
        <v>1291.62</v>
      </c>
      <c r="W1454" s="17" t="n">
        <v>0</v>
      </c>
      <c r="X1454" s="1" t="s">
        <v>1708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46216</v>
      </c>
      <c r="C1455" s="15" t="n">
        <v>46228</v>
      </c>
      <c r="D1455" s="16" t="n">
        <v>1705</v>
      </c>
      <c r="E1455" s="1" t="s">
        <v>148</v>
      </c>
      <c r="F1455" s="16" t="n">
        <v>24</v>
      </c>
      <c r="G1455" s="1" t="s">
        <v>32</v>
      </c>
      <c r="H1455" s="16" t="n">
        <v>1110202</v>
      </c>
      <c r="I1455" s="1" t="s">
        <v>285</v>
      </c>
      <c r="J1455" s="16" t="n">
        <v>1392681</v>
      </c>
      <c r="L1455" s="16" t="n">
        <v>1928560</v>
      </c>
      <c r="M1455" s="1" t="s">
        <v>41</v>
      </c>
      <c r="N1455" s="1" t="s">
        <v>42</v>
      </c>
      <c r="P1455" s="16" t="n">
        <v>103</v>
      </c>
      <c r="Q1455" s="1" t="s">
        <v>36</v>
      </c>
      <c r="R1455" s="1" t="s">
        <v>37</v>
      </c>
      <c r="S1455" s="16" t="n">
        <v>1130101</v>
      </c>
      <c r="T1455" s="1" t="s">
        <v>38</v>
      </c>
      <c r="U1455" s="17" t="n">
        <v>224.97</v>
      </c>
      <c r="W1455" s="17" t="n">
        <v>0</v>
      </c>
      <c r="X1455" s="1" t="s">
        <v>1709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46217</v>
      </c>
      <c r="C1456" s="15" t="n">
        <v>46228</v>
      </c>
      <c r="D1456" s="16" t="n">
        <v>1269</v>
      </c>
      <c r="E1456" s="1" t="s">
        <v>280</v>
      </c>
      <c r="F1456" s="16" t="n">
        <v>24</v>
      </c>
      <c r="G1456" s="1" t="s">
        <v>32</v>
      </c>
      <c r="H1456" s="16" t="n">
        <v>1110202</v>
      </c>
      <c r="I1456" s="1" t="s">
        <v>285</v>
      </c>
      <c r="J1456" s="16" t="n">
        <v>1397166</v>
      </c>
      <c r="L1456" s="16" t="n">
        <v>742</v>
      </c>
      <c r="M1456" s="1" t="s">
        <v>34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607.5</v>
      </c>
      <c r="W1456" s="17" t="n">
        <v>0</v>
      </c>
      <c r="X1456" s="1" t="s">
        <v>1710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46228</v>
      </c>
      <c r="C1457" s="15" t="n">
        <v>46228</v>
      </c>
      <c r="D1457" s="16" t="n">
        <v>978</v>
      </c>
      <c r="E1457" s="1" t="s">
        <v>97</v>
      </c>
      <c r="F1457" s="16" t="n">
        <v>13</v>
      </c>
      <c r="G1457" s="1" t="s">
        <v>98</v>
      </c>
      <c r="H1457" s="16" t="n">
        <v>2110101</v>
      </c>
      <c r="I1457" s="1" t="s">
        <v>33</v>
      </c>
      <c r="J1457" s="16" t="n">
        <v>1459639</v>
      </c>
      <c r="L1457" s="16" t="n">
        <v>394</v>
      </c>
      <c r="M1457" s="1" t="s">
        <v>41</v>
      </c>
      <c r="N1457" s="1" t="s">
        <v>35</v>
      </c>
      <c r="P1457" s="16" t="n">
        <v>104</v>
      </c>
      <c r="Q1457" s="1" t="s">
        <v>99</v>
      </c>
      <c r="R1457" s="1" t="s">
        <v>37</v>
      </c>
      <c r="S1457" s="16" t="n">
        <v>1130101</v>
      </c>
      <c r="T1457" s="1" t="s">
        <v>38</v>
      </c>
      <c r="U1457" s="17" t="n">
        <v>518</v>
      </c>
      <c r="W1457" s="17" t="n">
        <v>0</v>
      </c>
      <c r="X1457" s="1" t="s">
        <v>1711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46219</v>
      </c>
      <c r="C1458" s="15" t="n">
        <v>46228</v>
      </c>
      <c r="D1458" s="16" t="n">
        <v>1723</v>
      </c>
      <c r="E1458" s="1" t="s">
        <v>264</v>
      </c>
      <c r="F1458" s="16" t="n">
        <v>24</v>
      </c>
      <c r="G1458" s="1" t="s">
        <v>32</v>
      </c>
      <c r="H1458" s="16" t="n">
        <v>1110202</v>
      </c>
      <c r="I1458" s="1" t="s">
        <v>285</v>
      </c>
      <c r="J1458" s="16" t="n">
        <v>1406990</v>
      </c>
      <c r="L1458" s="16" t="n">
        <v>173212</v>
      </c>
      <c r="M1458" s="1" t="s">
        <v>41</v>
      </c>
      <c r="N1458" s="1" t="s">
        <v>42</v>
      </c>
      <c r="P1458" s="16" t="n">
        <v>103</v>
      </c>
      <c r="Q1458" s="1" t="s">
        <v>36</v>
      </c>
      <c r="R1458" s="1" t="s">
        <v>37</v>
      </c>
      <c r="S1458" s="16" t="n">
        <v>1130101</v>
      </c>
      <c r="T1458" s="1" t="s">
        <v>38</v>
      </c>
      <c r="U1458" s="17" t="n">
        <v>3528.5</v>
      </c>
      <c r="W1458" s="17" t="n">
        <v>0</v>
      </c>
      <c r="X1458" s="1" t="s">
        <v>1712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46223</v>
      </c>
      <c r="C1459" s="15" t="n">
        <v>46228</v>
      </c>
      <c r="D1459" s="16" t="n">
        <v>1625</v>
      </c>
      <c r="E1459" s="1" t="s">
        <v>211</v>
      </c>
      <c r="F1459" s="16" t="n">
        <v>24</v>
      </c>
      <c r="G1459" s="1" t="s">
        <v>32</v>
      </c>
      <c r="H1459" s="16" t="n">
        <v>1110202</v>
      </c>
      <c r="I1459" s="1" t="s">
        <v>285</v>
      </c>
      <c r="J1459" s="16" t="n">
        <v>1425041</v>
      </c>
      <c r="L1459" s="16" t="n">
        <v>14750</v>
      </c>
      <c r="M1459" s="1" t="s">
        <v>41</v>
      </c>
      <c r="N1459" s="1" t="s">
        <v>42</v>
      </c>
      <c r="P1459" s="16" t="n">
        <v>103</v>
      </c>
      <c r="Q1459" s="1" t="s">
        <v>36</v>
      </c>
      <c r="R1459" s="1" t="s">
        <v>37</v>
      </c>
      <c r="S1459" s="16" t="n">
        <v>1130101</v>
      </c>
      <c r="T1459" s="1" t="s">
        <v>38</v>
      </c>
      <c r="U1459" s="17" t="n">
        <v>8621</v>
      </c>
      <c r="W1459" s="17" t="n">
        <v>0</v>
      </c>
      <c r="X1459" s="1" t="s">
        <v>1713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46224</v>
      </c>
      <c r="C1460" s="15" t="n">
        <v>46228</v>
      </c>
      <c r="D1460" s="16" t="n">
        <v>1363</v>
      </c>
      <c r="E1460" s="1" t="s">
        <v>155</v>
      </c>
      <c r="F1460" s="16" t="n">
        <v>24</v>
      </c>
      <c r="G1460" s="1" t="s">
        <v>32</v>
      </c>
      <c r="H1460" s="16" t="n">
        <v>1110202</v>
      </c>
      <c r="I1460" s="1" t="s">
        <v>285</v>
      </c>
      <c r="J1460" s="16" t="n">
        <v>1429373</v>
      </c>
      <c r="L1460" s="16" t="n">
        <v>3576</v>
      </c>
      <c r="M1460" s="1" t="s">
        <v>41</v>
      </c>
      <c r="N1460" s="1" t="s">
        <v>42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274</v>
      </c>
      <c r="W1460" s="17" t="n">
        <v>0</v>
      </c>
      <c r="X1460" s="1" t="s">
        <v>1714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46228</v>
      </c>
      <c r="C1461" s="15" t="n">
        <v>46228</v>
      </c>
      <c r="D1461" s="16" t="n">
        <v>10096</v>
      </c>
      <c r="E1461" s="1" t="s">
        <v>1496</v>
      </c>
      <c r="F1461" s="16" t="n">
        <v>13</v>
      </c>
      <c r="G1461" s="1" t="s">
        <v>98</v>
      </c>
      <c r="H1461" s="16" t="n">
        <v>2110101</v>
      </c>
      <c r="I1461" s="1" t="s">
        <v>33</v>
      </c>
      <c r="J1461" s="16" t="n">
        <v>1459678</v>
      </c>
      <c r="L1461" s="16" t="n">
        <v>80</v>
      </c>
      <c r="M1461" s="1" t="s">
        <v>41</v>
      </c>
      <c r="N1461" s="1" t="s">
        <v>35</v>
      </c>
      <c r="P1461" s="16" t="n">
        <v>104</v>
      </c>
      <c r="Q1461" s="1" t="s">
        <v>99</v>
      </c>
      <c r="R1461" s="1" t="s">
        <v>37</v>
      </c>
      <c r="S1461" s="16" t="n">
        <v>1130101</v>
      </c>
      <c r="T1461" s="1" t="s">
        <v>38</v>
      </c>
      <c r="U1461" s="17" t="n">
        <v>420</v>
      </c>
      <c r="W1461" s="17" t="n">
        <v>0</v>
      </c>
      <c r="X1461" s="1" t="s">
        <v>1715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46227</v>
      </c>
      <c r="C1462" s="15" t="n">
        <v>46228</v>
      </c>
      <c r="D1462" s="16" t="n">
        <v>33</v>
      </c>
      <c r="E1462" s="1" t="s">
        <v>70</v>
      </c>
      <c r="F1462" s="16" t="n">
        <v>34</v>
      </c>
      <c r="G1462" s="1" t="s">
        <v>71</v>
      </c>
      <c r="H1462" s="16" t="n">
        <v>2110101</v>
      </c>
      <c r="I1462" s="1" t="s">
        <v>33</v>
      </c>
      <c r="J1462" s="16" t="n">
        <v>1444846</v>
      </c>
      <c r="L1462" s="16" t="n">
        <v>5344</v>
      </c>
      <c r="M1462" s="1" t="s">
        <v>41</v>
      </c>
      <c r="N1462" s="1" t="s">
        <v>35</v>
      </c>
      <c r="P1462" s="16" t="n">
        <v>104</v>
      </c>
      <c r="Q1462" s="1" t="s">
        <v>99</v>
      </c>
      <c r="R1462" s="1" t="s">
        <v>37</v>
      </c>
      <c r="S1462" s="16" t="n">
        <v>1130101</v>
      </c>
      <c r="T1462" s="1" t="s">
        <v>38</v>
      </c>
      <c r="U1462" s="17" t="n">
        <v>2759</v>
      </c>
      <c r="W1462" s="17" t="n">
        <v>0</v>
      </c>
      <c r="X1462" s="1" t="s">
        <v>220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46227</v>
      </c>
      <c r="C1463" s="15" t="n">
        <v>46228</v>
      </c>
      <c r="D1463" s="16" t="n">
        <v>1615</v>
      </c>
      <c r="E1463" s="1" t="s">
        <v>221</v>
      </c>
      <c r="F1463" s="16" t="n">
        <v>34</v>
      </c>
      <c r="G1463" s="1" t="s">
        <v>71</v>
      </c>
      <c r="H1463" s="16" t="n">
        <v>2110101</v>
      </c>
      <c r="I1463" s="1" t="s">
        <v>33</v>
      </c>
      <c r="J1463" s="16" t="n">
        <v>1444868</v>
      </c>
      <c r="L1463" s="16" t="n">
        <v>14945</v>
      </c>
      <c r="M1463" s="1" t="s">
        <v>41</v>
      </c>
      <c r="N1463" s="1" t="s">
        <v>35</v>
      </c>
      <c r="P1463" s="16" t="n">
        <v>104</v>
      </c>
      <c r="Q1463" s="1" t="s">
        <v>99</v>
      </c>
      <c r="R1463" s="1" t="s">
        <v>37</v>
      </c>
      <c r="S1463" s="16" t="n">
        <v>1130101</v>
      </c>
      <c r="T1463" s="1" t="s">
        <v>38</v>
      </c>
      <c r="U1463" s="17" t="n">
        <v>490</v>
      </c>
      <c r="W1463" s="17" t="n">
        <v>0</v>
      </c>
      <c r="X1463" s="1" t="s">
        <v>1716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46227</v>
      </c>
      <c r="C1464" s="15" t="n">
        <v>46228</v>
      </c>
      <c r="D1464" s="16" t="n">
        <v>33</v>
      </c>
      <c r="E1464" s="1" t="s">
        <v>70</v>
      </c>
      <c r="F1464" s="16" t="n">
        <v>34</v>
      </c>
      <c r="G1464" s="1" t="s">
        <v>71</v>
      </c>
      <c r="H1464" s="16" t="n">
        <v>2110101</v>
      </c>
      <c r="I1464" s="1" t="s">
        <v>33</v>
      </c>
      <c r="J1464" s="16" t="n">
        <v>1444905</v>
      </c>
      <c r="L1464" s="16" t="n">
        <v>594401</v>
      </c>
      <c r="M1464" s="1" t="s">
        <v>41</v>
      </c>
      <c r="N1464" s="1" t="s">
        <v>42</v>
      </c>
      <c r="P1464" s="16" t="n">
        <v>104</v>
      </c>
      <c r="Q1464" s="1" t="s">
        <v>99</v>
      </c>
      <c r="R1464" s="1" t="s">
        <v>37</v>
      </c>
      <c r="S1464" s="16" t="n">
        <v>1130101</v>
      </c>
      <c r="T1464" s="1" t="s">
        <v>38</v>
      </c>
      <c r="U1464" s="17" t="n">
        <v>165</v>
      </c>
      <c r="W1464" s="17" t="n">
        <v>0</v>
      </c>
      <c r="X1464" s="1" t="s">
        <v>1717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46211</v>
      </c>
      <c r="C1465" s="15" t="n">
        <v>46228</v>
      </c>
      <c r="D1465" s="16" t="n">
        <v>10093</v>
      </c>
      <c r="E1465" s="1" t="s">
        <v>1718</v>
      </c>
      <c r="F1465" s="16" t="n">
        <v>24</v>
      </c>
      <c r="G1465" s="1" t="s">
        <v>32</v>
      </c>
      <c r="H1465" s="16" t="n">
        <v>1110202</v>
      </c>
      <c r="I1465" s="1" t="s">
        <v>285</v>
      </c>
      <c r="J1465" s="16" t="n">
        <v>1448866</v>
      </c>
      <c r="L1465" s="16" t="n">
        <v>109</v>
      </c>
      <c r="M1465" s="1" t="s">
        <v>41</v>
      </c>
      <c r="N1465" s="1" t="s">
        <v>42</v>
      </c>
      <c r="P1465" s="16" t="n">
        <v>103</v>
      </c>
      <c r="Q1465" s="1" t="s">
        <v>36</v>
      </c>
      <c r="R1465" s="1" t="s">
        <v>37</v>
      </c>
      <c r="S1465" s="16" t="n">
        <v>1130101</v>
      </c>
      <c r="T1465" s="1" t="s">
        <v>38</v>
      </c>
      <c r="U1465" s="17" t="n">
        <v>309.99</v>
      </c>
      <c r="W1465" s="17" t="n">
        <v>0</v>
      </c>
      <c r="X1465" s="1" t="s">
        <v>1719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46232</v>
      </c>
      <c r="C1466" s="15" t="n">
        <v>46228</v>
      </c>
      <c r="D1466" s="16" t="n">
        <v>1064</v>
      </c>
      <c r="E1466" s="1" t="s">
        <v>871</v>
      </c>
      <c r="F1466" s="16" t="n">
        <v>36</v>
      </c>
      <c r="G1466" s="1" t="s">
        <v>445</v>
      </c>
      <c r="H1466" s="16" t="n">
        <v>1110202</v>
      </c>
      <c r="I1466" s="1" t="s">
        <v>285</v>
      </c>
      <c r="J1466" s="16" t="n">
        <v>1469530</v>
      </c>
      <c r="L1466" s="16" t="n">
        <v>603893</v>
      </c>
      <c r="M1466" s="1" t="s">
        <v>128</v>
      </c>
      <c r="N1466" s="1" t="s">
        <v>42</v>
      </c>
      <c r="P1466" s="16" t="n">
        <v>102</v>
      </c>
      <c r="Q1466" s="1" t="s">
        <v>107</v>
      </c>
      <c r="R1466" s="1" t="s">
        <v>60</v>
      </c>
      <c r="S1466" s="16" t="n">
        <v>4210227</v>
      </c>
      <c r="T1466" s="1" t="s">
        <v>418</v>
      </c>
      <c r="U1466" s="17" t="n">
        <v>256.58</v>
      </c>
      <c r="W1466" s="17" t="n">
        <v>0</v>
      </c>
      <c r="X1466" s="1" t="s">
        <v>1720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46195</v>
      </c>
      <c r="C1467" s="15" t="n">
        <v>46228</v>
      </c>
      <c r="D1467" s="16" t="n">
        <v>954</v>
      </c>
      <c r="E1467" s="1" t="s">
        <v>862</v>
      </c>
      <c r="F1467" s="16" t="n">
        <v>36</v>
      </c>
      <c r="G1467" s="1" t="s">
        <v>445</v>
      </c>
      <c r="H1467" s="16" t="n">
        <v>1110202</v>
      </c>
      <c r="I1467" s="1" t="s">
        <v>285</v>
      </c>
      <c r="J1467" s="16" t="n">
        <v>1473939</v>
      </c>
      <c r="L1467" s="16" t="n">
        <v>605537</v>
      </c>
      <c r="M1467" s="1" t="s">
        <v>41</v>
      </c>
      <c r="N1467" s="1" t="s">
        <v>42</v>
      </c>
      <c r="P1467" s="16" t="n">
        <v>101</v>
      </c>
      <c r="Q1467" s="1" t="s">
        <v>84</v>
      </c>
      <c r="R1467" s="1" t="s">
        <v>60</v>
      </c>
      <c r="S1467" s="16" t="n">
        <v>4210209</v>
      </c>
      <c r="T1467" s="1" t="s">
        <v>491</v>
      </c>
      <c r="U1467" s="17" t="n">
        <v>533.19</v>
      </c>
      <c r="W1467" s="17" t="n">
        <v>0</v>
      </c>
      <c r="X1467" s="1" t="s">
        <v>1721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46203</v>
      </c>
      <c r="C1468" s="15" t="n">
        <v>46228</v>
      </c>
      <c r="D1468" s="16" t="n">
        <v>495</v>
      </c>
      <c r="E1468" s="1" t="s">
        <v>1722</v>
      </c>
      <c r="F1468" s="16" t="n">
        <v>36</v>
      </c>
      <c r="G1468" s="1" t="s">
        <v>445</v>
      </c>
      <c r="H1468" s="16" t="n">
        <v>1110202</v>
      </c>
      <c r="I1468" s="1" t="s">
        <v>285</v>
      </c>
      <c r="J1468" s="16" t="n">
        <v>1473941</v>
      </c>
      <c r="L1468" s="16" t="n">
        <v>605539</v>
      </c>
      <c r="M1468" s="1" t="s">
        <v>41</v>
      </c>
      <c r="N1468" s="1" t="s">
        <v>42</v>
      </c>
      <c r="P1468" s="16" t="n">
        <v>101</v>
      </c>
      <c r="Q1468" s="1" t="s">
        <v>84</v>
      </c>
      <c r="R1468" s="1" t="s">
        <v>60</v>
      </c>
      <c r="S1468" s="16" t="n">
        <v>4210209</v>
      </c>
      <c r="T1468" s="1" t="s">
        <v>491</v>
      </c>
      <c r="U1468" s="17" t="n">
        <v>74</v>
      </c>
      <c r="W1468" s="17" t="n">
        <v>0</v>
      </c>
      <c r="X1468" s="1" t="s">
        <v>1723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46142</v>
      </c>
      <c r="C1469" s="15" t="n">
        <v>46229</v>
      </c>
      <c r="D1469" s="16" t="n">
        <v>607</v>
      </c>
      <c r="E1469" s="1" t="s">
        <v>182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1028242</v>
      </c>
      <c r="L1469" s="16" t="n">
        <v>10262</v>
      </c>
      <c r="M1469" s="1" t="s">
        <v>1696</v>
      </c>
      <c r="N1469" s="1" t="s">
        <v>35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1488.3</v>
      </c>
      <c r="W1469" s="17" t="n">
        <v>0</v>
      </c>
      <c r="X1469" s="1" t="s">
        <v>1724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46192</v>
      </c>
      <c r="C1470" s="15" t="n">
        <v>46229</v>
      </c>
      <c r="D1470" s="16" t="n">
        <v>957</v>
      </c>
      <c r="E1470" s="1" t="s">
        <v>132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1272947</v>
      </c>
      <c r="L1470" s="16" t="n">
        <v>20352</v>
      </c>
      <c r="M1470" s="1" t="s">
        <v>128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1263.3</v>
      </c>
      <c r="W1470" s="17" t="n">
        <v>0</v>
      </c>
      <c r="X1470" s="1" t="s">
        <v>1725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46200</v>
      </c>
      <c r="C1471" s="15" t="n">
        <v>46229</v>
      </c>
      <c r="D1471" s="16" t="n">
        <v>639</v>
      </c>
      <c r="E1471" s="1" t="s">
        <v>185</v>
      </c>
      <c r="F1471" s="16" t="n">
        <v>24</v>
      </c>
      <c r="G1471" s="1" t="s">
        <v>32</v>
      </c>
      <c r="H1471" s="16" t="n">
        <v>2110405</v>
      </c>
      <c r="I1471" s="1" t="s">
        <v>83</v>
      </c>
      <c r="J1471" s="16" t="n">
        <v>1313110</v>
      </c>
      <c r="L1471" s="16" t="n">
        <v>543672</v>
      </c>
      <c r="M1471" s="1" t="s">
        <v>41</v>
      </c>
      <c r="N1471" s="1" t="s">
        <v>42</v>
      </c>
      <c r="P1471" s="16" t="n">
        <v>101</v>
      </c>
      <c r="Q1471" s="1" t="s">
        <v>84</v>
      </c>
      <c r="R1471" s="1" t="s">
        <v>60</v>
      </c>
      <c r="S1471" s="16" t="n">
        <v>4210216</v>
      </c>
      <c r="T1471" s="1" t="s">
        <v>186</v>
      </c>
      <c r="U1471" s="17" t="n">
        <v>420</v>
      </c>
      <c r="W1471" s="17" t="n">
        <v>0</v>
      </c>
      <c r="X1471" s="1" t="s">
        <v>187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46209</v>
      </c>
      <c r="C1472" s="15" t="n">
        <v>46229</v>
      </c>
      <c r="D1472" s="16" t="n">
        <v>10020</v>
      </c>
      <c r="E1472" s="1" t="s">
        <v>260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1360452</v>
      </c>
      <c r="L1472" s="16" t="n">
        <v>707</v>
      </c>
      <c r="M1472" s="1" t="s">
        <v>34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410.7</v>
      </c>
      <c r="W1472" s="17" t="n">
        <v>0</v>
      </c>
      <c r="X1472" s="1" t="s">
        <v>1726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46211</v>
      </c>
      <c r="C1473" s="15" t="n">
        <v>46229</v>
      </c>
      <c r="D1473" s="16" t="n">
        <v>1613</v>
      </c>
      <c r="E1473" s="1" t="s">
        <v>208</v>
      </c>
      <c r="F1473" s="16" t="n">
        <v>24</v>
      </c>
      <c r="G1473" s="1" t="s">
        <v>32</v>
      </c>
      <c r="H1473" s="16" t="n">
        <v>2110101</v>
      </c>
      <c r="I1473" s="1" t="s">
        <v>33</v>
      </c>
      <c r="J1473" s="16" t="n">
        <v>1368798</v>
      </c>
      <c r="L1473" s="16" t="n">
        <v>1604302</v>
      </c>
      <c r="M1473" s="1" t="s">
        <v>34</v>
      </c>
      <c r="N1473" s="1" t="s">
        <v>35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650.23</v>
      </c>
      <c r="W1473" s="17" t="n">
        <v>0</v>
      </c>
      <c r="X1473" s="1" t="s">
        <v>1727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46226</v>
      </c>
      <c r="C1474" s="15" t="n">
        <v>46229</v>
      </c>
      <c r="D1474" s="16" t="n">
        <v>928</v>
      </c>
      <c r="E1474" s="1" t="s">
        <v>893</v>
      </c>
      <c r="F1474" s="16" t="n">
        <v>24</v>
      </c>
      <c r="G1474" s="1" t="s">
        <v>32</v>
      </c>
      <c r="H1474" s="16" t="n">
        <v>1110202</v>
      </c>
      <c r="I1474" s="1" t="s">
        <v>285</v>
      </c>
      <c r="J1474" s="16" t="n">
        <v>1440468</v>
      </c>
      <c r="L1474" s="16" t="n">
        <v>592708</v>
      </c>
      <c r="M1474" s="1" t="s">
        <v>41</v>
      </c>
      <c r="N1474" s="1" t="s">
        <v>42</v>
      </c>
      <c r="P1474" s="16" t="n">
        <v>101</v>
      </c>
      <c r="Q1474" s="1" t="s">
        <v>84</v>
      </c>
      <c r="R1474" s="1" t="s">
        <v>85</v>
      </c>
      <c r="S1474" s="16" t="n">
        <v>421033</v>
      </c>
      <c r="T1474" s="1" t="s">
        <v>894</v>
      </c>
      <c r="U1474" s="17" t="n">
        <v>299.9</v>
      </c>
      <c r="W1474" s="17" t="n">
        <v>0</v>
      </c>
      <c r="X1474" s="1" t="s">
        <v>1728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46230</v>
      </c>
      <c r="C1475" s="15" t="n">
        <v>46230</v>
      </c>
      <c r="D1475" s="16" t="n">
        <v>1000001</v>
      </c>
      <c r="E1475" s="1" t="s">
        <v>782</v>
      </c>
      <c r="F1475" s="16" t="n">
        <v>24</v>
      </c>
      <c r="G1475" s="1" t="s">
        <v>32</v>
      </c>
      <c r="H1475" s="16" t="n">
        <v>1110202</v>
      </c>
      <c r="I1475" s="1" t="s">
        <v>285</v>
      </c>
      <c r="J1475" s="16" t="n">
        <v>1458713</v>
      </c>
      <c r="L1475" s="16" t="n">
        <v>600207</v>
      </c>
      <c r="M1475" s="1" t="s">
        <v>41</v>
      </c>
      <c r="N1475" s="1" t="s">
        <v>42</v>
      </c>
      <c r="P1475" s="16" t="n">
        <v>102</v>
      </c>
      <c r="Q1475" s="1" t="s">
        <v>107</v>
      </c>
      <c r="R1475" s="1" t="s">
        <v>91</v>
      </c>
      <c r="S1475" s="16" t="n">
        <v>4220199</v>
      </c>
      <c r="T1475" s="1" t="s">
        <v>92</v>
      </c>
      <c r="U1475" s="17" t="n">
        <v>342.86</v>
      </c>
      <c r="W1475" s="17" t="n">
        <v>0</v>
      </c>
      <c r="X1475" s="1" t="s">
        <v>1729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46230</v>
      </c>
      <c r="C1476" s="15" t="n">
        <v>46230</v>
      </c>
      <c r="D1476" s="16" t="n">
        <v>17</v>
      </c>
      <c r="E1476" s="1" t="s">
        <v>94</v>
      </c>
      <c r="F1476" s="16" t="n">
        <v>24</v>
      </c>
      <c r="G1476" s="1" t="s">
        <v>32</v>
      </c>
      <c r="H1476" s="16" t="n">
        <v>1110202</v>
      </c>
      <c r="I1476" s="1" t="s">
        <v>285</v>
      </c>
      <c r="J1476" s="16" t="n">
        <v>1458818</v>
      </c>
      <c r="L1476" s="16" t="n">
        <v>600228</v>
      </c>
      <c r="M1476" s="1" t="s">
        <v>41</v>
      </c>
      <c r="N1476" s="1" t="s">
        <v>42</v>
      </c>
      <c r="P1476" s="16" t="n">
        <v>101</v>
      </c>
      <c r="Q1476" s="1" t="s">
        <v>84</v>
      </c>
      <c r="R1476" s="1" t="s">
        <v>91</v>
      </c>
      <c r="S1476" s="16" t="n">
        <v>4220199</v>
      </c>
      <c r="T1476" s="1" t="s">
        <v>92</v>
      </c>
      <c r="U1476" s="17" t="n">
        <v>53.22</v>
      </c>
      <c r="W1476" s="17" t="n">
        <v>0</v>
      </c>
      <c r="X1476" s="1" t="s">
        <v>1730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46196</v>
      </c>
      <c r="C1477" s="15" t="n">
        <v>46230</v>
      </c>
      <c r="D1477" s="16" t="n">
        <v>1107</v>
      </c>
      <c r="E1477" s="1" t="s">
        <v>130</v>
      </c>
      <c r="F1477" s="16" t="n">
        <v>24</v>
      </c>
      <c r="G1477" s="1" t="s">
        <v>32</v>
      </c>
      <c r="H1477" s="16" t="n">
        <v>2110101</v>
      </c>
      <c r="I1477" s="1" t="s">
        <v>33</v>
      </c>
      <c r="J1477" s="16" t="n">
        <v>1294118</v>
      </c>
      <c r="L1477" s="16" t="n">
        <v>419583</v>
      </c>
      <c r="M1477" s="1" t="s">
        <v>128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1351</v>
      </c>
      <c r="W1477" s="17" t="n">
        <v>0</v>
      </c>
      <c r="X1477" s="1" t="s">
        <v>1731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46196</v>
      </c>
      <c r="C1478" s="15" t="n">
        <v>46230</v>
      </c>
      <c r="D1478" s="16" t="n">
        <v>1611</v>
      </c>
      <c r="E1478" s="1" t="s">
        <v>206</v>
      </c>
      <c r="F1478" s="16" t="n">
        <v>24</v>
      </c>
      <c r="G1478" s="1" t="s">
        <v>32</v>
      </c>
      <c r="H1478" s="16" t="n">
        <v>2110101</v>
      </c>
      <c r="I1478" s="1" t="s">
        <v>33</v>
      </c>
      <c r="J1478" s="16" t="n">
        <v>1294640</v>
      </c>
      <c r="L1478" s="16" t="n">
        <v>536311</v>
      </c>
      <c r="M1478" s="1" t="s">
        <v>34</v>
      </c>
      <c r="N1478" s="1" t="s">
        <v>42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3224.65</v>
      </c>
      <c r="W1478" s="17" t="n">
        <v>0</v>
      </c>
      <c r="X1478" s="1" t="s">
        <v>1732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46202</v>
      </c>
      <c r="C1479" s="15" t="n">
        <v>46230</v>
      </c>
      <c r="D1479" s="16" t="n">
        <v>1659</v>
      </c>
      <c r="E1479" s="1" t="s">
        <v>54</v>
      </c>
      <c r="F1479" s="16" t="n">
        <v>24</v>
      </c>
      <c r="G1479" s="1" t="s">
        <v>32</v>
      </c>
      <c r="H1479" s="16" t="n">
        <v>2110101</v>
      </c>
      <c r="I1479" s="1" t="s">
        <v>33</v>
      </c>
      <c r="J1479" s="16" t="n">
        <v>1323112</v>
      </c>
      <c r="L1479" s="16" t="n">
        <v>882141</v>
      </c>
      <c r="M1479" s="1" t="s">
        <v>128</v>
      </c>
      <c r="N1479" s="1" t="s">
        <v>35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1326.93</v>
      </c>
      <c r="W1479" s="17" t="n">
        <v>0</v>
      </c>
      <c r="X1479" s="1" t="s">
        <v>1733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46203</v>
      </c>
      <c r="C1480" s="15" t="n">
        <v>46230</v>
      </c>
      <c r="D1480" s="16" t="n">
        <v>10037</v>
      </c>
      <c r="E1480" s="1" t="s">
        <v>540</v>
      </c>
      <c r="F1480" s="16" t="n">
        <v>24</v>
      </c>
      <c r="G1480" s="1" t="s">
        <v>32</v>
      </c>
      <c r="H1480" s="16" t="n">
        <v>2110101</v>
      </c>
      <c r="I1480" s="1" t="s">
        <v>33</v>
      </c>
      <c r="J1480" s="16" t="n">
        <v>1329937</v>
      </c>
      <c r="L1480" s="16" t="n">
        <v>2524</v>
      </c>
      <c r="M1480" s="1" t="s">
        <v>128</v>
      </c>
      <c r="N1480" s="1" t="s">
        <v>35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663.82</v>
      </c>
      <c r="W1480" s="17" t="n">
        <v>0</v>
      </c>
      <c r="X1480" s="1" t="s">
        <v>1734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46210</v>
      </c>
      <c r="C1481" s="15" t="n">
        <v>46230</v>
      </c>
      <c r="D1481" s="16" t="n">
        <v>1608</v>
      </c>
      <c r="E1481" s="1" t="s">
        <v>51</v>
      </c>
      <c r="F1481" s="16" t="n">
        <v>24</v>
      </c>
      <c r="G1481" s="1" t="s">
        <v>32</v>
      </c>
      <c r="H1481" s="16" t="n">
        <v>2110101</v>
      </c>
      <c r="I1481" s="1" t="s">
        <v>33</v>
      </c>
      <c r="J1481" s="16" t="n">
        <v>1366288</v>
      </c>
      <c r="L1481" s="16" t="n">
        <v>1686926</v>
      </c>
      <c r="M1481" s="1" t="s">
        <v>41</v>
      </c>
      <c r="N1481" s="1" t="s">
        <v>35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2652.75</v>
      </c>
      <c r="W1481" s="17" t="n">
        <v>0</v>
      </c>
      <c r="X1481" s="1" t="s">
        <v>1735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46216</v>
      </c>
      <c r="C1482" s="15" t="n">
        <v>46230</v>
      </c>
      <c r="D1482" s="16" t="n">
        <v>1608</v>
      </c>
      <c r="E1482" s="1" t="s">
        <v>51</v>
      </c>
      <c r="F1482" s="16" t="n">
        <v>24</v>
      </c>
      <c r="G1482" s="1" t="s">
        <v>32</v>
      </c>
      <c r="H1482" s="16" t="n">
        <v>2110405</v>
      </c>
      <c r="I1482" s="1" t="s">
        <v>83</v>
      </c>
      <c r="J1482" s="16" t="n">
        <v>1393857</v>
      </c>
      <c r="L1482" s="16" t="n">
        <v>1690878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1039.08</v>
      </c>
      <c r="W1482" s="17" t="n">
        <v>0</v>
      </c>
      <c r="X1482" s="1" t="s">
        <v>1736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46217</v>
      </c>
      <c r="C1483" s="15" t="n">
        <v>46230</v>
      </c>
      <c r="D1483" s="16" t="n">
        <v>1324</v>
      </c>
      <c r="E1483" s="1" t="s">
        <v>138</v>
      </c>
      <c r="F1483" s="16" t="n">
        <v>24</v>
      </c>
      <c r="G1483" s="1" t="s">
        <v>32</v>
      </c>
      <c r="H1483" s="16" t="n">
        <v>1110202</v>
      </c>
      <c r="I1483" s="1" t="s">
        <v>285</v>
      </c>
      <c r="J1483" s="16" t="n">
        <v>1397096</v>
      </c>
      <c r="L1483" s="16" t="n">
        <v>385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260</v>
      </c>
      <c r="W1483" s="17" t="n">
        <v>0</v>
      </c>
      <c r="X1483" s="1" t="s">
        <v>1737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46217</v>
      </c>
      <c r="C1484" s="15" t="n">
        <v>46230</v>
      </c>
      <c r="D1484" s="16" t="n">
        <v>1114</v>
      </c>
      <c r="E1484" s="1" t="s">
        <v>144</v>
      </c>
      <c r="F1484" s="16" t="n">
        <v>24</v>
      </c>
      <c r="G1484" s="1" t="s">
        <v>32</v>
      </c>
      <c r="H1484" s="16" t="n">
        <v>1110202</v>
      </c>
      <c r="I1484" s="1" t="s">
        <v>285</v>
      </c>
      <c r="J1484" s="16" t="n">
        <v>1397265</v>
      </c>
      <c r="L1484" s="16" t="n">
        <v>40994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3889.11</v>
      </c>
      <c r="W1484" s="17" t="n">
        <v>0</v>
      </c>
      <c r="X1484" s="1" t="s">
        <v>1738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46223</v>
      </c>
      <c r="C1485" s="15" t="n">
        <v>46230</v>
      </c>
      <c r="D1485" s="16" t="n">
        <v>33</v>
      </c>
      <c r="E1485" s="1" t="s">
        <v>70</v>
      </c>
      <c r="F1485" s="16" t="n">
        <v>34</v>
      </c>
      <c r="G1485" s="1" t="s">
        <v>71</v>
      </c>
      <c r="H1485" s="16" t="n">
        <v>2110101</v>
      </c>
      <c r="I1485" s="1" t="s">
        <v>33</v>
      </c>
      <c r="J1485" s="16" t="n">
        <v>1423765</v>
      </c>
      <c r="L1485" s="16" t="n">
        <v>5319</v>
      </c>
      <c r="M1485" s="1" t="s">
        <v>41</v>
      </c>
      <c r="N1485" s="1" t="s">
        <v>35</v>
      </c>
      <c r="P1485" s="16" t="n">
        <v>103</v>
      </c>
      <c r="Q1485" s="1" t="s">
        <v>36</v>
      </c>
      <c r="R1485" s="1" t="s">
        <v>37</v>
      </c>
      <c r="S1485" s="16" t="n">
        <v>1130101</v>
      </c>
      <c r="T1485" s="1" t="s">
        <v>38</v>
      </c>
      <c r="U1485" s="17" t="n">
        <v>1420</v>
      </c>
      <c r="W1485" s="17" t="n">
        <v>0</v>
      </c>
      <c r="X1485" s="1" t="s">
        <v>1739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46223</v>
      </c>
      <c r="C1486" s="15" t="n">
        <v>46230</v>
      </c>
      <c r="D1486" s="16" t="n">
        <v>33</v>
      </c>
      <c r="E1486" s="1" t="s">
        <v>70</v>
      </c>
      <c r="F1486" s="16" t="n">
        <v>34</v>
      </c>
      <c r="G1486" s="1" t="s">
        <v>71</v>
      </c>
      <c r="H1486" s="16" t="n">
        <v>2110101</v>
      </c>
      <c r="I1486" s="1" t="s">
        <v>33</v>
      </c>
      <c r="J1486" s="16" t="n">
        <v>1423792</v>
      </c>
      <c r="L1486" s="16" t="n">
        <v>5320</v>
      </c>
      <c r="M1486" s="1" t="s">
        <v>41</v>
      </c>
      <c r="N1486" s="1" t="s">
        <v>35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1470</v>
      </c>
      <c r="W1486" s="17" t="n">
        <v>0</v>
      </c>
      <c r="X1486" s="1" t="s">
        <v>1740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46223</v>
      </c>
      <c r="C1487" s="15" t="n">
        <v>46230</v>
      </c>
      <c r="D1487" s="16" t="n">
        <v>33</v>
      </c>
      <c r="E1487" s="1" t="s">
        <v>70</v>
      </c>
      <c r="F1487" s="16" t="n">
        <v>34</v>
      </c>
      <c r="G1487" s="1" t="s">
        <v>71</v>
      </c>
      <c r="H1487" s="16" t="n">
        <v>2110101</v>
      </c>
      <c r="I1487" s="1" t="s">
        <v>33</v>
      </c>
      <c r="J1487" s="16" t="n">
        <v>1423824</v>
      </c>
      <c r="L1487" s="16" t="n">
        <v>5321</v>
      </c>
      <c r="M1487" s="1" t="s">
        <v>41</v>
      </c>
      <c r="N1487" s="1" t="s">
        <v>35</v>
      </c>
      <c r="P1487" s="16" t="n">
        <v>103</v>
      </c>
      <c r="Q1487" s="1" t="s">
        <v>36</v>
      </c>
      <c r="R1487" s="1" t="s">
        <v>37</v>
      </c>
      <c r="S1487" s="16" t="n">
        <v>1130101</v>
      </c>
      <c r="T1487" s="1" t="s">
        <v>38</v>
      </c>
      <c r="U1487" s="17" t="n">
        <v>600</v>
      </c>
      <c r="W1487" s="17" t="n">
        <v>0</v>
      </c>
      <c r="X1487" s="1" t="s">
        <v>1741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46223</v>
      </c>
      <c r="C1488" s="15" t="n">
        <v>46230</v>
      </c>
      <c r="D1488" s="16" t="n">
        <v>1614</v>
      </c>
      <c r="E1488" s="1" t="s">
        <v>66</v>
      </c>
      <c r="F1488" s="16" t="n">
        <v>24</v>
      </c>
      <c r="G1488" s="1" t="s">
        <v>32</v>
      </c>
      <c r="H1488" s="16" t="n">
        <v>1110202</v>
      </c>
      <c r="I1488" s="1" t="s">
        <v>285</v>
      </c>
      <c r="J1488" s="16" t="n">
        <v>1424878</v>
      </c>
      <c r="L1488" s="16" t="n">
        <v>11447</v>
      </c>
      <c r="M1488" s="1" t="s">
        <v>34</v>
      </c>
      <c r="N1488" s="1" t="s">
        <v>42</v>
      </c>
      <c r="P1488" s="16" t="n">
        <v>103</v>
      </c>
      <c r="Q1488" s="1" t="s">
        <v>36</v>
      </c>
      <c r="R1488" s="1" t="s">
        <v>37</v>
      </c>
      <c r="S1488" s="16" t="n">
        <v>1130101</v>
      </c>
      <c r="T1488" s="1" t="s">
        <v>38</v>
      </c>
      <c r="U1488" s="17" t="n">
        <v>624.28</v>
      </c>
      <c r="W1488" s="17" t="n">
        <v>0</v>
      </c>
      <c r="X1488" s="1" t="s">
        <v>1742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46223</v>
      </c>
      <c r="C1489" s="15" t="n">
        <v>46230</v>
      </c>
      <c r="D1489" s="16" t="n">
        <v>1625</v>
      </c>
      <c r="E1489" s="1" t="s">
        <v>211</v>
      </c>
      <c r="F1489" s="16" t="n">
        <v>24</v>
      </c>
      <c r="G1489" s="1" t="s">
        <v>32</v>
      </c>
      <c r="H1489" s="16" t="n">
        <v>1110202</v>
      </c>
      <c r="I1489" s="1" t="s">
        <v>285</v>
      </c>
      <c r="J1489" s="16" t="n">
        <v>1425293</v>
      </c>
      <c r="L1489" s="16" t="n">
        <v>14759</v>
      </c>
      <c r="M1489" s="1" t="s">
        <v>41</v>
      </c>
      <c r="N1489" s="1" t="s">
        <v>42</v>
      </c>
      <c r="P1489" s="16" t="n">
        <v>103</v>
      </c>
      <c r="Q1489" s="1" t="s">
        <v>36</v>
      </c>
      <c r="R1489" s="1" t="s">
        <v>37</v>
      </c>
      <c r="S1489" s="16" t="n">
        <v>1130101</v>
      </c>
      <c r="T1489" s="1" t="s">
        <v>38</v>
      </c>
      <c r="U1489" s="17" t="n">
        <v>1314</v>
      </c>
      <c r="W1489" s="17" t="n">
        <v>0</v>
      </c>
      <c r="X1489" s="1" t="s">
        <v>1743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46223</v>
      </c>
      <c r="C1490" s="15" t="n">
        <v>46230</v>
      </c>
      <c r="D1490" s="16" t="n">
        <v>1631</v>
      </c>
      <c r="E1490" s="1" t="s">
        <v>78</v>
      </c>
      <c r="F1490" s="16" t="n">
        <v>24</v>
      </c>
      <c r="G1490" s="1" t="s">
        <v>32</v>
      </c>
      <c r="H1490" s="16" t="n">
        <v>1110202</v>
      </c>
      <c r="I1490" s="1" t="s">
        <v>285</v>
      </c>
      <c r="J1490" s="16" t="n">
        <v>1425376</v>
      </c>
      <c r="L1490" s="16" t="n">
        <v>15153</v>
      </c>
      <c r="M1490" s="1" t="s">
        <v>41</v>
      </c>
      <c r="N1490" s="1" t="s">
        <v>42</v>
      </c>
      <c r="P1490" s="16" t="n">
        <v>103</v>
      </c>
      <c r="Q1490" s="1" t="s">
        <v>36</v>
      </c>
      <c r="R1490" s="1" t="s">
        <v>37</v>
      </c>
      <c r="S1490" s="16" t="n">
        <v>1130101</v>
      </c>
      <c r="T1490" s="1" t="s">
        <v>38</v>
      </c>
      <c r="U1490" s="17" t="n">
        <v>742.4</v>
      </c>
      <c r="W1490" s="17" t="n">
        <v>0</v>
      </c>
      <c r="X1490" s="1" t="s">
        <v>1744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46224</v>
      </c>
      <c r="C1491" s="15" t="n">
        <v>46230</v>
      </c>
      <c r="D1491" s="16" t="n">
        <v>1123</v>
      </c>
      <c r="E1491" s="1" t="s">
        <v>215</v>
      </c>
      <c r="F1491" s="16" t="n">
        <v>24</v>
      </c>
      <c r="G1491" s="1" t="s">
        <v>32</v>
      </c>
      <c r="H1491" s="16" t="n">
        <v>1110202</v>
      </c>
      <c r="I1491" s="1" t="s">
        <v>285</v>
      </c>
      <c r="J1491" s="16" t="n">
        <v>1431235</v>
      </c>
      <c r="L1491" s="16" t="n">
        <v>44115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1380</v>
      </c>
      <c r="W1491" s="17" t="n">
        <v>0</v>
      </c>
      <c r="X1491" s="1" t="s">
        <v>1745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46224</v>
      </c>
      <c r="C1492" s="15" t="n">
        <v>46230</v>
      </c>
      <c r="D1492" s="16" t="n">
        <v>1650</v>
      </c>
      <c r="E1492" s="1" t="s">
        <v>76</v>
      </c>
      <c r="F1492" s="16" t="n">
        <v>24</v>
      </c>
      <c r="G1492" s="1" t="s">
        <v>32</v>
      </c>
      <c r="H1492" s="16" t="n">
        <v>1110202</v>
      </c>
      <c r="I1492" s="1" t="s">
        <v>285</v>
      </c>
      <c r="J1492" s="16" t="n">
        <v>1431274</v>
      </c>
      <c r="L1492" s="16" t="n">
        <v>226411</v>
      </c>
      <c r="M1492" s="1" t="s">
        <v>41</v>
      </c>
      <c r="N1492" s="1" t="s">
        <v>42</v>
      </c>
      <c r="P1492" s="16" t="n">
        <v>103</v>
      </c>
      <c r="Q1492" s="1" t="s">
        <v>36</v>
      </c>
      <c r="R1492" s="1" t="s">
        <v>37</v>
      </c>
      <c r="S1492" s="16" t="n">
        <v>1130101</v>
      </c>
      <c r="T1492" s="1" t="s">
        <v>38</v>
      </c>
      <c r="U1492" s="17" t="n">
        <v>505.19</v>
      </c>
      <c r="W1492" s="17" t="n">
        <v>0</v>
      </c>
      <c r="X1492" s="1" t="s">
        <v>1746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46225</v>
      </c>
      <c r="C1493" s="15" t="n">
        <v>46230</v>
      </c>
      <c r="D1493" s="16" t="n">
        <v>1666</v>
      </c>
      <c r="E1493" s="1" t="s">
        <v>31</v>
      </c>
      <c r="F1493" s="16" t="n">
        <v>24</v>
      </c>
      <c r="G1493" s="1" t="s">
        <v>32</v>
      </c>
      <c r="H1493" s="16" t="n">
        <v>1110202</v>
      </c>
      <c r="I1493" s="1" t="s">
        <v>285</v>
      </c>
      <c r="J1493" s="16" t="n">
        <v>1435035</v>
      </c>
      <c r="L1493" s="16" t="n">
        <v>567587</v>
      </c>
      <c r="M1493" s="1" t="s">
        <v>41</v>
      </c>
      <c r="N1493" s="1" t="s">
        <v>42</v>
      </c>
      <c r="P1493" s="16" t="n">
        <v>103</v>
      </c>
      <c r="Q1493" s="1" t="s">
        <v>36</v>
      </c>
      <c r="R1493" s="1" t="s">
        <v>37</v>
      </c>
      <c r="S1493" s="16" t="n">
        <v>1130101</v>
      </c>
      <c r="T1493" s="1" t="s">
        <v>38</v>
      </c>
      <c r="U1493" s="17" t="n">
        <v>5880.89</v>
      </c>
      <c r="W1493" s="17" t="n">
        <v>0</v>
      </c>
      <c r="X1493" s="1" t="s">
        <v>1747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46226</v>
      </c>
      <c r="C1494" s="15" t="n">
        <v>46230</v>
      </c>
      <c r="D1494" s="16" t="n">
        <v>1287</v>
      </c>
      <c r="E1494" s="1" t="s">
        <v>608</v>
      </c>
      <c r="F1494" s="16" t="n">
        <v>24</v>
      </c>
      <c r="G1494" s="1" t="s">
        <v>32</v>
      </c>
      <c r="H1494" s="16" t="n">
        <v>1110202</v>
      </c>
      <c r="I1494" s="1" t="s">
        <v>285</v>
      </c>
      <c r="J1494" s="16" t="n">
        <v>1439598</v>
      </c>
      <c r="L1494" s="16" t="n">
        <v>281541</v>
      </c>
      <c r="M1494" s="1" t="s">
        <v>41</v>
      </c>
      <c r="N1494" s="1" t="s">
        <v>42</v>
      </c>
      <c r="P1494" s="16" t="n">
        <v>103</v>
      </c>
      <c r="Q1494" s="1" t="s">
        <v>36</v>
      </c>
      <c r="R1494" s="1" t="s">
        <v>60</v>
      </c>
      <c r="S1494" s="16" t="n">
        <v>4210228</v>
      </c>
      <c r="T1494" s="1" t="s">
        <v>434</v>
      </c>
      <c r="U1494" s="17" t="n">
        <v>175</v>
      </c>
      <c r="W1494" s="17" t="n">
        <v>0</v>
      </c>
      <c r="X1494" s="1" t="s">
        <v>1748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46226</v>
      </c>
      <c r="C1495" s="15" t="n">
        <v>46230</v>
      </c>
      <c r="D1495" s="16" t="n">
        <v>1899</v>
      </c>
      <c r="E1495" s="1" t="s">
        <v>74</v>
      </c>
      <c r="F1495" s="16" t="n">
        <v>24</v>
      </c>
      <c r="G1495" s="1" t="s">
        <v>32</v>
      </c>
      <c r="H1495" s="16" t="n">
        <v>1110202</v>
      </c>
      <c r="I1495" s="1" t="s">
        <v>285</v>
      </c>
      <c r="J1495" s="16" t="n">
        <v>1439709</v>
      </c>
      <c r="L1495" s="16" t="n">
        <v>727</v>
      </c>
      <c r="M1495" s="1" t="s">
        <v>41</v>
      </c>
      <c r="N1495" s="1" t="s">
        <v>42</v>
      </c>
      <c r="P1495" s="16" t="n">
        <v>103</v>
      </c>
      <c r="Q1495" s="1" t="s">
        <v>36</v>
      </c>
      <c r="R1495" s="1" t="s">
        <v>37</v>
      </c>
      <c r="S1495" s="16" t="n">
        <v>1130101</v>
      </c>
      <c r="T1495" s="1" t="s">
        <v>38</v>
      </c>
      <c r="U1495" s="17" t="n">
        <v>424.6</v>
      </c>
      <c r="W1495" s="17" t="n">
        <v>0</v>
      </c>
      <c r="X1495" s="1" t="s">
        <v>1749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46226</v>
      </c>
      <c r="C1496" s="15" t="n">
        <v>46230</v>
      </c>
      <c r="D1496" s="16" t="n">
        <v>1899</v>
      </c>
      <c r="E1496" s="1" t="s">
        <v>74</v>
      </c>
      <c r="F1496" s="16" t="n">
        <v>24</v>
      </c>
      <c r="G1496" s="1" t="s">
        <v>32</v>
      </c>
      <c r="H1496" s="16" t="n">
        <v>1110202</v>
      </c>
      <c r="I1496" s="1" t="s">
        <v>285</v>
      </c>
      <c r="J1496" s="16" t="n">
        <v>1440241</v>
      </c>
      <c r="L1496" s="16" t="n">
        <v>592633</v>
      </c>
      <c r="M1496" s="1" t="s">
        <v>41</v>
      </c>
      <c r="N1496" s="1" t="s">
        <v>42</v>
      </c>
      <c r="P1496" s="16" t="n">
        <v>104</v>
      </c>
      <c r="Q1496" s="1" t="s">
        <v>99</v>
      </c>
      <c r="R1496" s="1" t="s">
        <v>37</v>
      </c>
      <c r="S1496" s="16" t="n">
        <v>1130101</v>
      </c>
      <c r="T1496" s="1" t="s">
        <v>38</v>
      </c>
      <c r="U1496" s="17" t="n">
        <v>840</v>
      </c>
      <c r="W1496" s="17" t="n">
        <v>0</v>
      </c>
      <c r="X1496" s="1" t="s">
        <v>1750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46230</v>
      </c>
      <c r="C1497" s="15" t="n">
        <v>46230</v>
      </c>
      <c r="D1497" s="16" t="n">
        <v>1936</v>
      </c>
      <c r="E1497" s="1" t="s">
        <v>1075</v>
      </c>
      <c r="F1497" s="16" t="n">
        <v>24</v>
      </c>
      <c r="G1497" s="1" t="s">
        <v>32</v>
      </c>
      <c r="H1497" s="16" t="n">
        <v>1110202</v>
      </c>
      <c r="I1497" s="1" t="s">
        <v>285</v>
      </c>
      <c r="J1497" s="16" t="n">
        <v>1458603</v>
      </c>
      <c r="L1497" s="16" t="n">
        <v>600176</v>
      </c>
      <c r="M1497" s="1" t="s">
        <v>41</v>
      </c>
      <c r="N1497" s="1" t="s">
        <v>42</v>
      </c>
      <c r="P1497" s="16" t="n">
        <v>102</v>
      </c>
      <c r="Q1497" s="1" t="s">
        <v>107</v>
      </c>
      <c r="R1497" s="1" t="s">
        <v>37</v>
      </c>
      <c r="S1497" s="16" t="n">
        <v>1130101</v>
      </c>
      <c r="T1497" s="1" t="s">
        <v>38</v>
      </c>
      <c r="U1497" s="17" t="n">
        <v>135.15</v>
      </c>
      <c r="W1497" s="17" t="n">
        <v>0</v>
      </c>
      <c r="X1497" s="1" t="s">
        <v>1751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46230</v>
      </c>
      <c r="C1498" s="15" t="n">
        <v>46230</v>
      </c>
      <c r="D1498" s="16" t="n">
        <v>1408</v>
      </c>
      <c r="E1498" s="1" t="s">
        <v>956</v>
      </c>
      <c r="F1498" s="16" t="n">
        <v>24</v>
      </c>
      <c r="G1498" s="1" t="s">
        <v>32</v>
      </c>
      <c r="H1498" s="16" t="n">
        <v>1110202</v>
      </c>
      <c r="I1498" s="1" t="s">
        <v>285</v>
      </c>
      <c r="J1498" s="16" t="n">
        <v>1458628</v>
      </c>
      <c r="L1498" s="16" t="n">
        <v>600178</v>
      </c>
      <c r="M1498" s="1" t="s">
        <v>41</v>
      </c>
      <c r="N1498" s="1" t="s">
        <v>42</v>
      </c>
      <c r="P1498" s="16" t="n">
        <v>101</v>
      </c>
      <c r="Q1498" s="1" t="s">
        <v>84</v>
      </c>
      <c r="R1498" s="1" t="s">
        <v>91</v>
      </c>
      <c r="S1498" s="16" t="n">
        <v>4220199</v>
      </c>
      <c r="T1498" s="1" t="s">
        <v>92</v>
      </c>
      <c r="U1498" s="17" t="n">
        <v>250</v>
      </c>
      <c r="W1498" s="17" t="n">
        <v>0</v>
      </c>
      <c r="X1498" s="1" t="s">
        <v>1752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46230</v>
      </c>
      <c r="C1499" s="15" t="n">
        <v>46230</v>
      </c>
      <c r="D1499" s="16" t="n">
        <v>1408</v>
      </c>
      <c r="E1499" s="1" t="s">
        <v>956</v>
      </c>
      <c r="F1499" s="16" t="n">
        <v>24</v>
      </c>
      <c r="G1499" s="1" t="s">
        <v>32</v>
      </c>
      <c r="H1499" s="16" t="n">
        <v>1110202</v>
      </c>
      <c r="I1499" s="1" t="s">
        <v>285</v>
      </c>
      <c r="J1499" s="16" t="n">
        <v>1458635</v>
      </c>
      <c r="L1499" s="16" t="n">
        <v>600181</v>
      </c>
      <c r="M1499" s="1" t="s">
        <v>41</v>
      </c>
      <c r="N1499" s="1" t="s">
        <v>42</v>
      </c>
      <c r="P1499" s="16" t="n">
        <v>101</v>
      </c>
      <c r="Q1499" s="1" t="s">
        <v>84</v>
      </c>
      <c r="R1499" s="1" t="s">
        <v>60</v>
      </c>
      <c r="S1499" s="16" t="n">
        <v>4210218</v>
      </c>
      <c r="T1499" s="1" t="s">
        <v>958</v>
      </c>
      <c r="U1499" s="17" t="n">
        <v>125</v>
      </c>
      <c r="W1499" s="17" t="n">
        <v>0</v>
      </c>
      <c r="X1499" s="1" t="s">
        <v>1753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46221</v>
      </c>
      <c r="C1500" s="15" t="n">
        <v>46230</v>
      </c>
      <c r="D1500" s="16" t="n">
        <v>1723</v>
      </c>
      <c r="E1500" s="1" t="s">
        <v>264</v>
      </c>
      <c r="F1500" s="16" t="n">
        <v>24</v>
      </c>
      <c r="G1500" s="1" t="s">
        <v>32</v>
      </c>
      <c r="H1500" s="16" t="n">
        <v>1110202</v>
      </c>
      <c r="I1500" s="1" t="s">
        <v>285</v>
      </c>
      <c r="J1500" s="16" t="n">
        <v>1458703</v>
      </c>
      <c r="L1500" s="16" t="n">
        <v>173326</v>
      </c>
      <c r="M1500" s="1" t="s">
        <v>41</v>
      </c>
      <c r="N1500" s="1" t="s">
        <v>42</v>
      </c>
      <c r="P1500" s="16" t="n">
        <v>103</v>
      </c>
      <c r="Q1500" s="1" t="s">
        <v>36</v>
      </c>
      <c r="R1500" s="1" t="s">
        <v>37</v>
      </c>
      <c r="S1500" s="16" t="n">
        <v>1130101</v>
      </c>
      <c r="T1500" s="1" t="s">
        <v>38</v>
      </c>
      <c r="U1500" s="17" t="n">
        <v>3632.9</v>
      </c>
      <c r="W1500" s="17" t="n">
        <v>0</v>
      </c>
      <c r="X1500" s="1" t="s">
        <v>1754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46230</v>
      </c>
      <c r="C1501" s="15" t="n">
        <v>46230</v>
      </c>
      <c r="D1501" s="16" t="n">
        <v>10096</v>
      </c>
      <c r="E1501" s="1" t="s">
        <v>1496</v>
      </c>
      <c r="F1501" s="16" t="n">
        <v>13</v>
      </c>
      <c r="G1501" s="1" t="s">
        <v>98</v>
      </c>
      <c r="H1501" s="16" t="n">
        <v>2110101</v>
      </c>
      <c r="I1501" s="1" t="s">
        <v>33</v>
      </c>
      <c r="J1501" s="16" t="n">
        <v>1463301</v>
      </c>
      <c r="L1501" s="16" t="n">
        <v>85</v>
      </c>
      <c r="M1501" s="1" t="s">
        <v>41</v>
      </c>
      <c r="N1501" s="1" t="s">
        <v>35</v>
      </c>
      <c r="P1501" s="16" t="n">
        <v>104</v>
      </c>
      <c r="Q1501" s="1" t="s">
        <v>99</v>
      </c>
      <c r="R1501" s="1" t="s">
        <v>37</v>
      </c>
      <c r="S1501" s="16" t="n">
        <v>1130101</v>
      </c>
      <c r="T1501" s="1" t="s">
        <v>38</v>
      </c>
      <c r="U1501" s="17" t="n">
        <v>420</v>
      </c>
      <c r="W1501" s="17" t="n">
        <v>0</v>
      </c>
      <c r="X1501" s="1" t="s">
        <v>1755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46230</v>
      </c>
      <c r="C1502" s="15" t="n">
        <v>46230</v>
      </c>
      <c r="D1502" s="16" t="n">
        <v>978</v>
      </c>
      <c r="E1502" s="1" t="s">
        <v>97</v>
      </c>
      <c r="F1502" s="16" t="n">
        <v>13</v>
      </c>
      <c r="G1502" s="1" t="s">
        <v>98</v>
      </c>
      <c r="H1502" s="16" t="n">
        <v>2110101</v>
      </c>
      <c r="I1502" s="1" t="s">
        <v>33</v>
      </c>
      <c r="J1502" s="16" t="n">
        <v>1463329</v>
      </c>
      <c r="L1502" s="16" t="n">
        <v>395</v>
      </c>
      <c r="M1502" s="1" t="s">
        <v>41</v>
      </c>
      <c r="N1502" s="1" t="s">
        <v>35</v>
      </c>
      <c r="P1502" s="16" t="n">
        <v>104</v>
      </c>
      <c r="Q1502" s="1" t="s">
        <v>99</v>
      </c>
      <c r="R1502" s="1" t="s">
        <v>37</v>
      </c>
      <c r="S1502" s="16" t="n">
        <v>1130101</v>
      </c>
      <c r="T1502" s="1" t="s">
        <v>38</v>
      </c>
      <c r="U1502" s="17" t="n">
        <v>424</v>
      </c>
      <c r="W1502" s="17" t="n">
        <v>0</v>
      </c>
      <c r="X1502" s="1" t="s">
        <v>1756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46230</v>
      </c>
      <c r="C1503" s="15" t="n">
        <v>46230</v>
      </c>
      <c r="D1503" s="16" t="n">
        <v>515</v>
      </c>
      <c r="E1503" s="1" t="s">
        <v>106</v>
      </c>
      <c r="F1503" s="16" t="n">
        <v>34</v>
      </c>
      <c r="G1503" s="1" t="s">
        <v>71</v>
      </c>
      <c r="H1503" s="16" t="n">
        <v>1110202</v>
      </c>
      <c r="I1503" s="1" t="s">
        <v>285</v>
      </c>
      <c r="J1503" s="16" t="n">
        <v>1464704</v>
      </c>
      <c r="L1503" s="16" t="n">
        <v>602111</v>
      </c>
      <c r="M1503" s="1" t="s">
        <v>41</v>
      </c>
      <c r="N1503" s="1" t="s">
        <v>42</v>
      </c>
      <c r="P1503" s="16" t="n">
        <v>102</v>
      </c>
      <c r="Q1503" s="1" t="s">
        <v>107</v>
      </c>
      <c r="R1503" s="1" t="s">
        <v>108</v>
      </c>
      <c r="S1503" s="16" t="n">
        <v>4210504</v>
      </c>
      <c r="T1503" s="1" t="s">
        <v>174</v>
      </c>
      <c r="U1503" s="17" t="n">
        <v>165</v>
      </c>
      <c r="W1503" s="17" t="n">
        <v>0</v>
      </c>
      <c r="X1503" s="1" t="s">
        <v>1757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46230</v>
      </c>
      <c r="C1504" s="15" t="n">
        <v>46230</v>
      </c>
      <c r="D1504" s="16" t="n">
        <v>515</v>
      </c>
      <c r="E1504" s="1" t="s">
        <v>106</v>
      </c>
      <c r="F1504" s="16" t="n">
        <v>34</v>
      </c>
      <c r="G1504" s="1" t="s">
        <v>71</v>
      </c>
      <c r="H1504" s="16" t="n">
        <v>1110202</v>
      </c>
      <c r="I1504" s="1" t="s">
        <v>285</v>
      </c>
      <c r="J1504" s="16" t="n">
        <v>1464714</v>
      </c>
      <c r="L1504" s="16" t="n">
        <v>602119</v>
      </c>
      <c r="M1504" s="1" t="s">
        <v>41</v>
      </c>
      <c r="N1504" s="1" t="s">
        <v>42</v>
      </c>
      <c r="P1504" s="16" t="n">
        <v>102</v>
      </c>
      <c r="Q1504" s="1" t="s">
        <v>107</v>
      </c>
      <c r="R1504" s="1" t="s">
        <v>108</v>
      </c>
      <c r="S1504" s="16" t="n">
        <v>4210502</v>
      </c>
      <c r="T1504" s="1" t="s">
        <v>901</v>
      </c>
      <c r="U1504" s="17" t="n">
        <v>8901</v>
      </c>
      <c r="W1504" s="17" t="n">
        <v>0</v>
      </c>
      <c r="X1504" s="1" t="s">
        <v>1758</v>
      </c>
      <c r="Z1504" s="1" t="str">
        <f aca="false">IF($T1504="","",IFERROR(INDEX('Resumo Grupos'!$AC$3:$AC$200,MATCH($T1504,'Resumo Grupos'!$AB$3:$AB$200,0)),"n/d"))</f>
        <v>Empréstimo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46148</v>
      </c>
      <c r="C1505" s="15" t="n">
        <v>46231</v>
      </c>
      <c r="D1505" s="16" t="n">
        <v>607</v>
      </c>
      <c r="E1505" s="1" t="s">
        <v>182</v>
      </c>
      <c r="F1505" s="16" t="n">
        <v>24</v>
      </c>
      <c r="G1505" s="1" t="s">
        <v>32</v>
      </c>
      <c r="H1505" s="16" t="n">
        <v>2110101</v>
      </c>
      <c r="I1505" s="1" t="s">
        <v>33</v>
      </c>
      <c r="J1505" s="16" t="n">
        <v>1057743</v>
      </c>
      <c r="L1505" s="16" t="n">
        <v>10336</v>
      </c>
      <c r="M1505" s="1" t="s">
        <v>1696</v>
      </c>
      <c r="N1505" s="1" t="s">
        <v>35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250.35</v>
      </c>
      <c r="W1505" s="17" t="n">
        <v>0</v>
      </c>
      <c r="X1505" s="1" t="s">
        <v>1759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46204</v>
      </c>
      <c r="C1506" s="15" t="n">
        <v>46231</v>
      </c>
      <c r="D1506" s="16" t="n">
        <v>1107</v>
      </c>
      <c r="E1506" s="1" t="s">
        <v>130</v>
      </c>
      <c r="F1506" s="16" t="n">
        <v>24</v>
      </c>
      <c r="G1506" s="1" t="s">
        <v>32</v>
      </c>
      <c r="H1506" s="16" t="n">
        <v>2110101</v>
      </c>
      <c r="I1506" s="1" t="s">
        <v>33</v>
      </c>
      <c r="J1506" s="16" t="n">
        <v>1335361</v>
      </c>
      <c r="L1506" s="16" t="n">
        <v>423615</v>
      </c>
      <c r="M1506" s="1" t="s">
        <v>128</v>
      </c>
      <c r="N1506" s="1" t="s">
        <v>35</v>
      </c>
      <c r="P1506" s="16" t="n">
        <v>103</v>
      </c>
      <c r="Q1506" s="1" t="s">
        <v>36</v>
      </c>
      <c r="R1506" s="1" t="s">
        <v>37</v>
      </c>
      <c r="S1506" s="16" t="n">
        <v>1130101</v>
      </c>
      <c r="T1506" s="1" t="s">
        <v>38</v>
      </c>
      <c r="U1506" s="17" t="n">
        <v>1120.6</v>
      </c>
      <c r="W1506" s="17" t="n">
        <v>0</v>
      </c>
      <c r="X1506" s="1" t="s">
        <v>1760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46209</v>
      </c>
      <c r="C1507" s="15" t="n">
        <v>46231</v>
      </c>
      <c r="D1507" s="16" t="n">
        <v>1611</v>
      </c>
      <c r="E1507" s="1" t="s">
        <v>206</v>
      </c>
      <c r="F1507" s="16" t="n">
        <v>24</v>
      </c>
      <c r="G1507" s="1" t="s">
        <v>32</v>
      </c>
      <c r="H1507" s="16" t="n">
        <v>2110101</v>
      </c>
      <c r="I1507" s="1" t="s">
        <v>33</v>
      </c>
      <c r="J1507" s="16" t="n">
        <v>1360267</v>
      </c>
      <c r="L1507" s="16" t="n">
        <v>561687</v>
      </c>
      <c r="M1507" s="1" t="s">
        <v>34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3184.12</v>
      </c>
      <c r="W1507" s="17" t="n">
        <v>0</v>
      </c>
      <c r="X1507" s="1" t="s">
        <v>1761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46210</v>
      </c>
      <c r="C1508" s="15" t="n">
        <v>46231</v>
      </c>
      <c r="D1508" s="16" t="n">
        <v>1402</v>
      </c>
      <c r="E1508" s="1" t="s">
        <v>628</v>
      </c>
      <c r="F1508" s="16" t="n">
        <v>24</v>
      </c>
      <c r="G1508" s="1" t="s">
        <v>32</v>
      </c>
      <c r="H1508" s="16" t="n">
        <v>2110102</v>
      </c>
      <c r="I1508" s="1" t="s">
        <v>59</v>
      </c>
      <c r="J1508" s="16" t="n">
        <v>1366273</v>
      </c>
      <c r="L1508" s="16" t="n">
        <v>3614</v>
      </c>
      <c r="M1508" s="1" t="s">
        <v>41</v>
      </c>
      <c r="N1508" s="1" t="s">
        <v>35</v>
      </c>
      <c r="P1508" s="16" t="n">
        <v>103</v>
      </c>
      <c r="Q1508" s="1" t="s">
        <v>36</v>
      </c>
      <c r="R1508" s="1" t="s">
        <v>60</v>
      </c>
      <c r="S1508" s="16" t="n">
        <v>4210204</v>
      </c>
      <c r="T1508" s="1" t="s">
        <v>61</v>
      </c>
      <c r="U1508" s="17" t="n">
        <v>1208.4</v>
      </c>
      <c r="W1508" s="17" t="n">
        <v>0</v>
      </c>
      <c r="X1508" s="1" t="s">
        <v>1762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46230</v>
      </c>
      <c r="C1509" s="15" t="n">
        <v>46231</v>
      </c>
      <c r="D1509" s="16" t="n">
        <v>218</v>
      </c>
      <c r="E1509" s="1" t="s">
        <v>1763</v>
      </c>
      <c r="F1509" s="16" t="n">
        <v>34</v>
      </c>
      <c r="G1509" s="1" t="s">
        <v>71</v>
      </c>
      <c r="H1509" s="16" t="n">
        <v>1110202</v>
      </c>
      <c r="I1509" s="1" t="s">
        <v>285</v>
      </c>
      <c r="J1509" s="16" t="n">
        <v>1459593</v>
      </c>
      <c r="L1509" s="16" t="n">
        <v>600407</v>
      </c>
      <c r="M1509" s="1" t="s">
        <v>41</v>
      </c>
      <c r="N1509" s="1" t="s">
        <v>42</v>
      </c>
      <c r="P1509" s="16" t="n">
        <v>101</v>
      </c>
      <c r="Q1509" s="1" t="s">
        <v>84</v>
      </c>
      <c r="R1509" s="1" t="s">
        <v>85</v>
      </c>
      <c r="S1509" s="16" t="n">
        <v>4210301</v>
      </c>
      <c r="T1509" s="1" t="s">
        <v>295</v>
      </c>
      <c r="U1509" s="17" t="n">
        <v>3910.01</v>
      </c>
      <c r="W1509" s="17" t="n">
        <v>0</v>
      </c>
      <c r="X1509" s="1" t="s">
        <v>1764</v>
      </c>
      <c r="Z1509" s="1" t="str">
        <f aca="false">IF($T1509="","",IFERROR(INDEX('Resumo Grupos'!$AC$3:$AC$200,MATCH($T1509,'Resumo Grupos'!$AB$3:$AB$200,0)),"n/d"))</f>
        <v>Salários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46210</v>
      </c>
      <c r="C1510" s="15" t="n">
        <v>46231</v>
      </c>
      <c r="D1510" s="16" t="n">
        <v>666</v>
      </c>
      <c r="E1510" s="1" t="s">
        <v>603</v>
      </c>
      <c r="F1510" s="16" t="n">
        <v>24</v>
      </c>
      <c r="G1510" s="1" t="s">
        <v>32</v>
      </c>
      <c r="H1510" s="16" t="n">
        <v>2110101</v>
      </c>
      <c r="I1510" s="1" t="s">
        <v>33</v>
      </c>
      <c r="J1510" s="16" t="n">
        <v>1366430</v>
      </c>
      <c r="L1510" s="16" t="n">
        <v>7876</v>
      </c>
      <c r="M1510" s="1" t="s">
        <v>128</v>
      </c>
      <c r="N1510" s="1" t="s">
        <v>35</v>
      </c>
      <c r="P1510" s="16" t="n">
        <v>103</v>
      </c>
      <c r="Q1510" s="1" t="s">
        <v>36</v>
      </c>
      <c r="R1510" s="1" t="s">
        <v>37</v>
      </c>
      <c r="S1510" s="16" t="n">
        <v>1130101</v>
      </c>
      <c r="T1510" s="1" t="s">
        <v>38</v>
      </c>
      <c r="U1510" s="17" t="n">
        <v>287.8</v>
      </c>
      <c r="W1510" s="17" t="n">
        <v>0</v>
      </c>
      <c r="X1510" s="1" t="s">
        <v>1765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46224</v>
      </c>
      <c r="C1511" s="15" t="n">
        <v>46231</v>
      </c>
      <c r="D1511" s="16" t="n">
        <v>1642</v>
      </c>
      <c r="E1511" s="1" t="s">
        <v>159</v>
      </c>
      <c r="F1511" s="16" t="n">
        <v>24</v>
      </c>
      <c r="G1511" s="1" t="s">
        <v>32</v>
      </c>
      <c r="H1511" s="16" t="n">
        <v>1110202</v>
      </c>
      <c r="I1511" s="1" t="s">
        <v>285</v>
      </c>
      <c r="J1511" s="16" t="n">
        <v>1431092</v>
      </c>
      <c r="L1511" s="16" t="n">
        <v>1032774</v>
      </c>
      <c r="M1511" s="1" t="s">
        <v>41</v>
      </c>
      <c r="N1511" s="1" t="s">
        <v>42</v>
      </c>
      <c r="P1511" s="16" t="n">
        <v>103</v>
      </c>
      <c r="Q1511" s="1" t="s">
        <v>36</v>
      </c>
      <c r="R1511" s="1" t="s">
        <v>37</v>
      </c>
      <c r="S1511" s="16" t="n">
        <v>1130101</v>
      </c>
      <c r="T1511" s="1" t="s">
        <v>38</v>
      </c>
      <c r="U1511" s="17" t="n">
        <v>538.17</v>
      </c>
      <c r="W1511" s="17" t="n">
        <v>0</v>
      </c>
      <c r="X1511" s="1" t="s">
        <v>1766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46226</v>
      </c>
      <c r="C1512" s="15" t="n">
        <v>46231</v>
      </c>
      <c r="D1512" s="16" t="n">
        <v>1286</v>
      </c>
      <c r="E1512" s="1" t="s">
        <v>319</v>
      </c>
      <c r="F1512" s="16" t="n">
        <v>24</v>
      </c>
      <c r="G1512" s="1" t="s">
        <v>32</v>
      </c>
      <c r="H1512" s="16" t="n">
        <v>1110202</v>
      </c>
      <c r="I1512" s="1" t="s">
        <v>285</v>
      </c>
      <c r="J1512" s="16" t="n">
        <v>1439224</v>
      </c>
      <c r="L1512" s="16" t="n">
        <v>10372</v>
      </c>
      <c r="M1512" s="1" t="s">
        <v>41</v>
      </c>
      <c r="N1512" s="1" t="s">
        <v>42</v>
      </c>
      <c r="P1512" s="16" t="n">
        <v>103</v>
      </c>
      <c r="Q1512" s="1" t="s">
        <v>36</v>
      </c>
      <c r="R1512" s="1" t="s">
        <v>37</v>
      </c>
      <c r="S1512" s="16" t="n">
        <v>1130101</v>
      </c>
      <c r="T1512" s="1" t="s">
        <v>38</v>
      </c>
      <c r="U1512" s="17" t="n">
        <v>702</v>
      </c>
      <c r="W1512" s="17" t="n">
        <v>0</v>
      </c>
      <c r="X1512" s="1" t="s">
        <v>1767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70</v>
      </c>
      <c r="F1513" s="16" t="n">
        <v>13</v>
      </c>
      <c r="G1513" s="1" t="s">
        <v>98</v>
      </c>
      <c r="H1513" s="16" t="n">
        <v>2110101</v>
      </c>
      <c r="I1513" s="1" t="s">
        <v>33</v>
      </c>
      <c r="J1513" s="16" t="n">
        <v>1463541</v>
      </c>
      <c r="L1513" s="16" t="n">
        <v>5359</v>
      </c>
      <c r="M1513" s="1" t="s">
        <v>41</v>
      </c>
      <c r="N1513" s="1" t="s">
        <v>35</v>
      </c>
      <c r="P1513" s="16" t="n">
        <v>104</v>
      </c>
      <c r="Q1513" s="1" t="s">
        <v>99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46227</v>
      </c>
      <c r="C1514" s="15" t="n">
        <v>46231</v>
      </c>
      <c r="D1514" s="16" t="n">
        <v>10018</v>
      </c>
      <c r="E1514" s="1" t="s">
        <v>328</v>
      </c>
      <c r="F1514" s="16" t="n">
        <v>34</v>
      </c>
      <c r="G1514" s="1" t="s">
        <v>71</v>
      </c>
      <c r="H1514" s="16" t="n">
        <v>1110202</v>
      </c>
      <c r="I1514" s="1" t="s">
        <v>285</v>
      </c>
      <c r="J1514" s="16" t="n">
        <v>1445269</v>
      </c>
      <c r="L1514" s="16" t="n">
        <v>343</v>
      </c>
      <c r="M1514" s="1" t="s">
        <v>41</v>
      </c>
      <c r="N1514" s="1" t="s">
        <v>42</v>
      </c>
      <c r="P1514" s="16" t="n">
        <v>103</v>
      </c>
      <c r="Q1514" s="1" t="s">
        <v>36</v>
      </c>
      <c r="R1514" s="1" t="s">
        <v>37</v>
      </c>
      <c r="S1514" s="16" t="n">
        <v>1130101</v>
      </c>
      <c r="T1514" s="1" t="s">
        <v>38</v>
      </c>
      <c r="U1514" s="17" t="n">
        <v>2119</v>
      </c>
      <c r="W1514" s="17" t="n">
        <v>0</v>
      </c>
      <c r="X1514" s="1" t="s">
        <v>1769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46228</v>
      </c>
      <c r="C1515" s="15" t="n">
        <v>46231</v>
      </c>
      <c r="D1515" s="16" t="n">
        <v>642</v>
      </c>
      <c r="E1515" s="1" t="s">
        <v>161</v>
      </c>
      <c r="F1515" s="16" t="n">
        <v>24</v>
      </c>
      <c r="G1515" s="1" t="s">
        <v>32</v>
      </c>
      <c r="H1515" s="16" t="n">
        <v>1110202</v>
      </c>
      <c r="I1515" s="1" t="s">
        <v>285</v>
      </c>
      <c r="J1515" s="16" t="n">
        <v>1448602</v>
      </c>
      <c r="L1515" s="16" t="n">
        <v>543</v>
      </c>
      <c r="M1515" s="1" t="s">
        <v>41</v>
      </c>
      <c r="N1515" s="1" t="s">
        <v>42</v>
      </c>
      <c r="P1515" s="16" t="n">
        <v>103</v>
      </c>
      <c r="Q1515" s="1" t="s">
        <v>36</v>
      </c>
      <c r="R1515" s="1" t="s">
        <v>37</v>
      </c>
      <c r="S1515" s="16" t="n">
        <v>1130101</v>
      </c>
      <c r="T1515" s="1" t="s">
        <v>38</v>
      </c>
      <c r="U1515" s="17" t="n">
        <v>792</v>
      </c>
      <c r="W1515" s="17" t="n">
        <v>0</v>
      </c>
      <c r="X1515" s="1" t="s">
        <v>1770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46228</v>
      </c>
      <c r="C1516" s="15" t="n">
        <v>46231</v>
      </c>
      <c r="D1516" s="16" t="n">
        <v>515</v>
      </c>
      <c r="E1516" s="1" t="s">
        <v>106</v>
      </c>
      <c r="F1516" s="16" t="n">
        <v>34</v>
      </c>
      <c r="G1516" s="1" t="s">
        <v>71</v>
      </c>
      <c r="H1516" s="16" t="n">
        <v>1110202</v>
      </c>
      <c r="I1516" s="1" t="s">
        <v>285</v>
      </c>
      <c r="J1516" s="16" t="n">
        <v>1449535</v>
      </c>
      <c r="L1516" s="16" t="n">
        <v>596258</v>
      </c>
      <c r="M1516" s="1" t="s">
        <v>41</v>
      </c>
      <c r="N1516" s="1" t="s">
        <v>42</v>
      </c>
      <c r="P1516" s="16" t="n">
        <v>101</v>
      </c>
      <c r="Q1516" s="1" t="s">
        <v>84</v>
      </c>
      <c r="R1516" s="1" t="s">
        <v>91</v>
      </c>
      <c r="S1516" s="16" t="n">
        <v>4220199</v>
      </c>
      <c r="T1516" s="1" t="s">
        <v>92</v>
      </c>
      <c r="U1516" s="17" t="n">
        <v>3853.23</v>
      </c>
      <c r="W1516" s="17" t="n">
        <v>0</v>
      </c>
      <c r="X1516" s="1" t="s">
        <v>1771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46228</v>
      </c>
      <c r="C1517" s="15" t="n">
        <v>46231</v>
      </c>
      <c r="D1517" s="16" t="n">
        <v>1899</v>
      </c>
      <c r="E1517" s="1" t="s">
        <v>74</v>
      </c>
      <c r="F1517" s="16" t="n">
        <v>24</v>
      </c>
      <c r="G1517" s="1" t="s">
        <v>32</v>
      </c>
      <c r="H1517" s="16" t="n">
        <v>1110202</v>
      </c>
      <c r="I1517" s="1" t="s">
        <v>285</v>
      </c>
      <c r="J1517" s="16" t="n">
        <v>1450095</v>
      </c>
      <c r="L1517" s="16" t="n">
        <v>732</v>
      </c>
      <c r="M1517" s="1" t="s">
        <v>41</v>
      </c>
      <c r="N1517" s="1" t="s">
        <v>42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498.96</v>
      </c>
      <c r="W1517" s="17" t="n">
        <v>0</v>
      </c>
      <c r="X1517" s="1" t="s">
        <v>1772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46231</v>
      </c>
      <c r="D1518" s="16" t="n">
        <v>1000001</v>
      </c>
      <c r="E1518" s="1" t="s">
        <v>782</v>
      </c>
      <c r="F1518" s="16" t="n">
        <v>24</v>
      </c>
      <c r="G1518" s="1" t="s">
        <v>32</v>
      </c>
      <c r="H1518" s="16" t="n">
        <v>2110405</v>
      </c>
      <c r="I1518" s="1" t="s">
        <v>83</v>
      </c>
      <c r="J1518" s="16" t="n">
        <v>1463045</v>
      </c>
      <c r="L1518" s="16" t="n">
        <v>601783</v>
      </c>
      <c r="M1518" s="1" t="s">
        <v>41</v>
      </c>
      <c r="N1518" s="1" t="s">
        <v>42</v>
      </c>
      <c r="P1518" s="16" t="n">
        <v>102</v>
      </c>
      <c r="Q1518" s="1" t="s">
        <v>107</v>
      </c>
      <c r="R1518" s="1" t="s">
        <v>91</v>
      </c>
      <c r="S1518" s="16" t="n">
        <v>4220199</v>
      </c>
      <c r="T1518" s="1" t="s">
        <v>92</v>
      </c>
      <c r="U1518" s="17" t="n">
        <v>1300</v>
      </c>
      <c r="W1518" s="17" t="n">
        <v>0</v>
      </c>
      <c r="X1518" s="1" t="s">
        <v>1773</v>
      </c>
      <c r="Z1518" s="1" t="str">
        <f aca="false">IF($T1518="","",IFERROR(INDEX('Resumo Grupos'!$AC$3:$AC$200,MATCH($T1518,'Resumo Grupos'!$AB$3:$AB$200,0)),"n/d"))</f>
        <v>Pagamentos outros não operacionais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46231</v>
      </c>
      <c r="C1519" s="15" t="n">
        <v>46231</v>
      </c>
      <c r="D1519" s="16" t="n">
        <v>33</v>
      </c>
      <c r="E1519" s="1" t="s">
        <v>70</v>
      </c>
      <c r="F1519" s="16" t="n">
        <v>13</v>
      </c>
      <c r="G1519" s="1" t="s">
        <v>98</v>
      </c>
      <c r="H1519" s="16" t="n">
        <v>2110101</v>
      </c>
      <c r="I1519" s="1" t="s">
        <v>33</v>
      </c>
      <c r="J1519" s="16" t="n">
        <v>1463447</v>
      </c>
      <c r="L1519" s="16" t="n">
        <v>5356</v>
      </c>
      <c r="M1519" s="1" t="s">
        <v>41</v>
      </c>
      <c r="N1519" s="1" t="s">
        <v>35</v>
      </c>
      <c r="P1519" s="16" t="n">
        <v>104</v>
      </c>
      <c r="Q1519" s="1" t="s">
        <v>99</v>
      </c>
      <c r="R1519" s="1" t="s">
        <v>37</v>
      </c>
      <c r="S1519" s="16" t="n">
        <v>1130101</v>
      </c>
      <c r="T1519" s="1" t="s">
        <v>38</v>
      </c>
      <c r="U1519" s="17" t="n">
        <v>350</v>
      </c>
      <c r="W1519" s="17" t="n">
        <v>350</v>
      </c>
      <c r="X1519" s="1" t="s">
        <v>1774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46231</v>
      </c>
      <c r="C1520" s="15" t="n">
        <v>46231</v>
      </c>
      <c r="D1520" s="16" t="n">
        <v>33</v>
      </c>
      <c r="E1520" s="1" t="s">
        <v>70</v>
      </c>
      <c r="F1520" s="16" t="n">
        <v>13</v>
      </c>
      <c r="G1520" s="1" t="s">
        <v>98</v>
      </c>
      <c r="H1520" s="16" t="n">
        <v>2110101</v>
      </c>
      <c r="I1520" s="1" t="s">
        <v>33</v>
      </c>
      <c r="J1520" s="16" t="n">
        <v>1463473</v>
      </c>
      <c r="L1520" s="16" t="n">
        <v>5357</v>
      </c>
      <c r="M1520" s="1" t="s">
        <v>41</v>
      </c>
      <c r="N1520" s="1" t="s">
        <v>35</v>
      </c>
      <c r="P1520" s="16" t="n">
        <v>104</v>
      </c>
      <c r="Q1520" s="1" t="s">
        <v>99</v>
      </c>
      <c r="R1520" s="1" t="s">
        <v>37</v>
      </c>
      <c r="S1520" s="16" t="n">
        <v>1130101</v>
      </c>
      <c r="T1520" s="1" t="s">
        <v>38</v>
      </c>
      <c r="U1520" s="17" t="n">
        <v>560</v>
      </c>
      <c r="W1520" s="17" t="n">
        <v>560</v>
      </c>
      <c r="X1520" s="1" t="s">
        <v>1775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46231</v>
      </c>
      <c r="C1521" s="15" t="n">
        <v>46231</v>
      </c>
      <c r="D1521" s="16" t="n">
        <v>33</v>
      </c>
      <c r="E1521" s="1" t="s">
        <v>70</v>
      </c>
      <c r="F1521" s="16" t="n">
        <v>13</v>
      </c>
      <c r="G1521" s="1" t="s">
        <v>98</v>
      </c>
      <c r="H1521" s="16" t="n">
        <v>2110101</v>
      </c>
      <c r="I1521" s="1" t="s">
        <v>33</v>
      </c>
      <c r="J1521" s="16" t="n">
        <v>1463504</v>
      </c>
      <c r="L1521" s="16" t="n">
        <v>5358</v>
      </c>
      <c r="M1521" s="1" t="s">
        <v>41</v>
      </c>
      <c r="N1521" s="1" t="s">
        <v>35</v>
      </c>
      <c r="P1521" s="16" t="n">
        <v>104</v>
      </c>
      <c r="Q1521" s="1" t="s">
        <v>99</v>
      </c>
      <c r="R1521" s="1" t="s">
        <v>37</v>
      </c>
      <c r="S1521" s="16" t="n">
        <v>1130101</v>
      </c>
      <c r="T1521" s="1" t="s">
        <v>38</v>
      </c>
      <c r="U1521" s="17" t="n">
        <v>280</v>
      </c>
      <c r="W1521" s="17" t="n">
        <v>280</v>
      </c>
      <c r="X1521" s="1" t="s">
        <v>1776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46231</v>
      </c>
      <c r="C1522" s="15" t="n">
        <v>46231</v>
      </c>
      <c r="D1522" s="16" t="n">
        <v>33</v>
      </c>
      <c r="E1522" s="1" t="s">
        <v>70</v>
      </c>
      <c r="F1522" s="16" t="n">
        <v>13</v>
      </c>
      <c r="G1522" s="1" t="s">
        <v>98</v>
      </c>
      <c r="H1522" s="16" t="n">
        <v>2110101</v>
      </c>
      <c r="I1522" s="1" t="s">
        <v>33</v>
      </c>
      <c r="J1522" s="16" t="n">
        <v>1463614</v>
      </c>
      <c r="L1522" s="16" t="n">
        <v>5360</v>
      </c>
      <c r="M1522" s="1" t="s">
        <v>41</v>
      </c>
      <c r="N1522" s="1" t="s">
        <v>35</v>
      </c>
      <c r="P1522" s="16" t="n">
        <v>104</v>
      </c>
      <c r="Q1522" s="1" t="s">
        <v>99</v>
      </c>
      <c r="R1522" s="1" t="s">
        <v>37</v>
      </c>
      <c r="S1522" s="16" t="n">
        <v>1130101</v>
      </c>
      <c r="T1522" s="1" t="s">
        <v>38</v>
      </c>
      <c r="U1522" s="17" t="n">
        <v>280</v>
      </c>
      <c r="W1522" s="17" t="n">
        <v>280</v>
      </c>
      <c r="X1522" s="1" t="s">
        <v>1777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46231</v>
      </c>
      <c r="C1523" s="15" t="n">
        <v>46231</v>
      </c>
      <c r="D1523" s="16" t="n">
        <v>33</v>
      </c>
      <c r="E1523" s="1" t="s">
        <v>70</v>
      </c>
      <c r="F1523" s="16" t="n">
        <v>13</v>
      </c>
      <c r="G1523" s="1" t="s">
        <v>98</v>
      </c>
      <c r="H1523" s="16" t="n">
        <v>2110101</v>
      </c>
      <c r="I1523" s="1" t="s">
        <v>33</v>
      </c>
      <c r="J1523" s="16" t="n">
        <v>1463647</v>
      </c>
      <c r="L1523" s="16" t="n">
        <v>5361</v>
      </c>
      <c r="M1523" s="1" t="s">
        <v>41</v>
      </c>
      <c r="N1523" s="1" t="s">
        <v>35</v>
      </c>
      <c r="P1523" s="16" t="n">
        <v>104</v>
      </c>
      <c r="Q1523" s="1" t="s">
        <v>99</v>
      </c>
      <c r="R1523" s="1" t="s">
        <v>37</v>
      </c>
      <c r="S1523" s="16" t="n">
        <v>1130101</v>
      </c>
      <c r="T1523" s="1" t="s">
        <v>38</v>
      </c>
      <c r="U1523" s="17" t="n">
        <v>280</v>
      </c>
      <c r="W1523" s="17" t="n">
        <v>280</v>
      </c>
      <c r="X1523" s="1" t="s">
        <v>1778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46231</v>
      </c>
      <c r="C1524" s="15" t="n">
        <v>46231</v>
      </c>
      <c r="D1524" s="16" t="n">
        <v>33</v>
      </c>
      <c r="E1524" s="1" t="s">
        <v>70</v>
      </c>
      <c r="F1524" s="16" t="n">
        <v>34</v>
      </c>
      <c r="G1524" s="1" t="s">
        <v>71</v>
      </c>
      <c r="H1524" s="16" t="n">
        <v>2110101</v>
      </c>
      <c r="I1524" s="1" t="s">
        <v>33</v>
      </c>
      <c r="J1524" s="16" t="n">
        <v>1465010</v>
      </c>
      <c r="L1524" s="16" t="n">
        <v>5363</v>
      </c>
      <c r="M1524" s="1" t="s">
        <v>41</v>
      </c>
      <c r="N1524" s="1" t="s">
        <v>35</v>
      </c>
      <c r="P1524" s="16" t="n">
        <v>104</v>
      </c>
      <c r="Q1524" s="1" t="s">
        <v>99</v>
      </c>
      <c r="R1524" s="1" t="s">
        <v>37</v>
      </c>
      <c r="S1524" s="16" t="n">
        <v>1130101</v>
      </c>
      <c r="T1524" s="1" t="s">
        <v>38</v>
      </c>
      <c r="U1524" s="17" t="n">
        <v>2812.5</v>
      </c>
      <c r="W1524" s="17" t="n">
        <v>0</v>
      </c>
      <c r="X1524" s="1" t="s">
        <v>172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46231</v>
      </c>
      <c r="C1525" s="15" t="n">
        <v>46231</v>
      </c>
      <c r="D1525" s="16" t="n">
        <v>1037</v>
      </c>
      <c r="E1525" s="1" t="s">
        <v>168</v>
      </c>
      <c r="F1525" s="16" t="n">
        <v>34</v>
      </c>
      <c r="G1525" s="1" t="s">
        <v>71</v>
      </c>
      <c r="H1525" s="16" t="n">
        <v>1110202</v>
      </c>
      <c r="I1525" s="1" t="s">
        <v>285</v>
      </c>
      <c r="J1525" s="16" t="n">
        <v>1465306</v>
      </c>
      <c r="L1525" s="16" t="n">
        <v>602260</v>
      </c>
      <c r="M1525" s="1" t="s">
        <v>41</v>
      </c>
      <c r="N1525" s="1" t="s">
        <v>42</v>
      </c>
      <c r="P1525" s="16" t="n">
        <v>102</v>
      </c>
      <c r="Q1525" s="1" t="s">
        <v>107</v>
      </c>
      <c r="R1525" s="1" t="s">
        <v>91</v>
      </c>
      <c r="S1525" s="16" t="n">
        <v>4220199</v>
      </c>
      <c r="T1525" s="1" t="s">
        <v>92</v>
      </c>
      <c r="U1525" s="17" t="n">
        <v>5599</v>
      </c>
      <c r="W1525" s="17" t="n">
        <v>0</v>
      </c>
      <c r="X1525" s="1" t="s">
        <v>1779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46172</v>
      </c>
      <c r="C1526" s="15" t="n">
        <v>46232</v>
      </c>
      <c r="D1526" s="16" t="n">
        <v>607</v>
      </c>
      <c r="E1526" s="1" t="s">
        <v>182</v>
      </c>
      <c r="F1526" s="16" t="n">
        <v>24</v>
      </c>
      <c r="G1526" s="1" t="s">
        <v>32</v>
      </c>
      <c r="H1526" s="16" t="n">
        <v>2110101</v>
      </c>
      <c r="I1526" s="1" t="s">
        <v>33</v>
      </c>
      <c r="J1526" s="16" t="n">
        <v>1177308</v>
      </c>
      <c r="L1526" s="16" t="n">
        <v>10643</v>
      </c>
      <c r="M1526" s="1" t="s">
        <v>234</v>
      </c>
      <c r="N1526" s="1" t="s">
        <v>35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319.7</v>
      </c>
      <c r="W1526" s="17" t="n">
        <v>0</v>
      </c>
      <c r="X1526" s="1" t="s">
        <v>1780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33</v>
      </c>
      <c r="E1527" s="1" t="s">
        <v>70</v>
      </c>
      <c r="F1527" s="16" t="n">
        <v>34</v>
      </c>
      <c r="G1527" s="1" t="s">
        <v>71</v>
      </c>
      <c r="H1527" s="16" t="n">
        <v>2110101</v>
      </c>
      <c r="I1527" s="1" t="s">
        <v>33</v>
      </c>
      <c r="J1527" s="16" t="n">
        <v>1464493</v>
      </c>
      <c r="L1527" s="16" t="n">
        <v>5362</v>
      </c>
      <c r="M1527" s="1" t="s">
        <v>41</v>
      </c>
      <c r="N1527" s="1" t="s">
        <v>35</v>
      </c>
      <c r="P1527" s="16" t="n">
        <v>104</v>
      </c>
      <c r="Q1527" s="1" t="s">
        <v>99</v>
      </c>
      <c r="R1527" s="1" t="s">
        <v>37</v>
      </c>
      <c r="S1527" s="16" t="n">
        <v>1130101</v>
      </c>
      <c r="T1527" s="1" t="s">
        <v>38</v>
      </c>
      <c r="U1527" s="17" t="n">
        <v>1183</v>
      </c>
      <c r="W1527" s="17" t="n">
        <v>0</v>
      </c>
      <c r="X1527" s="1" t="s">
        <v>220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46204</v>
      </c>
      <c r="C1528" s="15" t="n">
        <v>46232</v>
      </c>
      <c r="D1528" s="16" t="n">
        <v>1608</v>
      </c>
      <c r="E1528" s="1" t="s">
        <v>51</v>
      </c>
      <c r="F1528" s="16" t="n">
        <v>24</v>
      </c>
      <c r="G1528" s="1" t="s">
        <v>32</v>
      </c>
      <c r="H1528" s="16" t="n">
        <v>2110101</v>
      </c>
      <c r="I1528" s="1" t="s">
        <v>33</v>
      </c>
      <c r="J1528" s="16" t="n">
        <v>1334069</v>
      </c>
      <c r="L1528" s="16" t="n">
        <v>1685233</v>
      </c>
      <c r="M1528" s="1" t="s">
        <v>34</v>
      </c>
      <c r="N1528" s="1" t="s">
        <v>35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1862.4</v>
      </c>
      <c r="W1528" s="17" t="n">
        <v>0</v>
      </c>
      <c r="X1528" s="1" t="s">
        <v>1781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46204</v>
      </c>
      <c r="C1529" s="15" t="n">
        <v>46232</v>
      </c>
      <c r="D1529" s="16" t="n">
        <v>1608</v>
      </c>
      <c r="E1529" s="1" t="s">
        <v>51</v>
      </c>
      <c r="F1529" s="16" t="n">
        <v>24</v>
      </c>
      <c r="G1529" s="1" t="s">
        <v>32</v>
      </c>
      <c r="H1529" s="16" t="n">
        <v>2110101</v>
      </c>
      <c r="I1529" s="1" t="s">
        <v>33</v>
      </c>
      <c r="J1529" s="16" t="n">
        <v>1334447</v>
      </c>
      <c r="L1529" s="16" t="n">
        <v>1685064</v>
      </c>
      <c r="M1529" s="1" t="s">
        <v>41</v>
      </c>
      <c r="N1529" s="1" t="s">
        <v>35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2148.41</v>
      </c>
      <c r="W1529" s="17" t="n">
        <v>0</v>
      </c>
      <c r="X1529" s="1" t="s">
        <v>1782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46204</v>
      </c>
      <c r="C1530" s="15" t="n">
        <v>46232</v>
      </c>
      <c r="D1530" s="16" t="n">
        <v>1699</v>
      </c>
      <c r="E1530" s="1" t="s">
        <v>371</v>
      </c>
      <c r="F1530" s="16" t="n">
        <v>24</v>
      </c>
      <c r="G1530" s="1" t="s">
        <v>32</v>
      </c>
      <c r="H1530" s="16" t="n">
        <v>2110101</v>
      </c>
      <c r="I1530" s="1" t="s">
        <v>33</v>
      </c>
      <c r="J1530" s="16" t="n">
        <v>1334706</v>
      </c>
      <c r="L1530" s="16" t="n">
        <v>306058</v>
      </c>
      <c r="M1530" s="1" t="s">
        <v>128</v>
      </c>
      <c r="N1530" s="1" t="s">
        <v>35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1613.94</v>
      </c>
      <c r="W1530" s="17" t="n">
        <v>0</v>
      </c>
      <c r="X1530" s="1" t="s">
        <v>1783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46206</v>
      </c>
      <c r="C1531" s="15" t="n">
        <v>46232</v>
      </c>
      <c r="D1531" s="16" t="n">
        <v>1706</v>
      </c>
      <c r="E1531" s="1" t="s">
        <v>366</v>
      </c>
      <c r="F1531" s="16" t="n">
        <v>24</v>
      </c>
      <c r="G1531" s="1" t="s">
        <v>32</v>
      </c>
      <c r="H1531" s="16" t="n">
        <v>2110101</v>
      </c>
      <c r="I1531" s="1" t="s">
        <v>33</v>
      </c>
      <c r="J1531" s="16" t="n">
        <v>1344526</v>
      </c>
      <c r="L1531" s="16" t="n">
        <v>203762</v>
      </c>
      <c r="M1531" s="1" t="s">
        <v>41</v>
      </c>
      <c r="N1531" s="1" t="s">
        <v>35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1896.53</v>
      </c>
      <c r="W1531" s="17" t="n">
        <v>0</v>
      </c>
      <c r="X1531" s="1" t="s">
        <v>1784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46206</v>
      </c>
      <c r="C1532" s="15" t="n">
        <v>46232</v>
      </c>
      <c r="D1532" s="16" t="n">
        <v>1675</v>
      </c>
      <c r="E1532" s="1" t="s">
        <v>80</v>
      </c>
      <c r="F1532" s="16" t="n">
        <v>24</v>
      </c>
      <c r="G1532" s="1" t="s">
        <v>32</v>
      </c>
      <c r="H1532" s="16" t="n">
        <v>2110101</v>
      </c>
      <c r="I1532" s="1" t="s">
        <v>33</v>
      </c>
      <c r="J1532" s="16" t="n">
        <v>1344964</v>
      </c>
      <c r="L1532" s="16" t="n">
        <v>499471</v>
      </c>
      <c r="M1532" s="1" t="s">
        <v>41</v>
      </c>
      <c r="N1532" s="1" t="s">
        <v>35</v>
      </c>
      <c r="P1532" s="16" t="n">
        <v>103</v>
      </c>
      <c r="Q1532" s="1" t="s">
        <v>36</v>
      </c>
      <c r="R1532" s="1" t="s">
        <v>37</v>
      </c>
      <c r="S1532" s="16" t="n">
        <v>1130101</v>
      </c>
      <c r="T1532" s="1" t="s">
        <v>38</v>
      </c>
      <c r="U1532" s="17" t="n">
        <v>395.5</v>
      </c>
      <c r="W1532" s="17" t="n">
        <v>0</v>
      </c>
      <c r="X1532" s="1" t="s">
        <v>1785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46211</v>
      </c>
      <c r="C1533" s="15" t="n">
        <v>46232</v>
      </c>
      <c r="D1533" s="16" t="n">
        <v>10033</v>
      </c>
      <c r="E1533" s="1" t="s">
        <v>306</v>
      </c>
      <c r="F1533" s="16" t="n">
        <v>24</v>
      </c>
      <c r="G1533" s="1" t="s">
        <v>32</v>
      </c>
      <c r="H1533" s="16" t="n">
        <v>2110101</v>
      </c>
      <c r="I1533" s="1" t="s">
        <v>33</v>
      </c>
      <c r="J1533" s="16" t="n">
        <v>1368773</v>
      </c>
      <c r="L1533" s="16" t="n">
        <v>104122</v>
      </c>
      <c r="M1533" s="1" t="s">
        <v>41</v>
      </c>
      <c r="N1533" s="1" t="s">
        <v>35</v>
      </c>
      <c r="P1533" s="16" t="n">
        <v>103</v>
      </c>
      <c r="Q1533" s="1" t="s">
        <v>36</v>
      </c>
      <c r="R1533" s="1" t="s">
        <v>37</v>
      </c>
      <c r="S1533" s="16" t="n">
        <v>1130101</v>
      </c>
      <c r="T1533" s="1" t="s">
        <v>38</v>
      </c>
      <c r="U1533" s="17" t="n">
        <v>698.4</v>
      </c>
      <c r="W1533" s="17" t="n">
        <v>0</v>
      </c>
      <c r="X1533" s="1" t="s">
        <v>1786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46214</v>
      </c>
      <c r="C1534" s="15" t="n">
        <v>46232</v>
      </c>
      <c r="D1534" s="16" t="n">
        <v>10009</v>
      </c>
      <c r="E1534" s="1" t="s">
        <v>201</v>
      </c>
      <c r="F1534" s="16" t="n">
        <v>24</v>
      </c>
      <c r="G1534" s="1" t="s">
        <v>32</v>
      </c>
      <c r="H1534" s="16" t="n">
        <v>1110202</v>
      </c>
      <c r="I1534" s="1" t="s">
        <v>285</v>
      </c>
      <c r="J1534" s="16" t="n">
        <v>1381864</v>
      </c>
      <c r="L1534" s="16" t="n">
        <v>1425692</v>
      </c>
      <c r="M1534" s="1" t="s">
        <v>128</v>
      </c>
      <c r="N1534" s="1" t="s">
        <v>42</v>
      </c>
      <c r="P1534" s="16" t="n">
        <v>103</v>
      </c>
      <c r="Q1534" s="1" t="s">
        <v>36</v>
      </c>
      <c r="R1534" s="1" t="s">
        <v>37</v>
      </c>
      <c r="S1534" s="16" t="n">
        <v>1130101</v>
      </c>
      <c r="T1534" s="1" t="s">
        <v>38</v>
      </c>
      <c r="U1534" s="17" t="n">
        <v>1051.26</v>
      </c>
      <c r="W1534" s="17" t="n">
        <v>0</v>
      </c>
      <c r="X1534" s="1" t="s">
        <v>1787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46214</v>
      </c>
      <c r="C1535" s="15" t="n">
        <v>46232</v>
      </c>
      <c r="D1535" s="16" t="n">
        <v>1613</v>
      </c>
      <c r="E1535" s="1" t="s">
        <v>208</v>
      </c>
      <c r="F1535" s="16" t="n">
        <v>24</v>
      </c>
      <c r="G1535" s="1" t="s">
        <v>32</v>
      </c>
      <c r="H1535" s="16" t="n">
        <v>1110202</v>
      </c>
      <c r="I1535" s="1" t="s">
        <v>285</v>
      </c>
      <c r="J1535" s="16" t="n">
        <v>1382549</v>
      </c>
      <c r="L1535" s="16" t="n">
        <v>1605894</v>
      </c>
      <c r="M1535" s="1" t="s">
        <v>34</v>
      </c>
      <c r="N1535" s="1" t="s">
        <v>42</v>
      </c>
      <c r="P1535" s="16" t="n">
        <v>103</v>
      </c>
      <c r="Q1535" s="1" t="s">
        <v>36</v>
      </c>
      <c r="R1535" s="1" t="s">
        <v>37</v>
      </c>
      <c r="S1535" s="16" t="n">
        <v>1130101</v>
      </c>
      <c r="T1535" s="1" t="s">
        <v>38</v>
      </c>
      <c r="U1535" s="17" t="n">
        <v>3073.8</v>
      </c>
      <c r="W1535" s="17" t="n">
        <v>0</v>
      </c>
      <c r="X1535" s="1" t="s">
        <v>1788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46218</v>
      </c>
      <c r="C1536" s="15" t="n">
        <v>46232</v>
      </c>
      <c r="D1536" s="16" t="n">
        <v>1699</v>
      </c>
      <c r="E1536" s="1" t="s">
        <v>371</v>
      </c>
      <c r="F1536" s="16" t="n">
        <v>24</v>
      </c>
      <c r="G1536" s="1" t="s">
        <v>32</v>
      </c>
      <c r="H1536" s="16" t="n">
        <v>1110202</v>
      </c>
      <c r="I1536" s="1" t="s">
        <v>285</v>
      </c>
      <c r="J1536" s="16" t="n">
        <v>1401907</v>
      </c>
      <c r="L1536" s="16" t="n">
        <v>307805</v>
      </c>
      <c r="M1536" s="1" t="s">
        <v>34</v>
      </c>
      <c r="N1536" s="1" t="s">
        <v>42</v>
      </c>
      <c r="P1536" s="16" t="n">
        <v>103</v>
      </c>
      <c r="Q1536" s="1" t="s">
        <v>36</v>
      </c>
      <c r="R1536" s="1" t="s">
        <v>37</v>
      </c>
      <c r="S1536" s="16" t="n">
        <v>1130101</v>
      </c>
      <c r="T1536" s="1" t="s">
        <v>38</v>
      </c>
      <c r="U1536" s="17" t="n">
        <v>732.47</v>
      </c>
      <c r="W1536" s="17" t="n">
        <v>0</v>
      </c>
      <c r="X1536" s="1" t="s">
        <v>1789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46219</v>
      </c>
      <c r="C1537" s="15" t="n">
        <v>46232</v>
      </c>
      <c r="D1537" s="16" t="n">
        <v>1705</v>
      </c>
      <c r="E1537" s="1" t="s">
        <v>148</v>
      </c>
      <c r="F1537" s="16" t="n">
        <v>24</v>
      </c>
      <c r="G1537" s="1" t="s">
        <v>32</v>
      </c>
      <c r="H1537" s="16" t="n">
        <v>1110202</v>
      </c>
      <c r="I1537" s="1" t="s">
        <v>285</v>
      </c>
      <c r="J1537" s="16" t="n">
        <v>1405490</v>
      </c>
      <c r="L1537" s="16" t="n">
        <v>1933730</v>
      </c>
      <c r="M1537" s="1" t="s">
        <v>41</v>
      </c>
      <c r="N1537" s="1" t="s">
        <v>42</v>
      </c>
      <c r="P1537" s="16" t="n">
        <v>103</v>
      </c>
      <c r="Q1537" s="1" t="s">
        <v>36</v>
      </c>
      <c r="R1537" s="1" t="s">
        <v>37</v>
      </c>
      <c r="S1537" s="16" t="n">
        <v>1130101</v>
      </c>
      <c r="T1537" s="1" t="s">
        <v>38</v>
      </c>
      <c r="U1537" s="17" t="n">
        <v>417.71</v>
      </c>
      <c r="W1537" s="17" t="n">
        <v>0</v>
      </c>
      <c r="X1537" s="1" t="s">
        <v>1790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46220</v>
      </c>
      <c r="C1538" s="15" t="n">
        <v>46232</v>
      </c>
      <c r="D1538" s="16" t="n">
        <v>1613</v>
      </c>
      <c r="E1538" s="1" t="s">
        <v>208</v>
      </c>
      <c r="F1538" s="16" t="n">
        <v>24</v>
      </c>
      <c r="G1538" s="1" t="s">
        <v>32</v>
      </c>
      <c r="H1538" s="16" t="n">
        <v>1110202</v>
      </c>
      <c r="I1538" s="1" t="s">
        <v>285</v>
      </c>
      <c r="J1538" s="16" t="n">
        <v>1411781</v>
      </c>
      <c r="L1538" s="16" t="n">
        <v>1608648</v>
      </c>
      <c r="M1538" s="1" t="s">
        <v>41</v>
      </c>
      <c r="N1538" s="1" t="s">
        <v>42</v>
      </c>
      <c r="P1538" s="16" t="n">
        <v>103</v>
      </c>
      <c r="Q1538" s="1" t="s">
        <v>36</v>
      </c>
      <c r="R1538" s="1" t="s">
        <v>37</v>
      </c>
      <c r="S1538" s="16" t="n">
        <v>1130101</v>
      </c>
      <c r="T1538" s="1" t="s">
        <v>38</v>
      </c>
      <c r="U1538" s="17" t="n">
        <v>4171.51</v>
      </c>
      <c r="W1538" s="17" t="n">
        <v>0</v>
      </c>
      <c r="X1538" s="1" t="s">
        <v>1791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46226</v>
      </c>
      <c r="C1539" s="15" t="n">
        <v>46232</v>
      </c>
      <c r="D1539" s="16" t="n">
        <v>1363</v>
      </c>
      <c r="E1539" s="1" t="s">
        <v>155</v>
      </c>
      <c r="F1539" s="16" t="n">
        <v>24</v>
      </c>
      <c r="G1539" s="1" t="s">
        <v>32</v>
      </c>
      <c r="H1539" s="16" t="n">
        <v>1110202</v>
      </c>
      <c r="I1539" s="1" t="s">
        <v>285</v>
      </c>
      <c r="J1539" s="16" t="n">
        <v>1439311</v>
      </c>
      <c r="L1539" s="16" t="n">
        <v>3590</v>
      </c>
      <c r="M1539" s="1" t="s">
        <v>41</v>
      </c>
      <c r="N1539" s="1" t="s">
        <v>42</v>
      </c>
      <c r="P1539" s="16" t="n">
        <v>103</v>
      </c>
      <c r="Q1539" s="1" t="s">
        <v>36</v>
      </c>
      <c r="R1539" s="1" t="s">
        <v>37</v>
      </c>
      <c r="S1539" s="16" t="n">
        <v>1130101</v>
      </c>
      <c r="T1539" s="1" t="s">
        <v>38</v>
      </c>
      <c r="U1539" s="17" t="n">
        <v>274</v>
      </c>
      <c r="W1539" s="17" t="n">
        <v>0</v>
      </c>
      <c r="X1539" s="1" t="s">
        <v>1792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46226</v>
      </c>
      <c r="C1540" s="15" t="n">
        <v>46232</v>
      </c>
      <c r="D1540" s="16" t="n">
        <v>1609</v>
      </c>
      <c r="E1540" s="1" t="s">
        <v>64</v>
      </c>
      <c r="F1540" s="16" t="n">
        <v>24</v>
      </c>
      <c r="G1540" s="1" t="s">
        <v>32</v>
      </c>
      <c r="H1540" s="16" t="n">
        <v>1110202</v>
      </c>
      <c r="I1540" s="1" t="s">
        <v>285</v>
      </c>
      <c r="J1540" s="16" t="n">
        <v>1439329</v>
      </c>
      <c r="L1540" s="16" t="n">
        <v>5843</v>
      </c>
      <c r="M1540" s="1" t="s">
        <v>41</v>
      </c>
      <c r="N1540" s="1" t="s">
        <v>42</v>
      </c>
      <c r="P1540" s="16" t="n">
        <v>103</v>
      </c>
      <c r="Q1540" s="1" t="s">
        <v>36</v>
      </c>
      <c r="R1540" s="1" t="s">
        <v>37</v>
      </c>
      <c r="S1540" s="16" t="n">
        <v>1130101</v>
      </c>
      <c r="T1540" s="1" t="s">
        <v>38</v>
      </c>
      <c r="U1540" s="17" t="n">
        <v>933.95</v>
      </c>
      <c r="W1540" s="17" t="n">
        <v>0</v>
      </c>
      <c r="X1540" s="1" t="s">
        <v>1793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46231</v>
      </c>
      <c r="C1541" s="15" t="n">
        <v>46232</v>
      </c>
      <c r="D1541" s="16" t="n">
        <v>1615</v>
      </c>
      <c r="E1541" s="1" t="s">
        <v>221</v>
      </c>
      <c r="F1541" s="16" t="n">
        <v>34</v>
      </c>
      <c r="G1541" s="1" t="s">
        <v>71</v>
      </c>
      <c r="H1541" s="16" t="n">
        <v>2110101</v>
      </c>
      <c r="I1541" s="1" t="s">
        <v>33</v>
      </c>
      <c r="J1541" s="16" t="n">
        <v>1464669</v>
      </c>
      <c r="L1541" s="16" t="n">
        <v>14967</v>
      </c>
      <c r="M1541" s="1" t="s">
        <v>41</v>
      </c>
      <c r="N1541" s="1" t="s">
        <v>35</v>
      </c>
      <c r="P1541" s="16" t="n">
        <v>104</v>
      </c>
      <c r="Q1541" s="1" t="s">
        <v>99</v>
      </c>
      <c r="R1541" s="1" t="s">
        <v>37</v>
      </c>
      <c r="S1541" s="16" t="n">
        <v>1130101</v>
      </c>
      <c r="T1541" s="1" t="s">
        <v>38</v>
      </c>
      <c r="U1541" s="17" t="n">
        <v>720</v>
      </c>
      <c r="W1541" s="17" t="n">
        <v>0</v>
      </c>
      <c r="X1541" s="1" t="s">
        <v>1794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515</v>
      </c>
      <c r="E1542" s="1" t="s">
        <v>106</v>
      </c>
      <c r="F1542" s="16" t="n">
        <v>34</v>
      </c>
      <c r="G1542" s="1" t="s">
        <v>71</v>
      </c>
      <c r="H1542" s="16" t="n">
        <v>1110202</v>
      </c>
      <c r="I1542" s="1" t="s">
        <v>285</v>
      </c>
      <c r="J1542" s="16" t="n">
        <v>1468233</v>
      </c>
      <c r="L1542" s="16" t="n">
        <v>603538</v>
      </c>
      <c r="M1542" s="1" t="s">
        <v>41</v>
      </c>
      <c r="N1542" s="1" t="s">
        <v>42</v>
      </c>
      <c r="P1542" s="16" t="n">
        <v>102</v>
      </c>
      <c r="Q1542" s="1" t="s">
        <v>107</v>
      </c>
      <c r="R1542" s="1" t="s">
        <v>91</v>
      </c>
      <c r="S1542" s="16" t="n">
        <v>4220199</v>
      </c>
      <c r="T1542" s="1" t="s">
        <v>92</v>
      </c>
      <c r="U1542" s="17" t="n">
        <v>279.64</v>
      </c>
      <c r="W1542" s="17" t="n">
        <v>0</v>
      </c>
      <c r="X1542" s="1" t="s">
        <v>1795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33</v>
      </c>
      <c r="E1543" s="1" t="s">
        <v>70</v>
      </c>
      <c r="F1543" s="16" t="n">
        <v>13</v>
      </c>
      <c r="G1543" s="1" t="s">
        <v>98</v>
      </c>
      <c r="H1543" s="16" t="n">
        <v>2110101</v>
      </c>
      <c r="I1543" s="1" t="s">
        <v>33</v>
      </c>
      <c r="J1543" s="16" t="n">
        <v>1468261</v>
      </c>
      <c r="L1543" s="16" t="n">
        <v>5366</v>
      </c>
      <c r="M1543" s="1" t="s">
        <v>41</v>
      </c>
      <c r="N1543" s="1" t="s">
        <v>35</v>
      </c>
      <c r="P1543" s="16" t="n">
        <v>104</v>
      </c>
      <c r="Q1543" s="1" t="s">
        <v>99</v>
      </c>
      <c r="R1543" s="1" t="s">
        <v>37</v>
      </c>
      <c r="S1543" s="16" t="n">
        <v>1130101</v>
      </c>
      <c r="T1543" s="1" t="s">
        <v>38</v>
      </c>
      <c r="U1543" s="17" t="n">
        <v>420</v>
      </c>
      <c r="W1543" s="17" t="n">
        <v>420</v>
      </c>
      <c r="X1543" s="1" t="s">
        <v>1796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46232</v>
      </c>
      <c r="C1544" s="15" t="n">
        <v>46232</v>
      </c>
      <c r="D1544" s="16" t="n">
        <v>33</v>
      </c>
      <c r="E1544" s="1" t="s">
        <v>70</v>
      </c>
      <c r="F1544" s="16" t="n">
        <v>13</v>
      </c>
      <c r="G1544" s="1" t="s">
        <v>98</v>
      </c>
      <c r="H1544" s="16" t="n">
        <v>2110101</v>
      </c>
      <c r="I1544" s="1" t="s">
        <v>33</v>
      </c>
      <c r="J1544" s="16" t="n">
        <v>1468306</v>
      </c>
      <c r="L1544" s="16" t="n">
        <v>5367</v>
      </c>
      <c r="M1544" s="1" t="s">
        <v>41</v>
      </c>
      <c r="N1544" s="1" t="s">
        <v>35</v>
      </c>
      <c r="P1544" s="16" t="n">
        <v>104</v>
      </c>
      <c r="Q1544" s="1" t="s">
        <v>99</v>
      </c>
      <c r="R1544" s="1" t="s">
        <v>37</v>
      </c>
      <c r="S1544" s="16" t="n">
        <v>1130101</v>
      </c>
      <c r="T1544" s="1" t="s">
        <v>38</v>
      </c>
      <c r="U1544" s="17" t="n">
        <v>350</v>
      </c>
      <c r="W1544" s="17" t="n">
        <v>350</v>
      </c>
      <c r="X1544" s="1" t="s">
        <v>1797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46232</v>
      </c>
      <c r="C1545" s="15" t="n">
        <v>46232</v>
      </c>
      <c r="D1545" s="16" t="n">
        <v>33</v>
      </c>
      <c r="E1545" s="1" t="s">
        <v>70</v>
      </c>
      <c r="F1545" s="16" t="n">
        <v>13</v>
      </c>
      <c r="G1545" s="1" t="s">
        <v>98</v>
      </c>
      <c r="H1545" s="16" t="n">
        <v>2110101</v>
      </c>
      <c r="I1545" s="1" t="s">
        <v>33</v>
      </c>
      <c r="J1545" s="16" t="n">
        <v>1468415</v>
      </c>
      <c r="L1545" s="16" t="n">
        <v>5368</v>
      </c>
      <c r="M1545" s="1" t="s">
        <v>41</v>
      </c>
      <c r="N1545" s="1" t="s">
        <v>35</v>
      </c>
      <c r="P1545" s="16" t="n">
        <v>104</v>
      </c>
      <c r="Q1545" s="1" t="s">
        <v>99</v>
      </c>
      <c r="R1545" s="1" t="s">
        <v>37</v>
      </c>
      <c r="S1545" s="16" t="n">
        <v>1130101</v>
      </c>
      <c r="T1545" s="1" t="s">
        <v>38</v>
      </c>
      <c r="U1545" s="17" t="n">
        <v>280</v>
      </c>
      <c r="W1545" s="17" t="n">
        <v>280</v>
      </c>
      <c r="X1545" s="1" t="s">
        <v>1798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46232</v>
      </c>
      <c r="C1546" s="15" t="n">
        <v>46232</v>
      </c>
      <c r="D1546" s="16" t="n">
        <v>33</v>
      </c>
      <c r="E1546" s="1" t="s">
        <v>70</v>
      </c>
      <c r="F1546" s="16" t="n">
        <v>13</v>
      </c>
      <c r="G1546" s="1" t="s">
        <v>98</v>
      </c>
      <c r="H1546" s="16" t="n">
        <v>2110101</v>
      </c>
      <c r="I1546" s="1" t="s">
        <v>33</v>
      </c>
      <c r="J1546" s="16" t="n">
        <v>1468465</v>
      </c>
      <c r="L1546" s="16" t="n">
        <v>5369</v>
      </c>
      <c r="M1546" s="1" t="s">
        <v>41</v>
      </c>
      <c r="N1546" s="1" t="s">
        <v>35</v>
      </c>
      <c r="P1546" s="16" t="n">
        <v>104</v>
      </c>
      <c r="Q1546" s="1" t="s">
        <v>99</v>
      </c>
      <c r="R1546" s="1" t="s">
        <v>37</v>
      </c>
      <c r="S1546" s="16" t="n">
        <v>1130101</v>
      </c>
      <c r="T1546" s="1" t="s">
        <v>38</v>
      </c>
      <c r="U1546" s="17" t="n">
        <v>280</v>
      </c>
      <c r="W1546" s="17" t="n">
        <v>280</v>
      </c>
      <c r="X1546" s="1" t="s">
        <v>1799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46232</v>
      </c>
      <c r="C1547" s="15" t="n">
        <v>46232</v>
      </c>
      <c r="D1547" s="16" t="n">
        <v>33</v>
      </c>
      <c r="E1547" s="1" t="s">
        <v>70</v>
      </c>
      <c r="F1547" s="16" t="n">
        <v>13</v>
      </c>
      <c r="G1547" s="1" t="s">
        <v>98</v>
      </c>
      <c r="H1547" s="16" t="n">
        <v>2110101</v>
      </c>
      <c r="I1547" s="1" t="s">
        <v>33</v>
      </c>
      <c r="J1547" s="16" t="n">
        <v>1468486</v>
      </c>
      <c r="L1547" s="16" t="n">
        <v>5370</v>
      </c>
      <c r="M1547" s="1" t="s">
        <v>41</v>
      </c>
      <c r="N1547" s="1" t="s">
        <v>35</v>
      </c>
      <c r="P1547" s="16" t="n">
        <v>104</v>
      </c>
      <c r="Q1547" s="1" t="s">
        <v>99</v>
      </c>
      <c r="R1547" s="1" t="s">
        <v>37</v>
      </c>
      <c r="S1547" s="16" t="n">
        <v>1130101</v>
      </c>
      <c r="T1547" s="1" t="s">
        <v>38</v>
      </c>
      <c r="U1547" s="17" t="n">
        <v>280</v>
      </c>
      <c r="W1547" s="17" t="n">
        <v>280</v>
      </c>
      <c r="X1547" s="1" t="s">
        <v>1800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46232</v>
      </c>
      <c r="C1548" s="15" t="n">
        <v>46232</v>
      </c>
      <c r="D1548" s="16" t="n">
        <v>33</v>
      </c>
      <c r="E1548" s="1" t="s">
        <v>70</v>
      </c>
      <c r="F1548" s="16" t="n">
        <v>13</v>
      </c>
      <c r="G1548" s="1" t="s">
        <v>98</v>
      </c>
      <c r="H1548" s="16" t="n">
        <v>2110101</v>
      </c>
      <c r="I1548" s="1" t="s">
        <v>33</v>
      </c>
      <c r="J1548" s="16" t="n">
        <v>1468550</v>
      </c>
      <c r="L1548" s="16" t="n">
        <v>5371</v>
      </c>
      <c r="M1548" s="1" t="s">
        <v>41</v>
      </c>
      <c r="N1548" s="1" t="s">
        <v>35</v>
      </c>
      <c r="P1548" s="16" t="n">
        <v>104</v>
      </c>
      <c r="Q1548" s="1" t="s">
        <v>99</v>
      </c>
      <c r="R1548" s="1" t="s">
        <v>37</v>
      </c>
      <c r="S1548" s="16" t="n">
        <v>1130101</v>
      </c>
      <c r="T1548" s="1" t="s">
        <v>38</v>
      </c>
      <c r="U1548" s="17" t="n">
        <v>280</v>
      </c>
      <c r="W1548" s="17" t="n">
        <v>280</v>
      </c>
      <c r="X1548" s="1" t="s">
        <v>1801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46232</v>
      </c>
      <c r="C1549" s="15" t="n">
        <v>46232</v>
      </c>
      <c r="D1549" s="16" t="n">
        <v>33</v>
      </c>
      <c r="E1549" s="1" t="s">
        <v>70</v>
      </c>
      <c r="F1549" s="16" t="n">
        <v>13</v>
      </c>
      <c r="G1549" s="1" t="s">
        <v>98</v>
      </c>
      <c r="H1549" s="16" t="n">
        <v>2110101</v>
      </c>
      <c r="I1549" s="1" t="s">
        <v>33</v>
      </c>
      <c r="J1549" s="16" t="n">
        <v>1468602</v>
      </c>
      <c r="L1549" s="16" t="n">
        <v>5372</v>
      </c>
      <c r="M1549" s="1" t="s">
        <v>41</v>
      </c>
      <c r="N1549" s="1" t="s">
        <v>35</v>
      </c>
      <c r="P1549" s="16" t="n">
        <v>104</v>
      </c>
      <c r="Q1549" s="1" t="s">
        <v>99</v>
      </c>
      <c r="R1549" s="1" t="s">
        <v>37</v>
      </c>
      <c r="S1549" s="16" t="n">
        <v>1130101</v>
      </c>
      <c r="T1549" s="1" t="s">
        <v>38</v>
      </c>
      <c r="U1549" s="17" t="n">
        <v>420</v>
      </c>
      <c r="W1549" s="17" t="n">
        <v>420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46232</v>
      </c>
      <c r="C1550" s="15" t="n">
        <v>46232</v>
      </c>
      <c r="D1550" s="16" t="n">
        <v>33</v>
      </c>
      <c r="E1550" s="1" t="s">
        <v>70</v>
      </c>
      <c r="F1550" s="16" t="n">
        <v>13</v>
      </c>
      <c r="G1550" s="1" t="s">
        <v>98</v>
      </c>
      <c r="H1550" s="16" t="n">
        <v>2110101</v>
      </c>
      <c r="I1550" s="1" t="s">
        <v>33</v>
      </c>
      <c r="J1550" s="16" t="n">
        <v>1468698</v>
      </c>
      <c r="L1550" s="16" t="n">
        <v>5373</v>
      </c>
      <c r="M1550" s="1" t="s">
        <v>41</v>
      </c>
      <c r="N1550" s="1" t="s">
        <v>35</v>
      </c>
      <c r="P1550" s="16" t="n">
        <v>104</v>
      </c>
      <c r="Q1550" s="1" t="s">
        <v>99</v>
      </c>
      <c r="R1550" s="1" t="s">
        <v>37</v>
      </c>
      <c r="S1550" s="16" t="n">
        <v>1130101</v>
      </c>
      <c r="T1550" s="1" t="s">
        <v>38</v>
      </c>
      <c r="U1550" s="17" t="n">
        <v>350</v>
      </c>
      <c r="W1550" s="17" t="n">
        <v>350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46232</v>
      </c>
      <c r="C1551" s="15" t="n">
        <v>46232</v>
      </c>
      <c r="D1551" s="16" t="n">
        <v>33</v>
      </c>
      <c r="E1551" s="1" t="s">
        <v>70</v>
      </c>
      <c r="F1551" s="16" t="n">
        <v>13</v>
      </c>
      <c r="G1551" s="1" t="s">
        <v>98</v>
      </c>
      <c r="H1551" s="16" t="n">
        <v>2110101</v>
      </c>
      <c r="I1551" s="1" t="s">
        <v>33</v>
      </c>
      <c r="J1551" s="16" t="n">
        <v>1468707</v>
      </c>
      <c r="L1551" s="16" t="n">
        <v>5374</v>
      </c>
      <c r="M1551" s="1" t="s">
        <v>41</v>
      </c>
      <c r="N1551" s="1" t="s">
        <v>35</v>
      </c>
      <c r="P1551" s="16" t="n">
        <v>104</v>
      </c>
      <c r="Q1551" s="1" t="s">
        <v>99</v>
      </c>
      <c r="R1551" s="1" t="s">
        <v>37</v>
      </c>
      <c r="S1551" s="16" t="n">
        <v>1130101</v>
      </c>
      <c r="T1551" s="1" t="s">
        <v>38</v>
      </c>
      <c r="U1551" s="17" t="n">
        <v>350</v>
      </c>
      <c r="W1551" s="17" t="n">
        <v>350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46232</v>
      </c>
      <c r="C1552" s="15" t="n">
        <v>46232</v>
      </c>
      <c r="D1552" s="16" t="n">
        <v>905</v>
      </c>
      <c r="E1552" s="1" t="s">
        <v>1205</v>
      </c>
      <c r="F1552" s="16" t="n">
        <v>34</v>
      </c>
      <c r="G1552" s="1" t="s">
        <v>71</v>
      </c>
      <c r="H1552" s="16" t="n">
        <v>1110202</v>
      </c>
      <c r="I1552" s="1" t="s">
        <v>285</v>
      </c>
      <c r="J1552" s="16" t="n">
        <v>1473251</v>
      </c>
      <c r="L1552" s="16" t="n">
        <v>605375</v>
      </c>
      <c r="M1552" s="1" t="s">
        <v>41</v>
      </c>
      <c r="N1552" s="1" t="s">
        <v>42</v>
      </c>
      <c r="P1552" s="16" t="n">
        <v>102</v>
      </c>
      <c r="Q1552" s="1" t="s">
        <v>107</v>
      </c>
      <c r="R1552" s="1" t="s">
        <v>1805</v>
      </c>
      <c r="S1552" s="16" t="n">
        <v>4110103</v>
      </c>
      <c r="T1552" s="1" t="s">
        <v>1806</v>
      </c>
      <c r="U1552" s="17" t="n">
        <v>400</v>
      </c>
      <c r="W1552" s="17" t="n">
        <v>0</v>
      </c>
      <c r="X1552" s="1" t="s">
        <v>1807</v>
      </c>
      <c r="Z1552" s="1" t="str">
        <f aca="false">IF($T1552="","",IFERROR(INDEX('Resumo Grupos'!$AC$3:$AC$200,MATCH($T1552,'Resumo Grupos'!$AB$3:$AB$200,0)),"n/d"))</f>
        <v>Salários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46234</v>
      </c>
      <c r="C1553" s="15" t="n">
        <v>46232</v>
      </c>
      <c r="D1553" s="16" t="n">
        <v>1391</v>
      </c>
      <c r="E1553" s="1" t="s">
        <v>388</v>
      </c>
      <c r="F1553" s="16" t="n">
        <v>13</v>
      </c>
      <c r="G1553" s="1" t="s">
        <v>98</v>
      </c>
      <c r="H1553" s="16" t="n">
        <v>2110101</v>
      </c>
      <c r="I1553" s="1" t="s">
        <v>33</v>
      </c>
      <c r="J1553" s="16" t="n">
        <v>1477703</v>
      </c>
      <c r="L1553" s="16" t="n">
        <v>413</v>
      </c>
      <c r="M1553" s="1" t="s">
        <v>41</v>
      </c>
      <c r="N1553" s="1" t="s">
        <v>35</v>
      </c>
      <c r="P1553" s="16" t="n">
        <v>104</v>
      </c>
      <c r="Q1553" s="1" t="s">
        <v>99</v>
      </c>
      <c r="R1553" s="1" t="s">
        <v>37</v>
      </c>
      <c r="S1553" s="16" t="n">
        <v>1130101</v>
      </c>
      <c r="T1553" s="1" t="s">
        <v>38</v>
      </c>
      <c r="U1553" s="17" t="n">
        <v>612</v>
      </c>
      <c r="W1553" s="17" t="n">
        <v>612</v>
      </c>
      <c r="X1553" s="1" t="s">
        <v>1808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46230</v>
      </c>
      <c r="C1554" s="15" t="n">
        <v>46233</v>
      </c>
      <c r="D1554" s="16" t="n">
        <v>1614</v>
      </c>
      <c r="E1554" s="1" t="s">
        <v>66</v>
      </c>
      <c r="F1554" s="16" t="n">
        <v>24</v>
      </c>
      <c r="G1554" s="1" t="s">
        <v>32</v>
      </c>
      <c r="H1554" s="16" t="n">
        <v>1110202</v>
      </c>
      <c r="I1554" s="1" t="s">
        <v>285</v>
      </c>
      <c r="J1554" s="16" t="n">
        <v>1460045</v>
      </c>
      <c r="L1554" s="16" t="n">
        <v>11479</v>
      </c>
      <c r="M1554" s="1" t="s">
        <v>41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713.31</v>
      </c>
      <c r="W1554" s="17" t="n">
        <v>0</v>
      </c>
      <c r="X1554" s="1" t="s">
        <v>1809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46230</v>
      </c>
      <c r="C1555" s="15" t="n">
        <v>46233</v>
      </c>
      <c r="D1555" s="16" t="n">
        <v>10018</v>
      </c>
      <c r="E1555" s="1" t="s">
        <v>328</v>
      </c>
      <c r="F1555" s="16" t="n">
        <v>34</v>
      </c>
      <c r="G1555" s="1" t="s">
        <v>71</v>
      </c>
      <c r="H1555" s="16" t="n">
        <v>1110202</v>
      </c>
      <c r="I1555" s="1" t="s">
        <v>285</v>
      </c>
      <c r="J1555" s="16" t="n">
        <v>1458751</v>
      </c>
      <c r="L1555" s="16" t="n">
        <v>346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570</v>
      </c>
      <c r="W1555" s="17" t="n">
        <v>0</v>
      </c>
      <c r="X1555" s="1" t="s">
        <v>1810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46230</v>
      </c>
      <c r="C1556" s="15" t="n">
        <v>46233</v>
      </c>
      <c r="D1556" s="16" t="n">
        <v>1807</v>
      </c>
      <c r="E1556" s="1" t="s">
        <v>224</v>
      </c>
      <c r="F1556" s="16" t="n">
        <v>24</v>
      </c>
      <c r="G1556" s="1" t="s">
        <v>32</v>
      </c>
      <c r="H1556" s="16" t="n">
        <v>1110202</v>
      </c>
      <c r="I1556" s="1" t="s">
        <v>285</v>
      </c>
      <c r="J1556" s="16" t="n">
        <v>1459255</v>
      </c>
      <c r="L1556" s="16" t="n">
        <v>600334</v>
      </c>
      <c r="M1556" s="1" t="s">
        <v>41</v>
      </c>
      <c r="N1556" s="1" t="s">
        <v>42</v>
      </c>
      <c r="P1556" s="16" t="n">
        <v>101</v>
      </c>
      <c r="Q1556" s="1" t="s">
        <v>84</v>
      </c>
      <c r="R1556" s="1" t="s">
        <v>775</v>
      </c>
      <c r="S1556" s="16" t="n">
        <v>2110712</v>
      </c>
      <c r="T1556" s="1" t="s">
        <v>1811</v>
      </c>
      <c r="U1556" s="17" t="n">
        <v>568.76</v>
      </c>
      <c r="W1556" s="17" t="n">
        <v>0</v>
      </c>
      <c r="X1556" s="1" t="s">
        <v>1812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46230</v>
      </c>
      <c r="C1557" s="15" t="n">
        <v>46233</v>
      </c>
      <c r="D1557" s="16" t="n">
        <v>1807</v>
      </c>
      <c r="E1557" s="1" t="s">
        <v>224</v>
      </c>
      <c r="F1557" s="16" t="n">
        <v>24</v>
      </c>
      <c r="G1557" s="1" t="s">
        <v>32</v>
      </c>
      <c r="H1557" s="16" t="n">
        <v>1110202</v>
      </c>
      <c r="I1557" s="1" t="s">
        <v>285</v>
      </c>
      <c r="J1557" s="16" t="n">
        <v>1459259</v>
      </c>
      <c r="L1557" s="16" t="n">
        <v>600336</v>
      </c>
      <c r="M1557" s="1" t="s">
        <v>41</v>
      </c>
      <c r="N1557" s="1" t="s">
        <v>42</v>
      </c>
      <c r="P1557" s="16" t="n">
        <v>101</v>
      </c>
      <c r="Q1557" s="1" t="s">
        <v>84</v>
      </c>
      <c r="R1557" s="1" t="s">
        <v>775</v>
      </c>
      <c r="S1557" s="16" t="n">
        <v>2110704</v>
      </c>
      <c r="T1557" s="1" t="s">
        <v>977</v>
      </c>
      <c r="U1557" s="17" t="n">
        <v>947.94</v>
      </c>
      <c r="W1557" s="17" t="n">
        <v>0</v>
      </c>
      <c r="X1557" s="1" t="s">
        <v>1813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46189</v>
      </c>
      <c r="C1558" s="15" t="n">
        <v>46233</v>
      </c>
      <c r="D1558" s="16" t="n">
        <v>10012</v>
      </c>
      <c r="E1558" s="1" t="s">
        <v>204</v>
      </c>
      <c r="F1558" s="16" t="n">
        <v>24</v>
      </c>
      <c r="G1558" s="1" t="s">
        <v>32</v>
      </c>
      <c r="H1558" s="16" t="n">
        <v>2110101</v>
      </c>
      <c r="I1558" s="1" t="s">
        <v>33</v>
      </c>
      <c r="J1558" s="16" t="n">
        <v>1261364</v>
      </c>
      <c r="L1558" s="16" t="n">
        <v>1957890</v>
      </c>
      <c r="M1558" s="1" t="s">
        <v>234</v>
      </c>
      <c r="N1558" s="1" t="s">
        <v>35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3937.79</v>
      </c>
      <c r="W1558" s="17" t="n">
        <v>0</v>
      </c>
      <c r="X1558" s="1" t="s">
        <v>1814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46203</v>
      </c>
      <c r="C1559" s="15" t="n">
        <v>46233</v>
      </c>
      <c r="D1559" s="16" t="n">
        <v>10011</v>
      </c>
      <c r="E1559" s="1" t="s">
        <v>189</v>
      </c>
      <c r="F1559" s="16" t="n">
        <v>24</v>
      </c>
      <c r="G1559" s="1" t="s">
        <v>32</v>
      </c>
      <c r="H1559" s="16" t="n">
        <v>2110101</v>
      </c>
      <c r="I1559" s="1" t="s">
        <v>33</v>
      </c>
      <c r="J1559" s="16" t="n">
        <v>1330475</v>
      </c>
      <c r="L1559" s="16" t="n">
        <v>34300</v>
      </c>
      <c r="M1559" s="1" t="s">
        <v>34</v>
      </c>
      <c r="N1559" s="1" t="s">
        <v>35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3377.6</v>
      </c>
      <c r="W1559" s="17" t="n">
        <v>0</v>
      </c>
      <c r="X1559" s="1" t="s">
        <v>1815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46205</v>
      </c>
      <c r="C1560" s="15" t="n">
        <v>46233</v>
      </c>
      <c r="D1560" s="16" t="n">
        <v>1740</v>
      </c>
      <c r="E1560" s="1" t="s">
        <v>258</v>
      </c>
      <c r="F1560" s="16" t="n">
        <v>24</v>
      </c>
      <c r="G1560" s="1" t="s">
        <v>32</v>
      </c>
      <c r="H1560" s="16" t="n">
        <v>2110101</v>
      </c>
      <c r="I1560" s="1" t="s">
        <v>33</v>
      </c>
      <c r="J1560" s="16" t="n">
        <v>1340464</v>
      </c>
      <c r="L1560" s="16" t="n">
        <v>1243403</v>
      </c>
      <c r="M1560" s="1" t="s">
        <v>34</v>
      </c>
      <c r="N1560" s="1" t="s">
        <v>35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972.31</v>
      </c>
      <c r="W1560" s="17" t="n">
        <v>0</v>
      </c>
      <c r="X1560" s="1" t="s">
        <v>1816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46205</v>
      </c>
      <c r="C1561" s="15" t="n">
        <v>46233</v>
      </c>
      <c r="D1561" s="16" t="n">
        <v>1921</v>
      </c>
      <c r="E1561" s="1" t="s">
        <v>238</v>
      </c>
      <c r="F1561" s="16" t="n">
        <v>24</v>
      </c>
      <c r="G1561" s="1" t="s">
        <v>32</v>
      </c>
      <c r="H1561" s="16" t="n">
        <v>2110101</v>
      </c>
      <c r="I1561" s="1" t="s">
        <v>33</v>
      </c>
      <c r="J1561" s="16" t="n">
        <v>1341594</v>
      </c>
      <c r="L1561" s="16" t="n">
        <v>20994</v>
      </c>
      <c r="M1561" s="1" t="s">
        <v>41</v>
      </c>
      <c r="N1561" s="1" t="s">
        <v>35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1317.6</v>
      </c>
      <c r="W1561" s="17" t="n">
        <v>0</v>
      </c>
      <c r="X1561" s="1" t="s">
        <v>1817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46207</v>
      </c>
      <c r="C1562" s="15" t="n">
        <v>46233</v>
      </c>
      <c r="D1562" s="16" t="n">
        <v>1668</v>
      </c>
      <c r="E1562" s="1" t="s">
        <v>57</v>
      </c>
      <c r="F1562" s="16" t="n">
        <v>24</v>
      </c>
      <c r="G1562" s="1" t="s">
        <v>32</v>
      </c>
      <c r="H1562" s="16" t="n">
        <v>2110102</v>
      </c>
      <c r="I1562" s="1" t="s">
        <v>59</v>
      </c>
      <c r="J1562" s="16" t="n">
        <v>1348465</v>
      </c>
      <c r="L1562" s="16" t="n">
        <v>734837</v>
      </c>
      <c r="M1562" s="1" t="s">
        <v>41</v>
      </c>
      <c r="N1562" s="1" t="s">
        <v>35</v>
      </c>
      <c r="P1562" s="16" t="n">
        <v>103</v>
      </c>
      <c r="Q1562" s="1" t="s">
        <v>36</v>
      </c>
      <c r="R1562" s="1" t="s">
        <v>60</v>
      </c>
      <c r="S1562" s="16" t="n">
        <v>4210204</v>
      </c>
      <c r="T1562" s="1" t="s">
        <v>61</v>
      </c>
      <c r="U1562" s="17" t="n">
        <v>345.1</v>
      </c>
      <c r="W1562" s="17" t="n">
        <v>0</v>
      </c>
      <c r="X1562" s="1" t="s">
        <v>1818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46213</v>
      </c>
      <c r="C1563" s="15" t="n">
        <v>46233</v>
      </c>
      <c r="D1563" s="16" t="n">
        <v>1626</v>
      </c>
      <c r="E1563" s="1" t="s">
        <v>40</v>
      </c>
      <c r="F1563" s="16" t="n">
        <v>24</v>
      </c>
      <c r="G1563" s="1" t="s">
        <v>32</v>
      </c>
      <c r="H1563" s="16" t="n">
        <v>2110405</v>
      </c>
      <c r="I1563" s="1" t="s">
        <v>83</v>
      </c>
      <c r="J1563" s="16" t="n">
        <v>1376626</v>
      </c>
      <c r="L1563" s="16" t="n">
        <v>312590</v>
      </c>
      <c r="M1563" s="1" t="s">
        <v>34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1643.75</v>
      </c>
      <c r="W1563" s="17" t="n">
        <v>0</v>
      </c>
      <c r="X1563" s="1" t="s">
        <v>1819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46213</v>
      </c>
      <c r="C1564" s="15" t="n">
        <v>46233</v>
      </c>
      <c r="D1564" s="16" t="n">
        <v>1740</v>
      </c>
      <c r="E1564" s="1" t="s">
        <v>258</v>
      </c>
      <c r="F1564" s="16" t="n">
        <v>24</v>
      </c>
      <c r="G1564" s="1" t="s">
        <v>32</v>
      </c>
      <c r="H1564" s="16" t="n">
        <v>2110405</v>
      </c>
      <c r="I1564" s="1" t="s">
        <v>83</v>
      </c>
      <c r="J1564" s="16" t="n">
        <v>1376989</v>
      </c>
      <c r="L1564" s="16" t="n">
        <v>1245715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828.44</v>
      </c>
      <c r="W1564" s="17" t="n">
        <v>0</v>
      </c>
      <c r="X1564" s="1" t="s">
        <v>1820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46219</v>
      </c>
      <c r="C1565" s="15" t="n">
        <v>46233</v>
      </c>
      <c r="D1565" s="16" t="n">
        <v>1601</v>
      </c>
      <c r="E1565" s="1" t="s">
        <v>195</v>
      </c>
      <c r="F1565" s="16" t="n">
        <v>24</v>
      </c>
      <c r="G1565" s="1" t="s">
        <v>32</v>
      </c>
      <c r="H1565" s="16" t="n">
        <v>2110405</v>
      </c>
      <c r="I1565" s="1" t="s">
        <v>83</v>
      </c>
      <c r="J1565" s="16" t="n">
        <v>1407452</v>
      </c>
      <c r="L1565" s="16" t="n">
        <v>854275</v>
      </c>
      <c r="M1565" s="1" t="s">
        <v>41</v>
      </c>
      <c r="N1565" s="1" t="s">
        <v>42</v>
      </c>
      <c r="P1565" s="16" t="n">
        <v>103</v>
      </c>
      <c r="Q1565" s="1" t="s">
        <v>36</v>
      </c>
      <c r="R1565" s="1" t="s">
        <v>37</v>
      </c>
      <c r="S1565" s="16" t="n">
        <v>1130101</v>
      </c>
      <c r="T1565" s="1" t="s">
        <v>38</v>
      </c>
      <c r="U1565" s="17" t="n">
        <v>748.7</v>
      </c>
      <c r="W1565" s="17" t="n">
        <v>0</v>
      </c>
      <c r="X1565" s="1" t="s">
        <v>1821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46219</v>
      </c>
      <c r="C1566" s="15" t="n">
        <v>46233</v>
      </c>
      <c r="D1566" s="16" t="n">
        <v>1705</v>
      </c>
      <c r="E1566" s="1" t="s">
        <v>148</v>
      </c>
      <c r="F1566" s="16" t="n">
        <v>24</v>
      </c>
      <c r="G1566" s="1" t="s">
        <v>32</v>
      </c>
      <c r="H1566" s="16" t="n">
        <v>1110202</v>
      </c>
      <c r="I1566" s="1" t="s">
        <v>285</v>
      </c>
      <c r="J1566" s="16" t="n">
        <v>1407736</v>
      </c>
      <c r="L1566" s="16" t="n">
        <v>1203714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1638.55</v>
      </c>
      <c r="W1566" s="17" t="n">
        <v>0</v>
      </c>
      <c r="X1566" s="1" t="s">
        <v>1822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46219</v>
      </c>
      <c r="C1567" s="15" t="n">
        <v>46233</v>
      </c>
      <c r="D1567" s="16" t="n">
        <v>1705</v>
      </c>
      <c r="E1567" s="1" t="s">
        <v>148</v>
      </c>
      <c r="F1567" s="16" t="n">
        <v>24</v>
      </c>
      <c r="G1567" s="1" t="s">
        <v>32</v>
      </c>
      <c r="H1567" s="16" t="n">
        <v>1110202</v>
      </c>
      <c r="I1567" s="1" t="s">
        <v>285</v>
      </c>
      <c r="J1567" s="16" t="n">
        <v>1407809</v>
      </c>
      <c r="L1567" s="16" t="n">
        <v>1936376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2622.9</v>
      </c>
      <c r="W1567" s="17" t="n">
        <v>0</v>
      </c>
      <c r="X1567" s="1" t="s">
        <v>1823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46219</v>
      </c>
      <c r="C1568" s="15" t="n">
        <v>46233</v>
      </c>
      <c r="D1568" s="16" t="n">
        <v>1705</v>
      </c>
      <c r="E1568" s="1" t="s">
        <v>148</v>
      </c>
      <c r="F1568" s="16" t="n">
        <v>24</v>
      </c>
      <c r="G1568" s="1" t="s">
        <v>32</v>
      </c>
      <c r="H1568" s="16" t="n">
        <v>1110202</v>
      </c>
      <c r="I1568" s="1" t="s">
        <v>285</v>
      </c>
      <c r="J1568" s="16" t="n">
        <v>1407834</v>
      </c>
      <c r="L1568" s="16" t="n">
        <v>1936062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160.78</v>
      </c>
      <c r="W1568" s="17" t="n">
        <v>0</v>
      </c>
      <c r="X1568" s="1" t="s">
        <v>1824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46224</v>
      </c>
      <c r="C1569" s="15" t="n">
        <v>46233</v>
      </c>
      <c r="D1569" s="16" t="n">
        <v>1812</v>
      </c>
      <c r="E1569" s="1" t="s">
        <v>293</v>
      </c>
      <c r="F1569" s="16" t="n">
        <v>24</v>
      </c>
      <c r="G1569" s="1" t="s">
        <v>32</v>
      </c>
      <c r="H1569" s="16" t="n">
        <v>1110202</v>
      </c>
      <c r="I1569" s="1" t="s">
        <v>285</v>
      </c>
      <c r="J1569" s="16" t="n">
        <v>1427944</v>
      </c>
      <c r="L1569" s="16" t="n">
        <v>2741</v>
      </c>
      <c r="M1569" s="1" t="s">
        <v>41</v>
      </c>
      <c r="N1569" s="1" t="s">
        <v>42</v>
      </c>
      <c r="P1569" s="16" t="n">
        <v>103</v>
      </c>
      <c r="Q1569" s="1" t="s">
        <v>36</v>
      </c>
      <c r="R1569" s="1" t="s">
        <v>37</v>
      </c>
      <c r="S1569" s="16" t="n">
        <v>1130101</v>
      </c>
      <c r="T1569" s="1" t="s">
        <v>38</v>
      </c>
      <c r="U1569" s="17" t="n">
        <v>879</v>
      </c>
      <c r="W1569" s="17" t="n">
        <v>0</v>
      </c>
      <c r="X1569" s="1" t="s">
        <v>1825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46224</v>
      </c>
      <c r="C1570" s="15" t="n">
        <v>46233</v>
      </c>
      <c r="D1570" s="16" t="n">
        <v>10002</v>
      </c>
      <c r="E1570" s="1" t="s">
        <v>253</v>
      </c>
      <c r="F1570" s="16" t="n">
        <v>24</v>
      </c>
      <c r="G1570" s="1" t="s">
        <v>32</v>
      </c>
      <c r="H1570" s="16" t="n">
        <v>1110202</v>
      </c>
      <c r="I1570" s="1" t="s">
        <v>285</v>
      </c>
      <c r="J1570" s="16" t="n">
        <v>1431390</v>
      </c>
      <c r="L1570" s="16" t="n">
        <v>196700</v>
      </c>
      <c r="M1570" s="1" t="s">
        <v>41</v>
      </c>
      <c r="N1570" s="1" t="s">
        <v>42</v>
      </c>
      <c r="P1570" s="16" t="n">
        <v>103</v>
      </c>
      <c r="Q1570" s="1" t="s">
        <v>36</v>
      </c>
      <c r="R1570" s="1" t="s">
        <v>37</v>
      </c>
      <c r="S1570" s="16" t="n">
        <v>1130101</v>
      </c>
      <c r="T1570" s="1" t="s">
        <v>38</v>
      </c>
      <c r="U1570" s="17" t="n">
        <v>950.4</v>
      </c>
      <c r="W1570" s="17" t="n">
        <v>0</v>
      </c>
      <c r="X1570" s="1" t="s">
        <v>1826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46225</v>
      </c>
      <c r="C1571" s="15" t="n">
        <v>46233</v>
      </c>
      <c r="D1571" s="16" t="n">
        <v>10009</v>
      </c>
      <c r="E1571" s="1" t="s">
        <v>201</v>
      </c>
      <c r="F1571" s="16" t="n">
        <v>24</v>
      </c>
      <c r="G1571" s="1" t="s">
        <v>32</v>
      </c>
      <c r="H1571" s="16" t="n">
        <v>2110405</v>
      </c>
      <c r="I1571" s="1" t="s">
        <v>83</v>
      </c>
      <c r="J1571" s="16" t="n">
        <v>1434102</v>
      </c>
      <c r="L1571" s="16" t="n">
        <v>1428642</v>
      </c>
      <c r="M1571" s="1" t="s">
        <v>34</v>
      </c>
      <c r="N1571" s="1" t="s">
        <v>42</v>
      </c>
      <c r="P1571" s="16" t="n">
        <v>103</v>
      </c>
      <c r="Q1571" s="1" t="s">
        <v>36</v>
      </c>
      <c r="R1571" s="1" t="s">
        <v>37</v>
      </c>
      <c r="S1571" s="16" t="n">
        <v>1130101</v>
      </c>
      <c r="T1571" s="1" t="s">
        <v>38</v>
      </c>
      <c r="U1571" s="17" t="n">
        <v>957.84</v>
      </c>
      <c r="W1571" s="17" t="n">
        <v>0</v>
      </c>
      <c r="X1571" s="1" t="s">
        <v>1827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46225</v>
      </c>
      <c r="C1572" s="15" t="n">
        <v>46233</v>
      </c>
      <c r="D1572" s="16" t="n">
        <v>1635</v>
      </c>
      <c r="E1572" s="1" t="s">
        <v>136</v>
      </c>
      <c r="F1572" s="16" t="n">
        <v>24</v>
      </c>
      <c r="G1572" s="1" t="s">
        <v>32</v>
      </c>
      <c r="H1572" s="16" t="n">
        <v>1110202</v>
      </c>
      <c r="I1572" s="1" t="s">
        <v>285</v>
      </c>
      <c r="J1572" s="16" t="n">
        <v>1435847</v>
      </c>
      <c r="L1572" s="16" t="n">
        <v>1350</v>
      </c>
      <c r="M1572" s="1" t="s">
        <v>41</v>
      </c>
      <c r="N1572" s="1" t="s">
        <v>42</v>
      </c>
      <c r="P1572" s="16" t="n">
        <v>103</v>
      </c>
      <c r="Q1572" s="1" t="s">
        <v>36</v>
      </c>
      <c r="R1572" s="1" t="s">
        <v>37</v>
      </c>
      <c r="S1572" s="16" t="n">
        <v>1130101</v>
      </c>
      <c r="T1572" s="1" t="s">
        <v>38</v>
      </c>
      <c r="U1572" s="17" t="n">
        <v>1399.86</v>
      </c>
      <c r="W1572" s="17" t="n">
        <v>0</v>
      </c>
      <c r="X1572" s="1" t="s">
        <v>1828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46226</v>
      </c>
      <c r="C1573" s="15" t="n">
        <v>46233</v>
      </c>
      <c r="D1573" s="16" t="n">
        <v>10037</v>
      </c>
      <c r="E1573" s="1" t="s">
        <v>540</v>
      </c>
      <c r="F1573" s="16" t="n">
        <v>24</v>
      </c>
      <c r="G1573" s="1" t="s">
        <v>32</v>
      </c>
      <c r="H1573" s="16" t="n">
        <v>2110405</v>
      </c>
      <c r="I1573" s="1" t="s">
        <v>83</v>
      </c>
      <c r="J1573" s="16" t="n">
        <v>1440179</v>
      </c>
      <c r="L1573" s="16" t="n">
        <v>2808</v>
      </c>
      <c r="M1573" s="1" t="s">
        <v>41</v>
      </c>
      <c r="N1573" s="1" t="s">
        <v>42</v>
      </c>
      <c r="P1573" s="16" t="n">
        <v>103</v>
      </c>
      <c r="Q1573" s="1" t="s">
        <v>36</v>
      </c>
      <c r="R1573" s="1" t="s">
        <v>37</v>
      </c>
      <c r="S1573" s="16" t="n">
        <v>1130101</v>
      </c>
      <c r="T1573" s="1" t="s">
        <v>38</v>
      </c>
      <c r="U1573" s="17" t="n">
        <v>445.38</v>
      </c>
      <c r="W1573" s="17" t="n">
        <v>0</v>
      </c>
      <c r="X1573" s="1" t="s">
        <v>1829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46226</v>
      </c>
      <c r="C1574" s="15" t="n">
        <v>46233</v>
      </c>
      <c r="D1574" s="16" t="n">
        <v>1024</v>
      </c>
      <c r="E1574" s="1" t="s">
        <v>688</v>
      </c>
      <c r="F1574" s="16" t="n">
        <v>24</v>
      </c>
      <c r="G1574" s="1" t="s">
        <v>32</v>
      </c>
      <c r="H1574" s="16" t="n">
        <v>1110202</v>
      </c>
      <c r="I1574" s="1" t="s">
        <v>285</v>
      </c>
      <c r="J1574" s="16" t="n">
        <v>1440251</v>
      </c>
      <c r="L1574" s="16" t="n">
        <v>592637</v>
      </c>
      <c r="M1574" s="1" t="s">
        <v>41</v>
      </c>
      <c r="N1574" s="1" t="s">
        <v>42</v>
      </c>
      <c r="P1574" s="16" t="n">
        <v>104</v>
      </c>
      <c r="Q1574" s="1" t="s">
        <v>99</v>
      </c>
      <c r="R1574" s="1" t="s">
        <v>37</v>
      </c>
      <c r="S1574" s="16" t="n">
        <v>1130101</v>
      </c>
      <c r="T1574" s="1" t="s">
        <v>38</v>
      </c>
      <c r="U1574" s="17" t="n">
        <v>420</v>
      </c>
      <c r="W1574" s="17" t="n">
        <v>0</v>
      </c>
      <c r="X1574" s="1" t="s">
        <v>1830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46228</v>
      </c>
      <c r="C1575" s="15" t="n">
        <v>46233</v>
      </c>
      <c r="D1575" s="16" t="n">
        <v>10009</v>
      </c>
      <c r="E1575" s="1" t="s">
        <v>201</v>
      </c>
      <c r="F1575" s="16" t="n">
        <v>24</v>
      </c>
      <c r="G1575" s="1" t="s">
        <v>32</v>
      </c>
      <c r="H1575" s="16" t="n">
        <v>2110405</v>
      </c>
      <c r="I1575" s="1" t="s">
        <v>83</v>
      </c>
      <c r="J1575" s="16" t="n">
        <v>1449995</v>
      </c>
      <c r="L1575" s="16" t="n">
        <v>1431708</v>
      </c>
      <c r="M1575" s="1" t="s">
        <v>41</v>
      </c>
      <c r="N1575" s="1" t="s">
        <v>42</v>
      </c>
      <c r="P1575" s="16" t="n">
        <v>103</v>
      </c>
      <c r="Q1575" s="1" t="s">
        <v>36</v>
      </c>
      <c r="R1575" s="1" t="s">
        <v>37</v>
      </c>
      <c r="S1575" s="16" t="n">
        <v>1130101</v>
      </c>
      <c r="T1575" s="1" t="s">
        <v>38</v>
      </c>
      <c r="U1575" s="17" t="n">
        <v>1773.63</v>
      </c>
      <c r="W1575" s="17" t="n">
        <v>0</v>
      </c>
      <c r="X1575" s="1" t="s">
        <v>1831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46231</v>
      </c>
      <c r="C1576" s="15" t="n">
        <v>46233</v>
      </c>
      <c r="D1576" s="16" t="n">
        <v>581</v>
      </c>
      <c r="E1576" s="1" t="s">
        <v>278</v>
      </c>
      <c r="F1576" s="16" t="n">
        <v>24</v>
      </c>
      <c r="G1576" s="1" t="s">
        <v>32</v>
      </c>
      <c r="H1576" s="16" t="n">
        <v>1110202</v>
      </c>
      <c r="I1576" s="1" t="s">
        <v>285</v>
      </c>
      <c r="J1576" s="16" t="n">
        <v>1463085</v>
      </c>
      <c r="L1576" s="16" t="n">
        <v>31601</v>
      </c>
      <c r="M1576" s="1" t="s">
        <v>41</v>
      </c>
      <c r="N1576" s="1" t="s">
        <v>42</v>
      </c>
      <c r="P1576" s="16" t="n">
        <v>103</v>
      </c>
      <c r="Q1576" s="1" t="s">
        <v>36</v>
      </c>
      <c r="R1576" s="1" t="s">
        <v>37</v>
      </c>
      <c r="S1576" s="16" t="n">
        <v>1130101</v>
      </c>
      <c r="T1576" s="1" t="s">
        <v>38</v>
      </c>
      <c r="U1576" s="17" t="n">
        <v>266</v>
      </c>
      <c r="W1576" s="17" t="n">
        <v>0</v>
      </c>
      <c r="X1576" s="1" t="s">
        <v>1832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46232</v>
      </c>
      <c r="C1577" s="15" t="n">
        <v>46233</v>
      </c>
      <c r="D1577" s="16" t="n">
        <v>642</v>
      </c>
      <c r="E1577" s="1" t="s">
        <v>161</v>
      </c>
      <c r="F1577" s="16" t="n">
        <v>24</v>
      </c>
      <c r="G1577" s="1" t="s">
        <v>32</v>
      </c>
      <c r="H1577" s="16" t="n">
        <v>1110202</v>
      </c>
      <c r="I1577" s="1" t="s">
        <v>285</v>
      </c>
      <c r="J1577" s="16" t="n">
        <v>1468354</v>
      </c>
      <c r="L1577" s="16" t="n">
        <v>550</v>
      </c>
      <c r="M1577" s="1" t="s">
        <v>41</v>
      </c>
      <c r="N1577" s="1" t="s">
        <v>42</v>
      </c>
      <c r="P1577" s="16" t="n">
        <v>103</v>
      </c>
      <c r="Q1577" s="1" t="s">
        <v>36</v>
      </c>
      <c r="R1577" s="1" t="s">
        <v>37</v>
      </c>
      <c r="S1577" s="16" t="n">
        <v>1130101</v>
      </c>
      <c r="T1577" s="1" t="s">
        <v>38</v>
      </c>
      <c r="U1577" s="17" t="n">
        <v>816</v>
      </c>
      <c r="W1577" s="17" t="n">
        <v>0</v>
      </c>
      <c r="X1577" s="1" t="s">
        <v>1833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46233</v>
      </c>
      <c r="C1578" s="15" t="n">
        <v>46233</v>
      </c>
      <c r="D1578" s="16" t="n">
        <v>1936</v>
      </c>
      <c r="E1578" s="1" t="s">
        <v>1075</v>
      </c>
      <c r="F1578" s="16" t="n">
        <v>24</v>
      </c>
      <c r="G1578" s="1" t="s">
        <v>32</v>
      </c>
      <c r="H1578" s="16" t="n">
        <v>1110202</v>
      </c>
      <c r="I1578" s="1" t="s">
        <v>285</v>
      </c>
      <c r="J1578" s="16" t="n">
        <v>1473048</v>
      </c>
      <c r="L1578" s="16" t="n">
        <v>605320</v>
      </c>
      <c r="M1578" s="1" t="s">
        <v>41</v>
      </c>
      <c r="N1578" s="1" t="s">
        <v>42</v>
      </c>
      <c r="P1578" s="16" t="n">
        <v>102</v>
      </c>
      <c r="Q1578" s="1" t="s">
        <v>107</v>
      </c>
      <c r="R1578" s="1" t="s">
        <v>37</v>
      </c>
      <c r="S1578" s="16" t="n">
        <v>1130101</v>
      </c>
      <c r="T1578" s="1" t="s">
        <v>38</v>
      </c>
      <c r="U1578" s="17" t="n">
        <v>131.3</v>
      </c>
      <c r="W1578" s="17" t="n">
        <v>0</v>
      </c>
      <c r="X1578" s="1" t="s">
        <v>1834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46233</v>
      </c>
      <c r="C1579" s="15" t="n">
        <v>46233</v>
      </c>
      <c r="D1579" s="1" t="n">
        <v>905</v>
      </c>
      <c r="E1579" s="1" t="s">
        <v>1205</v>
      </c>
      <c r="F1579" s="1" t="n">
        <v>34</v>
      </c>
      <c r="G1579" s="1" t="s">
        <v>71</v>
      </c>
      <c r="H1579" s="1" t="n">
        <v>1110202</v>
      </c>
      <c r="I1579" s="1" t="s">
        <v>285</v>
      </c>
      <c r="J1579" s="1" t="n">
        <v>1474759</v>
      </c>
      <c r="L1579" s="1" t="n">
        <v>605804</v>
      </c>
      <c r="M1579" s="1" t="s">
        <v>41</v>
      </c>
      <c r="N1579" s="1" t="s">
        <v>42</v>
      </c>
      <c r="P1579" s="1" t="n">
        <v>101</v>
      </c>
      <c r="Q1579" s="1" t="s">
        <v>84</v>
      </c>
      <c r="R1579" s="1" t="s">
        <v>1805</v>
      </c>
      <c r="S1579" s="1" t="n">
        <v>4110103</v>
      </c>
      <c r="T1579" s="1" t="s">
        <v>1806</v>
      </c>
      <c r="U1579" s="17" t="n">
        <v>300</v>
      </c>
      <c r="W1579" s="1" t="n">
        <v>0</v>
      </c>
      <c r="X1579" s="1" t="s">
        <v>1835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46233</v>
      </c>
      <c r="C1580" s="15" t="n">
        <v>46233</v>
      </c>
      <c r="D1580" s="1" t="n">
        <v>514</v>
      </c>
      <c r="E1580" s="1" t="s">
        <v>643</v>
      </c>
      <c r="F1580" s="1" t="n">
        <v>34</v>
      </c>
      <c r="G1580" s="1" t="s">
        <v>71</v>
      </c>
      <c r="H1580" s="1" t="n">
        <v>1110202</v>
      </c>
      <c r="I1580" s="1" t="s">
        <v>285</v>
      </c>
      <c r="J1580" s="1" t="n">
        <v>1474843</v>
      </c>
      <c r="L1580" s="1" t="n">
        <v>605848</v>
      </c>
      <c r="M1580" s="1" t="s">
        <v>41</v>
      </c>
      <c r="N1580" s="1" t="s">
        <v>42</v>
      </c>
      <c r="P1580" s="1" t="n">
        <v>102</v>
      </c>
      <c r="Q1580" s="1" t="s">
        <v>107</v>
      </c>
      <c r="R1580" s="1" t="s">
        <v>108</v>
      </c>
      <c r="S1580" s="1" t="n">
        <v>4210502</v>
      </c>
      <c r="T1580" s="1" t="s">
        <v>901</v>
      </c>
      <c r="U1580" s="17" t="n">
        <v>27.87</v>
      </c>
      <c r="W1580" s="1" t="n">
        <v>0</v>
      </c>
      <c r="X1580" s="1" t="s">
        <v>1836</v>
      </c>
      <c r="Z1580" s="1" t="str">
        <f aca="false">IF($T1580="","",IFERROR(INDEX('Resumo Grupos'!$AC$3:$AC$200,MATCH($T1580,'Resumo Grupos'!$AB$3:$AB$200,0)),"n/d"))</f>
        <v>Empréstimo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46233</v>
      </c>
      <c r="C1581" s="15" t="n">
        <v>46233</v>
      </c>
      <c r="D1581" s="1" t="n">
        <v>514</v>
      </c>
      <c r="E1581" s="1" t="s">
        <v>643</v>
      </c>
      <c r="F1581" s="1" t="n">
        <v>34</v>
      </c>
      <c r="G1581" s="1" t="s">
        <v>71</v>
      </c>
      <c r="H1581" s="1" t="n">
        <v>1110202</v>
      </c>
      <c r="I1581" s="1" t="s">
        <v>285</v>
      </c>
      <c r="J1581" s="1" t="n">
        <v>1474863</v>
      </c>
      <c r="L1581" s="1" t="n">
        <v>605852</v>
      </c>
      <c r="M1581" s="1" t="s">
        <v>41</v>
      </c>
      <c r="N1581" s="1" t="s">
        <v>42</v>
      </c>
      <c r="P1581" s="1" t="n">
        <v>102</v>
      </c>
      <c r="Q1581" s="1" t="s">
        <v>107</v>
      </c>
      <c r="R1581" s="1" t="s">
        <v>108</v>
      </c>
      <c r="S1581" s="1" t="n">
        <v>4210504</v>
      </c>
      <c r="T1581" s="1" t="s">
        <v>174</v>
      </c>
      <c r="U1581" s="17" t="n">
        <v>16</v>
      </c>
      <c r="W1581" s="1" t="n">
        <v>0</v>
      </c>
      <c r="X1581" s="1" t="s">
        <v>1837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46233</v>
      </c>
      <c r="C1582" s="15" t="n">
        <v>46233</v>
      </c>
      <c r="D1582" s="1" t="n">
        <v>10096</v>
      </c>
      <c r="E1582" s="1" t="s">
        <v>1496</v>
      </c>
      <c r="F1582" s="1" t="n">
        <v>13</v>
      </c>
      <c r="G1582" s="1" t="s">
        <v>98</v>
      </c>
      <c r="H1582" s="1" t="n">
        <v>2110101</v>
      </c>
      <c r="I1582" s="1" t="s">
        <v>33</v>
      </c>
      <c r="J1582" s="1" t="n">
        <v>1477863</v>
      </c>
      <c r="L1582" s="1" t="n">
        <v>98</v>
      </c>
      <c r="M1582" s="1" t="s">
        <v>41</v>
      </c>
      <c r="N1582" s="1" t="s">
        <v>35</v>
      </c>
      <c r="P1582" s="1" t="n">
        <v>104</v>
      </c>
      <c r="Q1582" s="1" t="s">
        <v>99</v>
      </c>
      <c r="R1582" s="1" t="s">
        <v>37</v>
      </c>
      <c r="S1582" s="1" t="n">
        <v>1130101</v>
      </c>
      <c r="T1582" s="1" t="s">
        <v>38</v>
      </c>
      <c r="U1582" s="17" t="n">
        <v>440</v>
      </c>
      <c r="W1582" s="1" t="n">
        <v>440</v>
      </c>
      <c r="X1582" s="1" t="s">
        <v>1838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46233</v>
      </c>
      <c r="C1583" s="15" t="n">
        <v>46233</v>
      </c>
      <c r="D1583" s="1" t="n">
        <v>515</v>
      </c>
      <c r="E1583" s="1" t="s">
        <v>106</v>
      </c>
      <c r="F1583" s="1" t="n">
        <v>34</v>
      </c>
      <c r="G1583" s="1" t="s">
        <v>71</v>
      </c>
      <c r="H1583" s="1" t="n">
        <v>1110202</v>
      </c>
      <c r="I1583" s="1" t="s">
        <v>285</v>
      </c>
      <c r="J1583" s="1" t="n">
        <v>1477888</v>
      </c>
      <c r="L1583" s="1" t="n">
        <v>607078</v>
      </c>
      <c r="M1583" s="1" t="s">
        <v>41</v>
      </c>
      <c r="N1583" s="1" t="s">
        <v>42</v>
      </c>
      <c r="P1583" s="1" t="n">
        <v>102</v>
      </c>
      <c r="Q1583" s="1" t="s">
        <v>107</v>
      </c>
      <c r="R1583" s="1" t="s">
        <v>108</v>
      </c>
      <c r="S1583" s="1" t="n">
        <v>4210508</v>
      </c>
      <c r="T1583" s="1" t="s">
        <v>109</v>
      </c>
      <c r="U1583" s="17" t="n">
        <v>153.13</v>
      </c>
      <c r="W1583" s="1" t="n">
        <v>0</v>
      </c>
      <c r="X1583" s="1" t="s">
        <v>1839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46233</v>
      </c>
      <c r="C1584" s="15" t="n">
        <v>46233</v>
      </c>
      <c r="D1584" s="1" t="n">
        <v>514</v>
      </c>
      <c r="E1584" s="1" t="s">
        <v>643</v>
      </c>
      <c r="F1584" s="1" t="n">
        <v>34</v>
      </c>
      <c r="G1584" s="1" t="s">
        <v>71</v>
      </c>
      <c r="H1584" s="1" t="n">
        <v>1110202</v>
      </c>
      <c r="I1584" s="1" t="s">
        <v>285</v>
      </c>
      <c r="J1584" s="1" t="n">
        <v>1477899</v>
      </c>
      <c r="L1584" s="1" t="n">
        <v>607082</v>
      </c>
      <c r="M1584" s="1" t="s">
        <v>41</v>
      </c>
      <c r="N1584" s="1" t="s">
        <v>42</v>
      </c>
      <c r="P1584" s="1" t="n">
        <v>102</v>
      </c>
      <c r="Q1584" s="1" t="s">
        <v>107</v>
      </c>
      <c r="R1584" s="1" t="s">
        <v>91</v>
      </c>
      <c r="S1584" s="1" t="n">
        <v>4220199</v>
      </c>
      <c r="T1584" s="1" t="s">
        <v>92</v>
      </c>
      <c r="U1584" s="17" t="n">
        <v>30</v>
      </c>
      <c r="W1584" s="1" t="n">
        <v>0</v>
      </c>
      <c r="X1584" s="1" t="s">
        <v>1840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46233</v>
      </c>
      <c r="C1585" s="15" t="n">
        <v>46233</v>
      </c>
      <c r="D1585" s="1" t="n">
        <v>10096</v>
      </c>
      <c r="E1585" s="1" t="s">
        <v>1496</v>
      </c>
      <c r="F1585" s="1" t="n">
        <v>13</v>
      </c>
      <c r="G1585" s="1" t="s">
        <v>98</v>
      </c>
      <c r="H1585" s="1" t="n">
        <v>2110101</v>
      </c>
      <c r="I1585" s="1" t="s">
        <v>33</v>
      </c>
      <c r="J1585" s="1" t="n">
        <v>1477994</v>
      </c>
      <c r="L1585" s="1" t="n">
        <v>97</v>
      </c>
      <c r="M1585" s="1" t="s">
        <v>41</v>
      </c>
      <c r="N1585" s="1" t="s">
        <v>35</v>
      </c>
      <c r="P1585" s="1" t="n">
        <v>104</v>
      </c>
      <c r="Q1585" s="1" t="s">
        <v>99</v>
      </c>
      <c r="R1585" s="1" t="s">
        <v>37</v>
      </c>
      <c r="S1585" s="1" t="n">
        <v>1130101</v>
      </c>
      <c r="T1585" s="1" t="s">
        <v>38</v>
      </c>
      <c r="U1585" s="17" t="n">
        <v>420</v>
      </c>
      <c r="W1585" s="1" t="n">
        <v>420</v>
      </c>
      <c r="X1585" s="1" t="s">
        <v>1841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46233</v>
      </c>
      <c r="C1586" s="15" t="n">
        <v>46233</v>
      </c>
      <c r="D1586" s="1" t="n">
        <v>10096</v>
      </c>
      <c r="E1586" s="1" t="s">
        <v>1496</v>
      </c>
      <c r="F1586" s="1" t="n">
        <v>13</v>
      </c>
      <c r="G1586" s="1" t="s">
        <v>98</v>
      </c>
      <c r="H1586" s="1" t="n">
        <v>2110101</v>
      </c>
      <c r="I1586" s="1" t="s">
        <v>33</v>
      </c>
      <c r="J1586" s="1" t="n">
        <v>1478119</v>
      </c>
      <c r="L1586" s="1" t="n">
        <v>96</v>
      </c>
      <c r="M1586" s="1" t="s">
        <v>41</v>
      </c>
      <c r="N1586" s="1" t="s">
        <v>35</v>
      </c>
      <c r="P1586" s="1" t="n">
        <v>104</v>
      </c>
      <c r="Q1586" s="1" t="s">
        <v>99</v>
      </c>
      <c r="R1586" s="1" t="s">
        <v>37</v>
      </c>
      <c r="S1586" s="1" t="n">
        <v>1130101</v>
      </c>
      <c r="T1586" s="1" t="s">
        <v>38</v>
      </c>
      <c r="U1586" s="17" t="n">
        <v>420</v>
      </c>
      <c r="W1586" s="1" t="n">
        <v>420</v>
      </c>
      <c r="X1586" s="1" t="s">
        <v>1842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46212</v>
      </c>
      <c r="C1587" s="15" t="n">
        <v>46234</v>
      </c>
      <c r="D1587" s="1" t="n">
        <v>1718</v>
      </c>
      <c r="E1587" s="1" t="s">
        <v>134</v>
      </c>
      <c r="F1587" s="1" t="n">
        <v>24</v>
      </c>
      <c r="G1587" s="1" t="s">
        <v>32</v>
      </c>
      <c r="H1587" s="1" t="n">
        <v>2110405</v>
      </c>
      <c r="I1587" s="1" t="s">
        <v>83</v>
      </c>
      <c r="J1587" s="1" t="n">
        <v>1375395</v>
      </c>
      <c r="L1587" s="1" t="n">
        <v>681131</v>
      </c>
      <c r="M1587" s="1" t="s">
        <v>34</v>
      </c>
      <c r="N1587" s="1" t="s">
        <v>42</v>
      </c>
      <c r="P1587" s="1" t="n">
        <v>103</v>
      </c>
      <c r="Q1587" s="1" t="s">
        <v>36</v>
      </c>
      <c r="R1587" s="1" t="s">
        <v>37</v>
      </c>
      <c r="S1587" s="1" t="n">
        <v>1130101</v>
      </c>
      <c r="T1587" s="1" t="s">
        <v>38</v>
      </c>
      <c r="U1587" s="17" t="n">
        <v>871.13</v>
      </c>
      <c r="W1587" s="1" t="n">
        <v>0</v>
      </c>
      <c r="X1587" s="1" t="s">
        <v>1843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46225</v>
      </c>
      <c r="C1588" s="15" t="n">
        <v>46234</v>
      </c>
      <c r="D1588" s="1" t="n">
        <v>1316</v>
      </c>
      <c r="E1588" s="1" t="s">
        <v>961</v>
      </c>
      <c r="F1588" s="1" t="n">
        <v>34</v>
      </c>
      <c r="G1588" s="1" t="s">
        <v>71</v>
      </c>
      <c r="H1588" s="1" t="n">
        <v>2110101</v>
      </c>
      <c r="I1588" s="1" t="s">
        <v>33</v>
      </c>
      <c r="J1588" s="1" t="n">
        <v>1459613</v>
      </c>
      <c r="L1588" s="1" t="n">
        <v>3896</v>
      </c>
      <c r="M1588" s="1" t="s">
        <v>41</v>
      </c>
      <c r="N1588" s="1" t="s">
        <v>35</v>
      </c>
      <c r="P1588" s="1" t="n">
        <v>104</v>
      </c>
      <c r="Q1588" s="1" t="s">
        <v>99</v>
      </c>
      <c r="R1588" s="1" t="s">
        <v>37</v>
      </c>
      <c r="S1588" s="1" t="n">
        <v>1130101</v>
      </c>
      <c r="T1588" s="1" t="s">
        <v>38</v>
      </c>
      <c r="U1588" s="17" t="n">
        <v>176</v>
      </c>
      <c r="W1588" s="1" t="n">
        <v>0</v>
      </c>
      <c r="X1588" s="1" t="s">
        <v>1844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46230</v>
      </c>
      <c r="C1589" s="15" t="n">
        <v>46234</v>
      </c>
      <c r="D1589" s="1" t="n">
        <v>218</v>
      </c>
      <c r="E1589" s="1" t="s">
        <v>1763</v>
      </c>
      <c r="F1589" s="1" t="n">
        <v>34</v>
      </c>
      <c r="G1589" s="1" t="s">
        <v>71</v>
      </c>
      <c r="H1589" s="1" t="n">
        <v>1110202</v>
      </c>
      <c r="I1589" s="1" t="s">
        <v>285</v>
      </c>
      <c r="J1589" s="1" t="n">
        <v>1459614</v>
      </c>
      <c r="L1589" s="1" t="n">
        <v>600415</v>
      </c>
      <c r="M1589" s="1" t="s">
        <v>41</v>
      </c>
      <c r="N1589" s="1" t="s">
        <v>42</v>
      </c>
      <c r="P1589" s="1" t="n">
        <v>101</v>
      </c>
      <c r="Q1589" s="1" t="s">
        <v>84</v>
      </c>
      <c r="R1589" s="1" t="s">
        <v>85</v>
      </c>
      <c r="S1589" s="1" t="n">
        <v>4210301</v>
      </c>
      <c r="T1589" s="1" t="s">
        <v>295</v>
      </c>
      <c r="U1589" s="17" t="n">
        <v>3208.3</v>
      </c>
      <c r="W1589" s="1" t="n">
        <v>0</v>
      </c>
      <c r="X1589" s="1" t="s">
        <v>1845</v>
      </c>
      <c r="Z1589" s="1" t="str">
        <f aca="false">IF($T1589="","",IFERROR(INDEX('Resumo Grupos'!$AC$3:$AC$200,MATCH($T1589,'Resumo Grupos'!$AB$3:$AB$200,0)),"n/d"))</f>
        <v>Salários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46207</v>
      </c>
      <c r="C1590" s="15" t="n">
        <v>46234</v>
      </c>
      <c r="D1590" s="1" t="n">
        <v>1316</v>
      </c>
      <c r="E1590" s="1" t="s">
        <v>961</v>
      </c>
      <c r="F1590" s="1" t="n">
        <v>34</v>
      </c>
      <c r="G1590" s="1" t="s">
        <v>71</v>
      </c>
      <c r="H1590" s="1" t="n">
        <v>2110101</v>
      </c>
      <c r="I1590" s="1" t="s">
        <v>33</v>
      </c>
      <c r="J1590" s="1" t="n">
        <v>1370367</v>
      </c>
      <c r="L1590" s="1" t="n">
        <v>3742</v>
      </c>
      <c r="M1590" s="1" t="s">
        <v>41</v>
      </c>
      <c r="N1590" s="1" t="s">
        <v>35</v>
      </c>
      <c r="P1590" s="1" t="n">
        <v>104</v>
      </c>
      <c r="Q1590" s="1" t="s">
        <v>99</v>
      </c>
      <c r="R1590" s="1" t="s">
        <v>37</v>
      </c>
      <c r="S1590" s="1" t="n">
        <v>1130101</v>
      </c>
      <c r="T1590" s="1" t="s">
        <v>38</v>
      </c>
      <c r="U1590" s="17" t="n">
        <v>88</v>
      </c>
      <c r="W1590" s="1" t="n">
        <v>0</v>
      </c>
      <c r="X1590" s="1" t="s">
        <v>1846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46214</v>
      </c>
      <c r="C1591" s="15" t="n">
        <v>46234</v>
      </c>
      <c r="D1591" s="1" t="n">
        <v>794</v>
      </c>
      <c r="E1591" s="1" t="s">
        <v>325</v>
      </c>
      <c r="F1591" s="1" t="n">
        <v>24</v>
      </c>
      <c r="G1591" s="1" t="s">
        <v>32</v>
      </c>
      <c r="H1591" s="1" t="n">
        <v>2110405</v>
      </c>
      <c r="I1591" s="1" t="s">
        <v>83</v>
      </c>
      <c r="J1591" s="1" t="n">
        <v>1381993</v>
      </c>
      <c r="L1591" s="1" t="n">
        <v>8364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523.67</v>
      </c>
      <c r="W1591" s="1" t="n">
        <v>0</v>
      </c>
      <c r="X1591" s="1" t="s">
        <v>1847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46214</v>
      </c>
      <c r="C1592" s="15" t="n">
        <v>46234</v>
      </c>
      <c r="D1592" s="1" t="n">
        <v>1815</v>
      </c>
      <c r="E1592" s="1" t="s">
        <v>551</v>
      </c>
      <c r="F1592" s="1" t="n">
        <v>24</v>
      </c>
      <c r="G1592" s="1" t="s">
        <v>32</v>
      </c>
      <c r="H1592" s="1" t="n">
        <v>1110202</v>
      </c>
      <c r="I1592" s="1" t="s">
        <v>285</v>
      </c>
      <c r="J1592" s="1" t="n">
        <v>1382433</v>
      </c>
      <c r="L1592" s="1" t="n">
        <v>391785</v>
      </c>
      <c r="M1592" s="1" t="s">
        <v>128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785.66</v>
      </c>
      <c r="W1592" s="1" t="n">
        <v>0</v>
      </c>
      <c r="X1592" s="1" t="s">
        <v>1848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46214</v>
      </c>
      <c r="C1593" s="15" t="n">
        <v>46234</v>
      </c>
      <c r="D1593" s="1" t="n">
        <v>1316</v>
      </c>
      <c r="E1593" s="1" t="s">
        <v>961</v>
      </c>
      <c r="F1593" s="1" t="n">
        <v>34</v>
      </c>
      <c r="G1593" s="1" t="s">
        <v>71</v>
      </c>
      <c r="H1593" s="1" t="n">
        <v>2110101</v>
      </c>
      <c r="I1593" s="1" t="s">
        <v>33</v>
      </c>
      <c r="J1593" s="1" t="n">
        <v>1396639</v>
      </c>
      <c r="L1593" s="1" t="n">
        <v>3806</v>
      </c>
      <c r="M1593" s="1" t="s">
        <v>41</v>
      </c>
      <c r="N1593" s="1" t="s">
        <v>35</v>
      </c>
      <c r="P1593" s="1" t="n">
        <v>104</v>
      </c>
      <c r="Q1593" s="1" t="s">
        <v>99</v>
      </c>
      <c r="R1593" s="1" t="s">
        <v>37</v>
      </c>
      <c r="S1593" s="1" t="n">
        <v>1130101</v>
      </c>
      <c r="T1593" s="1" t="s">
        <v>38</v>
      </c>
      <c r="U1593" s="17" t="n">
        <v>200</v>
      </c>
      <c r="W1593" s="1" t="n">
        <v>0</v>
      </c>
      <c r="X1593" s="1" t="s">
        <v>1849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46228</v>
      </c>
      <c r="C1594" s="15" t="n">
        <v>46234</v>
      </c>
      <c r="D1594" s="1" t="n">
        <v>1316</v>
      </c>
      <c r="E1594" s="1" t="s">
        <v>961</v>
      </c>
      <c r="F1594" s="1" t="n">
        <v>34</v>
      </c>
      <c r="G1594" s="1" t="s">
        <v>71</v>
      </c>
      <c r="H1594" s="1" t="n">
        <v>2110101</v>
      </c>
      <c r="I1594" s="1" t="s">
        <v>33</v>
      </c>
      <c r="J1594" s="1" t="n">
        <v>1459656</v>
      </c>
      <c r="L1594" s="1" t="n">
        <v>3931</v>
      </c>
      <c r="M1594" s="1" t="s">
        <v>41</v>
      </c>
      <c r="N1594" s="1" t="s">
        <v>35</v>
      </c>
      <c r="P1594" s="1" t="n">
        <v>104</v>
      </c>
      <c r="Q1594" s="1" t="s">
        <v>99</v>
      </c>
      <c r="R1594" s="1" t="s">
        <v>37</v>
      </c>
      <c r="S1594" s="1" t="n">
        <v>1130101</v>
      </c>
      <c r="T1594" s="1" t="s">
        <v>38</v>
      </c>
      <c r="U1594" s="17" t="n">
        <v>200</v>
      </c>
      <c r="W1594" s="1" t="n">
        <v>0</v>
      </c>
      <c r="X1594" s="1" t="s">
        <v>1850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46223</v>
      </c>
      <c r="C1595" s="15" t="n">
        <v>46234</v>
      </c>
      <c r="D1595" s="1" t="n">
        <v>1107</v>
      </c>
      <c r="E1595" s="1" t="s">
        <v>130</v>
      </c>
      <c r="F1595" s="1" t="n">
        <v>24</v>
      </c>
      <c r="G1595" s="1" t="s">
        <v>32</v>
      </c>
      <c r="H1595" s="1" t="n">
        <v>2110405</v>
      </c>
      <c r="I1595" s="1" t="s">
        <v>83</v>
      </c>
      <c r="J1595" s="1" t="n">
        <v>1423979</v>
      </c>
      <c r="L1595" s="1" t="n">
        <v>430879</v>
      </c>
      <c r="M1595" s="1" t="s">
        <v>41</v>
      </c>
      <c r="N1595" s="1" t="s">
        <v>42</v>
      </c>
      <c r="P1595" s="1" t="n">
        <v>103</v>
      </c>
      <c r="Q1595" s="1" t="s">
        <v>36</v>
      </c>
      <c r="R1595" s="1" t="s">
        <v>37</v>
      </c>
      <c r="S1595" s="1" t="n">
        <v>1130101</v>
      </c>
      <c r="T1595" s="1" t="s">
        <v>38</v>
      </c>
      <c r="U1595" s="17" t="n">
        <v>1180.5</v>
      </c>
      <c r="W1595" s="1" t="n">
        <v>0</v>
      </c>
      <c r="X1595" s="1" t="s">
        <v>1851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46219</v>
      </c>
      <c r="C1596" s="15" t="n">
        <v>46234</v>
      </c>
      <c r="D1596" s="1" t="n">
        <v>1316</v>
      </c>
      <c r="E1596" s="1" t="s">
        <v>961</v>
      </c>
      <c r="F1596" s="1" t="n">
        <v>34</v>
      </c>
      <c r="G1596" s="1" t="s">
        <v>71</v>
      </c>
      <c r="H1596" s="1" t="n">
        <v>2110101</v>
      </c>
      <c r="I1596" s="1" t="s">
        <v>33</v>
      </c>
      <c r="J1596" s="1" t="n">
        <v>1425336</v>
      </c>
      <c r="L1596" s="1" t="n">
        <v>3844</v>
      </c>
      <c r="M1596" s="1" t="s">
        <v>41</v>
      </c>
      <c r="N1596" s="1" t="s">
        <v>35</v>
      </c>
      <c r="P1596" s="1" t="n">
        <v>104</v>
      </c>
      <c r="Q1596" s="1" t="s">
        <v>99</v>
      </c>
      <c r="R1596" s="1" t="s">
        <v>37</v>
      </c>
      <c r="S1596" s="1" t="n">
        <v>1130101</v>
      </c>
      <c r="T1596" s="1" t="s">
        <v>38</v>
      </c>
      <c r="U1596" s="17" t="n">
        <v>200</v>
      </c>
      <c r="W1596" s="1" t="n">
        <v>0</v>
      </c>
      <c r="X1596" s="1" t="s">
        <v>1852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46224</v>
      </c>
      <c r="C1597" s="15" t="n">
        <v>46234</v>
      </c>
      <c r="D1597" s="1" t="n">
        <v>1114</v>
      </c>
      <c r="E1597" s="1" t="s">
        <v>144</v>
      </c>
      <c r="F1597" s="1" t="n">
        <v>24</v>
      </c>
      <c r="G1597" s="1" t="s">
        <v>32</v>
      </c>
      <c r="H1597" s="1" t="n">
        <v>1110202</v>
      </c>
      <c r="I1597" s="1" t="s">
        <v>285</v>
      </c>
      <c r="J1597" s="1" t="n">
        <v>1431589</v>
      </c>
      <c r="L1597" s="1" t="n">
        <v>41360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3866.95</v>
      </c>
      <c r="W1597" s="1" t="n">
        <v>0</v>
      </c>
      <c r="X1597" s="1" t="s">
        <v>1853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46225</v>
      </c>
      <c r="C1598" s="15" t="n">
        <v>46234</v>
      </c>
      <c r="D1598" s="1" t="n">
        <v>1270</v>
      </c>
      <c r="E1598" s="1" t="s">
        <v>309</v>
      </c>
      <c r="F1598" s="1" t="n">
        <v>24</v>
      </c>
      <c r="G1598" s="1" t="s">
        <v>32</v>
      </c>
      <c r="H1598" s="1" t="n">
        <v>1110202</v>
      </c>
      <c r="I1598" s="1" t="s">
        <v>285</v>
      </c>
      <c r="J1598" s="1" t="n">
        <v>1434138</v>
      </c>
      <c r="L1598" s="1" t="n">
        <v>2667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638.5</v>
      </c>
      <c r="W1598" s="1" t="n">
        <v>0</v>
      </c>
      <c r="X1598" s="1" t="s">
        <v>1854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46225</v>
      </c>
      <c r="C1599" s="15" t="n">
        <v>46234</v>
      </c>
      <c r="D1599" s="1" t="n">
        <v>10017</v>
      </c>
      <c r="E1599" s="1" t="s">
        <v>753</v>
      </c>
      <c r="F1599" s="1" t="n">
        <v>24</v>
      </c>
      <c r="G1599" s="1" t="s">
        <v>32</v>
      </c>
      <c r="H1599" s="1" t="n">
        <v>2110405</v>
      </c>
      <c r="I1599" s="1" t="s">
        <v>83</v>
      </c>
      <c r="J1599" s="1" t="n">
        <v>1434930</v>
      </c>
      <c r="L1599" s="1" t="n">
        <v>194574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808.44</v>
      </c>
      <c r="W1599" s="1" t="n">
        <v>0</v>
      </c>
      <c r="X1599" s="1" t="s">
        <v>1855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46225</v>
      </c>
      <c r="C1600" s="15" t="n">
        <v>46234</v>
      </c>
      <c r="D1600" s="1" t="n">
        <v>1723</v>
      </c>
      <c r="E1600" s="1" t="s">
        <v>264</v>
      </c>
      <c r="F1600" s="1" t="n">
        <v>24</v>
      </c>
      <c r="G1600" s="1" t="s">
        <v>32</v>
      </c>
      <c r="H1600" s="1" t="n">
        <v>1110202</v>
      </c>
      <c r="I1600" s="1" t="s">
        <v>285</v>
      </c>
      <c r="J1600" s="1" t="n">
        <v>1435466</v>
      </c>
      <c r="L1600" s="1" t="n">
        <v>173548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4683.5</v>
      </c>
      <c r="W1600" s="1" t="n">
        <v>0</v>
      </c>
      <c r="X1600" s="1" t="s">
        <v>1856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46226</v>
      </c>
      <c r="C1601" s="15" t="n">
        <v>46234</v>
      </c>
      <c r="D1601" s="1" t="n">
        <v>1666</v>
      </c>
      <c r="E1601" s="1" t="s">
        <v>31</v>
      </c>
      <c r="F1601" s="1" t="n">
        <v>24</v>
      </c>
      <c r="G1601" s="1" t="s">
        <v>32</v>
      </c>
      <c r="H1601" s="1" t="n">
        <v>2110405</v>
      </c>
      <c r="I1601" s="1" t="s">
        <v>83</v>
      </c>
      <c r="J1601" s="1" t="n">
        <v>1440189</v>
      </c>
      <c r="L1601" s="1" t="n">
        <v>568312</v>
      </c>
      <c r="M1601" s="1" t="s">
        <v>41</v>
      </c>
      <c r="N1601" s="1" t="s">
        <v>42</v>
      </c>
      <c r="P1601" s="1" t="n">
        <v>103</v>
      </c>
      <c r="Q1601" s="1" t="s">
        <v>36</v>
      </c>
      <c r="R1601" s="1" t="s">
        <v>37</v>
      </c>
      <c r="S1601" s="1" t="n">
        <v>1130101</v>
      </c>
      <c r="T1601" s="1" t="s">
        <v>38</v>
      </c>
      <c r="U1601" s="17" t="n">
        <v>7635.42</v>
      </c>
      <c r="W1601" s="1" t="n">
        <v>0</v>
      </c>
      <c r="X1601" s="1" t="s">
        <v>1857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46210</v>
      </c>
      <c r="C1602" s="15" t="n">
        <v>46234</v>
      </c>
      <c r="D1602" s="1" t="n">
        <v>967</v>
      </c>
      <c r="E1602" s="1" t="s">
        <v>1028</v>
      </c>
      <c r="F1602" s="1" t="n">
        <v>24</v>
      </c>
      <c r="G1602" s="1" t="s">
        <v>32</v>
      </c>
      <c r="H1602" s="1" t="n">
        <v>1110202</v>
      </c>
      <c r="I1602" s="1" t="s">
        <v>285</v>
      </c>
      <c r="J1602" s="1" t="n">
        <v>1440510</v>
      </c>
      <c r="L1602" s="1" t="n">
        <v>34608</v>
      </c>
      <c r="M1602" s="1" t="s">
        <v>34</v>
      </c>
      <c r="N1602" s="1" t="s">
        <v>42</v>
      </c>
      <c r="P1602" s="1" t="n">
        <v>103</v>
      </c>
      <c r="Q1602" s="1" t="s">
        <v>36</v>
      </c>
      <c r="R1602" s="1" t="s">
        <v>37</v>
      </c>
      <c r="S1602" s="1" t="n">
        <v>1130101</v>
      </c>
      <c r="T1602" s="1" t="s">
        <v>38</v>
      </c>
      <c r="U1602" s="17" t="n">
        <v>2838.97</v>
      </c>
      <c r="W1602" s="1" t="n">
        <v>0</v>
      </c>
      <c r="X1602" s="1" t="s">
        <v>1858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46227</v>
      </c>
      <c r="C1603" s="15" t="n">
        <v>46234</v>
      </c>
      <c r="D1603" s="1" t="n">
        <v>1642</v>
      </c>
      <c r="E1603" s="1" t="s">
        <v>159</v>
      </c>
      <c r="F1603" s="1" t="n">
        <v>24</v>
      </c>
      <c r="G1603" s="1" t="s">
        <v>32</v>
      </c>
      <c r="H1603" s="1" t="n">
        <v>1110202</v>
      </c>
      <c r="I1603" s="1" t="s">
        <v>285</v>
      </c>
      <c r="J1603" s="1" t="n">
        <v>1443670</v>
      </c>
      <c r="L1603" s="1" t="n">
        <v>1033389</v>
      </c>
      <c r="M1603" s="1" t="s">
        <v>41</v>
      </c>
      <c r="N1603" s="1" t="s">
        <v>42</v>
      </c>
      <c r="P1603" s="1" t="n">
        <v>103</v>
      </c>
      <c r="Q1603" s="1" t="s">
        <v>36</v>
      </c>
      <c r="R1603" s="1" t="s">
        <v>37</v>
      </c>
      <c r="S1603" s="1" t="n">
        <v>1130101</v>
      </c>
      <c r="T1603" s="1" t="s">
        <v>38</v>
      </c>
      <c r="U1603" s="17" t="n">
        <v>455.45</v>
      </c>
      <c r="W1603" s="1" t="n">
        <v>0</v>
      </c>
      <c r="X1603" s="1" t="s">
        <v>1859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46227</v>
      </c>
      <c r="C1604" s="15" t="n">
        <v>46234</v>
      </c>
      <c r="D1604" s="1" t="n">
        <v>364</v>
      </c>
      <c r="E1604" s="1" t="s">
        <v>1860</v>
      </c>
      <c r="F1604" s="1" t="n">
        <v>34</v>
      </c>
      <c r="G1604" s="1" t="s">
        <v>71</v>
      </c>
      <c r="H1604" s="1" t="n">
        <v>1110202</v>
      </c>
      <c r="I1604" s="1" t="s">
        <v>285</v>
      </c>
      <c r="J1604" s="1" t="n">
        <v>1445330</v>
      </c>
      <c r="L1604" s="1" t="n">
        <v>594527</v>
      </c>
      <c r="M1604" s="1" t="s">
        <v>41</v>
      </c>
      <c r="N1604" s="1" t="s">
        <v>42</v>
      </c>
      <c r="P1604" s="1" t="n">
        <v>101</v>
      </c>
      <c r="Q1604" s="1" t="s">
        <v>84</v>
      </c>
      <c r="R1604" s="1" t="s">
        <v>85</v>
      </c>
      <c r="S1604" s="1" t="n">
        <v>4210304</v>
      </c>
      <c r="T1604" s="1" t="s">
        <v>1861</v>
      </c>
      <c r="U1604" s="17" t="n">
        <v>2245.05</v>
      </c>
      <c r="W1604" s="1" t="n">
        <v>0</v>
      </c>
      <c r="X1604" s="1" t="s">
        <v>1862</v>
      </c>
      <c r="Z1604" s="1" t="str">
        <f aca="false">IF($T1604="","",IFERROR(INDEX('Resumo Grupos'!$AC$3:$AC$200,MATCH($T1604,'Resumo Grupos'!$AB$3:$AB$200,0)),"n/d"))</f>
        <v>Salários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46228</v>
      </c>
      <c r="C1605" s="15" t="n">
        <v>46234</v>
      </c>
      <c r="D1605" s="1" t="n">
        <v>1621</v>
      </c>
      <c r="E1605" s="1" t="s">
        <v>311</v>
      </c>
      <c r="F1605" s="1" t="n">
        <v>24</v>
      </c>
      <c r="G1605" s="1" t="s">
        <v>32</v>
      </c>
      <c r="H1605" s="1" t="n">
        <v>1110202</v>
      </c>
      <c r="I1605" s="1" t="s">
        <v>285</v>
      </c>
      <c r="J1605" s="1" t="n">
        <v>1450106</v>
      </c>
      <c r="L1605" s="1" t="n">
        <v>920837</v>
      </c>
      <c r="M1605" s="1" t="s">
        <v>41</v>
      </c>
      <c r="N1605" s="1" t="s">
        <v>42</v>
      </c>
      <c r="P1605" s="1" t="n">
        <v>103</v>
      </c>
      <c r="Q1605" s="1" t="s">
        <v>36</v>
      </c>
      <c r="R1605" s="1" t="s">
        <v>37</v>
      </c>
      <c r="S1605" s="1" t="n">
        <v>1130101</v>
      </c>
      <c r="T1605" s="1" t="s">
        <v>38</v>
      </c>
      <c r="U1605" s="17" t="n">
        <v>337.06</v>
      </c>
      <c r="W1605" s="1" t="n">
        <v>0</v>
      </c>
      <c r="X1605" s="1" t="s">
        <v>1863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46228</v>
      </c>
      <c r="C1606" s="15" t="n">
        <v>46234</v>
      </c>
      <c r="D1606" s="1" t="n">
        <v>1286</v>
      </c>
      <c r="E1606" s="1" t="s">
        <v>319</v>
      </c>
      <c r="F1606" s="1" t="n">
        <v>24</v>
      </c>
      <c r="G1606" s="1" t="s">
        <v>32</v>
      </c>
      <c r="H1606" s="1" t="n">
        <v>1110202</v>
      </c>
      <c r="I1606" s="1" t="s">
        <v>285</v>
      </c>
      <c r="J1606" s="1" t="n">
        <v>1450163</v>
      </c>
      <c r="L1606" s="1" t="n">
        <v>10389</v>
      </c>
      <c r="M1606" s="1" t="s">
        <v>41</v>
      </c>
      <c r="N1606" s="1" t="s">
        <v>42</v>
      </c>
      <c r="P1606" s="1" t="n">
        <v>103</v>
      </c>
      <c r="Q1606" s="1" t="s">
        <v>36</v>
      </c>
      <c r="R1606" s="1" t="s">
        <v>37</v>
      </c>
      <c r="S1606" s="1" t="n">
        <v>1130101</v>
      </c>
      <c r="T1606" s="1" t="s">
        <v>38</v>
      </c>
      <c r="U1606" s="17" t="n">
        <v>1026</v>
      </c>
      <c r="W1606" s="1" t="n">
        <v>0</v>
      </c>
      <c r="X1606" s="1" t="s">
        <v>1864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46230</v>
      </c>
      <c r="C1607" s="15" t="n">
        <v>46234</v>
      </c>
      <c r="D1607" s="1" t="n">
        <v>1328</v>
      </c>
      <c r="E1607" s="1" t="s">
        <v>323</v>
      </c>
      <c r="F1607" s="1" t="n">
        <v>24</v>
      </c>
      <c r="G1607" s="1" t="s">
        <v>32</v>
      </c>
      <c r="H1607" s="1" t="n">
        <v>1110202</v>
      </c>
      <c r="I1607" s="1" t="s">
        <v>285</v>
      </c>
      <c r="J1607" s="1" t="n">
        <v>1460129</v>
      </c>
      <c r="L1607" s="1" t="n">
        <v>4183</v>
      </c>
      <c r="M1607" s="1" t="s">
        <v>41</v>
      </c>
      <c r="N1607" s="1" t="s">
        <v>42</v>
      </c>
      <c r="P1607" s="1" t="n">
        <v>103</v>
      </c>
      <c r="Q1607" s="1" t="s">
        <v>36</v>
      </c>
      <c r="R1607" s="1" t="s">
        <v>37</v>
      </c>
      <c r="S1607" s="1" t="n">
        <v>1130101</v>
      </c>
      <c r="T1607" s="1" t="s">
        <v>38</v>
      </c>
      <c r="U1607" s="17" t="n">
        <v>257</v>
      </c>
      <c r="W1607" s="1" t="n">
        <v>0</v>
      </c>
      <c r="X1607" s="1" t="s">
        <v>1865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46231</v>
      </c>
      <c r="C1608" s="15" t="n">
        <v>46234</v>
      </c>
      <c r="D1608" s="1" t="n">
        <v>1899</v>
      </c>
      <c r="E1608" s="1" t="s">
        <v>74</v>
      </c>
      <c r="F1608" s="1" t="n">
        <v>24</v>
      </c>
      <c r="G1608" s="1" t="s">
        <v>32</v>
      </c>
      <c r="H1608" s="1" t="n">
        <v>1110202</v>
      </c>
      <c r="I1608" s="1" t="s">
        <v>285</v>
      </c>
      <c r="J1608" s="1" t="n">
        <v>1462665</v>
      </c>
      <c r="L1608" s="1" t="n">
        <v>733</v>
      </c>
      <c r="M1608" s="1" t="s">
        <v>41</v>
      </c>
      <c r="N1608" s="1" t="s">
        <v>42</v>
      </c>
      <c r="P1608" s="1" t="n">
        <v>103</v>
      </c>
      <c r="Q1608" s="1" t="s">
        <v>36</v>
      </c>
      <c r="R1608" s="1" t="s">
        <v>37</v>
      </c>
      <c r="S1608" s="1" t="n">
        <v>1130101</v>
      </c>
      <c r="T1608" s="1" t="s">
        <v>38</v>
      </c>
      <c r="U1608" s="17" t="n">
        <v>855.5</v>
      </c>
      <c r="W1608" s="1" t="n">
        <v>0</v>
      </c>
      <c r="X1608" s="1" t="s">
        <v>1866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46231</v>
      </c>
      <c r="C1609" s="15" t="n">
        <v>46234</v>
      </c>
      <c r="D1609" s="1" t="n">
        <v>1899</v>
      </c>
      <c r="E1609" s="1" t="s">
        <v>74</v>
      </c>
      <c r="F1609" s="1" t="n">
        <v>24</v>
      </c>
      <c r="G1609" s="1" t="s">
        <v>32</v>
      </c>
      <c r="H1609" s="1" t="n">
        <v>1110202</v>
      </c>
      <c r="I1609" s="1" t="s">
        <v>285</v>
      </c>
      <c r="J1609" s="1" t="n">
        <v>1462886</v>
      </c>
      <c r="L1609" s="1" t="n">
        <v>734</v>
      </c>
      <c r="M1609" s="1" t="s">
        <v>41</v>
      </c>
      <c r="N1609" s="1" t="s">
        <v>42</v>
      </c>
      <c r="P1609" s="1" t="n">
        <v>103</v>
      </c>
      <c r="Q1609" s="1" t="s">
        <v>36</v>
      </c>
      <c r="R1609" s="1" t="s">
        <v>37</v>
      </c>
      <c r="S1609" s="1" t="n">
        <v>1130101</v>
      </c>
      <c r="T1609" s="1" t="s">
        <v>38</v>
      </c>
      <c r="U1609" s="17" t="n">
        <v>1120</v>
      </c>
      <c r="W1609" s="1" t="n">
        <v>0</v>
      </c>
      <c r="X1609" s="1" t="s">
        <v>1867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46233</v>
      </c>
      <c r="C1610" s="15" t="n">
        <v>46234</v>
      </c>
      <c r="D1610" s="1" t="n">
        <v>1683</v>
      </c>
      <c r="E1610" s="1" t="s">
        <v>591</v>
      </c>
      <c r="F1610" s="1" t="n">
        <v>34</v>
      </c>
      <c r="G1610" s="1" t="s">
        <v>71</v>
      </c>
      <c r="H1610" s="1" t="n">
        <v>2110101</v>
      </c>
      <c r="I1610" s="1" t="s">
        <v>33</v>
      </c>
      <c r="J1610" s="1" t="n">
        <v>1477499</v>
      </c>
      <c r="L1610" s="1" t="n">
        <v>1655915</v>
      </c>
      <c r="M1610" s="1" t="s">
        <v>41</v>
      </c>
      <c r="N1610" s="1" t="s">
        <v>35</v>
      </c>
      <c r="P1610" s="1" t="n">
        <v>104</v>
      </c>
      <c r="Q1610" s="1" t="s">
        <v>99</v>
      </c>
      <c r="R1610" s="1" t="s">
        <v>37</v>
      </c>
      <c r="S1610" s="1" t="n">
        <v>1130101</v>
      </c>
      <c r="T1610" s="1" t="s">
        <v>38</v>
      </c>
      <c r="U1610" s="17" t="n">
        <v>126</v>
      </c>
      <c r="W1610" s="1" t="n">
        <v>0</v>
      </c>
      <c r="X1610" s="1" t="s">
        <v>1868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46233</v>
      </c>
      <c r="C1611" s="15" t="n">
        <v>46234</v>
      </c>
      <c r="D1611" s="1" t="n">
        <v>1683</v>
      </c>
      <c r="E1611" s="1" t="s">
        <v>591</v>
      </c>
      <c r="F1611" s="1" t="n">
        <v>34</v>
      </c>
      <c r="G1611" s="1" t="s">
        <v>71</v>
      </c>
      <c r="H1611" s="1" t="n">
        <v>2110101</v>
      </c>
      <c r="I1611" s="1" t="s">
        <v>33</v>
      </c>
      <c r="J1611" s="1" t="n">
        <v>1477517</v>
      </c>
      <c r="L1611" s="1" t="n">
        <v>1655918</v>
      </c>
      <c r="M1611" s="1" t="s">
        <v>41</v>
      </c>
      <c r="N1611" s="1" t="s">
        <v>35</v>
      </c>
      <c r="P1611" s="1" t="n">
        <v>104</v>
      </c>
      <c r="Q1611" s="1" t="s">
        <v>99</v>
      </c>
      <c r="R1611" s="1" t="s">
        <v>37</v>
      </c>
      <c r="S1611" s="1" t="n">
        <v>1130101</v>
      </c>
      <c r="T1611" s="1" t="s">
        <v>38</v>
      </c>
      <c r="U1611" s="17" t="n">
        <v>225</v>
      </c>
      <c r="W1611" s="1" t="n">
        <v>0</v>
      </c>
      <c r="X1611" s="1" t="s">
        <v>1869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46233</v>
      </c>
      <c r="C1612" s="15" t="n">
        <v>46234</v>
      </c>
      <c r="D1612" s="1" t="n">
        <v>1683</v>
      </c>
      <c r="E1612" s="1" t="s">
        <v>591</v>
      </c>
      <c r="F1612" s="1" t="n">
        <v>34</v>
      </c>
      <c r="G1612" s="1" t="s">
        <v>71</v>
      </c>
      <c r="H1612" s="1" t="n">
        <v>2110101</v>
      </c>
      <c r="I1612" s="1" t="s">
        <v>33</v>
      </c>
      <c r="J1612" s="1" t="n">
        <v>1477531</v>
      </c>
      <c r="L1612" s="1" t="n">
        <v>1655921</v>
      </c>
      <c r="M1612" s="1" t="s">
        <v>41</v>
      </c>
      <c r="N1612" s="1" t="s">
        <v>35</v>
      </c>
      <c r="P1612" s="1" t="n">
        <v>104</v>
      </c>
      <c r="Q1612" s="1" t="s">
        <v>99</v>
      </c>
      <c r="R1612" s="1" t="s">
        <v>37</v>
      </c>
      <c r="S1612" s="1" t="n">
        <v>1130101</v>
      </c>
      <c r="T1612" s="1" t="s">
        <v>38</v>
      </c>
      <c r="U1612" s="17" t="n">
        <v>210</v>
      </c>
      <c r="W1612" s="1" t="n">
        <v>0</v>
      </c>
      <c r="X1612" s="1" t="s">
        <v>1870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46233</v>
      </c>
      <c r="C1613" s="15" t="n">
        <v>46234</v>
      </c>
      <c r="D1613" s="1" t="n">
        <v>1683</v>
      </c>
      <c r="E1613" s="1" t="s">
        <v>591</v>
      </c>
      <c r="F1613" s="1" t="n">
        <v>34</v>
      </c>
      <c r="G1613" s="1" t="s">
        <v>71</v>
      </c>
      <c r="H1613" s="1" t="n">
        <v>2110101</v>
      </c>
      <c r="I1613" s="1" t="s">
        <v>33</v>
      </c>
      <c r="J1613" s="1" t="n">
        <v>1477555</v>
      </c>
      <c r="L1613" s="1" t="n">
        <v>1655928</v>
      </c>
      <c r="M1613" s="1" t="s">
        <v>41</v>
      </c>
      <c r="N1613" s="1" t="s">
        <v>35</v>
      </c>
      <c r="P1613" s="1" t="n">
        <v>104</v>
      </c>
      <c r="Q1613" s="1" t="s">
        <v>99</v>
      </c>
      <c r="R1613" s="1" t="s">
        <v>37</v>
      </c>
      <c r="S1613" s="1" t="n">
        <v>1130101</v>
      </c>
      <c r="T1613" s="1" t="s">
        <v>38</v>
      </c>
      <c r="U1613" s="17" t="n">
        <v>315</v>
      </c>
      <c r="W1613" s="1" t="n">
        <v>0</v>
      </c>
      <c r="X1613" s="1" t="s">
        <v>1871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46233</v>
      </c>
      <c r="C1614" s="15" t="n">
        <v>46234</v>
      </c>
      <c r="D1614" s="1" t="n">
        <v>1683</v>
      </c>
      <c r="E1614" s="1" t="s">
        <v>591</v>
      </c>
      <c r="F1614" s="1" t="n">
        <v>34</v>
      </c>
      <c r="G1614" s="1" t="s">
        <v>71</v>
      </c>
      <c r="H1614" s="1" t="n">
        <v>2110101</v>
      </c>
      <c r="I1614" s="1" t="s">
        <v>33</v>
      </c>
      <c r="J1614" s="1" t="n">
        <v>1477569</v>
      </c>
      <c r="L1614" s="1" t="n">
        <v>1655930</v>
      </c>
      <c r="M1614" s="1" t="s">
        <v>41</v>
      </c>
      <c r="N1614" s="1" t="s">
        <v>35</v>
      </c>
      <c r="P1614" s="1" t="n">
        <v>104</v>
      </c>
      <c r="Q1614" s="1" t="s">
        <v>99</v>
      </c>
      <c r="R1614" s="1" t="s">
        <v>37</v>
      </c>
      <c r="S1614" s="1" t="n">
        <v>1130101</v>
      </c>
      <c r="T1614" s="1" t="s">
        <v>38</v>
      </c>
      <c r="U1614" s="17" t="n">
        <v>126</v>
      </c>
      <c r="W1614" s="1" t="n">
        <v>0</v>
      </c>
      <c r="X1614" s="1" t="s">
        <v>1872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46233</v>
      </c>
      <c r="C1615" s="15" t="n">
        <v>46234</v>
      </c>
      <c r="D1615" s="1" t="n">
        <v>1683</v>
      </c>
      <c r="E1615" s="1" t="s">
        <v>591</v>
      </c>
      <c r="F1615" s="1" t="n">
        <v>34</v>
      </c>
      <c r="G1615" s="1" t="s">
        <v>71</v>
      </c>
      <c r="H1615" s="1" t="n">
        <v>2110101</v>
      </c>
      <c r="I1615" s="1" t="s">
        <v>33</v>
      </c>
      <c r="J1615" s="1" t="n">
        <v>1477592</v>
      </c>
      <c r="L1615" s="1" t="n">
        <v>1655931</v>
      </c>
      <c r="M1615" s="1" t="s">
        <v>41</v>
      </c>
      <c r="N1615" s="1" t="s">
        <v>35</v>
      </c>
      <c r="P1615" s="1" t="n">
        <v>104</v>
      </c>
      <c r="Q1615" s="1" t="s">
        <v>99</v>
      </c>
      <c r="R1615" s="1" t="s">
        <v>37</v>
      </c>
      <c r="S1615" s="1" t="n">
        <v>1130101</v>
      </c>
      <c r="T1615" s="1" t="s">
        <v>38</v>
      </c>
      <c r="U1615" s="17" t="n">
        <v>261</v>
      </c>
      <c r="W1615" s="1" t="n">
        <v>0</v>
      </c>
      <c r="X1615" s="1" t="s">
        <v>1873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46233</v>
      </c>
      <c r="C1616" s="15" t="n">
        <v>46234</v>
      </c>
      <c r="D1616" s="1" t="n">
        <v>1683</v>
      </c>
      <c r="E1616" s="1" t="s">
        <v>591</v>
      </c>
      <c r="F1616" s="1" t="n">
        <v>34</v>
      </c>
      <c r="G1616" s="1" t="s">
        <v>71</v>
      </c>
      <c r="H1616" s="1" t="n">
        <v>2110101</v>
      </c>
      <c r="I1616" s="1" t="s">
        <v>33</v>
      </c>
      <c r="J1616" s="1" t="n">
        <v>1477624</v>
      </c>
      <c r="L1616" s="1" t="n">
        <v>1655934</v>
      </c>
      <c r="M1616" s="1" t="s">
        <v>41</v>
      </c>
      <c r="N1616" s="1" t="s">
        <v>35</v>
      </c>
      <c r="P1616" s="1" t="n">
        <v>104</v>
      </c>
      <c r="Q1616" s="1" t="s">
        <v>99</v>
      </c>
      <c r="R1616" s="1" t="s">
        <v>37</v>
      </c>
      <c r="S1616" s="1" t="n">
        <v>1130101</v>
      </c>
      <c r="T1616" s="1" t="s">
        <v>38</v>
      </c>
      <c r="U1616" s="17" t="n">
        <v>126</v>
      </c>
      <c r="W1616" s="1" t="n">
        <v>0</v>
      </c>
      <c r="X1616" s="1" t="s">
        <v>1874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46233</v>
      </c>
      <c r="C1617" s="15" t="n">
        <v>46234</v>
      </c>
      <c r="D1617" s="1" t="n">
        <v>1683</v>
      </c>
      <c r="E1617" s="1" t="s">
        <v>591</v>
      </c>
      <c r="F1617" s="1" t="n">
        <v>34</v>
      </c>
      <c r="G1617" s="1" t="s">
        <v>71</v>
      </c>
      <c r="H1617" s="1" t="n">
        <v>2110101</v>
      </c>
      <c r="I1617" s="1" t="s">
        <v>33</v>
      </c>
      <c r="J1617" s="1" t="n">
        <v>1477634</v>
      </c>
      <c r="L1617" s="1" t="n">
        <v>1655935</v>
      </c>
      <c r="M1617" s="1" t="s">
        <v>41</v>
      </c>
      <c r="N1617" s="1" t="s">
        <v>35</v>
      </c>
      <c r="P1617" s="1" t="n">
        <v>104</v>
      </c>
      <c r="Q1617" s="1" t="s">
        <v>99</v>
      </c>
      <c r="R1617" s="1" t="s">
        <v>37</v>
      </c>
      <c r="S1617" s="1" t="n">
        <v>1130101</v>
      </c>
      <c r="T1617" s="1" t="s">
        <v>38</v>
      </c>
      <c r="U1617" s="17" t="n">
        <v>261</v>
      </c>
      <c r="W1617" s="1" t="n">
        <v>0</v>
      </c>
      <c r="X1617" s="1" t="s">
        <v>1875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1683</v>
      </c>
      <c r="E1618" s="1" t="s">
        <v>591</v>
      </c>
      <c r="F1618" s="1" t="n">
        <v>34</v>
      </c>
      <c r="G1618" s="1" t="s">
        <v>71</v>
      </c>
      <c r="H1618" s="1" t="n">
        <v>2110101</v>
      </c>
      <c r="I1618" s="1" t="s">
        <v>33</v>
      </c>
      <c r="J1618" s="1" t="n">
        <v>1478183</v>
      </c>
      <c r="L1618" s="1" t="n">
        <v>1656236</v>
      </c>
      <c r="M1618" s="1" t="s">
        <v>41</v>
      </c>
      <c r="N1618" s="1" t="s">
        <v>35</v>
      </c>
      <c r="P1618" s="1" t="n">
        <v>104</v>
      </c>
      <c r="Q1618" s="1" t="s">
        <v>99</v>
      </c>
      <c r="R1618" s="1" t="s">
        <v>37</v>
      </c>
      <c r="S1618" s="1" t="n">
        <v>1130101</v>
      </c>
      <c r="T1618" s="1" t="s">
        <v>38</v>
      </c>
      <c r="U1618" s="17" t="n">
        <v>210</v>
      </c>
      <c r="W1618" s="1" t="n">
        <v>0</v>
      </c>
      <c r="X1618" s="1" t="s">
        <v>1876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33</v>
      </c>
      <c r="E1619" s="1" t="s">
        <v>70</v>
      </c>
      <c r="F1619" s="1" t="n">
        <v>34</v>
      </c>
      <c r="G1619" s="1" t="s">
        <v>71</v>
      </c>
      <c r="H1619" s="1" t="n">
        <v>2110101</v>
      </c>
      <c r="I1619" s="1" t="s">
        <v>33</v>
      </c>
      <c r="J1619" s="1" t="n">
        <v>1478775</v>
      </c>
      <c r="L1619" s="1" t="n">
        <v>5407</v>
      </c>
      <c r="M1619" s="1" t="s">
        <v>41</v>
      </c>
      <c r="N1619" s="1" t="s">
        <v>35</v>
      </c>
      <c r="P1619" s="1" t="n">
        <v>104</v>
      </c>
      <c r="Q1619" s="1" t="s">
        <v>99</v>
      </c>
      <c r="R1619" s="1" t="s">
        <v>37</v>
      </c>
      <c r="S1619" s="1" t="n">
        <v>1130101</v>
      </c>
      <c r="T1619" s="1" t="s">
        <v>38</v>
      </c>
      <c r="U1619" s="17" t="n">
        <v>2731</v>
      </c>
      <c r="W1619" s="1" t="n">
        <v>0</v>
      </c>
      <c r="X1619" s="1" t="s">
        <v>220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46234</v>
      </c>
      <c r="C1620" s="15" t="n">
        <v>46234</v>
      </c>
      <c r="D1620" s="1" t="n">
        <v>1615</v>
      </c>
      <c r="E1620" s="1" t="s">
        <v>221</v>
      </c>
      <c r="F1620" s="1" t="n">
        <v>34</v>
      </c>
      <c r="G1620" s="1" t="s">
        <v>71</v>
      </c>
      <c r="H1620" s="1" t="n">
        <v>2110101</v>
      </c>
      <c r="I1620" s="1" t="s">
        <v>33</v>
      </c>
      <c r="J1620" s="1" t="n">
        <v>1478787</v>
      </c>
      <c r="L1620" s="1" t="n">
        <v>14996</v>
      </c>
      <c r="M1620" s="1" t="s">
        <v>41</v>
      </c>
      <c r="N1620" s="1" t="s">
        <v>35</v>
      </c>
      <c r="P1620" s="1" t="n">
        <v>104</v>
      </c>
      <c r="Q1620" s="1" t="s">
        <v>99</v>
      </c>
      <c r="R1620" s="1" t="s">
        <v>37</v>
      </c>
      <c r="S1620" s="1" t="n">
        <v>1130101</v>
      </c>
      <c r="T1620" s="1" t="s">
        <v>38</v>
      </c>
      <c r="U1620" s="17" t="n">
        <v>1010</v>
      </c>
      <c r="W1620" s="1" t="n">
        <v>0</v>
      </c>
      <c r="X1620" s="1" t="s">
        <v>1877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46234</v>
      </c>
      <c r="C1621" s="15" t="n">
        <v>46234</v>
      </c>
      <c r="D1621" s="1" t="n">
        <v>33</v>
      </c>
      <c r="E1621" s="1" t="s">
        <v>70</v>
      </c>
      <c r="F1621" s="1" t="n">
        <v>34</v>
      </c>
      <c r="G1621" s="1" t="s">
        <v>71</v>
      </c>
      <c r="H1621" s="1" t="n">
        <v>1110202</v>
      </c>
      <c r="I1621" s="1" t="s">
        <v>285</v>
      </c>
      <c r="J1621" s="1" t="n">
        <v>1478808</v>
      </c>
      <c r="L1621" s="1" t="n">
        <v>607311</v>
      </c>
      <c r="M1621" s="1" t="s">
        <v>41</v>
      </c>
      <c r="N1621" s="1" t="s">
        <v>42</v>
      </c>
      <c r="P1621" s="1" t="n">
        <v>104</v>
      </c>
      <c r="Q1621" s="1" t="s">
        <v>99</v>
      </c>
      <c r="R1621" s="1" t="s">
        <v>37</v>
      </c>
      <c r="S1621" s="1" t="n">
        <v>1130101</v>
      </c>
      <c r="T1621" s="1" t="s">
        <v>38</v>
      </c>
      <c r="U1621" s="17" t="n">
        <v>35</v>
      </c>
      <c r="W1621" s="1" t="n">
        <v>0</v>
      </c>
      <c r="X1621" s="1" t="s">
        <v>1878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46234</v>
      </c>
      <c r="C1622" s="15" t="n">
        <v>46234</v>
      </c>
      <c r="D1622" s="1" t="n">
        <v>33</v>
      </c>
      <c r="E1622" s="1" t="s">
        <v>70</v>
      </c>
      <c r="F1622" s="1" t="n">
        <v>34</v>
      </c>
      <c r="G1622" s="1" t="s">
        <v>71</v>
      </c>
      <c r="H1622" s="1" t="n">
        <v>2110101</v>
      </c>
      <c r="I1622" s="1" t="s">
        <v>33</v>
      </c>
      <c r="J1622" s="1" t="n">
        <v>1479153</v>
      </c>
      <c r="L1622" s="1" t="n">
        <v>5419</v>
      </c>
      <c r="M1622" s="1" t="s">
        <v>41</v>
      </c>
      <c r="N1622" s="1" t="s">
        <v>35</v>
      </c>
      <c r="P1622" s="1" t="n">
        <v>104</v>
      </c>
      <c r="Q1622" s="1" t="s">
        <v>99</v>
      </c>
      <c r="R1622" s="1" t="s">
        <v>37</v>
      </c>
      <c r="S1622" s="1" t="n">
        <v>1130101</v>
      </c>
      <c r="T1622" s="1" t="s">
        <v>38</v>
      </c>
      <c r="U1622" s="17" t="n">
        <v>2682.43</v>
      </c>
      <c r="W1622" s="1" t="n">
        <v>0</v>
      </c>
      <c r="X1622" s="1" t="s">
        <v>172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46234</v>
      </c>
      <c r="C1623" s="15" t="n">
        <v>46234</v>
      </c>
      <c r="D1623" s="1" t="n">
        <v>978</v>
      </c>
      <c r="E1623" s="1" t="s">
        <v>97</v>
      </c>
      <c r="F1623" s="1" t="n">
        <v>13</v>
      </c>
      <c r="G1623" s="1" t="s">
        <v>98</v>
      </c>
      <c r="H1623" s="1" t="n">
        <v>2110101</v>
      </c>
      <c r="I1623" s="1" t="s">
        <v>33</v>
      </c>
      <c r="J1623" s="1" t="n">
        <v>1479256</v>
      </c>
      <c r="L1623" s="1" t="n">
        <v>413</v>
      </c>
      <c r="M1623" s="1" t="s">
        <v>41</v>
      </c>
      <c r="N1623" s="1" t="s">
        <v>35</v>
      </c>
      <c r="P1623" s="1" t="n">
        <v>104</v>
      </c>
      <c r="Q1623" s="1" t="s">
        <v>99</v>
      </c>
      <c r="R1623" s="1" t="s">
        <v>37</v>
      </c>
      <c r="S1623" s="1" t="n">
        <v>1130101</v>
      </c>
      <c r="T1623" s="1" t="s">
        <v>38</v>
      </c>
      <c r="U1623" s="17" t="n">
        <v>603</v>
      </c>
      <c r="W1623" s="1" t="n">
        <v>0</v>
      </c>
      <c r="X1623" s="1" t="s">
        <v>1808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46234</v>
      </c>
      <c r="C1624" s="15" t="n">
        <v>46234</v>
      </c>
      <c r="D1624" s="1" t="n">
        <v>10035</v>
      </c>
      <c r="E1624" s="1" t="s">
        <v>336</v>
      </c>
      <c r="F1624" s="1" t="n">
        <v>13</v>
      </c>
      <c r="G1624" s="1" t="s">
        <v>98</v>
      </c>
      <c r="H1624" s="1" t="n">
        <v>2110101</v>
      </c>
      <c r="I1624" s="1" t="s">
        <v>33</v>
      </c>
      <c r="J1624" s="1" t="n">
        <v>1479487</v>
      </c>
      <c r="L1624" s="1" t="n">
        <v>387</v>
      </c>
      <c r="M1624" s="1" t="s">
        <v>41</v>
      </c>
      <c r="N1624" s="1" t="s">
        <v>35</v>
      </c>
      <c r="P1624" s="1" t="n">
        <v>104</v>
      </c>
      <c r="Q1624" s="1" t="s">
        <v>99</v>
      </c>
      <c r="R1624" s="1" t="s">
        <v>37</v>
      </c>
      <c r="S1624" s="1" t="n">
        <v>1130101</v>
      </c>
      <c r="T1624" s="1" t="s">
        <v>38</v>
      </c>
      <c r="U1624" s="17" t="n">
        <v>572</v>
      </c>
      <c r="W1624" s="1" t="n">
        <v>0</v>
      </c>
      <c r="X1624" s="1" t="s">
        <v>1879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46234</v>
      </c>
      <c r="C1625" s="15" t="n">
        <v>46234</v>
      </c>
      <c r="D1625" s="1" t="n">
        <v>1316</v>
      </c>
      <c r="E1625" s="1" t="s">
        <v>961</v>
      </c>
      <c r="F1625" s="1" t="n">
        <v>34</v>
      </c>
      <c r="G1625" s="1" t="s">
        <v>71</v>
      </c>
      <c r="H1625" s="1" t="n">
        <v>2110101</v>
      </c>
      <c r="I1625" s="1" t="s">
        <v>33</v>
      </c>
      <c r="J1625" s="1" t="n">
        <v>1479627</v>
      </c>
      <c r="L1625" s="1" t="n">
        <v>3978</v>
      </c>
      <c r="M1625" s="1" t="s">
        <v>41</v>
      </c>
      <c r="N1625" s="1" t="s">
        <v>35</v>
      </c>
      <c r="P1625" s="1" t="n">
        <v>104</v>
      </c>
      <c r="Q1625" s="1" t="s">
        <v>99</v>
      </c>
      <c r="R1625" s="1" t="s">
        <v>37</v>
      </c>
      <c r="S1625" s="1" t="n">
        <v>1130101</v>
      </c>
      <c r="T1625" s="1" t="s">
        <v>38</v>
      </c>
      <c r="U1625" s="17" t="n">
        <v>200</v>
      </c>
      <c r="W1625" s="1" t="n">
        <v>0</v>
      </c>
      <c r="X1625" s="1" t="s">
        <v>1880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46234</v>
      </c>
      <c r="C1626" s="15" t="n">
        <v>46234</v>
      </c>
      <c r="D1626" s="1" t="n">
        <v>519</v>
      </c>
      <c r="E1626" s="1" t="s">
        <v>90</v>
      </c>
      <c r="F1626" s="1" t="n">
        <v>11</v>
      </c>
      <c r="G1626" s="1" t="s">
        <v>170</v>
      </c>
      <c r="H1626" s="1" t="n">
        <v>1110101</v>
      </c>
      <c r="I1626" s="1" t="s">
        <v>1432</v>
      </c>
      <c r="J1626" s="1" t="n">
        <v>1493467</v>
      </c>
      <c r="L1626" s="1" t="n">
        <v>612900</v>
      </c>
      <c r="M1626" s="1" t="s">
        <v>41</v>
      </c>
      <c r="N1626" s="1" t="s">
        <v>42</v>
      </c>
      <c r="P1626" s="1" t="n">
        <v>102</v>
      </c>
      <c r="Q1626" s="1" t="s">
        <v>107</v>
      </c>
      <c r="R1626" s="1" t="s">
        <v>91</v>
      </c>
      <c r="S1626" s="1" t="n">
        <v>4220199</v>
      </c>
      <c r="T1626" s="1" t="s">
        <v>92</v>
      </c>
      <c r="U1626" s="17" t="n">
        <v>3000</v>
      </c>
      <c r="W1626" s="1" t="n">
        <v>0</v>
      </c>
      <c r="X1626" s="1" t="s">
        <v>1881</v>
      </c>
      <c r="Z1626" s="1" t="str">
        <f aca="false">IF($T1626="","",IFERROR(INDEX('Resumo Grupos'!$AC$3:$AC$200,MATCH($T1626,'Resumo Grupos'!$AB$3:$AB$200,0)),"n/d"))</f>
        <v>Pagamentos outros não operacionais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46234</v>
      </c>
      <c r="C1627" s="15" t="n">
        <v>46234</v>
      </c>
      <c r="D1627" s="1" t="n">
        <v>1037</v>
      </c>
      <c r="E1627" s="1" t="s">
        <v>168</v>
      </c>
      <c r="F1627" s="1" t="n">
        <v>34</v>
      </c>
      <c r="G1627" s="1" t="s">
        <v>71</v>
      </c>
      <c r="H1627" s="1" t="n">
        <v>1110202</v>
      </c>
      <c r="I1627" s="1" t="s">
        <v>285</v>
      </c>
      <c r="J1627" s="1" t="n">
        <v>1495145</v>
      </c>
      <c r="L1627" s="1" t="n">
        <v>613092</v>
      </c>
      <c r="M1627" s="1" t="s">
        <v>41</v>
      </c>
      <c r="N1627" s="1" t="s">
        <v>42</v>
      </c>
      <c r="P1627" s="1" t="n">
        <v>102</v>
      </c>
      <c r="Q1627" s="1" t="s">
        <v>107</v>
      </c>
      <c r="R1627" s="1" t="s">
        <v>91</v>
      </c>
      <c r="S1627" s="1" t="n">
        <v>4220199</v>
      </c>
      <c r="T1627" s="1" t="s">
        <v>92</v>
      </c>
      <c r="U1627" s="17" t="n">
        <v>6267.5</v>
      </c>
      <c r="W1627" s="1" t="n">
        <v>0</v>
      </c>
      <c r="X1627" s="1" t="s">
        <v>1882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46234</v>
      </c>
      <c r="C1628" s="15" t="n">
        <v>46234</v>
      </c>
      <c r="D1628" s="1" t="n">
        <v>4</v>
      </c>
      <c r="E1628" s="1" t="s">
        <v>1883</v>
      </c>
      <c r="F1628" s="1" t="n">
        <v>34</v>
      </c>
      <c r="G1628" s="1" t="s">
        <v>71</v>
      </c>
      <c r="H1628" s="1" t="n">
        <v>1110202</v>
      </c>
      <c r="I1628" s="1" t="s">
        <v>285</v>
      </c>
      <c r="J1628" s="1" t="n">
        <v>1495804</v>
      </c>
      <c r="L1628" s="1" t="n">
        <v>613270</v>
      </c>
      <c r="M1628" s="1" t="s">
        <v>41</v>
      </c>
      <c r="N1628" s="1" t="s">
        <v>42</v>
      </c>
      <c r="P1628" s="1" t="n">
        <v>102</v>
      </c>
      <c r="Q1628" s="1" t="s">
        <v>107</v>
      </c>
      <c r="R1628" s="1" t="s">
        <v>85</v>
      </c>
      <c r="S1628" s="1" t="n">
        <v>4210301</v>
      </c>
      <c r="T1628" s="1" t="s">
        <v>295</v>
      </c>
      <c r="U1628" s="17" t="n">
        <v>300</v>
      </c>
      <c r="W1628" s="1" t="n">
        <v>0</v>
      </c>
      <c r="X1628" s="1" t="s">
        <v>1884</v>
      </c>
      <c r="Z1628" s="1" t="str">
        <f aca="false">IF($T1628="","",IFERROR(INDEX('Resumo Grupos'!$AC$3:$AC$200,MATCH($T1628,'Resumo Grupos'!$AB$3:$AB$200,0)),"n/d"))</f>
        <v>Salários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46195</v>
      </c>
      <c r="C1629" s="15" t="n">
        <v>46235</v>
      </c>
      <c r="D1629" s="1" t="n">
        <v>10011</v>
      </c>
      <c r="E1629" s="1" t="s">
        <v>189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1291292</v>
      </c>
      <c r="L1629" s="1" t="n">
        <v>34212</v>
      </c>
      <c r="M1629" s="1" t="s">
        <v>128</v>
      </c>
      <c r="N1629" s="1" t="s">
        <v>35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1975</v>
      </c>
      <c r="W1629" s="1" t="n">
        <v>0</v>
      </c>
      <c r="X1629" s="1" t="s">
        <v>1885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46230</v>
      </c>
      <c r="C1630" s="15" t="n">
        <v>46235</v>
      </c>
      <c r="D1630" s="1" t="n">
        <v>754</v>
      </c>
      <c r="E1630" s="1" t="s">
        <v>157</v>
      </c>
      <c r="F1630" s="1" t="n">
        <v>24</v>
      </c>
      <c r="G1630" s="1" t="s">
        <v>32</v>
      </c>
      <c r="H1630" s="1" t="n">
        <v>1110202</v>
      </c>
      <c r="I1630" s="1" t="s">
        <v>285</v>
      </c>
      <c r="J1630" s="1" t="n">
        <v>1459331</v>
      </c>
      <c r="L1630" s="1" t="n">
        <v>32051</v>
      </c>
      <c r="M1630" s="1" t="s">
        <v>41</v>
      </c>
      <c r="N1630" s="1" t="s">
        <v>42</v>
      </c>
      <c r="P1630" s="1" t="n">
        <v>103</v>
      </c>
      <c r="Q1630" s="1" t="s">
        <v>36</v>
      </c>
      <c r="R1630" s="1" t="s">
        <v>37</v>
      </c>
      <c r="S1630" s="1" t="n">
        <v>1130101</v>
      </c>
      <c r="T1630" s="1" t="s">
        <v>38</v>
      </c>
      <c r="U1630" s="17" t="n">
        <v>1760</v>
      </c>
      <c r="W1630" s="1" t="n">
        <v>0</v>
      </c>
      <c r="X1630" s="1" t="s">
        <v>1886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46206</v>
      </c>
      <c r="C1631" s="15" t="n">
        <v>46235</v>
      </c>
      <c r="D1631" s="1" t="n">
        <v>1608</v>
      </c>
      <c r="E1631" s="1" t="s">
        <v>51</v>
      </c>
      <c r="F1631" s="1" t="n">
        <v>24</v>
      </c>
      <c r="G1631" s="1" t="s">
        <v>32</v>
      </c>
      <c r="H1631" s="1" t="n">
        <v>2110101</v>
      </c>
      <c r="I1631" s="1" t="s">
        <v>33</v>
      </c>
      <c r="J1631" s="1" t="n">
        <v>1344441</v>
      </c>
      <c r="L1631" s="1" t="n">
        <v>1686012</v>
      </c>
      <c r="M1631" s="1" t="s">
        <v>34</v>
      </c>
      <c r="N1631" s="1" t="s">
        <v>35</v>
      </c>
      <c r="P1631" s="1" t="n">
        <v>103</v>
      </c>
      <c r="Q1631" s="1" t="s">
        <v>36</v>
      </c>
      <c r="R1631" s="1" t="s">
        <v>37</v>
      </c>
      <c r="S1631" s="1" t="n">
        <v>1130101</v>
      </c>
      <c r="T1631" s="1" t="s">
        <v>38</v>
      </c>
      <c r="U1631" s="17" t="n">
        <v>1731.26</v>
      </c>
      <c r="W1631" s="1" t="n">
        <v>0</v>
      </c>
      <c r="X1631" s="1" t="s">
        <v>1887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46207</v>
      </c>
      <c r="C1632" s="15" t="n">
        <v>46235</v>
      </c>
      <c r="D1632" s="1" t="n">
        <v>1636</v>
      </c>
      <c r="E1632" s="1" t="s">
        <v>68</v>
      </c>
      <c r="F1632" s="1" t="n">
        <v>24</v>
      </c>
      <c r="G1632" s="1" t="s">
        <v>32</v>
      </c>
      <c r="H1632" s="1" t="n">
        <v>2110102</v>
      </c>
      <c r="I1632" s="1" t="s">
        <v>59</v>
      </c>
      <c r="J1632" s="1" t="n">
        <v>1348691</v>
      </c>
      <c r="L1632" s="1" t="n">
        <v>3216011</v>
      </c>
      <c r="M1632" s="1" t="s">
        <v>41</v>
      </c>
      <c r="N1632" s="1" t="s">
        <v>35</v>
      </c>
      <c r="P1632" s="1" t="n">
        <v>103</v>
      </c>
      <c r="Q1632" s="1" t="s">
        <v>36</v>
      </c>
      <c r="R1632" s="1" t="s">
        <v>60</v>
      </c>
      <c r="S1632" s="1" t="n">
        <v>4210204</v>
      </c>
      <c r="T1632" s="1" t="s">
        <v>61</v>
      </c>
      <c r="U1632" s="17" t="n">
        <v>854.72</v>
      </c>
      <c r="W1632" s="1" t="n">
        <v>0</v>
      </c>
      <c r="X1632" s="1" t="s">
        <v>1888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46225</v>
      </c>
      <c r="C1633" s="15" t="n">
        <v>46235</v>
      </c>
      <c r="D1633" s="1" t="n">
        <v>1723</v>
      </c>
      <c r="E1633" s="1" t="s">
        <v>264</v>
      </c>
      <c r="F1633" s="1" t="n">
        <v>24</v>
      </c>
      <c r="G1633" s="1" t="s">
        <v>32</v>
      </c>
      <c r="H1633" s="1" t="n">
        <v>1110202</v>
      </c>
      <c r="I1633" s="1" t="s">
        <v>285</v>
      </c>
      <c r="J1633" s="1" t="n">
        <v>1435471</v>
      </c>
      <c r="L1633" s="1" t="n">
        <v>173595</v>
      </c>
      <c r="M1633" s="1" t="s">
        <v>41</v>
      </c>
      <c r="N1633" s="1" t="s">
        <v>42</v>
      </c>
      <c r="P1633" s="1" t="n">
        <v>103</v>
      </c>
      <c r="Q1633" s="1" t="s">
        <v>36</v>
      </c>
      <c r="R1633" s="1" t="s">
        <v>37</v>
      </c>
      <c r="S1633" s="1" t="n">
        <v>1130101</v>
      </c>
      <c r="T1633" s="1" t="s">
        <v>38</v>
      </c>
      <c r="U1633" s="17" t="n">
        <v>5927</v>
      </c>
      <c r="W1633" s="1" t="n">
        <v>0</v>
      </c>
      <c r="X1633" s="1" t="s">
        <v>1889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46225</v>
      </c>
      <c r="C1634" s="15" t="n">
        <v>46235</v>
      </c>
      <c r="D1634" s="1" t="n">
        <v>1705</v>
      </c>
      <c r="E1634" s="1" t="s">
        <v>148</v>
      </c>
      <c r="F1634" s="1" t="n">
        <v>24</v>
      </c>
      <c r="G1634" s="1" t="s">
        <v>32</v>
      </c>
      <c r="H1634" s="1" t="n">
        <v>1110202</v>
      </c>
      <c r="I1634" s="1" t="s">
        <v>285</v>
      </c>
      <c r="J1634" s="1" t="n">
        <v>1435900</v>
      </c>
      <c r="L1634" s="1" t="n">
        <v>1942481</v>
      </c>
      <c r="M1634" s="1" t="s">
        <v>41</v>
      </c>
      <c r="N1634" s="1" t="s">
        <v>42</v>
      </c>
      <c r="P1634" s="1" t="n">
        <v>103</v>
      </c>
      <c r="Q1634" s="1" t="s">
        <v>36</v>
      </c>
      <c r="R1634" s="1" t="s">
        <v>37</v>
      </c>
      <c r="S1634" s="1" t="n">
        <v>1130101</v>
      </c>
      <c r="T1634" s="1" t="s">
        <v>38</v>
      </c>
      <c r="U1634" s="17" t="n">
        <v>1253.43</v>
      </c>
      <c r="W1634" s="1" t="n">
        <v>0</v>
      </c>
      <c r="X1634" s="1" t="s">
        <v>1890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46225</v>
      </c>
      <c r="C1635" s="15" t="n">
        <v>46235</v>
      </c>
      <c r="D1635" s="1" t="n">
        <v>1705</v>
      </c>
      <c r="E1635" s="1" t="s">
        <v>148</v>
      </c>
      <c r="F1635" s="1" t="n">
        <v>24</v>
      </c>
      <c r="G1635" s="1" t="s">
        <v>32</v>
      </c>
      <c r="H1635" s="1" t="n">
        <v>1110202</v>
      </c>
      <c r="I1635" s="1" t="s">
        <v>285</v>
      </c>
      <c r="J1635" s="1" t="n">
        <v>1435911</v>
      </c>
      <c r="L1635" s="1" t="n">
        <v>1209351</v>
      </c>
      <c r="M1635" s="1" t="s">
        <v>41</v>
      </c>
      <c r="N1635" s="1" t="s">
        <v>42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1459.28</v>
      </c>
      <c r="W1635" s="1" t="n">
        <v>0</v>
      </c>
      <c r="X1635" s="1" t="s">
        <v>1891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46226</v>
      </c>
      <c r="C1636" s="15" t="n">
        <v>46235</v>
      </c>
      <c r="D1636" s="1" t="n">
        <v>1792</v>
      </c>
      <c r="E1636" s="1" t="s">
        <v>122</v>
      </c>
      <c r="F1636" s="1" t="n">
        <v>24</v>
      </c>
      <c r="G1636" s="1" t="s">
        <v>32</v>
      </c>
      <c r="H1636" s="1" t="n">
        <v>1110202</v>
      </c>
      <c r="I1636" s="1" t="s">
        <v>285</v>
      </c>
      <c r="J1636" s="1" t="n">
        <v>1440674</v>
      </c>
      <c r="L1636" s="1" t="n">
        <v>592792</v>
      </c>
      <c r="M1636" s="1" t="s">
        <v>41</v>
      </c>
      <c r="N1636" s="1" t="s">
        <v>42</v>
      </c>
      <c r="P1636" s="1" t="n">
        <v>101</v>
      </c>
      <c r="Q1636" s="1" t="s">
        <v>84</v>
      </c>
      <c r="R1636" s="1" t="s">
        <v>123</v>
      </c>
      <c r="S1636" s="1" t="n">
        <v>1240203</v>
      </c>
      <c r="T1636" s="1" t="s">
        <v>124</v>
      </c>
      <c r="U1636" s="17" t="n">
        <v>486.45</v>
      </c>
      <c r="W1636" s="1" t="n">
        <v>0</v>
      </c>
      <c r="X1636" s="1" t="s">
        <v>1892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46228</v>
      </c>
      <c r="C1637" s="15" t="n">
        <v>46235</v>
      </c>
      <c r="D1637" s="1" t="n">
        <v>1625</v>
      </c>
      <c r="E1637" s="1" t="s">
        <v>211</v>
      </c>
      <c r="F1637" s="1" t="n">
        <v>24</v>
      </c>
      <c r="G1637" s="1" t="s">
        <v>32</v>
      </c>
      <c r="H1637" s="1" t="n">
        <v>1110202</v>
      </c>
      <c r="I1637" s="1" t="s">
        <v>285</v>
      </c>
      <c r="J1637" s="1" t="n">
        <v>1449957</v>
      </c>
      <c r="L1637" s="1" t="n">
        <v>14815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4716.8</v>
      </c>
      <c r="W1637" s="1" t="n">
        <v>0</v>
      </c>
      <c r="X1637" s="1" t="s">
        <v>1893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46228</v>
      </c>
      <c r="C1638" s="15" t="n">
        <v>46235</v>
      </c>
      <c r="D1638" s="1" t="n">
        <v>754</v>
      </c>
      <c r="E1638" s="1" t="s">
        <v>157</v>
      </c>
      <c r="F1638" s="1" t="n">
        <v>24</v>
      </c>
      <c r="G1638" s="1" t="s">
        <v>32</v>
      </c>
      <c r="H1638" s="1" t="n">
        <v>2110101</v>
      </c>
      <c r="I1638" s="1" t="s">
        <v>33</v>
      </c>
      <c r="J1638" s="1" t="n">
        <v>1449964</v>
      </c>
      <c r="L1638" s="1" t="n">
        <v>32050</v>
      </c>
      <c r="M1638" s="1" t="s">
        <v>41</v>
      </c>
      <c r="N1638" s="1" t="s">
        <v>42</v>
      </c>
      <c r="P1638" s="1" t="n">
        <v>103</v>
      </c>
      <c r="Q1638" s="1" t="s">
        <v>36</v>
      </c>
      <c r="R1638" s="1" t="s">
        <v>37</v>
      </c>
      <c r="S1638" s="1" t="n">
        <v>1130101</v>
      </c>
      <c r="T1638" s="1" t="s">
        <v>38</v>
      </c>
      <c r="U1638" s="17" t="n">
        <v>2967.5</v>
      </c>
      <c r="W1638" s="1" t="n">
        <v>0</v>
      </c>
      <c r="X1638" s="1" t="s">
        <v>1894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46235</v>
      </c>
      <c r="C1639" s="15" t="n">
        <v>46235</v>
      </c>
      <c r="D1639" s="1" t="n">
        <v>33</v>
      </c>
      <c r="E1639" s="1" t="s">
        <v>70</v>
      </c>
      <c r="F1639" s="1" t="n">
        <v>13</v>
      </c>
      <c r="G1639" s="1" t="s">
        <v>98</v>
      </c>
      <c r="H1639" s="1" t="n">
        <v>2110101</v>
      </c>
      <c r="I1639" s="1" t="s">
        <v>33</v>
      </c>
      <c r="J1639" s="1" t="n">
        <v>1482644</v>
      </c>
      <c r="L1639" s="1" t="n">
        <v>5422</v>
      </c>
      <c r="M1639" s="1" t="s">
        <v>41</v>
      </c>
      <c r="N1639" s="1" t="s">
        <v>35</v>
      </c>
      <c r="P1639" s="1" t="n">
        <v>104</v>
      </c>
      <c r="Q1639" s="1" t="s">
        <v>99</v>
      </c>
      <c r="R1639" s="1" t="s">
        <v>37</v>
      </c>
      <c r="S1639" s="1" t="n">
        <v>1130101</v>
      </c>
      <c r="T1639" s="1" t="s">
        <v>38</v>
      </c>
      <c r="U1639" s="17" t="n">
        <v>280</v>
      </c>
      <c r="W1639" s="1" t="n">
        <v>280</v>
      </c>
      <c r="X1639" s="1" t="s">
        <v>101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46235</v>
      </c>
      <c r="C1640" s="15" t="n">
        <v>46235</v>
      </c>
      <c r="D1640" s="1" t="n">
        <v>1137</v>
      </c>
      <c r="E1640" s="1" t="s">
        <v>82</v>
      </c>
      <c r="F1640" s="1" t="n">
        <v>34</v>
      </c>
      <c r="G1640" s="1" t="s">
        <v>71</v>
      </c>
      <c r="H1640" s="1" t="n">
        <v>1110202</v>
      </c>
      <c r="I1640" s="1" t="s">
        <v>285</v>
      </c>
      <c r="J1640" s="1" t="n">
        <v>1482647</v>
      </c>
      <c r="L1640" s="1" t="n">
        <v>608858</v>
      </c>
      <c r="M1640" s="1" t="s">
        <v>41</v>
      </c>
      <c r="N1640" s="1" t="s">
        <v>42</v>
      </c>
      <c r="P1640" s="1" t="n">
        <v>101</v>
      </c>
      <c r="Q1640" s="1" t="s">
        <v>84</v>
      </c>
      <c r="R1640" s="1" t="s">
        <v>85</v>
      </c>
      <c r="S1640" s="1" t="n">
        <v>4210309</v>
      </c>
      <c r="T1640" s="1" t="s">
        <v>86</v>
      </c>
      <c r="U1640" s="17" t="n">
        <v>1820</v>
      </c>
      <c r="W1640" s="1" t="n">
        <v>0</v>
      </c>
      <c r="X1640" s="1" t="s">
        <v>1895</v>
      </c>
      <c r="Z1640" s="1" t="str">
        <f aca="false">IF($T1640="","",IFERROR(INDEX('Resumo Grupos'!$AC$3:$AC$200,MATCH($T1640,'Resumo Grupos'!$AB$3:$AB$200,0)),"n/d"))</f>
        <v>Salários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46235</v>
      </c>
      <c r="C1641" s="15" t="n">
        <v>46235</v>
      </c>
      <c r="D1641" s="1" t="n">
        <v>1137</v>
      </c>
      <c r="E1641" s="1" t="s">
        <v>82</v>
      </c>
      <c r="F1641" s="1" t="n">
        <v>34</v>
      </c>
      <c r="G1641" s="1" t="s">
        <v>71</v>
      </c>
      <c r="H1641" s="1" t="n">
        <v>1110202</v>
      </c>
      <c r="I1641" s="1" t="s">
        <v>285</v>
      </c>
      <c r="J1641" s="1" t="n">
        <v>1482687</v>
      </c>
      <c r="L1641" s="1" t="n">
        <v>608874</v>
      </c>
      <c r="M1641" s="1" t="s">
        <v>41</v>
      </c>
      <c r="N1641" s="1" t="s">
        <v>42</v>
      </c>
      <c r="P1641" s="1" t="n">
        <v>101</v>
      </c>
      <c r="Q1641" s="1" t="s">
        <v>84</v>
      </c>
      <c r="R1641" s="1" t="s">
        <v>85</v>
      </c>
      <c r="S1641" s="1" t="n">
        <v>4210309</v>
      </c>
      <c r="T1641" s="1" t="s">
        <v>86</v>
      </c>
      <c r="U1641" s="17" t="n">
        <v>780</v>
      </c>
      <c r="W1641" s="1" t="n">
        <v>0</v>
      </c>
      <c r="X1641" s="1" t="s">
        <v>1896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46235</v>
      </c>
      <c r="C1642" s="15" t="n">
        <v>46235</v>
      </c>
      <c r="D1642" s="1" t="n">
        <v>10096</v>
      </c>
      <c r="E1642" s="1" t="s">
        <v>1496</v>
      </c>
      <c r="F1642" s="1" t="n">
        <v>13</v>
      </c>
      <c r="G1642" s="1" t="s">
        <v>98</v>
      </c>
      <c r="H1642" s="1" t="n">
        <v>2110101</v>
      </c>
      <c r="I1642" s="1" t="s">
        <v>33</v>
      </c>
      <c r="J1642" s="1" t="n">
        <v>1508551</v>
      </c>
      <c r="L1642" s="1" t="n">
        <v>107</v>
      </c>
      <c r="M1642" s="1" t="s">
        <v>41</v>
      </c>
      <c r="N1642" s="1" t="s">
        <v>35</v>
      </c>
      <c r="P1642" s="1" t="n">
        <v>104</v>
      </c>
      <c r="Q1642" s="1" t="s">
        <v>99</v>
      </c>
      <c r="R1642" s="1" t="s">
        <v>37</v>
      </c>
      <c r="S1642" s="1" t="n">
        <v>1130101</v>
      </c>
      <c r="T1642" s="1" t="s">
        <v>38</v>
      </c>
      <c r="U1642" s="17" t="n">
        <v>600</v>
      </c>
      <c r="W1642" s="1" t="n">
        <v>0</v>
      </c>
      <c r="X1642" s="1" t="s">
        <v>1897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46114</v>
      </c>
      <c r="C1643" s="15" t="n">
        <v>46236</v>
      </c>
      <c r="D1643" s="1" t="n">
        <v>1460</v>
      </c>
      <c r="E1643" s="1" t="s">
        <v>127</v>
      </c>
      <c r="F1643" s="1" t="n">
        <v>24</v>
      </c>
      <c r="G1643" s="1" t="s">
        <v>32</v>
      </c>
      <c r="H1643" s="1" t="n">
        <v>2110405</v>
      </c>
      <c r="I1643" s="1" t="s">
        <v>83</v>
      </c>
      <c r="J1643" s="1" t="n">
        <v>920174</v>
      </c>
      <c r="L1643" s="1" t="n">
        <v>391878</v>
      </c>
      <c r="M1643" s="1" t="s">
        <v>234</v>
      </c>
      <c r="N1643" s="1" t="s">
        <v>42</v>
      </c>
      <c r="P1643" s="1" t="n">
        <v>101</v>
      </c>
      <c r="Q1643" s="1" t="s">
        <v>84</v>
      </c>
      <c r="R1643" s="1" t="s">
        <v>91</v>
      </c>
      <c r="S1643" s="1" t="n">
        <v>4220199</v>
      </c>
      <c r="T1643" s="1" t="s">
        <v>92</v>
      </c>
      <c r="U1643" s="17" t="n">
        <v>711.69</v>
      </c>
      <c r="W1643" s="1" t="n">
        <v>0</v>
      </c>
      <c r="X1643" s="1" t="s">
        <v>129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46192</v>
      </c>
      <c r="C1644" s="15" t="n">
        <v>46236</v>
      </c>
      <c r="D1644" s="1" t="n">
        <v>10037</v>
      </c>
      <c r="E1644" s="1" t="s">
        <v>540</v>
      </c>
      <c r="F1644" s="1" t="n">
        <v>24</v>
      </c>
      <c r="G1644" s="1" t="s">
        <v>32</v>
      </c>
      <c r="H1644" s="1" t="n">
        <v>2110101</v>
      </c>
      <c r="I1644" s="1" t="s">
        <v>33</v>
      </c>
      <c r="J1644" s="1" t="n">
        <v>1273218</v>
      </c>
      <c r="L1644" s="1" t="n">
        <v>2494</v>
      </c>
      <c r="M1644" s="1" t="s">
        <v>34</v>
      </c>
      <c r="N1644" s="1" t="s">
        <v>35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1098.8</v>
      </c>
      <c r="W1644" s="1" t="n">
        <v>0</v>
      </c>
      <c r="X1644" s="1" t="s">
        <v>1898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46209</v>
      </c>
      <c r="C1645" s="15" t="n">
        <v>46236</v>
      </c>
      <c r="D1645" s="1" t="n">
        <v>10020</v>
      </c>
      <c r="E1645" s="1" t="s">
        <v>260</v>
      </c>
      <c r="F1645" s="1" t="n">
        <v>24</v>
      </c>
      <c r="G1645" s="1" t="s">
        <v>32</v>
      </c>
      <c r="H1645" s="1" t="n">
        <v>2110101</v>
      </c>
      <c r="I1645" s="1" t="s">
        <v>33</v>
      </c>
      <c r="J1645" s="1" t="n">
        <v>1360452</v>
      </c>
      <c r="L1645" s="1" t="n">
        <v>707</v>
      </c>
      <c r="M1645" s="1" t="s">
        <v>128</v>
      </c>
      <c r="N1645" s="1" t="s">
        <v>35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410.7</v>
      </c>
      <c r="W1645" s="1" t="n">
        <v>0</v>
      </c>
      <c r="X1645" s="1" t="s">
        <v>1899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46226</v>
      </c>
      <c r="C1646" s="15" t="n">
        <v>46236</v>
      </c>
      <c r="D1646" s="1" t="n">
        <v>1723</v>
      </c>
      <c r="E1646" s="1" t="s">
        <v>264</v>
      </c>
      <c r="F1646" s="1" t="n">
        <v>24</v>
      </c>
      <c r="G1646" s="1" t="s">
        <v>32</v>
      </c>
      <c r="H1646" s="1" t="n">
        <v>1110202</v>
      </c>
      <c r="I1646" s="1" t="s">
        <v>285</v>
      </c>
      <c r="J1646" s="1" t="n">
        <v>1440234</v>
      </c>
      <c r="L1646" s="1" t="n">
        <v>173664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3547.2</v>
      </c>
      <c r="W1646" s="1" t="n">
        <v>0</v>
      </c>
      <c r="X1646" s="1" t="s">
        <v>1900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46234</v>
      </c>
      <c r="C1647" s="15" t="n">
        <v>46236</v>
      </c>
      <c r="D1647" s="1" t="n">
        <v>49</v>
      </c>
      <c r="E1647" s="1" t="s">
        <v>164</v>
      </c>
      <c r="F1647" s="1" t="n">
        <v>34</v>
      </c>
      <c r="G1647" s="1" t="s">
        <v>71</v>
      </c>
      <c r="H1647" s="1" t="n">
        <v>1110202</v>
      </c>
      <c r="I1647" s="1" t="s">
        <v>285</v>
      </c>
      <c r="J1647" s="1" t="n">
        <v>1477906</v>
      </c>
      <c r="L1647" s="1" t="n">
        <v>607083</v>
      </c>
      <c r="M1647" s="1" t="s">
        <v>41</v>
      </c>
      <c r="N1647" s="1" t="s">
        <v>42</v>
      </c>
      <c r="P1647" s="1" t="n">
        <v>101</v>
      </c>
      <c r="Q1647" s="1" t="s">
        <v>84</v>
      </c>
      <c r="R1647" s="1" t="s">
        <v>165</v>
      </c>
      <c r="S1647" s="1" t="n">
        <v>2110901</v>
      </c>
      <c r="T1647" s="1" t="s">
        <v>166</v>
      </c>
      <c r="U1647" s="17" t="n">
        <v>16429.68</v>
      </c>
      <c r="W1647" s="1" t="n">
        <v>0</v>
      </c>
      <c r="X1647" s="1" t="s">
        <v>1901</v>
      </c>
      <c r="Z1647" s="1" t="str">
        <f aca="false">IF($T1647="","",IFERROR(INDEX('Resumo Grupos'!$AC$3:$AC$200,MATCH($T1647,'Resumo Grupos'!$AB$3:$AB$200,0)),"n/d"))</f>
        <v>Empréstimo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46230</v>
      </c>
      <c r="C1648" s="15" t="n">
        <v>46237</v>
      </c>
      <c r="D1648" s="1" t="n">
        <v>1614</v>
      </c>
      <c r="E1648" s="1" t="s">
        <v>66</v>
      </c>
      <c r="F1648" s="1" t="n">
        <v>24</v>
      </c>
      <c r="G1648" s="1" t="s">
        <v>32</v>
      </c>
      <c r="H1648" s="1" t="n">
        <v>1110202</v>
      </c>
      <c r="I1648" s="1" t="s">
        <v>285</v>
      </c>
      <c r="J1648" s="1" t="n">
        <v>1460045</v>
      </c>
      <c r="L1648" s="1" t="n">
        <v>11479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713.31</v>
      </c>
      <c r="W1648" s="1" t="n">
        <v>0</v>
      </c>
      <c r="X1648" s="1" t="s">
        <v>1902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1631</v>
      </c>
      <c r="E1649" s="1" t="s">
        <v>78</v>
      </c>
      <c r="F1649" s="1" t="n">
        <v>24</v>
      </c>
      <c r="G1649" s="1" t="s">
        <v>32</v>
      </c>
      <c r="H1649" s="1" t="n">
        <v>1110202</v>
      </c>
      <c r="I1649" s="1" t="s">
        <v>285</v>
      </c>
      <c r="J1649" s="1" t="n">
        <v>1460073</v>
      </c>
      <c r="L1649" s="1" t="n">
        <v>15181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730</v>
      </c>
      <c r="W1649" s="1" t="n">
        <v>0</v>
      </c>
      <c r="X1649" s="1" t="s">
        <v>1903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218</v>
      </c>
      <c r="E1650" s="1" t="s">
        <v>1763</v>
      </c>
      <c r="F1650" s="1" t="n">
        <v>34</v>
      </c>
      <c r="G1650" s="1" t="s">
        <v>71</v>
      </c>
      <c r="H1650" s="1" t="n">
        <v>1110202</v>
      </c>
      <c r="I1650" s="1" t="s">
        <v>285</v>
      </c>
      <c r="J1650" s="1" t="n">
        <v>1459621</v>
      </c>
      <c r="L1650" s="1" t="n">
        <v>600416</v>
      </c>
      <c r="M1650" s="1" t="s">
        <v>41</v>
      </c>
      <c r="N1650" s="1" t="s">
        <v>42</v>
      </c>
      <c r="P1650" s="1" t="n">
        <v>101</v>
      </c>
      <c r="Q1650" s="1" t="s">
        <v>84</v>
      </c>
      <c r="R1650" s="1" t="s">
        <v>85</v>
      </c>
      <c r="S1650" s="1" t="n">
        <v>4210301</v>
      </c>
      <c r="T1650" s="1" t="s">
        <v>295</v>
      </c>
      <c r="U1650" s="17" t="n">
        <v>4296.29</v>
      </c>
      <c r="W1650" s="1" t="n">
        <v>0</v>
      </c>
      <c r="X1650" s="1" t="s">
        <v>1904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46216</v>
      </c>
      <c r="C1651" s="15" t="n">
        <v>46237</v>
      </c>
      <c r="D1651" s="1" t="n">
        <v>1608</v>
      </c>
      <c r="E1651" s="1" t="s">
        <v>51</v>
      </c>
      <c r="F1651" s="1" t="n">
        <v>24</v>
      </c>
      <c r="G1651" s="1" t="s">
        <v>32</v>
      </c>
      <c r="H1651" s="1" t="n">
        <v>2110405</v>
      </c>
      <c r="I1651" s="1" t="s">
        <v>83</v>
      </c>
      <c r="J1651" s="1" t="n">
        <v>1393857</v>
      </c>
      <c r="L1651" s="1" t="n">
        <v>1690878</v>
      </c>
      <c r="M1651" s="1" t="s">
        <v>34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1039.09</v>
      </c>
      <c r="W1651" s="1" t="n">
        <v>0</v>
      </c>
      <c r="X1651" s="1" t="s">
        <v>1905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46220</v>
      </c>
      <c r="C1652" s="15" t="n">
        <v>46237</v>
      </c>
      <c r="D1652" s="1" t="n">
        <v>10014</v>
      </c>
      <c r="E1652" s="1" t="s">
        <v>379</v>
      </c>
      <c r="F1652" s="1" t="n">
        <v>24</v>
      </c>
      <c r="G1652" s="1" t="s">
        <v>32</v>
      </c>
      <c r="H1652" s="1" t="n">
        <v>1110202</v>
      </c>
      <c r="I1652" s="1" t="s">
        <v>285</v>
      </c>
      <c r="J1652" s="1" t="n">
        <v>1411209</v>
      </c>
      <c r="L1652" s="1" t="n">
        <v>3541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1630.16</v>
      </c>
      <c r="W1652" s="1" t="n">
        <v>0</v>
      </c>
      <c r="X1652" s="1" t="s">
        <v>1906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46223</v>
      </c>
      <c r="C1653" s="15" t="n">
        <v>46237</v>
      </c>
      <c r="D1653" s="1" t="n">
        <v>1699</v>
      </c>
      <c r="E1653" s="1" t="s">
        <v>371</v>
      </c>
      <c r="F1653" s="1" t="n">
        <v>24</v>
      </c>
      <c r="G1653" s="1" t="s">
        <v>32</v>
      </c>
      <c r="H1653" s="1" t="n">
        <v>1110202</v>
      </c>
      <c r="I1653" s="1" t="s">
        <v>285</v>
      </c>
      <c r="J1653" s="1" t="n">
        <v>1424330</v>
      </c>
      <c r="L1653" s="1" t="n">
        <v>308176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1529.2</v>
      </c>
      <c r="W1653" s="1" t="n">
        <v>0</v>
      </c>
      <c r="X1653" s="1" t="s">
        <v>1907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46224</v>
      </c>
      <c r="C1654" s="15" t="n">
        <v>46237</v>
      </c>
      <c r="D1654" s="1" t="n">
        <v>1740</v>
      </c>
      <c r="E1654" s="1" t="s">
        <v>258</v>
      </c>
      <c r="F1654" s="1" t="n">
        <v>24</v>
      </c>
      <c r="G1654" s="1" t="s">
        <v>32</v>
      </c>
      <c r="H1654" s="1" t="n">
        <v>2110405</v>
      </c>
      <c r="I1654" s="1" t="s">
        <v>83</v>
      </c>
      <c r="J1654" s="1" t="n">
        <v>1431693</v>
      </c>
      <c r="L1654" s="1" t="n">
        <v>1249231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2044.9</v>
      </c>
      <c r="W1654" s="1" t="n">
        <v>0</v>
      </c>
      <c r="X1654" s="1" t="s">
        <v>1908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46225</v>
      </c>
      <c r="C1655" s="15" t="n">
        <v>46237</v>
      </c>
      <c r="D1655" s="1" t="n">
        <v>1666</v>
      </c>
      <c r="E1655" s="1" t="s">
        <v>31</v>
      </c>
      <c r="F1655" s="1" t="n">
        <v>24</v>
      </c>
      <c r="G1655" s="1" t="s">
        <v>32</v>
      </c>
      <c r="H1655" s="1" t="n">
        <v>1110202</v>
      </c>
      <c r="I1655" s="1" t="s">
        <v>285</v>
      </c>
      <c r="J1655" s="1" t="n">
        <v>1435035</v>
      </c>
      <c r="L1655" s="1" t="n">
        <v>567587</v>
      </c>
      <c r="M1655" s="1" t="s">
        <v>34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5740.89</v>
      </c>
      <c r="W1655" s="1" t="n">
        <v>0</v>
      </c>
      <c r="X1655" s="1" t="s">
        <v>1909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46226</v>
      </c>
      <c r="C1656" s="15" t="n">
        <v>46237</v>
      </c>
      <c r="D1656" s="1" t="n">
        <v>1287</v>
      </c>
      <c r="E1656" s="1" t="s">
        <v>608</v>
      </c>
      <c r="F1656" s="1" t="n">
        <v>24</v>
      </c>
      <c r="G1656" s="1" t="s">
        <v>32</v>
      </c>
      <c r="H1656" s="1" t="n">
        <v>1110202</v>
      </c>
      <c r="I1656" s="1" t="s">
        <v>285</v>
      </c>
      <c r="J1656" s="1" t="n">
        <v>1439598</v>
      </c>
      <c r="L1656" s="1" t="n">
        <v>281541</v>
      </c>
      <c r="M1656" s="1" t="s">
        <v>34</v>
      </c>
      <c r="N1656" s="1" t="s">
        <v>42</v>
      </c>
      <c r="P1656" s="1" t="n">
        <v>103</v>
      </c>
      <c r="Q1656" s="1" t="s">
        <v>36</v>
      </c>
      <c r="R1656" s="1" t="s">
        <v>60</v>
      </c>
      <c r="S1656" s="1" t="n">
        <v>4210228</v>
      </c>
      <c r="T1656" s="1" t="s">
        <v>434</v>
      </c>
      <c r="U1656" s="17" t="n">
        <v>175</v>
      </c>
      <c r="W1656" s="1" t="n">
        <v>0</v>
      </c>
      <c r="X1656" s="1" t="s">
        <v>1910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46227</v>
      </c>
      <c r="C1657" s="15" t="n">
        <v>46237</v>
      </c>
      <c r="D1657" s="1" t="n">
        <v>1723</v>
      </c>
      <c r="E1657" s="1" t="s">
        <v>264</v>
      </c>
      <c r="F1657" s="1" t="n">
        <v>24</v>
      </c>
      <c r="G1657" s="1" t="s">
        <v>32</v>
      </c>
      <c r="H1657" s="1" t="n">
        <v>1110202</v>
      </c>
      <c r="I1657" s="1" t="s">
        <v>285</v>
      </c>
      <c r="J1657" s="1" t="n">
        <v>1445157</v>
      </c>
      <c r="L1657" s="1" t="n">
        <v>173742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5892.2</v>
      </c>
      <c r="W1657" s="1" t="n">
        <v>0</v>
      </c>
      <c r="X1657" s="1" t="s">
        <v>1911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46230</v>
      </c>
      <c r="C1658" s="15" t="n">
        <v>46237</v>
      </c>
      <c r="D1658" s="1" t="n">
        <v>1650</v>
      </c>
      <c r="E1658" s="1" t="s">
        <v>76</v>
      </c>
      <c r="F1658" s="1" t="n">
        <v>24</v>
      </c>
      <c r="G1658" s="1" t="s">
        <v>32</v>
      </c>
      <c r="H1658" s="1" t="n">
        <v>1110202</v>
      </c>
      <c r="I1658" s="1" t="s">
        <v>285</v>
      </c>
      <c r="J1658" s="1" t="n">
        <v>1460090</v>
      </c>
      <c r="L1658" s="1" t="n">
        <v>227030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331.14</v>
      </c>
      <c r="W1658" s="1" t="n">
        <v>0</v>
      </c>
      <c r="X1658" s="1" t="s">
        <v>1912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46230</v>
      </c>
      <c r="C1659" s="15" t="n">
        <v>46237</v>
      </c>
      <c r="D1659" s="1" t="n">
        <v>1123</v>
      </c>
      <c r="E1659" s="1" t="s">
        <v>215</v>
      </c>
      <c r="F1659" s="1" t="n">
        <v>24</v>
      </c>
      <c r="G1659" s="1" t="s">
        <v>32</v>
      </c>
      <c r="H1659" s="1" t="n">
        <v>1110202</v>
      </c>
      <c r="I1659" s="1" t="s">
        <v>285</v>
      </c>
      <c r="J1659" s="1" t="n">
        <v>1460097</v>
      </c>
      <c r="L1659" s="1" t="n">
        <v>44711</v>
      </c>
      <c r="M1659" s="1" t="s">
        <v>41</v>
      </c>
      <c r="N1659" s="1" t="s">
        <v>42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1380</v>
      </c>
      <c r="W1659" s="1" t="n">
        <v>0</v>
      </c>
      <c r="X1659" s="1" t="s">
        <v>1913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46230</v>
      </c>
      <c r="C1660" s="15" t="n">
        <v>46237</v>
      </c>
      <c r="D1660" s="1" t="n">
        <v>1276</v>
      </c>
      <c r="E1660" s="1" t="s">
        <v>383</v>
      </c>
      <c r="F1660" s="1" t="n">
        <v>24</v>
      </c>
      <c r="G1660" s="1" t="s">
        <v>32</v>
      </c>
      <c r="H1660" s="1" t="n">
        <v>1110202</v>
      </c>
      <c r="I1660" s="1" t="s">
        <v>285</v>
      </c>
      <c r="J1660" s="1" t="n">
        <v>1460111</v>
      </c>
      <c r="L1660" s="1" t="n">
        <v>3104</v>
      </c>
      <c r="M1660" s="1" t="s">
        <v>41</v>
      </c>
      <c r="N1660" s="1" t="s">
        <v>42</v>
      </c>
      <c r="P1660" s="1" t="n">
        <v>103</v>
      </c>
      <c r="Q1660" s="1" t="s">
        <v>36</v>
      </c>
      <c r="R1660" s="1" t="s">
        <v>37</v>
      </c>
      <c r="S1660" s="1" t="n">
        <v>1130101</v>
      </c>
      <c r="T1660" s="1" t="s">
        <v>38</v>
      </c>
      <c r="U1660" s="17" t="n">
        <v>1408.5</v>
      </c>
      <c r="W1660" s="1" t="n">
        <v>0</v>
      </c>
      <c r="X1660" s="1" t="s">
        <v>1914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46230</v>
      </c>
      <c r="C1661" s="15" t="n">
        <v>46237</v>
      </c>
      <c r="D1661" s="1" t="n">
        <v>1625</v>
      </c>
      <c r="E1661" s="1" t="s">
        <v>211</v>
      </c>
      <c r="F1661" s="1" t="n">
        <v>24</v>
      </c>
      <c r="G1661" s="1" t="s">
        <v>32</v>
      </c>
      <c r="H1661" s="1" t="n">
        <v>1110202</v>
      </c>
      <c r="I1661" s="1" t="s">
        <v>285</v>
      </c>
      <c r="J1661" s="1" t="n">
        <v>1460223</v>
      </c>
      <c r="L1661" s="1" t="n">
        <v>14838</v>
      </c>
      <c r="M1661" s="1" t="s">
        <v>41</v>
      </c>
      <c r="N1661" s="1" t="s">
        <v>42</v>
      </c>
      <c r="P1661" s="1" t="n">
        <v>103</v>
      </c>
      <c r="Q1661" s="1" t="s">
        <v>36</v>
      </c>
      <c r="R1661" s="1" t="s">
        <v>37</v>
      </c>
      <c r="S1661" s="1" t="n">
        <v>1130101</v>
      </c>
      <c r="T1661" s="1" t="s">
        <v>38</v>
      </c>
      <c r="U1661" s="17" t="n">
        <v>2393.6</v>
      </c>
      <c r="W1661" s="1" t="n">
        <v>0</v>
      </c>
      <c r="X1661" s="1" t="s">
        <v>1915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46232</v>
      </c>
      <c r="C1662" s="15" t="n">
        <v>46237</v>
      </c>
      <c r="D1662" s="1" t="n">
        <v>1810</v>
      </c>
      <c r="E1662" s="1" t="s">
        <v>242</v>
      </c>
      <c r="F1662" s="1" t="n">
        <v>24</v>
      </c>
      <c r="G1662" s="1" t="s">
        <v>32</v>
      </c>
      <c r="H1662" s="1" t="n">
        <v>2110405</v>
      </c>
      <c r="I1662" s="1" t="s">
        <v>83</v>
      </c>
      <c r="J1662" s="1" t="n">
        <v>1469140</v>
      </c>
      <c r="L1662" s="1" t="n">
        <v>85345</v>
      </c>
      <c r="M1662" s="1" t="s">
        <v>41</v>
      </c>
      <c r="N1662" s="1" t="s">
        <v>42</v>
      </c>
      <c r="P1662" s="1" t="n">
        <v>103</v>
      </c>
      <c r="Q1662" s="1" t="s">
        <v>36</v>
      </c>
      <c r="R1662" s="1" t="s">
        <v>37</v>
      </c>
      <c r="S1662" s="1" t="n">
        <v>1130101</v>
      </c>
      <c r="T1662" s="1" t="s">
        <v>38</v>
      </c>
      <c r="U1662" s="17" t="n">
        <v>184.5</v>
      </c>
      <c r="W1662" s="1" t="n">
        <v>0</v>
      </c>
      <c r="X1662" s="1" t="s">
        <v>1916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46232</v>
      </c>
      <c r="C1663" s="15" t="n">
        <v>46237</v>
      </c>
      <c r="D1663" s="1" t="n">
        <v>1328</v>
      </c>
      <c r="E1663" s="1" t="s">
        <v>323</v>
      </c>
      <c r="F1663" s="1" t="n">
        <v>24</v>
      </c>
      <c r="G1663" s="1" t="s">
        <v>32</v>
      </c>
      <c r="H1663" s="1" t="n">
        <v>1110202</v>
      </c>
      <c r="I1663" s="1" t="s">
        <v>285</v>
      </c>
      <c r="J1663" s="1" t="n">
        <v>1469791</v>
      </c>
      <c r="L1663" s="1" t="n">
        <v>4203</v>
      </c>
      <c r="M1663" s="1" t="s">
        <v>41</v>
      </c>
      <c r="N1663" s="1" t="s">
        <v>42</v>
      </c>
      <c r="P1663" s="1" t="n">
        <v>103</v>
      </c>
      <c r="Q1663" s="1" t="s">
        <v>36</v>
      </c>
      <c r="R1663" s="1" t="s">
        <v>37</v>
      </c>
      <c r="S1663" s="1" t="n">
        <v>1130101</v>
      </c>
      <c r="T1663" s="1" t="s">
        <v>38</v>
      </c>
      <c r="U1663" s="17" t="n">
        <v>299.5</v>
      </c>
      <c r="W1663" s="1" t="n">
        <v>0</v>
      </c>
      <c r="X1663" s="1" t="s">
        <v>1917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46232</v>
      </c>
      <c r="C1664" s="15" t="n">
        <v>46237</v>
      </c>
      <c r="D1664" s="1" t="n">
        <v>1658</v>
      </c>
      <c r="E1664" s="1" t="s">
        <v>381</v>
      </c>
      <c r="F1664" s="1" t="n">
        <v>24</v>
      </c>
      <c r="G1664" s="1" t="s">
        <v>32</v>
      </c>
      <c r="H1664" s="1" t="n">
        <v>1110202</v>
      </c>
      <c r="I1664" s="1" t="s">
        <v>285</v>
      </c>
      <c r="J1664" s="1" t="n">
        <v>1470157</v>
      </c>
      <c r="L1664" s="1" t="n">
        <v>145468</v>
      </c>
      <c r="M1664" s="1" t="s">
        <v>41</v>
      </c>
      <c r="N1664" s="1" t="s">
        <v>42</v>
      </c>
      <c r="P1664" s="1" t="n">
        <v>103</v>
      </c>
      <c r="Q1664" s="1" t="s">
        <v>36</v>
      </c>
      <c r="R1664" s="1" t="s">
        <v>37</v>
      </c>
      <c r="S1664" s="1" t="n">
        <v>1130101</v>
      </c>
      <c r="T1664" s="1" t="s">
        <v>38</v>
      </c>
      <c r="U1664" s="17" t="n">
        <v>728.4</v>
      </c>
      <c r="W1664" s="1" t="n">
        <v>0</v>
      </c>
      <c r="X1664" s="1" t="s">
        <v>1918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46232</v>
      </c>
      <c r="C1665" s="15" t="n">
        <v>46237</v>
      </c>
      <c r="D1665" s="1" t="n">
        <v>1899</v>
      </c>
      <c r="E1665" s="1" t="s">
        <v>74</v>
      </c>
      <c r="F1665" s="1" t="n">
        <v>24</v>
      </c>
      <c r="G1665" s="1" t="s">
        <v>32</v>
      </c>
      <c r="H1665" s="1" t="n">
        <v>1110202</v>
      </c>
      <c r="I1665" s="1" t="s">
        <v>285</v>
      </c>
      <c r="J1665" s="1" t="n">
        <v>1470177</v>
      </c>
      <c r="L1665" s="1" t="n">
        <v>736</v>
      </c>
      <c r="M1665" s="1" t="s">
        <v>41</v>
      </c>
      <c r="N1665" s="1" t="s">
        <v>42</v>
      </c>
      <c r="P1665" s="1" t="n">
        <v>103</v>
      </c>
      <c r="Q1665" s="1" t="s">
        <v>36</v>
      </c>
      <c r="R1665" s="1" t="s">
        <v>37</v>
      </c>
      <c r="S1665" s="1" t="n">
        <v>1130101</v>
      </c>
      <c r="T1665" s="1" t="s">
        <v>38</v>
      </c>
      <c r="U1665" s="17" t="n">
        <v>329.7</v>
      </c>
      <c r="W1665" s="1" t="n">
        <v>0</v>
      </c>
      <c r="X1665" s="1" t="s">
        <v>1919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46233</v>
      </c>
      <c r="C1666" s="15" t="n">
        <v>46237</v>
      </c>
      <c r="D1666" s="1" t="n">
        <v>1614</v>
      </c>
      <c r="E1666" s="1" t="s">
        <v>66</v>
      </c>
      <c r="F1666" s="1" t="n">
        <v>24</v>
      </c>
      <c r="G1666" s="1" t="s">
        <v>32</v>
      </c>
      <c r="H1666" s="1" t="n">
        <v>2110405</v>
      </c>
      <c r="I1666" s="1" t="s">
        <v>83</v>
      </c>
      <c r="J1666" s="1" t="n">
        <v>1473362</v>
      </c>
      <c r="L1666" s="1" t="n">
        <v>11493</v>
      </c>
      <c r="M1666" s="1" t="s">
        <v>41</v>
      </c>
      <c r="N1666" s="1" t="s">
        <v>42</v>
      </c>
      <c r="P1666" s="1" t="n">
        <v>103</v>
      </c>
      <c r="Q1666" s="1" t="s">
        <v>36</v>
      </c>
      <c r="R1666" s="1" t="s">
        <v>37</v>
      </c>
      <c r="S1666" s="1" t="n">
        <v>1130101</v>
      </c>
      <c r="T1666" s="1" t="s">
        <v>38</v>
      </c>
      <c r="U1666" s="17" t="n">
        <v>285.48</v>
      </c>
      <c r="W1666" s="1" t="n">
        <v>0</v>
      </c>
      <c r="X1666" s="1" t="s">
        <v>1920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46233</v>
      </c>
      <c r="C1667" s="15" t="n">
        <v>46237</v>
      </c>
      <c r="D1667" s="1" t="n">
        <v>10018</v>
      </c>
      <c r="E1667" s="1" t="s">
        <v>328</v>
      </c>
      <c r="F1667" s="1" t="n">
        <v>34</v>
      </c>
      <c r="G1667" s="1" t="s">
        <v>71</v>
      </c>
      <c r="H1667" s="1" t="n">
        <v>1110202</v>
      </c>
      <c r="I1667" s="1" t="s">
        <v>285</v>
      </c>
      <c r="J1667" s="1" t="n">
        <v>1474514</v>
      </c>
      <c r="L1667" s="1" t="n">
        <v>352</v>
      </c>
      <c r="M1667" s="1" t="s">
        <v>41</v>
      </c>
      <c r="N1667" s="1" t="s">
        <v>42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4244.34</v>
      </c>
      <c r="W1667" s="1" t="n">
        <v>0</v>
      </c>
      <c r="X1667" s="1" t="s">
        <v>1921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46234</v>
      </c>
      <c r="C1668" s="15" t="n">
        <v>46237</v>
      </c>
      <c r="D1668" s="1" t="n">
        <v>33</v>
      </c>
      <c r="E1668" s="1" t="s">
        <v>70</v>
      </c>
      <c r="F1668" s="1" t="n">
        <v>34</v>
      </c>
      <c r="G1668" s="1" t="s">
        <v>71</v>
      </c>
      <c r="H1668" s="1" t="n">
        <v>2110101</v>
      </c>
      <c r="I1668" s="1" t="s">
        <v>33</v>
      </c>
      <c r="J1668" s="1" t="n">
        <v>1479224</v>
      </c>
      <c r="L1668" s="1" t="n">
        <v>5421</v>
      </c>
      <c r="M1668" s="1" t="s">
        <v>41</v>
      </c>
      <c r="N1668" s="1" t="s">
        <v>35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600</v>
      </c>
      <c r="W1668" s="1" t="n">
        <v>0</v>
      </c>
      <c r="X1668" s="1" t="s">
        <v>1922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46237</v>
      </c>
      <c r="C1669" s="15" t="n">
        <v>46237</v>
      </c>
      <c r="D1669" s="1" t="n">
        <v>1936</v>
      </c>
      <c r="E1669" s="1" t="s">
        <v>1075</v>
      </c>
      <c r="F1669" s="1" t="n">
        <v>24</v>
      </c>
      <c r="G1669" s="1" t="s">
        <v>32</v>
      </c>
      <c r="H1669" s="1" t="n">
        <v>1110202</v>
      </c>
      <c r="I1669" s="1" t="s">
        <v>285</v>
      </c>
      <c r="J1669" s="1" t="n">
        <v>1493456</v>
      </c>
      <c r="L1669" s="1" t="n">
        <v>612897</v>
      </c>
      <c r="M1669" s="1" t="s">
        <v>41</v>
      </c>
      <c r="N1669" s="1" t="s">
        <v>42</v>
      </c>
      <c r="P1669" s="1" t="n">
        <v>102</v>
      </c>
      <c r="Q1669" s="1" t="s">
        <v>107</v>
      </c>
      <c r="R1669" s="1" t="s">
        <v>37</v>
      </c>
      <c r="S1669" s="1" t="n">
        <v>1130101</v>
      </c>
      <c r="T1669" s="1" t="s">
        <v>38</v>
      </c>
      <c r="U1669" s="17" t="n">
        <v>600.5</v>
      </c>
      <c r="W1669" s="1" t="n">
        <v>0</v>
      </c>
      <c r="X1669" s="1" t="s">
        <v>1923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46237</v>
      </c>
      <c r="C1670" s="15" t="n">
        <v>46237</v>
      </c>
      <c r="D1670" s="1" t="n">
        <v>10006</v>
      </c>
      <c r="E1670" s="1" t="s">
        <v>274</v>
      </c>
      <c r="F1670" s="1" t="n">
        <v>34</v>
      </c>
      <c r="G1670" s="1" t="s">
        <v>71</v>
      </c>
      <c r="H1670" s="1" t="n">
        <v>1110202</v>
      </c>
      <c r="I1670" s="1" t="s">
        <v>285</v>
      </c>
      <c r="J1670" s="1" t="n">
        <v>1495150</v>
      </c>
      <c r="L1670" s="1" t="n">
        <v>613093</v>
      </c>
      <c r="M1670" s="1" t="s">
        <v>41</v>
      </c>
      <c r="N1670" s="1" t="s">
        <v>42</v>
      </c>
      <c r="P1670" s="1" t="n">
        <v>102</v>
      </c>
      <c r="Q1670" s="1" t="s">
        <v>107</v>
      </c>
      <c r="R1670" s="1" t="s">
        <v>60</v>
      </c>
      <c r="S1670" s="1" t="n">
        <v>4210232</v>
      </c>
      <c r="T1670" s="1" t="s">
        <v>431</v>
      </c>
      <c r="U1670" s="17" t="n">
        <v>1200</v>
      </c>
      <c r="W1670" s="1" t="n">
        <v>0</v>
      </c>
      <c r="X1670" s="1" t="s">
        <v>1924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46237</v>
      </c>
      <c r="C1671" s="15" t="n">
        <v>46237</v>
      </c>
      <c r="D1671" s="1" t="n">
        <v>103</v>
      </c>
      <c r="E1671" s="1" t="s">
        <v>1925</v>
      </c>
      <c r="F1671" s="1" t="n">
        <v>34</v>
      </c>
      <c r="G1671" s="1" t="s">
        <v>71</v>
      </c>
      <c r="H1671" s="1" t="n">
        <v>1110202</v>
      </c>
      <c r="I1671" s="1" t="s">
        <v>285</v>
      </c>
      <c r="J1671" s="1" t="n">
        <v>1495399</v>
      </c>
      <c r="L1671" s="1" t="n">
        <v>613142</v>
      </c>
      <c r="M1671" s="1" t="s">
        <v>41</v>
      </c>
      <c r="N1671" s="1" t="s">
        <v>42</v>
      </c>
      <c r="P1671" s="1" t="n">
        <v>102</v>
      </c>
      <c r="Q1671" s="1" t="s">
        <v>107</v>
      </c>
      <c r="R1671" s="1" t="s">
        <v>85</v>
      </c>
      <c r="S1671" s="1" t="n">
        <v>4210310</v>
      </c>
      <c r="T1671" s="1" t="s">
        <v>1015</v>
      </c>
      <c r="U1671" s="17" t="n">
        <v>515</v>
      </c>
      <c r="W1671" s="1" t="n">
        <v>0</v>
      </c>
      <c r="X1671" s="1" t="s">
        <v>1926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46237</v>
      </c>
      <c r="C1672" s="15" t="n">
        <v>46237</v>
      </c>
      <c r="D1672" s="1" t="n">
        <v>515</v>
      </c>
      <c r="E1672" s="1" t="s">
        <v>106</v>
      </c>
      <c r="F1672" s="1" t="n">
        <v>34</v>
      </c>
      <c r="G1672" s="1" t="s">
        <v>71</v>
      </c>
      <c r="H1672" s="1" t="n">
        <v>1110202</v>
      </c>
      <c r="I1672" s="1" t="s">
        <v>285</v>
      </c>
      <c r="J1672" s="1" t="n">
        <v>1495579</v>
      </c>
      <c r="L1672" s="1" t="n">
        <v>613197</v>
      </c>
      <c r="M1672" s="1" t="s">
        <v>41</v>
      </c>
      <c r="N1672" s="1" t="s">
        <v>42</v>
      </c>
      <c r="P1672" s="1" t="n">
        <v>102</v>
      </c>
      <c r="Q1672" s="1" t="s">
        <v>107</v>
      </c>
      <c r="R1672" s="1" t="s">
        <v>91</v>
      </c>
      <c r="S1672" s="1" t="n">
        <v>4220199</v>
      </c>
      <c r="T1672" s="1" t="s">
        <v>92</v>
      </c>
      <c r="U1672" s="17" t="n">
        <v>338</v>
      </c>
      <c r="W1672" s="1" t="n">
        <v>0</v>
      </c>
      <c r="X1672" s="1" t="s">
        <v>1927</v>
      </c>
      <c r="Z1672" s="1" t="str">
        <f aca="false">IF($T1672="","",IFERROR(INDEX('Resumo Grupos'!$AC$3:$AC$200,MATCH($T1672,'Resumo Grupos'!$AB$3:$AB$200,0)),"n/d"))</f>
        <v>Pagamentos outros não operacionais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46237</v>
      </c>
      <c r="C1673" s="15" t="n">
        <v>46237</v>
      </c>
      <c r="D1673" s="1" t="n">
        <v>10096</v>
      </c>
      <c r="E1673" s="1" t="s">
        <v>1496</v>
      </c>
      <c r="F1673" s="1" t="n">
        <v>13</v>
      </c>
      <c r="G1673" s="1" t="s">
        <v>98</v>
      </c>
      <c r="H1673" s="1" t="n">
        <v>2110101</v>
      </c>
      <c r="I1673" s="1" t="s">
        <v>33</v>
      </c>
      <c r="J1673" s="1" t="n">
        <v>1508508</v>
      </c>
      <c r="L1673" s="1" t="n">
        <v>114</v>
      </c>
      <c r="M1673" s="1" t="s">
        <v>41</v>
      </c>
      <c r="N1673" s="1" t="s">
        <v>35</v>
      </c>
      <c r="P1673" s="1" t="n">
        <v>104</v>
      </c>
      <c r="Q1673" s="1" t="s">
        <v>99</v>
      </c>
      <c r="R1673" s="1" t="s">
        <v>37</v>
      </c>
      <c r="S1673" s="1" t="n">
        <v>1130101</v>
      </c>
      <c r="T1673" s="1" t="s">
        <v>38</v>
      </c>
      <c r="U1673" s="17" t="n">
        <v>300</v>
      </c>
      <c r="W1673" s="1" t="n">
        <v>0</v>
      </c>
      <c r="X1673" s="1" t="s">
        <v>1928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46237</v>
      </c>
      <c r="C1674" s="15" t="n">
        <v>46237</v>
      </c>
      <c r="D1674" s="1" t="n">
        <v>978</v>
      </c>
      <c r="E1674" s="1" t="s">
        <v>97</v>
      </c>
      <c r="F1674" s="1" t="n">
        <v>13</v>
      </c>
      <c r="G1674" s="1" t="s">
        <v>98</v>
      </c>
      <c r="H1674" s="1" t="n">
        <v>2110101</v>
      </c>
      <c r="I1674" s="1" t="s">
        <v>33</v>
      </c>
      <c r="J1674" s="1" t="n">
        <v>1508593</v>
      </c>
      <c r="L1674" s="1" t="n">
        <v>426</v>
      </c>
      <c r="M1674" s="1" t="s">
        <v>41</v>
      </c>
      <c r="N1674" s="1" t="s">
        <v>35</v>
      </c>
      <c r="P1674" s="1" t="n">
        <v>104</v>
      </c>
      <c r="Q1674" s="1" t="s">
        <v>99</v>
      </c>
      <c r="R1674" s="1" t="s">
        <v>37</v>
      </c>
      <c r="S1674" s="1" t="n">
        <v>1130101</v>
      </c>
      <c r="T1674" s="1" t="s">
        <v>38</v>
      </c>
      <c r="U1674" s="17" t="n">
        <v>564</v>
      </c>
      <c r="W1674" s="1" t="n">
        <v>0</v>
      </c>
      <c r="X1674" s="1" t="s">
        <v>1929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46240</v>
      </c>
      <c r="C1675" s="15" t="n">
        <v>46237</v>
      </c>
      <c r="D1675" s="1" t="n">
        <v>557</v>
      </c>
      <c r="E1675" s="1" t="s">
        <v>231</v>
      </c>
      <c r="F1675" s="1" t="n">
        <v>34</v>
      </c>
      <c r="G1675" s="1" t="s">
        <v>71</v>
      </c>
      <c r="H1675" s="1" t="n">
        <v>2110405</v>
      </c>
      <c r="I1675" s="1" t="s">
        <v>83</v>
      </c>
      <c r="J1675" s="1" t="n">
        <v>1122744</v>
      </c>
      <c r="L1675" s="1" t="n">
        <v>469459</v>
      </c>
      <c r="M1675" s="1" t="s">
        <v>234</v>
      </c>
      <c r="N1675" s="1" t="s">
        <v>42</v>
      </c>
      <c r="P1675" s="1" t="n">
        <v>102</v>
      </c>
      <c r="Q1675" s="1" t="s">
        <v>107</v>
      </c>
      <c r="R1675" s="1" t="s">
        <v>60</v>
      </c>
      <c r="S1675" s="1" t="n">
        <v>4210206</v>
      </c>
      <c r="T1675" s="1" t="s">
        <v>232</v>
      </c>
      <c r="U1675" s="17" t="n">
        <v>258.62</v>
      </c>
      <c r="W1675" s="1" t="n">
        <v>0</v>
      </c>
      <c r="X1675" s="1" t="s">
        <v>233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46204</v>
      </c>
      <c r="C1676" s="15" t="n">
        <v>46238</v>
      </c>
      <c r="D1676" s="1" t="n">
        <v>607</v>
      </c>
      <c r="E1676" s="1" t="s">
        <v>182</v>
      </c>
      <c r="F1676" s="1" t="n">
        <v>24</v>
      </c>
      <c r="G1676" s="1" t="s">
        <v>32</v>
      </c>
      <c r="H1676" s="1" t="n">
        <v>2110101</v>
      </c>
      <c r="I1676" s="1" t="s">
        <v>33</v>
      </c>
      <c r="J1676" s="1" t="n">
        <v>1335231</v>
      </c>
      <c r="L1676" s="1" t="n">
        <v>11002</v>
      </c>
      <c r="M1676" s="1" t="s">
        <v>34</v>
      </c>
      <c r="N1676" s="1" t="s">
        <v>35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1849.57</v>
      </c>
      <c r="W1676" s="1" t="n">
        <v>1849.57</v>
      </c>
      <c r="X1676" s="1" t="s">
        <v>1930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46209</v>
      </c>
      <c r="C1677" s="15" t="n">
        <v>46238</v>
      </c>
      <c r="D1677" s="1" t="n">
        <v>1611</v>
      </c>
      <c r="E1677" s="1" t="s">
        <v>206</v>
      </c>
      <c r="F1677" s="1" t="n">
        <v>24</v>
      </c>
      <c r="G1677" s="1" t="s">
        <v>32</v>
      </c>
      <c r="H1677" s="1" t="n">
        <v>2110101</v>
      </c>
      <c r="I1677" s="1" t="s">
        <v>33</v>
      </c>
      <c r="J1677" s="1" t="n">
        <v>1360267</v>
      </c>
      <c r="L1677" s="1" t="n">
        <v>561687</v>
      </c>
      <c r="M1677" s="1" t="s">
        <v>128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3184.12</v>
      </c>
      <c r="W1677" s="1" t="n">
        <v>3184.12</v>
      </c>
      <c r="X1677" s="1" t="s">
        <v>1931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46209</v>
      </c>
      <c r="C1678" s="15" t="n">
        <v>46238</v>
      </c>
      <c r="D1678" s="1" t="n">
        <v>816</v>
      </c>
      <c r="E1678" s="1" t="s">
        <v>236</v>
      </c>
      <c r="F1678" s="1" t="n">
        <v>34</v>
      </c>
      <c r="G1678" s="1" t="s">
        <v>71</v>
      </c>
      <c r="H1678" s="1" t="n">
        <v>2110405</v>
      </c>
      <c r="I1678" s="1" t="s">
        <v>83</v>
      </c>
      <c r="J1678" s="1" t="n">
        <v>480233</v>
      </c>
      <c r="L1678" s="1" t="n">
        <v>216087</v>
      </c>
      <c r="M1678" s="1" t="s">
        <v>234</v>
      </c>
      <c r="N1678" s="1" t="s">
        <v>42</v>
      </c>
      <c r="P1678" s="1" t="n">
        <v>102</v>
      </c>
      <c r="Q1678" s="1" t="s">
        <v>107</v>
      </c>
      <c r="R1678" s="1" t="s">
        <v>91</v>
      </c>
      <c r="S1678" s="1" t="n">
        <v>4220199</v>
      </c>
      <c r="T1678" s="1" t="s">
        <v>92</v>
      </c>
      <c r="U1678" s="17" t="n">
        <v>2000</v>
      </c>
      <c r="W1678" s="1" t="n">
        <v>2000</v>
      </c>
      <c r="X1678" s="1" t="s">
        <v>237</v>
      </c>
      <c r="Z1678" s="1" t="str">
        <f aca="false">IF($T1678="","",IFERROR(INDEX('Resumo Grupos'!$AC$3:$AC$200,MATCH($T1678,'Resumo Grupos'!$AB$3:$AB$200,0)),"n/d"))</f>
        <v>Pagamentos outros não operacionais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46211</v>
      </c>
      <c r="C1679" s="15" t="n">
        <v>46238</v>
      </c>
      <c r="D1679" s="1" t="n">
        <v>1705</v>
      </c>
      <c r="E1679" s="1" t="s">
        <v>148</v>
      </c>
      <c r="F1679" s="1" t="n">
        <v>24</v>
      </c>
      <c r="G1679" s="1" t="s">
        <v>32</v>
      </c>
      <c r="H1679" s="1" t="n">
        <v>2110101</v>
      </c>
      <c r="I1679" s="1" t="s">
        <v>33</v>
      </c>
      <c r="J1679" s="1" t="n">
        <v>1369139</v>
      </c>
      <c r="L1679" s="1" t="n">
        <v>1190625</v>
      </c>
      <c r="M1679" s="1" t="s">
        <v>41</v>
      </c>
      <c r="N1679" s="1" t="s">
        <v>35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94.32</v>
      </c>
      <c r="W1679" s="1" t="n">
        <v>94.32</v>
      </c>
      <c r="X1679" s="1" t="s">
        <v>1932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46211</v>
      </c>
      <c r="C1680" s="15" t="n">
        <v>46238</v>
      </c>
      <c r="D1680" s="1" t="n">
        <v>1636</v>
      </c>
      <c r="E1680" s="1" t="s">
        <v>68</v>
      </c>
      <c r="F1680" s="1" t="n">
        <v>24</v>
      </c>
      <c r="G1680" s="1" t="s">
        <v>32</v>
      </c>
      <c r="H1680" s="1" t="n">
        <v>2110101</v>
      </c>
      <c r="I1680" s="1" t="s">
        <v>33</v>
      </c>
      <c r="J1680" s="1" t="n">
        <v>1370892</v>
      </c>
      <c r="L1680" s="1" t="n">
        <v>3216535</v>
      </c>
      <c r="M1680" s="1" t="s">
        <v>41</v>
      </c>
      <c r="N1680" s="1" t="s">
        <v>35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2406.33</v>
      </c>
      <c r="W1680" s="1" t="n">
        <v>2406.33</v>
      </c>
      <c r="X1680" s="1" t="s">
        <v>1933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46216</v>
      </c>
      <c r="C1681" s="15" t="n">
        <v>46238</v>
      </c>
      <c r="D1681" s="1" t="n">
        <v>1624</v>
      </c>
      <c r="E1681" s="1" t="s">
        <v>244</v>
      </c>
      <c r="F1681" s="1" t="n">
        <v>24</v>
      </c>
      <c r="G1681" s="1" t="s">
        <v>32</v>
      </c>
      <c r="H1681" s="1" t="n">
        <v>2110405</v>
      </c>
      <c r="I1681" s="1" t="s">
        <v>83</v>
      </c>
      <c r="J1681" s="1" t="n">
        <v>1393007</v>
      </c>
      <c r="L1681" s="1" t="n">
        <v>662479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823.64</v>
      </c>
      <c r="W1681" s="1" t="n">
        <v>823.64</v>
      </c>
      <c r="X1681" s="1" t="s">
        <v>1934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46217</v>
      </c>
      <c r="C1682" s="15" t="n">
        <v>46238</v>
      </c>
      <c r="D1682" s="1" t="n">
        <v>1458</v>
      </c>
      <c r="E1682" s="1" t="s">
        <v>1935</v>
      </c>
      <c r="F1682" s="1" t="n">
        <v>24</v>
      </c>
      <c r="G1682" s="1" t="s">
        <v>32</v>
      </c>
      <c r="H1682" s="1" t="n">
        <v>2110405</v>
      </c>
      <c r="I1682" s="1" t="s">
        <v>83</v>
      </c>
      <c r="J1682" s="1" t="n">
        <v>1397060</v>
      </c>
      <c r="L1682" s="1" t="n">
        <v>10861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909.9</v>
      </c>
      <c r="W1682" s="1" t="n">
        <v>909.9</v>
      </c>
      <c r="X1682" s="1" t="s">
        <v>1936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46218</v>
      </c>
      <c r="C1683" s="15" t="n">
        <v>46238</v>
      </c>
      <c r="D1683" s="1" t="n">
        <v>1612</v>
      </c>
      <c r="E1683" s="1" t="s">
        <v>193</v>
      </c>
      <c r="F1683" s="1" t="n">
        <v>24</v>
      </c>
      <c r="G1683" s="1" t="s">
        <v>32</v>
      </c>
      <c r="H1683" s="1" t="n">
        <v>2110405</v>
      </c>
      <c r="I1683" s="1" t="s">
        <v>83</v>
      </c>
      <c r="J1683" s="1" t="n">
        <v>1401084</v>
      </c>
      <c r="L1683" s="1" t="n">
        <v>2300748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37</v>
      </c>
      <c r="S1683" s="1" t="n">
        <v>1130101</v>
      </c>
      <c r="T1683" s="1" t="s">
        <v>38</v>
      </c>
      <c r="U1683" s="17" t="n">
        <v>2237.12</v>
      </c>
      <c r="W1683" s="1" t="n">
        <v>2237.12</v>
      </c>
      <c r="X1683" s="1" t="s">
        <v>1937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46218</v>
      </c>
      <c r="C1684" s="15" t="n">
        <v>46238</v>
      </c>
      <c r="D1684" s="1" t="n">
        <v>1612</v>
      </c>
      <c r="E1684" s="1" t="s">
        <v>193</v>
      </c>
      <c r="F1684" s="1" t="n">
        <v>24</v>
      </c>
      <c r="G1684" s="1" t="s">
        <v>32</v>
      </c>
      <c r="H1684" s="1" t="n">
        <v>2110405</v>
      </c>
      <c r="I1684" s="1" t="s">
        <v>83</v>
      </c>
      <c r="J1684" s="1" t="n">
        <v>1401597</v>
      </c>
      <c r="L1684" s="1" t="n">
        <v>2300749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555.15</v>
      </c>
      <c r="W1684" s="1" t="n">
        <v>555.15</v>
      </c>
      <c r="X1684" s="1" t="s">
        <v>1938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46218</v>
      </c>
      <c r="C1685" s="15" t="n">
        <v>46238</v>
      </c>
      <c r="D1685" s="1" t="n">
        <v>1667</v>
      </c>
      <c r="E1685" s="1" t="s">
        <v>40</v>
      </c>
      <c r="F1685" s="1" t="n">
        <v>24</v>
      </c>
      <c r="G1685" s="1" t="s">
        <v>32</v>
      </c>
      <c r="H1685" s="1" t="n">
        <v>2110405</v>
      </c>
      <c r="I1685" s="1" t="s">
        <v>83</v>
      </c>
      <c r="J1685" s="1" t="n">
        <v>1401680</v>
      </c>
      <c r="L1685" s="1" t="n">
        <v>396457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1224.01</v>
      </c>
      <c r="W1685" s="1" t="n">
        <v>1224.01</v>
      </c>
      <c r="X1685" s="1" t="s">
        <v>1939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46219</v>
      </c>
      <c r="C1686" s="15" t="n">
        <v>46238</v>
      </c>
      <c r="D1686" s="1" t="n">
        <v>1637</v>
      </c>
      <c r="E1686" s="1" t="s">
        <v>44</v>
      </c>
      <c r="F1686" s="1" t="n">
        <v>24</v>
      </c>
      <c r="G1686" s="1" t="s">
        <v>32</v>
      </c>
      <c r="H1686" s="1" t="n">
        <v>2110405</v>
      </c>
      <c r="I1686" s="1" t="s">
        <v>83</v>
      </c>
      <c r="J1686" s="1" t="n">
        <v>1406548</v>
      </c>
      <c r="L1686" s="1" t="n">
        <v>1905834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479.64</v>
      </c>
      <c r="W1686" s="1" t="n">
        <v>479.64</v>
      </c>
      <c r="X1686" s="1" t="s">
        <v>1940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46224</v>
      </c>
      <c r="C1687" s="15" t="n">
        <v>46238</v>
      </c>
      <c r="D1687" s="1" t="n">
        <v>1114</v>
      </c>
      <c r="E1687" s="1" t="s">
        <v>144</v>
      </c>
      <c r="F1687" s="1" t="n">
        <v>24</v>
      </c>
      <c r="G1687" s="1" t="s">
        <v>32</v>
      </c>
      <c r="H1687" s="1" t="n">
        <v>2110405</v>
      </c>
      <c r="I1687" s="1" t="s">
        <v>83</v>
      </c>
      <c r="J1687" s="1" t="n">
        <v>1430968</v>
      </c>
      <c r="L1687" s="1" t="n">
        <v>41617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3510.17</v>
      </c>
      <c r="W1687" s="1" t="n">
        <v>3510.17</v>
      </c>
      <c r="X1687" s="1" t="s">
        <v>1941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46225</v>
      </c>
      <c r="C1688" s="15" t="n">
        <v>46238</v>
      </c>
      <c r="D1688" s="1" t="n">
        <v>1671</v>
      </c>
      <c r="E1688" s="1" t="s">
        <v>340</v>
      </c>
      <c r="F1688" s="1" t="n">
        <v>24</v>
      </c>
      <c r="G1688" s="1" t="s">
        <v>32</v>
      </c>
      <c r="H1688" s="1" t="n">
        <v>2110405</v>
      </c>
      <c r="I1688" s="1" t="s">
        <v>83</v>
      </c>
      <c r="J1688" s="1" t="n">
        <v>1433691</v>
      </c>
      <c r="L1688" s="1" t="n">
        <v>581016</v>
      </c>
      <c r="M1688" s="1" t="s">
        <v>41</v>
      </c>
      <c r="N1688" s="1" t="s">
        <v>42</v>
      </c>
      <c r="P1688" s="1" t="n">
        <v>103</v>
      </c>
      <c r="Q1688" s="1" t="s">
        <v>36</v>
      </c>
      <c r="R1688" s="1" t="s">
        <v>37</v>
      </c>
      <c r="S1688" s="1" t="n">
        <v>1130101</v>
      </c>
      <c r="T1688" s="1" t="s">
        <v>38</v>
      </c>
      <c r="U1688" s="17" t="n">
        <v>621.07</v>
      </c>
      <c r="W1688" s="1" t="n">
        <v>621.07</v>
      </c>
      <c r="X1688" s="1" t="s">
        <v>1942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46225</v>
      </c>
      <c r="C1689" s="15" t="n">
        <v>46238</v>
      </c>
      <c r="D1689" s="1" t="n">
        <v>1672</v>
      </c>
      <c r="E1689" s="1" t="s">
        <v>146</v>
      </c>
      <c r="F1689" s="1" t="n">
        <v>24</v>
      </c>
      <c r="G1689" s="1" t="s">
        <v>32</v>
      </c>
      <c r="H1689" s="1" t="n">
        <v>2110405</v>
      </c>
      <c r="I1689" s="1" t="s">
        <v>83</v>
      </c>
      <c r="J1689" s="1" t="n">
        <v>1435975</v>
      </c>
      <c r="L1689" s="1" t="n">
        <v>1398219</v>
      </c>
      <c r="M1689" s="1" t="s">
        <v>41</v>
      </c>
      <c r="N1689" s="1" t="s">
        <v>42</v>
      </c>
      <c r="P1689" s="1" t="n">
        <v>103</v>
      </c>
      <c r="Q1689" s="1" t="s">
        <v>36</v>
      </c>
      <c r="R1689" s="1" t="s">
        <v>37</v>
      </c>
      <c r="S1689" s="1" t="n">
        <v>1130101</v>
      </c>
      <c r="T1689" s="1" t="s">
        <v>38</v>
      </c>
      <c r="U1689" s="17" t="n">
        <v>2113.2</v>
      </c>
      <c r="W1689" s="1" t="n">
        <v>2113.2</v>
      </c>
      <c r="X1689" s="1" t="s">
        <v>1943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46226</v>
      </c>
      <c r="C1690" s="15" t="n">
        <v>46238</v>
      </c>
      <c r="D1690" s="1" t="n">
        <v>1665</v>
      </c>
      <c r="E1690" s="1" t="s">
        <v>240</v>
      </c>
      <c r="F1690" s="1" t="n">
        <v>24</v>
      </c>
      <c r="G1690" s="1" t="s">
        <v>32</v>
      </c>
      <c r="H1690" s="1" t="n">
        <v>2110405</v>
      </c>
      <c r="I1690" s="1" t="s">
        <v>83</v>
      </c>
      <c r="J1690" s="1" t="n">
        <v>1439198</v>
      </c>
      <c r="L1690" s="1" t="n">
        <v>134892</v>
      </c>
      <c r="M1690" s="1" t="s">
        <v>41</v>
      </c>
      <c r="N1690" s="1" t="s">
        <v>42</v>
      </c>
      <c r="P1690" s="1" t="n">
        <v>103</v>
      </c>
      <c r="Q1690" s="1" t="s">
        <v>36</v>
      </c>
      <c r="R1690" s="1" t="s">
        <v>37</v>
      </c>
      <c r="S1690" s="1" t="n">
        <v>1130101</v>
      </c>
      <c r="T1690" s="1" t="s">
        <v>38</v>
      </c>
      <c r="U1690" s="17" t="n">
        <v>194.4</v>
      </c>
      <c r="W1690" s="1" t="n">
        <v>194.4</v>
      </c>
      <c r="X1690" s="1" t="s">
        <v>1944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46226</v>
      </c>
      <c r="C1691" s="15" t="n">
        <v>46238</v>
      </c>
      <c r="D1691" s="1" t="n">
        <v>1643</v>
      </c>
      <c r="E1691" s="1" t="s">
        <v>1064</v>
      </c>
      <c r="F1691" s="1" t="n">
        <v>24</v>
      </c>
      <c r="G1691" s="1" t="s">
        <v>32</v>
      </c>
      <c r="H1691" s="1" t="n">
        <v>2110405</v>
      </c>
      <c r="I1691" s="1" t="s">
        <v>83</v>
      </c>
      <c r="J1691" s="1" t="n">
        <v>1439214</v>
      </c>
      <c r="L1691" s="1" t="n">
        <v>10753</v>
      </c>
      <c r="M1691" s="1" t="s">
        <v>41</v>
      </c>
      <c r="N1691" s="1" t="s">
        <v>42</v>
      </c>
      <c r="P1691" s="1" t="n">
        <v>103</v>
      </c>
      <c r="Q1691" s="1" t="s">
        <v>36</v>
      </c>
      <c r="R1691" s="1" t="s">
        <v>37</v>
      </c>
      <c r="S1691" s="1" t="n">
        <v>1130101</v>
      </c>
      <c r="T1691" s="1" t="s">
        <v>38</v>
      </c>
      <c r="U1691" s="17" t="n">
        <v>228</v>
      </c>
      <c r="W1691" s="1" t="n">
        <v>228</v>
      </c>
      <c r="X1691" s="1" t="s">
        <v>1945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46226</v>
      </c>
      <c r="C1692" s="15" t="n">
        <v>46238</v>
      </c>
      <c r="D1692" s="1" t="n">
        <v>1402</v>
      </c>
      <c r="E1692" s="1" t="s">
        <v>628</v>
      </c>
      <c r="F1692" s="1" t="n">
        <v>24</v>
      </c>
      <c r="G1692" s="1" t="s">
        <v>32</v>
      </c>
      <c r="H1692" s="1" t="n">
        <v>2110101</v>
      </c>
      <c r="I1692" s="1" t="s">
        <v>33</v>
      </c>
      <c r="J1692" s="1" t="n">
        <v>1439539</v>
      </c>
      <c r="L1692" s="1" t="n">
        <v>3735</v>
      </c>
      <c r="M1692" s="1" t="s">
        <v>41</v>
      </c>
      <c r="N1692" s="1" t="s">
        <v>42</v>
      </c>
      <c r="P1692" s="1" t="n">
        <v>103</v>
      </c>
      <c r="Q1692" s="1" t="s">
        <v>36</v>
      </c>
      <c r="R1692" s="1" t="s">
        <v>60</v>
      </c>
      <c r="S1692" s="1" t="n">
        <v>4210299</v>
      </c>
      <c r="T1692" s="1" t="s">
        <v>1946</v>
      </c>
      <c r="U1692" s="17" t="n">
        <v>2771.05</v>
      </c>
      <c r="W1692" s="1" t="n">
        <v>2771.05</v>
      </c>
      <c r="X1692" s="1" t="s">
        <v>1947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46232</v>
      </c>
      <c r="C1693" s="15" t="n">
        <v>46238</v>
      </c>
      <c r="D1693" s="1" t="n">
        <v>1642</v>
      </c>
      <c r="E1693" s="1" t="s">
        <v>159</v>
      </c>
      <c r="F1693" s="1" t="n">
        <v>24</v>
      </c>
      <c r="G1693" s="1" t="s">
        <v>32</v>
      </c>
      <c r="H1693" s="1" t="n">
        <v>2110405</v>
      </c>
      <c r="I1693" s="1" t="s">
        <v>83</v>
      </c>
      <c r="J1693" s="1" t="n">
        <v>1469751</v>
      </c>
      <c r="L1693" s="1" t="n">
        <v>1033944</v>
      </c>
      <c r="M1693" s="1" t="s">
        <v>41</v>
      </c>
      <c r="N1693" s="1" t="s">
        <v>42</v>
      </c>
      <c r="P1693" s="1" t="n">
        <v>103</v>
      </c>
      <c r="Q1693" s="1" t="s">
        <v>36</v>
      </c>
      <c r="R1693" s="1" t="s">
        <v>37</v>
      </c>
      <c r="S1693" s="1" t="n">
        <v>1130101</v>
      </c>
      <c r="T1693" s="1" t="s">
        <v>38</v>
      </c>
      <c r="U1693" s="17" t="n">
        <v>554.3</v>
      </c>
      <c r="W1693" s="1" t="n">
        <v>554.3</v>
      </c>
      <c r="X1693" s="1" t="s">
        <v>1948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46232</v>
      </c>
      <c r="C1694" s="15" t="n">
        <v>46238</v>
      </c>
      <c r="D1694" s="1" t="n">
        <v>1286</v>
      </c>
      <c r="E1694" s="1" t="s">
        <v>319</v>
      </c>
      <c r="F1694" s="1" t="n">
        <v>24</v>
      </c>
      <c r="G1694" s="1" t="s">
        <v>32</v>
      </c>
      <c r="H1694" s="1" t="n">
        <v>2110405</v>
      </c>
      <c r="I1694" s="1" t="s">
        <v>83</v>
      </c>
      <c r="J1694" s="1" t="n">
        <v>1469776</v>
      </c>
      <c r="L1694" s="1" t="n">
        <v>10419</v>
      </c>
      <c r="M1694" s="1" t="s">
        <v>41</v>
      </c>
      <c r="N1694" s="1" t="s">
        <v>42</v>
      </c>
      <c r="P1694" s="1" t="n">
        <v>103</v>
      </c>
      <c r="Q1694" s="1" t="s">
        <v>36</v>
      </c>
      <c r="R1694" s="1" t="s">
        <v>37</v>
      </c>
      <c r="S1694" s="1" t="n">
        <v>1130101</v>
      </c>
      <c r="T1694" s="1" t="s">
        <v>38</v>
      </c>
      <c r="U1694" s="17" t="n">
        <v>864</v>
      </c>
      <c r="W1694" s="1" t="n">
        <v>864</v>
      </c>
      <c r="X1694" s="1" t="s">
        <v>1949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46233</v>
      </c>
      <c r="C1695" s="15" t="n">
        <v>46238</v>
      </c>
      <c r="D1695" s="1" t="n">
        <v>1899</v>
      </c>
      <c r="E1695" s="1" t="s">
        <v>74</v>
      </c>
      <c r="F1695" s="1" t="n">
        <v>24</v>
      </c>
      <c r="G1695" s="1" t="s">
        <v>32</v>
      </c>
      <c r="H1695" s="1" t="n">
        <v>2110405</v>
      </c>
      <c r="I1695" s="1" t="s">
        <v>83</v>
      </c>
      <c r="J1695" s="1" t="n">
        <v>1474627</v>
      </c>
      <c r="L1695" s="1" t="n">
        <v>738</v>
      </c>
      <c r="M1695" s="1" t="s">
        <v>41</v>
      </c>
      <c r="N1695" s="1" t="s">
        <v>42</v>
      </c>
      <c r="P1695" s="1" t="n">
        <v>103</v>
      </c>
      <c r="Q1695" s="1" t="s">
        <v>36</v>
      </c>
      <c r="R1695" s="1" t="s">
        <v>37</v>
      </c>
      <c r="S1695" s="1" t="n">
        <v>1130101</v>
      </c>
      <c r="T1695" s="1" t="s">
        <v>38</v>
      </c>
      <c r="U1695" s="17" t="n">
        <v>700</v>
      </c>
      <c r="W1695" s="1" t="n">
        <v>700</v>
      </c>
      <c r="X1695" s="1" t="s">
        <v>1950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46235</v>
      </c>
      <c r="C1696" s="15" t="n">
        <v>46238</v>
      </c>
      <c r="D1696" s="1" t="n">
        <v>642</v>
      </c>
      <c r="E1696" s="1" t="s">
        <v>161</v>
      </c>
      <c r="F1696" s="1" t="n">
        <v>24</v>
      </c>
      <c r="G1696" s="1" t="s">
        <v>32</v>
      </c>
      <c r="H1696" s="1" t="n">
        <v>2110405</v>
      </c>
      <c r="I1696" s="1" t="s">
        <v>83</v>
      </c>
      <c r="J1696" s="1" t="n">
        <v>1481714</v>
      </c>
      <c r="L1696" s="1" t="n">
        <v>568</v>
      </c>
      <c r="M1696" s="1" t="s">
        <v>41</v>
      </c>
      <c r="N1696" s="1" t="s">
        <v>42</v>
      </c>
      <c r="P1696" s="1" t="n">
        <v>103</v>
      </c>
      <c r="Q1696" s="1" t="s">
        <v>36</v>
      </c>
      <c r="R1696" s="1" t="s">
        <v>37</v>
      </c>
      <c r="S1696" s="1" t="n">
        <v>1130101</v>
      </c>
      <c r="T1696" s="1" t="s">
        <v>38</v>
      </c>
      <c r="U1696" s="17" t="n">
        <v>840</v>
      </c>
      <c r="W1696" s="1" t="n">
        <v>840</v>
      </c>
      <c r="X1696" s="1" t="s">
        <v>1951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862</v>
      </c>
      <c r="E1697" s="1" t="s">
        <v>430</v>
      </c>
      <c r="F1697" s="1" t="n">
        <v>24</v>
      </c>
      <c r="G1697" s="1" t="s">
        <v>32</v>
      </c>
      <c r="H1697" s="1" t="n">
        <v>2110405</v>
      </c>
      <c r="I1697" s="1" t="s">
        <v>83</v>
      </c>
      <c r="J1697" s="1" t="n">
        <v>1498819</v>
      </c>
      <c r="L1697" s="1" t="n">
        <v>614572</v>
      </c>
      <c r="M1697" s="1" t="s">
        <v>41</v>
      </c>
      <c r="N1697" s="1" t="s">
        <v>42</v>
      </c>
      <c r="P1697" s="1" t="n">
        <v>101</v>
      </c>
      <c r="Q1697" s="1" t="s">
        <v>84</v>
      </c>
      <c r="R1697" s="1" t="s">
        <v>60</v>
      </c>
      <c r="S1697" s="1" t="n">
        <v>4210233</v>
      </c>
      <c r="T1697" s="1" t="s">
        <v>275</v>
      </c>
      <c r="U1697" s="17" t="n">
        <v>270.9</v>
      </c>
      <c r="W1697" s="1" t="n">
        <v>270.9</v>
      </c>
      <c r="X1697" s="1" t="s">
        <v>1952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16</v>
      </c>
      <c r="E1698" s="1" t="s">
        <v>90</v>
      </c>
      <c r="F1698" s="1" t="n">
        <v>24</v>
      </c>
      <c r="G1698" s="1" t="s">
        <v>32</v>
      </c>
      <c r="H1698" s="1" t="n">
        <v>2110405</v>
      </c>
      <c r="I1698" s="1" t="s">
        <v>83</v>
      </c>
      <c r="J1698" s="1" t="n">
        <v>1498827</v>
      </c>
      <c r="L1698" s="1" t="n">
        <v>614573</v>
      </c>
      <c r="M1698" s="1" t="s">
        <v>41</v>
      </c>
      <c r="N1698" s="1" t="s">
        <v>42</v>
      </c>
      <c r="P1698" s="1" t="n">
        <v>101</v>
      </c>
      <c r="Q1698" s="1" t="s">
        <v>84</v>
      </c>
      <c r="R1698" s="1" t="s">
        <v>91</v>
      </c>
      <c r="S1698" s="1" t="n">
        <v>4220199</v>
      </c>
      <c r="T1698" s="1" t="s">
        <v>92</v>
      </c>
      <c r="U1698" s="17" t="n">
        <v>262.5</v>
      </c>
      <c r="W1698" s="1" t="n">
        <v>262.5</v>
      </c>
      <c r="X1698" s="1" t="s">
        <v>1953</v>
      </c>
      <c r="Z1698" s="1" t="str">
        <f aca="false">IF($T1698="","",IFERROR(INDEX('Resumo Grupos'!$AC$3:$AC$200,MATCH($T1698,'Resumo Grupos'!$AB$3:$AB$200,0)),"n/d"))</f>
        <v>Pagamentos outros não operacionais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33</v>
      </c>
      <c r="E1699" s="1" t="s">
        <v>70</v>
      </c>
      <c r="F1699" s="1" t="n">
        <v>13</v>
      </c>
      <c r="G1699" s="1" t="s">
        <v>98</v>
      </c>
      <c r="H1699" s="1" t="n">
        <v>2110101</v>
      </c>
      <c r="I1699" s="1" t="s">
        <v>33</v>
      </c>
      <c r="J1699" s="1" t="n">
        <v>1499090</v>
      </c>
      <c r="L1699" s="1" t="n">
        <v>5427</v>
      </c>
      <c r="M1699" s="1" t="s">
        <v>41</v>
      </c>
      <c r="N1699" s="1" t="s">
        <v>35</v>
      </c>
      <c r="P1699" s="1" t="n">
        <v>104</v>
      </c>
      <c r="Q1699" s="1" t="s">
        <v>99</v>
      </c>
      <c r="R1699" s="1" t="s">
        <v>37</v>
      </c>
      <c r="S1699" s="1" t="n">
        <v>1130101</v>
      </c>
      <c r="T1699" s="1" t="s">
        <v>38</v>
      </c>
      <c r="U1699" s="17" t="n">
        <v>200</v>
      </c>
      <c r="W1699" s="1" t="n">
        <v>200</v>
      </c>
      <c r="X1699" s="1" t="s">
        <v>1954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1961</v>
      </c>
      <c r="E1700" s="1" t="s">
        <v>1014</v>
      </c>
      <c r="F1700" s="1" t="n">
        <v>34</v>
      </c>
      <c r="G1700" s="1" t="s">
        <v>71</v>
      </c>
      <c r="H1700" s="1" t="n">
        <v>2110405</v>
      </c>
      <c r="I1700" s="1" t="s">
        <v>83</v>
      </c>
      <c r="J1700" s="1" t="n">
        <v>1500417</v>
      </c>
      <c r="L1700" s="1" t="n">
        <v>615017</v>
      </c>
      <c r="M1700" s="1" t="s">
        <v>41</v>
      </c>
      <c r="N1700" s="1" t="s">
        <v>42</v>
      </c>
      <c r="P1700" s="1" t="n">
        <v>101</v>
      </c>
      <c r="Q1700" s="1" t="s">
        <v>84</v>
      </c>
      <c r="R1700" s="1" t="s">
        <v>85</v>
      </c>
      <c r="S1700" s="1" t="n">
        <v>4210310</v>
      </c>
      <c r="T1700" s="1" t="s">
        <v>1015</v>
      </c>
      <c r="U1700" s="17" t="n">
        <v>380</v>
      </c>
      <c r="W1700" s="1" t="n">
        <v>380</v>
      </c>
      <c r="X1700" s="1" t="s">
        <v>1955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514</v>
      </c>
      <c r="E1701" s="1" t="s">
        <v>643</v>
      </c>
      <c r="F1701" s="1" t="n">
        <v>34</v>
      </c>
      <c r="G1701" s="1" t="s">
        <v>71</v>
      </c>
      <c r="H1701" s="1" t="n">
        <v>2110405</v>
      </c>
      <c r="I1701" s="1" t="s">
        <v>83</v>
      </c>
      <c r="J1701" s="1" t="n">
        <v>1500532</v>
      </c>
      <c r="L1701" s="1" t="n">
        <v>615044</v>
      </c>
      <c r="M1701" s="1" t="s">
        <v>41</v>
      </c>
      <c r="N1701" s="1" t="s">
        <v>42</v>
      </c>
      <c r="P1701" s="1" t="n">
        <v>101</v>
      </c>
      <c r="Q1701" s="1" t="s">
        <v>84</v>
      </c>
      <c r="R1701" s="1" t="s">
        <v>91</v>
      </c>
      <c r="S1701" s="1" t="n">
        <v>4220199</v>
      </c>
      <c r="T1701" s="1" t="s">
        <v>92</v>
      </c>
      <c r="U1701" s="17" t="n">
        <v>50</v>
      </c>
      <c r="W1701" s="1" t="n">
        <v>50</v>
      </c>
      <c r="X1701" s="1" t="s">
        <v>1956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17</v>
      </c>
      <c r="E1702" s="1" t="s">
        <v>94</v>
      </c>
      <c r="F1702" s="1" t="n">
        <v>34</v>
      </c>
      <c r="G1702" s="1" t="s">
        <v>71</v>
      </c>
      <c r="H1702" s="1" t="n">
        <v>2110405</v>
      </c>
      <c r="I1702" s="1" t="s">
        <v>83</v>
      </c>
      <c r="J1702" s="1" t="n">
        <v>1500762</v>
      </c>
      <c r="L1702" s="1" t="n">
        <v>615096</v>
      </c>
      <c r="M1702" s="1" t="s">
        <v>41</v>
      </c>
      <c r="N1702" s="1" t="s">
        <v>42</v>
      </c>
      <c r="P1702" s="1" t="n">
        <v>101</v>
      </c>
      <c r="Q1702" s="1" t="s">
        <v>84</v>
      </c>
      <c r="R1702" s="1" t="s">
        <v>60</v>
      </c>
      <c r="S1702" s="1" t="n">
        <v>4210222</v>
      </c>
      <c r="T1702" s="1" t="s">
        <v>1957</v>
      </c>
      <c r="U1702" s="17" t="n">
        <v>514.36</v>
      </c>
      <c r="W1702" s="1" t="n">
        <v>514.36</v>
      </c>
      <c r="X1702" s="1" t="s">
        <v>1958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46238</v>
      </c>
      <c r="C1703" s="15" t="n">
        <v>46238</v>
      </c>
      <c r="D1703" s="1" t="n">
        <v>33</v>
      </c>
      <c r="E1703" s="1" t="s">
        <v>70</v>
      </c>
      <c r="F1703" s="1" t="n">
        <v>34</v>
      </c>
      <c r="G1703" s="1" t="s">
        <v>71</v>
      </c>
      <c r="H1703" s="1" t="n">
        <v>2110101</v>
      </c>
      <c r="I1703" s="1" t="s">
        <v>33</v>
      </c>
      <c r="J1703" s="1" t="n">
        <v>1500738</v>
      </c>
      <c r="L1703" s="1" t="n">
        <v>5432</v>
      </c>
      <c r="M1703" s="1" t="s">
        <v>41</v>
      </c>
      <c r="N1703" s="1" t="s">
        <v>35</v>
      </c>
      <c r="P1703" s="1" t="n">
        <v>104</v>
      </c>
      <c r="Q1703" s="1" t="s">
        <v>99</v>
      </c>
      <c r="R1703" s="1" t="s">
        <v>37</v>
      </c>
      <c r="S1703" s="1" t="n">
        <v>1130101</v>
      </c>
      <c r="T1703" s="1" t="s">
        <v>38</v>
      </c>
      <c r="U1703" s="17" t="n">
        <v>2770</v>
      </c>
      <c r="W1703" s="1" t="n">
        <v>2770</v>
      </c>
      <c r="X1703" s="1" t="s">
        <v>1959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46238</v>
      </c>
      <c r="C1704" s="15" t="n">
        <v>46238</v>
      </c>
      <c r="D1704" s="1" t="n">
        <v>17</v>
      </c>
      <c r="E1704" s="1" t="s">
        <v>94</v>
      </c>
      <c r="F1704" s="1" t="n">
        <v>34</v>
      </c>
      <c r="G1704" s="1" t="s">
        <v>71</v>
      </c>
      <c r="H1704" s="1" t="n">
        <v>1110202</v>
      </c>
      <c r="I1704" s="1" t="s">
        <v>285</v>
      </c>
      <c r="J1704" s="1" t="n">
        <v>1500772</v>
      </c>
      <c r="L1704" s="1" t="n">
        <v>615100</v>
      </c>
      <c r="M1704" s="1" t="s">
        <v>41</v>
      </c>
      <c r="N1704" s="1" t="s">
        <v>42</v>
      </c>
      <c r="P1704" s="1" t="n">
        <v>101</v>
      </c>
      <c r="Q1704" s="1" t="s">
        <v>84</v>
      </c>
      <c r="R1704" s="1" t="s">
        <v>91</v>
      </c>
      <c r="S1704" s="1" t="n">
        <v>4220199</v>
      </c>
      <c r="T1704" s="1" t="s">
        <v>92</v>
      </c>
      <c r="U1704" s="17" t="n">
        <v>10000</v>
      </c>
      <c r="W1704" s="1" t="n">
        <v>10000</v>
      </c>
      <c r="X1704" s="1" t="s">
        <v>1960</v>
      </c>
      <c r="Z1704" s="1" t="str">
        <f aca="false">IF($T1704="","",IFERROR(INDEX('Resumo Grupos'!$AC$3:$AC$200,MATCH($T1704,'Resumo Grupos'!$AB$3:$AB$200,0)),"n/d"))</f>
        <v>Pagamentos outros não operacionais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46238</v>
      </c>
      <c r="C1705" s="15" t="n">
        <v>46238</v>
      </c>
      <c r="D1705" s="1" t="n">
        <v>33</v>
      </c>
      <c r="E1705" s="1" t="s">
        <v>70</v>
      </c>
      <c r="F1705" s="1" t="n">
        <v>34</v>
      </c>
      <c r="G1705" s="1" t="s">
        <v>71</v>
      </c>
      <c r="H1705" s="1" t="n">
        <v>2110101</v>
      </c>
      <c r="I1705" s="1" t="s">
        <v>33</v>
      </c>
      <c r="J1705" s="1" t="n">
        <v>1500873</v>
      </c>
      <c r="L1705" s="1" t="n">
        <v>5437</v>
      </c>
      <c r="M1705" s="1" t="s">
        <v>41</v>
      </c>
      <c r="N1705" s="1" t="s">
        <v>35</v>
      </c>
      <c r="P1705" s="1" t="n">
        <v>104</v>
      </c>
      <c r="Q1705" s="1" t="s">
        <v>99</v>
      </c>
      <c r="R1705" s="1" t="s">
        <v>37</v>
      </c>
      <c r="S1705" s="1" t="n">
        <v>1130101</v>
      </c>
      <c r="T1705" s="1" t="s">
        <v>38</v>
      </c>
      <c r="U1705" s="17" t="n">
        <v>710</v>
      </c>
      <c r="W1705" s="1" t="n">
        <v>710</v>
      </c>
      <c r="X1705" s="1" t="s">
        <v>1961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46238</v>
      </c>
      <c r="C1706" s="15" t="n">
        <v>46238</v>
      </c>
      <c r="D1706" s="1" t="n">
        <v>1639</v>
      </c>
      <c r="E1706" s="1" t="s">
        <v>1083</v>
      </c>
      <c r="F1706" s="1" t="n">
        <v>13</v>
      </c>
      <c r="G1706" s="1" t="s">
        <v>98</v>
      </c>
      <c r="H1706" s="1" t="n">
        <v>2110101</v>
      </c>
      <c r="I1706" s="1" t="s">
        <v>33</v>
      </c>
      <c r="J1706" s="1" t="n">
        <v>1508490</v>
      </c>
      <c r="L1706" s="1" t="n">
        <v>7322</v>
      </c>
      <c r="M1706" s="1" t="s">
        <v>41</v>
      </c>
      <c r="N1706" s="1" t="s">
        <v>35</v>
      </c>
      <c r="P1706" s="1" t="n">
        <v>104</v>
      </c>
      <c r="Q1706" s="1" t="s">
        <v>99</v>
      </c>
      <c r="R1706" s="1" t="s">
        <v>37</v>
      </c>
      <c r="S1706" s="1" t="n">
        <v>1130101</v>
      </c>
      <c r="T1706" s="1" t="s">
        <v>38</v>
      </c>
      <c r="U1706" s="17" t="n">
        <v>205</v>
      </c>
      <c r="W1706" s="1" t="n">
        <v>0</v>
      </c>
      <c r="X1706" s="1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46238</v>
      </c>
      <c r="C1707" s="15" t="n">
        <v>46238</v>
      </c>
      <c r="D1707" s="1" t="n">
        <v>515</v>
      </c>
      <c r="E1707" s="1" t="s">
        <v>106</v>
      </c>
      <c r="F1707" s="1" t="n">
        <v>34</v>
      </c>
      <c r="G1707" s="1" t="s">
        <v>71</v>
      </c>
      <c r="H1707" s="1" t="n">
        <v>2110405</v>
      </c>
      <c r="I1707" s="1" t="s">
        <v>83</v>
      </c>
      <c r="J1707" s="1" t="n">
        <v>1509501</v>
      </c>
      <c r="L1707" s="1" t="n">
        <v>618408</v>
      </c>
      <c r="M1707" s="1" t="s">
        <v>41</v>
      </c>
      <c r="N1707" s="1" t="s">
        <v>42</v>
      </c>
      <c r="P1707" s="1" t="n">
        <v>102</v>
      </c>
      <c r="Q1707" s="1" t="s">
        <v>107</v>
      </c>
      <c r="R1707" s="1" t="s">
        <v>108</v>
      </c>
      <c r="S1707" s="1" t="n">
        <v>4210504</v>
      </c>
      <c r="T1707" s="1" t="s">
        <v>174</v>
      </c>
      <c r="U1707" s="17" t="n">
        <v>32.17</v>
      </c>
      <c r="W1707" s="1" t="n">
        <v>32.17</v>
      </c>
      <c r="X1707" s="1" t="s">
        <v>1963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46238</v>
      </c>
      <c r="C1708" s="15" t="n">
        <v>46238</v>
      </c>
      <c r="D1708" s="1" t="n">
        <v>515</v>
      </c>
      <c r="E1708" s="1" t="s">
        <v>106</v>
      </c>
      <c r="F1708" s="1" t="n">
        <v>34</v>
      </c>
      <c r="G1708" s="1" t="s">
        <v>71</v>
      </c>
      <c r="H1708" s="1" t="n">
        <v>2110405</v>
      </c>
      <c r="I1708" s="1" t="s">
        <v>83</v>
      </c>
      <c r="J1708" s="1" t="n">
        <v>1509530</v>
      </c>
      <c r="L1708" s="1" t="n">
        <v>618414</v>
      </c>
      <c r="M1708" s="1" t="s">
        <v>41</v>
      </c>
      <c r="N1708" s="1" t="s">
        <v>42</v>
      </c>
      <c r="P1708" s="1" t="n">
        <v>102</v>
      </c>
      <c r="Q1708" s="1" t="s">
        <v>107</v>
      </c>
      <c r="R1708" s="1" t="s">
        <v>108</v>
      </c>
      <c r="S1708" s="1" t="n">
        <v>4210505</v>
      </c>
      <c r="T1708" s="1" t="s">
        <v>176</v>
      </c>
      <c r="U1708" s="17" t="n">
        <v>584.66</v>
      </c>
      <c r="W1708" s="1" t="n">
        <v>584.66</v>
      </c>
      <c r="X1708" s="1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46238</v>
      </c>
      <c r="C1709" s="15" t="n">
        <v>46238</v>
      </c>
      <c r="D1709" s="1" t="n">
        <v>515</v>
      </c>
      <c r="E1709" s="1" t="s">
        <v>106</v>
      </c>
      <c r="F1709" s="1" t="n">
        <v>34</v>
      </c>
      <c r="G1709" s="1" t="s">
        <v>71</v>
      </c>
      <c r="H1709" s="1" t="n">
        <v>2110405</v>
      </c>
      <c r="I1709" s="1" t="s">
        <v>83</v>
      </c>
      <c r="J1709" s="1" t="n">
        <v>1509530</v>
      </c>
      <c r="L1709" s="1" t="n">
        <v>618414</v>
      </c>
      <c r="M1709" s="1" t="s">
        <v>34</v>
      </c>
      <c r="N1709" s="1" t="s">
        <v>42</v>
      </c>
      <c r="P1709" s="1" t="n">
        <v>102</v>
      </c>
      <c r="Q1709" s="1" t="s">
        <v>107</v>
      </c>
      <c r="R1709" s="1" t="s">
        <v>108</v>
      </c>
      <c r="S1709" s="1" t="n">
        <v>4210505</v>
      </c>
      <c r="T1709" s="1" t="s">
        <v>176</v>
      </c>
      <c r="U1709" s="17" t="n">
        <v>835.34</v>
      </c>
      <c r="W1709" s="1" t="n">
        <v>835.34</v>
      </c>
      <c r="X1709" s="1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46238</v>
      </c>
      <c r="C1710" s="15" t="n">
        <v>46238</v>
      </c>
      <c r="D1710" s="1" t="n">
        <v>515</v>
      </c>
      <c r="E1710" s="1" t="s">
        <v>106</v>
      </c>
      <c r="F1710" s="1" t="n">
        <v>34</v>
      </c>
      <c r="G1710" s="1" t="s">
        <v>71</v>
      </c>
      <c r="H1710" s="1" t="n">
        <v>2110405</v>
      </c>
      <c r="I1710" s="1" t="s">
        <v>83</v>
      </c>
      <c r="J1710" s="1" t="n">
        <v>1509548</v>
      </c>
      <c r="L1710" s="1" t="n">
        <v>618425</v>
      </c>
      <c r="M1710" s="1" t="s">
        <v>41</v>
      </c>
      <c r="N1710" s="1" t="s">
        <v>42</v>
      </c>
      <c r="P1710" s="1" t="n">
        <v>102</v>
      </c>
      <c r="Q1710" s="1" t="s">
        <v>107</v>
      </c>
      <c r="R1710" s="1" t="s">
        <v>108</v>
      </c>
      <c r="S1710" s="1" t="n">
        <v>4210504</v>
      </c>
      <c r="T1710" s="1" t="s">
        <v>174</v>
      </c>
      <c r="U1710" s="17" t="n">
        <v>1774.03</v>
      </c>
      <c r="W1710" s="1" t="n">
        <v>1774.03</v>
      </c>
      <c r="X1710" s="1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46238</v>
      </c>
      <c r="C1711" s="15" t="n">
        <v>46238</v>
      </c>
      <c r="D1711" s="1" t="n">
        <v>16</v>
      </c>
      <c r="E1711" s="1" t="s">
        <v>90</v>
      </c>
      <c r="F1711" s="1" t="n">
        <v>34</v>
      </c>
      <c r="G1711" s="1" t="s">
        <v>71</v>
      </c>
      <c r="H1711" s="1" t="n">
        <v>2110405</v>
      </c>
      <c r="I1711" s="1" t="s">
        <v>83</v>
      </c>
      <c r="J1711" s="1" t="n">
        <v>1509655</v>
      </c>
      <c r="L1711" s="1" t="n">
        <v>618452</v>
      </c>
      <c r="M1711" s="1" t="s">
        <v>41</v>
      </c>
      <c r="N1711" s="1" t="s">
        <v>42</v>
      </c>
      <c r="P1711" s="1" t="n">
        <v>102</v>
      </c>
      <c r="Q1711" s="1" t="s">
        <v>107</v>
      </c>
      <c r="R1711" s="1" t="s">
        <v>91</v>
      </c>
      <c r="S1711" s="1" t="n">
        <v>4220199</v>
      </c>
      <c r="T1711" s="1" t="s">
        <v>92</v>
      </c>
      <c r="U1711" s="17" t="n">
        <v>4761</v>
      </c>
      <c r="W1711" s="1" t="n">
        <v>4761</v>
      </c>
      <c r="X1711" s="1" t="s">
        <v>1967</v>
      </c>
      <c r="Z1711" s="1" t="str">
        <f aca="false">IF($T1711="","",IFERROR(INDEX('Resumo Grupos'!$AC$3:$AC$200,MATCH($T1711,'Resumo Grupos'!$AB$3:$AB$200,0)),"n/d"))</f>
        <v>Pagamentos outros não operacionais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46142</v>
      </c>
      <c r="C1712" s="15" t="n">
        <v>46239</v>
      </c>
      <c r="D1712" s="1" t="n">
        <v>607</v>
      </c>
      <c r="E1712" s="1" t="s">
        <v>182</v>
      </c>
      <c r="F1712" s="1" t="n">
        <v>24</v>
      </c>
      <c r="G1712" s="1" t="s">
        <v>32</v>
      </c>
      <c r="H1712" s="1" t="n">
        <v>2110101</v>
      </c>
      <c r="I1712" s="1" t="s">
        <v>33</v>
      </c>
      <c r="J1712" s="1" t="n">
        <v>1028242</v>
      </c>
      <c r="L1712" s="1" t="n">
        <v>10262</v>
      </c>
      <c r="M1712" s="1" t="s">
        <v>183</v>
      </c>
      <c r="N1712" s="1" t="s">
        <v>35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1488.3</v>
      </c>
      <c r="W1712" s="1" t="n">
        <v>0</v>
      </c>
      <c r="X1712" s="1" t="s">
        <v>1968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46147</v>
      </c>
      <c r="C1713" s="15" t="n">
        <v>46239</v>
      </c>
      <c r="D1713" s="1" t="n">
        <v>956</v>
      </c>
      <c r="E1713" s="1" t="s">
        <v>289</v>
      </c>
      <c r="F1713" s="1" t="n">
        <v>34</v>
      </c>
      <c r="G1713" s="1" t="s">
        <v>71</v>
      </c>
      <c r="H1713" s="1" t="n">
        <v>2110405</v>
      </c>
      <c r="I1713" s="1" t="s">
        <v>83</v>
      </c>
      <c r="J1713" s="1" t="n">
        <v>1053484</v>
      </c>
      <c r="L1713" s="1" t="n">
        <v>443312</v>
      </c>
      <c r="M1713" s="1" t="s">
        <v>128</v>
      </c>
      <c r="N1713" s="1" t="s">
        <v>42</v>
      </c>
      <c r="P1713" s="1" t="n">
        <v>101</v>
      </c>
      <c r="Q1713" s="1" t="s">
        <v>84</v>
      </c>
      <c r="R1713" s="1" t="s">
        <v>290</v>
      </c>
      <c r="S1713" s="1" t="n">
        <v>4210111</v>
      </c>
      <c r="T1713" s="1" t="s">
        <v>291</v>
      </c>
      <c r="U1713" s="17" t="n">
        <v>4300</v>
      </c>
      <c r="W1713" s="1" t="n">
        <v>0</v>
      </c>
      <c r="X1713" s="1" t="s">
        <v>292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46185</v>
      </c>
      <c r="C1714" s="15" t="n">
        <v>46239</v>
      </c>
      <c r="D1714" s="1" t="n">
        <v>1768</v>
      </c>
      <c r="E1714" s="1" t="s">
        <v>553</v>
      </c>
      <c r="F1714" s="1" t="n">
        <v>34</v>
      </c>
      <c r="G1714" s="1" t="s">
        <v>71</v>
      </c>
      <c r="H1714" s="1" t="n">
        <v>1110202</v>
      </c>
      <c r="I1714" s="1" t="s">
        <v>285</v>
      </c>
      <c r="J1714" s="1" t="n">
        <v>1240158</v>
      </c>
      <c r="L1714" s="1" t="n">
        <v>515079</v>
      </c>
      <c r="M1714" s="1" t="s">
        <v>34</v>
      </c>
      <c r="N1714" s="1" t="s">
        <v>42</v>
      </c>
      <c r="P1714" s="1" t="n">
        <v>102</v>
      </c>
      <c r="Q1714" s="1" t="s">
        <v>107</v>
      </c>
      <c r="R1714" s="1" t="s">
        <v>60</v>
      </c>
      <c r="S1714" s="1" t="n">
        <v>4210202</v>
      </c>
      <c r="T1714" s="1" t="s">
        <v>554</v>
      </c>
      <c r="U1714" s="17" t="n">
        <v>2431.5</v>
      </c>
      <c r="W1714" s="1" t="n">
        <v>0</v>
      </c>
      <c r="X1714" s="1" t="s">
        <v>555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46208</v>
      </c>
      <c r="C1715" s="15" t="n">
        <v>46239</v>
      </c>
      <c r="D1715" s="1" t="n">
        <v>17</v>
      </c>
      <c r="E1715" s="1" t="s">
        <v>94</v>
      </c>
      <c r="F1715" s="1" t="n">
        <v>24</v>
      </c>
      <c r="G1715" s="1" t="s">
        <v>32</v>
      </c>
      <c r="H1715" s="1" t="n">
        <v>1110202</v>
      </c>
      <c r="I1715" s="1" t="s">
        <v>285</v>
      </c>
      <c r="J1715" s="1" t="n">
        <v>1359969</v>
      </c>
      <c r="L1715" s="1" t="n">
        <v>561604</v>
      </c>
      <c r="M1715" s="1" t="s">
        <v>34</v>
      </c>
      <c r="N1715" s="1" t="s">
        <v>42</v>
      </c>
      <c r="P1715" s="1" t="n">
        <v>101</v>
      </c>
      <c r="Q1715" s="1" t="s">
        <v>84</v>
      </c>
      <c r="R1715" s="1" t="s">
        <v>91</v>
      </c>
      <c r="S1715" s="1" t="n">
        <v>4220199</v>
      </c>
      <c r="T1715" s="1" t="s">
        <v>92</v>
      </c>
      <c r="U1715" s="17" t="n">
        <v>631.05</v>
      </c>
      <c r="W1715" s="1" t="n">
        <v>0</v>
      </c>
      <c r="X1715" s="1" t="s">
        <v>1144</v>
      </c>
      <c r="Z1715" s="1" t="str">
        <f aca="false">IF($T1715="","",IFERROR(INDEX('Resumo Grupos'!$AC$3:$AC$200,MATCH($T1715,'Resumo Grupos'!$AB$3:$AB$200,0)),"n/d"))</f>
        <v>Pagamentos outros não operacionais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46209</v>
      </c>
      <c r="C1716" s="15" t="n">
        <v>46239</v>
      </c>
      <c r="D1716" s="1" t="n">
        <v>714</v>
      </c>
      <c r="E1716" s="1" t="s">
        <v>330</v>
      </c>
      <c r="F1716" s="1" t="n">
        <v>34</v>
      </c>
      <c r="G1716" s="1" t="s">
        <v>71</v>
      </c>
      <c r="H1716" s="1" t="n">
        <v>2110405</v>
      </c>
      <c r="I1716" s="1" t="s">
        <v>83</v>
      </c>
      <c r="J1716" s="1" t="n">
        <v>1207135</v>
      </c>
      <c r="L1716" s="1" t="n">
        <v>502146</v>
      </c>
      <c r="M1716" s="1" t="s">
        <v>128</v>
      </c>
      <c r="N1716" s="1" t="s">
        <v>42</v>
      </c>
      <c r="P1716" s="1" t="n">
        <v>102</v>
      </c>
      <c r="Q1716" s="1" t="s">
        <v>107</v>
      </c>
      <c r="R1716" s="1" t="s">
        <v>290</v>
      </c>
      <c r="S1716" s="1" t="n">
        <v>4210111</v>
      </c>
      <c r="T1716" s="1" t="s">
        <v>291</v>
      </c>
      <c r="U1716" s="17" t="n">
        <v>3000</v>
      </c>
      <c r="W1716" s="1" t="n">
        <v>0</v>
      </c>
      <c r="X1716" s="1" t="s">
        <v>331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46209</v>
      </c>
      <c r="C1717" s="15" t="n">
        <v>46239</v>
      </c>
      <c r="D1717" s="1" t="n">
        <v>16</v>
      </c>
      <c r="E1717" s="1" t="s">
        <v>90</v>
      </c>
      <c r="F1717" s="1" t="n">
        <v>34</v>
      </c>
      <c r="G1717" s="1" t="s">
        <v>71</v>
      </c>
      <c r="H1717" s="1" t="n">
        <v>2110405</v>
      </c>
      <c r="I1717" s="1" t="s">
        <v>83</v>
      </c>
      <c r="J1717" s="1" t="n">
        <v>1207139</v>
      </c>
      <c r="L1717" s="1" t="n">
        <v>502148</v>
      </c>
      <c r="M1717" s="1" t="s">
        <v>128</v>
      </c>
      <c r="N1717" s="1" t="s">
        <v>42</v>
      </c>
      <c r="P1717" s="1" t="n">
        <v>102</v>
      </c>
      <c r="Q1717" s="1" t="s">
        <v>107</v>
      </c>
      <c r="R1717" s="1" t="s">
        <v>91</v>
      </c>
      <c r="S1717" s="1" t="n">
        <v>4220199</v>
      </c>
      <c r="T1717" s="1" t="s">
        <v>92</v>
      </c>
      <c r="U1717" s="17" t="n">
        <v>350</v>
      </c>
      <c r="W1717" s="1" t="n">
        <v>0</v>
      </c>
      <c r="X1717" s="1" t="s">
        <v>333</v>
      </c>
      <c r="Z1717" s="1" t="str">
        <f aca="false">IF($T1717="","",IFERROR(INDEX('Resumo Grupos'!$AC$3:$AC$200,MATCH($T1717,'Resumo Grupos'!$AB$3:$AB$200,0)),"n/d"))</f>
        <v>Pagamentos outros não operacionais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46212</v>
      </c>
      <c r="C1718" s="15" t="n">
        <v>46239</v>
      </c>
      <c r="D1718" s="1" t="n">
        <v>911</v>
      </c>
      <c r="E1718" s="1" t="s">
        <v>191</v>
      </c>
      <c r="F1718" s="1" t="n">
        <v>24</v>
      </c>
      <c r="G1718" s="1" t="s">
        <v>32</v>
      </c>
      <c r="H1718" s="1" t="n">
        <v>2110101</v>
      </c>
      <c r="I1718" s="1" t="s">
        <v>33</v>
      </c>
      <c r="J1718" s="1" t="n">
        <v>1374163</v>
      </c>
      <c r="L1718" s="1" t="n">
        <v>53383</v>
      </c>
      <c r="M1718" s="1" t="s">
        <v>41</v>
      </c>
      <c r="N1718" s="1" t="s">
        <v>35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990.72</v>
      </c>
      <c r="W1718" s="1" t="n">
        <v>0</v>
      </c>
      <c r="X1718" s="1" t="s">
        <v>1969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46230</v>
      </c>
      <c r="C1719" s="15" t="n">
        <v>46239</v>
      </c>
      <c r="D1719" s="1" t="n">
        <v>218</v>
      </c>
      <c r="E1719" s="1" t="s">
        <v>1763</v>
      </c>
      <c r="F1719" s="1" t="n">
        <v>34</v>
      </c>
      <c r="G1719" s="1" t="s">
        <v>71</v>
      </c>
      <c r="H1719" s="1" t="n">
        <v>2110405</v>
      </c>
      <c r="I1719" s="1" t="s">
        <v>83</v>
      </c>
      <c r="J1719" s="1" t="n">
        <v>1459638</v>
      </c>
      <c r="L1719" s="1" t="n">
        <v>600419</v>
      </c>
      <c r="M1719" s="1" t="s">
        <v>41</v>
      </c>
      <c r="N1719" s="1" t="s">
        <v>42</v>
      </c>
      <c r="P1719" s="1" t="n">
        <v>101</v>
      </c>
      <c r="Q1719" s="1" t="s">
        <v>84</v>
      </c>
      <c r="R1719" s="1" t="s">
        <v>85</v>
      </c>
      <c r="S1719" s="1" t="n">
        <v>4210301</v>
      </c>
      <c r="T1719" s="1" t="s">
        <v>295</v>
      </c>
      <c r="U1719" s="17" t="n">
        <v>4070.48</v>
      </c>
      <c r="W1719" s="1" t="n">
        <v>0</v>
      </c>
      <c r="X1719" s="1" t="s">
        <v>1970</v>
      </c>
      <c r="Z1719" s="1" t="str">
        <f aca="false">IF($T1719="","",IFERROR(INDEX('Resumo Grupos'!$AC$3:$AC$200,MATCH($T1719,'Resumo Grupos'!$AB$3:$AB$200,0)),"n/d"))</f>
        <v>Salários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46218</v>
      </c>
      <c r="C1720" s="15" t="n">
        <v>46239</v>
      </c>
      <c r="D1720" s="1" t="n">
        <v>1699</v>
      </c>
      <c r="E1720" s="1" t="s">
        <v>371</v>
      </c>
      <c r="F1720" s="1" t="n">
        <v>24</v>
      </c>
      <c r="G1720" s="1" t="s">
        <v>32</v>
      </c>
      <c r="H1720" s="1" t="n">
        <v>1110202</v>
      </c>
      <c r="I1720" s="1" t="s">
        <v>285</v>
      </c>
      <c r="J1720" s="1" t="n">
        <v>1401907</v>
      </c>
      <c r="L1720" s="1" t="n">
        <v>307805</v>
      </c>
      <c r="M1720" s="1" t="s">
        <v>128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732.46</v>
      </c>
      <c r="W1720" s="1" t="n">
        <v>0</v>
      </c>
      <c r="X1720" s="1" t="s">
        <v>1971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46218</v>
      </c>
      <c r="C1721" s="15" t="n">
        <v>46239</v>
      </c>
      <c r="D1721" s="1" t="n">
        <v>957</v>
      </c>
      <c r="E1721" s="1" t="s">
        <v>132</v>
      </c>
      <c r="F1721" s="1" t="n">
        <v>24</v>
      </c>
      <c r="G1721" s="1" t="s">
        <v>32</v>
      </c>
      <c r="H1721" s="1" t="n">
        <v>2110405</v>
      </c>
      <c r="I1721" s="1" t="s">
        <v>83</v>
      </c>
      <c r="J1721" s="1" t="n">
        <v>1402587</v>
      </c>
      <c r="L1721" s="1" t="n">
        <v>21048</v>
      </c>
      <c r="M1721" s="1" t="s">
        <v>41</v>
      </c>
      <c r="N1721" s="1" t="s">
        <v>42</v>
      </c>
      <c r="P1721" s="1" t="n">
        <v>103</v>
      </c>
      <c r="Q1721" s="1" t="s">
        <v>36</v>
      </c>
      <c r="R1721" s="1" t="s">
        <v>37</v>
      </c>
      <c r="S1721" s="1" t="n">
        <v>1130101</v>
      </c>
      <c r="T1721" s="1" t="s">
        <v>38</v>
      </c>
      <c r="U1721" s="17" t="n">
        <v>1475.42</v>
      </c>
      <c r="W1721" s="1" t="n">
        <v>0</v>
      </c>
      <c r="X1721" s="1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46219</v>
      </c>
      <c r="C1722" s="15" t="n">
        <v>46239</v>
      </c>
      <c r="D1722" s="1" t="n">
        <v>1605</v>
      </c>
      <c r="E1722" s="1" t="s">
        <v>1973</v>
      </c>
      <c r="F1722" s="1" t="n">
        <v>24</v>
      </c>
      <c r="G1722" s="1" t="s">
        <v>32</v>
      </c>
      <c r="H1722" s="1" t="n">
        <v>1110202</v>
      </c>
      <c r="I1722" s="1" t="s">
        <v>285</v>
      </c>
      <c r="J1722" s="1" t="n">
        <v>1405688</v>
      </c>
      <c r="L1722" s="1" t="n">
        <v>218815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527.04</v>
      </c>
      <c r="W1722" s="1" t="n">
        <v>0</v>
      </c>
      <c r="X1722" s="1" t="s">
        <v>1974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46219</v>
      </c>
      <c r="C1723" s="15" t="n">
        <v>46239</v>
      </c>
      <c r="D1723" s="1" t="n">
        <v>1612</v>
      </c>
      <c r="E1723" s="1" t="s">
        <v>193</v>
      </c>
      <c r="F1723" s="1" t="n">
        <v>24</v>
      </c>
      <c r="G1723" s="1" t="s">
        <v>32</v>
      </c>
      <c r="H1723" s="1" t="n">
        <v>1110202</v>
      </c>
      <c r="I1723" s="1" t="s">
        <v>285</v>
      </c>
      <c r="J1723" s="1" t="n">
        <v>1406414</v>
      </c>
      <c r="L1723" s="1" t="n">
        <v>2301161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1828.54</v>
      </c>
      <c r="W1723" s="1" t="n">
        <v>0</v>
      </c>
      <c r="X1723" s="1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46219</v>
      </c>
      <c r="C1724" s="15" t="n">
        <v>46239</v>
      </c>
      <c r="D1724" s="1" t="n">
        <v>1601</v>
      </c>
      <c r="E1724" s="1" t="s">
        <v>195</v>
      </c>
      <c r="F1724" s="1" t="n">
        <v>24</v>
      </c>
      <c r="G1724" s="1" t="s">
        <v>32</v>
      </c>
      <c r="H1724" s="1" t="n">
        <v>1110202</v>
      </c>
      <c r="I1724" s="1" t="s">
        <v>285</v>
      </c>
      <c r="J1724" s="1" t="n">
        <v>1407173</v>
      </c>
      <c r="L1724" s="1" t="n">
        <v>854259</v>
      </c>
      <c r="M1724" s="1" t="s">
        <v>41</v>
      </c>
      <c r="N1724" s="1" t="s">
        <v>42</v>
      </c>
      <c r="P1724" s="1" t="n">
        <v>103</v>
      </c>
      <c r="Q1724" s="1" t="s">
        <v>36</v>
      </c>
      <c r="R1724" s="1" t="s">
        <v>37</v>
      </c>
      <c r="S1724" s="1" t="n">
        <v>1130101</v>
      </c>
      <c r="T1724" s="1" t="s">
        <v>38</v>
      </c>
      <c r="U1724" s="17" t="n">
        <v>546.17</v>
      </c>
      <c r="W1724" s="1" t="n">
        <v>0</v>
      </c>
      <c r="X1724" s="1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46220</v>
      </c>
      <c r="C1725" s="15" t="n">
        <v>46239</v>
      </c>
      <c r="D1725" s="1" t="n">
        <v>1613</v>
      </c>
      <c r="E1725" s="1" t="s">
        <v>208</v>
      </c>
      <c r="F1725" s="1" t="n">
        <v>24</v>
      </c>
      <c r="G1725" s="1" t="s">
        <v>32</v>
      </c>
      <c r="H1725" s="1" t="n">
        <v>1110202</v>
      </c>
      <c r="I1725" s="1" t="s">
        <v>285</v>
      </c>
      <c r="J1725" s="1" t="n">
        <v>1411781</v>
      </c>
      <c r="L1725" s="1" t="n">
        <v>1608648</v>
      </c>
      <c r="M1725" s="1" t="s">
        <v>34</v>
      </c>
      <c r="N1725" s="1" t="s">
        <v>42</v>
      </c>
      <c r="P1725" s="1" t="n">
        <v>103</v>
      </c>
      <c r="Q1725" s="1" t="s">
        <v>36</v>
      </c>
      <c r="R1725" s="1" t="s">
        <v>37</v>
      </c>
      <c r="S1725" s="1" t="n">
        <v>1130101</v>
      </c>
      <c r="T1725" s="1" t="s">
        <v>38</v>
      </c>
      <c r="U1725" s="17" t="n">
        <v>4171.51</v>
      </c>
      <c r="W1725" s="1" t="n">
        <v>0</v>
      </c>
      <c r="X1725" s="1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46223</v>
      </c>
      <c r="C1726" s="15" t="n">
        <v>46239</v>
      </c>
      <c r="D1726" s="1" t="n">
        <v>1637</v>
      </c>
      <c r="E1726" s="1" t="s">
        <v>44</v>
      </c>
      <c r="F1726" s="1" t="n">
        <v>24</v>
      </c>
      <c r="G1726" s="1" t="s">
        <v>32</v>
      </c>
      <c r="H1726" s="1" t="n">
        <v>1110202</v>
      </c>
      <c r="I1726" s="1" t="s">
        <v>285</v>
      </c>
      <c r="J1726" s="1" t="n">
        <v>1424302</v>
      </c>
      <c r="L1726" s="1" t="n">
        <v>1906316</v>
      </c>
      <c r="M1726" s="1" t="s">
        <v>41</v>
      </c>
      <c r="N1726" s="1" t="s">
        <v>42</v>
      </c>
      <c r="P1726" s="1" t="n">
        <v>103</v>
      </c>
      <c r="Q1726" s="1" t="s">
        <v>36</v>
      </c>
      <c r="R1726" s="1" t="s">
        <v>37</v>
      </c>
      <c r="S1726" s="1" t="n">
        <v>1130101</v>
      </c>
      <c r="T1726" s="1" t="s">
        <v>38</v>
      </c>
      <c r="U1726" s="17" t="n">
        <v>832.4</v>
      </c>
      <c r="W1726" s="1" t="n">
        <v>0</v>
      </c>
      <c r="X1726" s="1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46225</v>
      </c>
      <c r="C1727" s="15" t="n">
        <v>46239</v>
      </c>
      <c r="D1727" s="1" t="n">
        <v>1659</v>
      </c>
      <c r="E1727" s="1" t="s">
        <v>54</v>
      </c>
      <c r="F1727" s="1" t="n">
        <v>24</v>
      </c>
      <c r="G1727" s="1" t="s">
        <v>32</v>
      </c>
      <c r="H1727" s="1" t="n">
        <v>2110405</v>
      </c>
      <c r="I1727" s="1" t="s">
        <v>83</v>
      </c>
      <c r="J1727" s="1" t="n">
        <v>1435386</v>
      </c>
      <c r="L1727" s="1" t="n">
        <v>886068</v>
      </c>
      <c r="M1727" s="1" t="s">
        <v>41</v>
      </c>
      <c r="N1727" s="1" t="s">
        <v>42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1420.57</v>
      </c>
      <c r="W1727" s="1" t="n">
        <v>0</v>
      </c>
      <c r="X1727" s="1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46226</v>
      </c>
      <c r="C1728" s="15" t="n">
        <v>46239</v>
      </c>
      <c r="D1728" s="1" t="n">
        <v>1671</v>
      </c>
      <c r="E1728" s="1" t="s">
        <v>340</v>
      </c>
      <c r="F1728" s="1" t="n">
        <v>24</v>
      </c>
      <c r="G1728" s="1" t="s">
        <v>32</v>
      </c>
      <c r="H1728" s="1" t="n">
        <v>2110405</v>
      </c>
      <c r="I1728" s="1" t="s">
        <v>83</v>
      </c>
      <c r="J1728" s="1" t="n">
        <v>1439103</v>
      </c>
      <c r="L1728" s="1" t="n">
        <v>592343</v>
      </c>
      <c r="M1728" s="1" t="s">
        <v>41</v>
      </c>
      <c r="N1728" s="1" t="s">
        <v>42</v>
      </c>
      <c r="P1728" s="1" t="n">
        <v>104</v>
      </c>
      <c r="Q1728" s="1" t="s">
        <v>99</v>
      </c>
      <c r="R1728" s="1" t="s">
        <v>37</v>
      </c>
      <c r="S1728" s="1" t="n">
        <v>1130101</v>
      </c>
      <c r="T1728" s="1" t="s">
        <v>38</v>
      </c>
      <c r="U1728" s="17" t="n">
        <v>1471.39</v>
      </c>
      <c r="W1728" s="1" t="n">
        <v>0</v>
      </c>
      <c r="X1728" s="1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46226</v>
      </c>
      <c r="C1729" s="15" t="n">
        <v>46239</v>
      </c>
      <c r="D1729" s="1" t="n">
        <v>1749</v>
      </c>
      <c r="E1729" s="1" t="s">
        <v>703</v>
      </c>
      <c r="F1729" s="1" t="n">
        <v>24</v>
      </c>
      <c r="G1729" s="1" t="s">
        <v>32</v>
      </c>
      <c r="H1729" s="1" t="n">
        <v>2110405</v>
      </c>
      <c r="I1729" s="1" t="s">
        <v>83</v>
      </c>
      <c r="J1729" s="1" t="n">
        <v>1439282</v>
      </c>
      <c r="L1729" s="1" t="n">
        <v>2785</v>
      </c>
      <c r="M1729" s="1" t="s">
        <v>41</v>
      </c>
      <c r="N1729" s="1" t="s">
        <v>42</v>
      </c>
      <c r="P1729" s="1" t="n">
        <v>103</v>
      </c>
      <c r="Q1729" s="1" t="s">
        <v>36</v>
      </c>
      <c r="R1729" s="1" t="s">
        <v>37</v>
      </c>
      <c r="S1729" s="1" t="n">
        <v>1130101</v>
      </c>
      <c r="T1729" s="1" t="s">
        <v>38</v>
      </c>
      <c r="U1729" s="17" t="n">
        <v>2195.6</v>
      </c>
      <c r="W1729" s="1" t="n">
        <v>0</v>
      </c>
      <c r="X1729" s="1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46226</v>
      </c>
      <c r="C1730" s="15" t="n">
        <v>46239</v>
      </c>
      <c r="D1730" s="1" t="n">
        <v>1608</v>
      </c>
      <c r="E1730" s="1" t="s">
        <v>51</v>
      </c>
      <c r="F1730" s="1" t="n">
        <v>24</v>
      </c>
      <c r="G1730" s="1" t="s">
        <v>32</v>
      </c>
      <c r="H1730" s="1" t="n">
        <v>2110405</v>
      </c>
      <c r="I1730" s="1" t="s">
        <v>83</v>
      </c>
      <c r="J1730" s="1" t="n">
        <v>1439448</v>
      </c>
      <c r="L1730" s="1" t="n">
        <v>592413</v>
      </c>
      <c r="M1730" s="1" t="s">
        <v>41</v>
      </c>
      <c r="N1730" s="1" t="s">
        <v>42</v>
      </c>
      <c r="P1730" s="1" t="n">
        <v>104</v>
      </c>
      <c r="Q1730" s="1" t="s">
        <v>99</v>
      </c>
      <c r="R1730" s="1" t="s">
        <v>37</v>
      </c>
      <c r="S1730" s="1" t="n">
        <v>1130101</v>
      </c>
      <c r="T1730" s="1" t="s">
        <v>38</v>
      </c>
      <c r="U1730" s="17" t="n">
        <v>1790.09</v>
      </c>
      <c r="W1730" s="1" t="n">
        <v>0</v>
      </c>
      <c r="X1730" s="1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46226</v>
      </c>
      <c r="C1731" s="15" t="n">
        <v>46239</v>
      </c>
      <c r="D1731" s="1" t="n">
        <v>1745</v>
      </c>
      <c r="E1731" s="1" t="s">
        <v>246</v>
      </c>
      <c r="F1731" s="1" t="n">
        <v>24</v>
      </c>
      <c r="G1731" s="1" t="s">
        <v>32</v>
      </c>
      <c r="H1731" s="1" t="n">
        <v>2110405</v>
      </c>
      <c r="I1731" s="1" t="s">
        <v>83</v>
      </c>
      <c r="J1731" s="1" t="n">
        <v>1440158</v>
      </c>
      <c r="L1731" s="1" t="n">
        <v>353326</v>
      </c>
      <c r="M1731" s="1" t="s">
        <v>41</v>
      </c>
      <c r="N1731" s="1" t="s">
        <v>42</v>
      </c>
      <c r="P1731" s="1" t="n">
        <v>103</v>
      </c>
      <c r="Q1731" s="1" t="s">
        <v>36</v>
      </c>
      <c r="R1731" s="1" t="s">
        <v>37</v>
      </c>
      <c r="S1731" s="1" t="n">
        <v>1130101</v>
      </c>
      <c r="T1731" s="1" t="s">
        <v>38</v>
      </c>
      <c r="U1731" s="17" t="n">
        <v>2063.42</v>
      </c>
      <c r="W1731" s="1" t="n">
        <v>0</v>
      </c>
      <c r="X1731" s="1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46227</v>
      </c>
      <c r="C1732" s="15" t="n">
        <v>46239</v>
      </c>
      <c r="D1732" s="1" t="n">
        <v>1613</v>
      </c>
      <c r="E1732" s="1" t="s">
        <v>208</v>
      </c>
      <c r="F1732" s="1" t="n">
        <v>24</v>
      </c>
      <c r="G1732" s="1" t="s">
        <v>32</v>
      </c>
      <c r="H1732" s="1" t="n">
        <v>2110405</v>
      </c>
      <c r="I1732" s="1" t="s">
        <v>83</v>
      </c>
      <c r="J1732" s="1" t="n">
        <v>1443677</v>
      </c>
      <c r="L1732" s="1" t="n">
        <v>1611343</v>
      </c>
      <c r="M1732" s="1" t="s">
        <v>41</v>
      </c>
      <c r="N1732" s="1" t="s">
        <v>42</v>
      </c>
      <c r="P1732" s="1" t="n">
        <v>103</v>
      </c>
      <c r="Q1732" s="1" t="s">
        <v>36</v>
      </c>
      <c r="R1732" s="1" t="s">
        <v>37</v>
      </c>
      <c r="S1732" s="1" t="n">
        <v>1130101</v>
      </c>
      <c r="T1732" s="1" t="s">
        <v>38</v>
      </c>
      <c r="U1732" s="17" t="n">
        <v>447.25</v>
      </c>
      <c r="W1732" s="1" t="n">
        <v>0</v>
      </c>
      <c r="X1732" s="1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46228</v>
      </c>
      <c r="C1733" s="15" t="n">
        <v>46239</v>
      </c>
      <c r="D1733" s="1" t="n">
        <v>1061</v>
      </c>
      <c r="E1733" s="1" t="s">
        <v>284</v>
      </c>
      <c r="F1733" s="1" t="n">
        <v>34</v>
      </c>
      <c r="G1733" s="1" t="s">
        <v>71</v>
      </c>
      <c r="H1733" s="1" t="n">
        <v>1110202</v>
      </c>
      <c r="I1733" s="1" t="s">
        <v>285</v>
      </c>
      <c r="J1733" s="1" t="n">
        <v>1448839</v>
      </c>
      <c r="L1733" s="1" t="n">
        <v>596058</v>
      </c>
      <c r="M1733" s="1" t="s">
        <v>41</v>
      </c>
      <c r="N1733" s="1" t="s">
        <v>42</v>
      </c>
      <c r="P1733" s="1" t="n">
        <v>101</v>
      </c>
      <c r="Q1733" s="1" t="s">
        <v>84</v>
      </c>
      <c r="R1733" s="1" t="s">
        <v>91</v>
      </c>
      <c r="S1733" s="1" t="n">
        <v>4220199</v>
      </c>
      <c r="T1733" s="1" t="s">
        <v>92</v>
      </c>
      <c r="U1733" s="17" t="n">
        <v>1500</v>
      </c>
      <c r="W1733" s="1" t="n">
        <v>0</v>
      </c>
      <c r="X1733" s="1" t="s">
        <v>286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46228</v>
      </c>
      <c r="C1734" s="15" t="n">
        <v>46239</v>
      </c>
      <c r="D1734" s="1" t="n">
        <v>16</v>
      </c>
      <c r="E1734" s="1" t="s">
        <v>90</v>
      </c>
      <c r="F1734" s="1" t="n">
        <v>34</v>
      </c>
      <c r="G1734" s="1" t="s">
        <v>71</v>
      </c>
      <c r="H1734" s="1" t="n">
        <v>2110405</v>
      </c>
      <c r="I1734" s="1" t="s">
        <v>83</v>
      </c>
      <c r="J1734" s="1" t="n">
        <v>1448856</v>
      </c>
      <c r="L1734" s="1" t="n">
        <v>596062</v>
      </c>
      <c r="M1734" s="1" t="s">
        <v>41</v>
      </c>
      <c r="N1734" s="1" t="s">
        <v>42</v>
      </c>
      <c r="P1734" s="1" t="n">
        <v>101</v>
      </c>
      <c r="Q1734" s="1" t="s">
        <v>84</v>
      </c>
      <c r="R1734" s="1" t="s">
        <v>85</v>
      </c>
      <c r="S1734" s="1" t="n">
        <v>4210301</v>
      </c>
      <c r="T1734" s="1" t="s">
        <v>295</v>
      </c>
      <c r="U1734" s="17" t="n">
        <v>500</v>
      </c>
      <c r="W1734" s="1" t="n">
        <v>0</v>
      </c>
      <c r="X1734" s="1" t="s">
        <v>1985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46232</v>
      </c>
      <c r="C1735" s="15" t="n">
        <v>46239</v>
      </c>
      <c r="D1735" s="1" t="n">
        <v>1778</v>
      </c>
      <c r="E1735" s="1" t="s">
        <v>266</v>
      </c>
      <c r="F1735" s="1" t="n">
        <v>24</v>
      </c>
      <c r="G1735" s="1" t="s">
        <v>32</v>
      </c>
      <c r="H1735" s="1" t="n">
        <v>1110202</v>
      </c>
      <c r="I1735" s="1" t="s">
        <v>285</v>
      </c>
      <c r="J1735" s="1" t="n">
        <v>1469191</v>
      </c>
      <c r="L1735" s="1" t="n">
        <v>124472855</v>
      </c>
      <c r="M1735" s="1" t="s">
        <v>41</v>
      </c>
      <c r="N1735" s="1" t="s">
        <v>42</v>
      </c>
      <c r="P1735" s="1" t="n">
        <v>101</v>
      </c>
      <c r="Q1735" s="1" t="s">
        <v>84</v>
      </c>
      <c r="R1735" s="1" t="s">
        <v>60</v>
      </c>
      <c r="S1735" s="1" t="n">
        <v>4210207</v>
      </c>
      <c r="T1735" s="1" t="s">
        <v>267</v>
      </c>
      <c r="U1735" s="17" t="n">
        <v>196.58</v>
      </c>
      <c r="W1735" s="1" t="n">
        <v>0</v>
      </c>
      <c r="X1735" s="1" t="s">
        <v>1986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46232</v>
      </c>
      <c r="C1736" s="15" t="n">
        <v>46239</v>
      </c>
      <c r="D1736" s="1" t="n">
        <v>33</v>
      </c>
      <c r="E1736" s="1" t="s">
        <v>70</v>
      </c>
      <c r="F1736" s="1" t="n">
        <v>24</v>
      </c>
      <c r="G1736" s="1" t="s">
        <v>32</v>
      </c>
      <c r="H1736" s="1" t="n">
        <v>2110101</v>
      </c>
      <c r="I1736" s="1" t="s">
        <v>33</v>
      </c>
      <c r="J1736" s="1" t="n">
        <v>1469574</v>
      </c>
      <c r="L1736" s="1" t="n">
        <v>5387</v>
      </c>
      <c r="M1736" s="1" t="s">
        <v>41</v>
      </c>
      <c r="N1736" s="1" t="s">
        <v>35</v>
      </c>
      <c r="P1736" s="1" t="n">
        <v>103</v>
      </c>
      <c r="Q1736" s="1" t="s">
        <v>36</v>
      </c>
      <c r="R1736" s="1" t="s">
        <v>37</v>
      </c>
      <c r="S1736" s="1" t="n">
        <v>1130101</v>
      </c>
      <c r="T1736" s="1" t="s">
        <v>38</v>
      </c>
      <c r="U1736" s="17" t="n">
        <v>280</v>
      </c>
      <c r="W1736" s="1" t="n">
        <v>0</v>
      </c>
      <c r="X1736" s="1" t="s">
        <v>1987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46232</v>
      </c>
      <c r="C1737" s="15" t="n">
        <v>46239</v>
      </c>
      <c r="D1737" s="1" t="n">
        <v>754</v>
      </c>
      <c r="E1737" s="1" t="s">
        <v>157</v>
      </c>
      <c r="F1737" s="1" t="n">
        <v>24</v>
      </c>
      <c r="G1737" s="1" t="s">
        <v>32</v>
      </c>
      <c r="H1737" s="1" t="n">
        <v>1110202</v>
      </c>
      <c r="I1737" s="1" t="s">
        <v>285</v>
      </c>
      <c r="J1737" s="1" t="n">
        <v>1469648</v>
      </c>
      <c r="L1737" s="1" t="n">
        <v>32114</v>
      </c>
      <c r="M1737" s="1" t="s">
        <v>41</v>
      </c>
      <c r="N1737" s="1" t="s">
        <v>42</v>
      </c>
      <c r="P1737" s="1" t="n">
        <v>103</v>
      </c>
      <c r="Q1737" s="1" t="s">
        <v>36</v>
      </c>
      <c r="R1737" s="1" t="s">
        <v>37</v>
      </c>
      <c r="S1737" s="1" t="n">
        <v>1130101</v>
      </c>
      <c r="T1737" s="1" t="s">
        <v>38</v>
      </c>
      <c r="U1737" s="17" t="n">
        <v>3642.5</v>
      </c>
      <c r="W1737" s="1" t="n">
        <v>0</v>
      </c>
      <c r="X1737" s="1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46232</v>
      </c>
      <c r="C1738" s="15" t="n">
        <v>46239</v>
      </c>
      <c r="D1738" s="1" t="n">
        <v>714</v>
      </c>
      <c r="E1738" s="1" t="s">
        <v>330</v>
      </c>
      <c r="F1738" s="1" t="n">
        <v>34</v>
      </c>
      <c r="G1738" s="1" t="s">
        <v>71</v>
      </c>
      <c r="H1738" s="1" t="n">
        <v>2110405</v>
      </c>
      <c r="I1738" s="1" t="s">
        <v>83</v>
      </c>
      <c r="J1738" s="1" t="n">
        <v>1470158</v>
      </c>
      <c r="L1738" s="1" t="n">
        <v>604127</v>
      </c>
      <c r="M1738" s="1" t="s">
        <v>41</v>
      </c>
      <c r="N1738" s="1" t="s">
        <v>42</v>
      </c>
      <c r="P1738" s="1" t="n">
        <v>101</v>
      </c>
      <c r="Q1738" s="1" t="s">
        <v>84</v>
      </c>
      <c r="R1738" s="1" t="s">
        <v>91</v>
      </c>
      <c r="S1738" s="1" t="n">
        <v>4220199</v>
      </c>
      <c r="T1738" s="1" t="s">
        <v>92</v>
      </c>
      <c r="U1738" s="17" t="n">
        <v>6150</v>
      </c>
      <c r="W1738" s="1" t="n">
        <v>0</v>
      </c>
      <c r="X1738" s="1" t="s">
        <v>332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46235</v>
      </c>
      <c r="C1739" s="15" t="n">
        <v>46239</v>
      </c>
      <c r="D1739" s="1" t="n">
        <v>1363</v>
      </c>
      <c r="E1739" s="1" t="s">
        <v>155</v>
      </c>
      <c r="F1739" s="1" t="n">
        <v>24</v>
      </c>
      <c r="G1739" s="1" t="s">
        <v>32</v>
      </c>
      <c r="H1739" s="1" t="n">
        <v>1110202</v>
      </c>
      <c r="I1739" s="1" t="s">
        <v>285</v>
      </c>
      <c r="J1739" s="1" t="n">
        <v>1481738</v>
      </c>
      <c r="L1739" s="1" t="n">
        <v>3624</v>
      </c>
      <c r="M1739" s="1" t="s">
        <v>41</v>
      </c>
      <c r="N1739" s="1" t="s">
        <v>42</v>
      </c>
      <c r="P1739" s="1" t="n">
        <v>103</v>
      </c>
      <c r="Q1739" s="1" t="s">
        <v>36</v>
      </c>
      <c r="R1739" s="1" t="s">
        <v>37</v>
      </c>
      <c r="S1739" s="1" t="n">
        <v>1130101</v>
      </c>
      <c r="T1739" s="1" t="s">
        <v>38</v>
      </c>
      <c r="U1739" s="17" t="n">
        <v>287</v>
      </c>
      <c r="W1739" s="1" t="n">
        <v>0</v>
      </c>
      <c r="X1739" s="1" t="s">
        <v>1989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46238</v>
      </c>
      <c r="C1740" s="15" t="n">
        <v>46239</v>
      </c>
      <c r="D1740" s="1" t="n">
        <v>33</v>
      </c>
      <c r="E1740" s="1" t="s">
        <v>70</v>
      </c>
      <c r="F1740" s="1" t="n">
        <v>34</v>
      </c>
      <c r="G1740" s="1" t="s">
        <v>71</v>
      </c>
      <c r="H1740" s="1" t="n">
        <v>2110101</v>
      </c>
      <c r="I1740" s="1" t="s">
        <v>33</v>
      </c>
      <c r="J1740" s="1" t="n">
        <v>1501635</v>
      </c>
      <c r="L1740" s="1" t="n">
        <v>5438</v>
      </c>
      <c r="M1740" s="1" t="s">
        <v>41</v>
      </c>
      <c r="N1740" s="1" t="s">
        <v>35</v>
      </c>
      <c r="P1740" s="1" t="n">
        <v>104</v>
      </c>
      <c r="Q1740" s="1" t="s">
        <v>99</v>
      </c>
      <c r="R1740" s="1" t="s">
        <v>37</v>
      </c>
      <c r="S1740" s="1" t="n">
        <v>1130101</v>
      </c>
      <c r="T1740" s="1" t="s">
        <v>38</v>
      </c>
      <c r="U1740" s="17" t="n">
        <v>1581</v>
      </c>
      <c r="W1740" s="1" t="n">
        <v>0</v>
      </c>
      <c r="X1740" s="1" t="s">
        <v>220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46238</v>
      </c>
      <c r="C1741" s="15" t="n">
        <v>46239</v>
      </c>
      <c r="D1741" s="1" t="n">
        <v>1615</v>
      </c>
      <c r="E1741" s="1" t="s">
        <v>221</v>
      </c>
      <c r="F1741" s="1" t="n">
        <v>34</v>
      </c>
      <c r="G1741" s="1" t="s">
        <v>71</v>
      </c>
      <c r="H1741" s="1" t="n">
        <v>2110101</v>
      </c>
      <c r="I1741" s="1" t="s">
        <v>33</v>
      </c>
      <c r="J1741" s="1" t="n">
        <v>1501658</v>
      </c>
      <c r="L1741" s="1" t="n">
        <v>15021</v>
      </c>
      <c r="M1741" s="1" t="s">
        <v>41</v>
      </c>
      <c r="N1741" s="1" t="s">
        <v>35</v>
      </c>
      <c r="P1741" s="1" t="n">
        <v>104</v>
      </c>
      <c r="Q1741" s="1" t="s">
        <v>99</v>
      </c>
      <c r="R1741" s="1" t="s">
        <v>37</v>
      </c>
      <c r="S1741" s="1" t="n">
        <v>1130101</v>
      </c>
      <c r="T1741" s="1" t="s">
        <v>38</v>
      </c>
      <c r="U1741" s="17" t="n">
        <v>750</v>
      </c>
      <c r="W1741" s="1" t="n">
        <v>0</v>
      </c>
      <c r="X1741" s="1" t="s">
        <v>1990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46238</v>
      </c>
      <c r="C1742" s="15" t="n">
        <v>46239</v>
      </c>
      <c r="D1742" s="1" t="n">
        <v>33</v>
      </c>
      <c r="E1742" s="1" t="s">
        <v>70</v>
      </c>
      <c r="F1742" s="1" t="n">
        <v>34</v>
      </c>
      <c r="G1742" s="1" t="s">
        <v>71</v>
      </c>
      <c r="H1742" s="1" t="n">
        <v>1110202</v>
      </c>
      <c r="I1742" s="1" t="s">
        <v>285</v>
      </c>
      <c r="J1742" s="1" t="n">
        <v>1501680</v>
      </c>
      <c r="L1742" s="1" t="n">
        <v>615474</v>
      </c>
      <c r="M1742" s="1" t="s">
        <v>41</v>
      </c>
      <c r="N1742" s="1" t="s">
        <v>42</v>
      </c>
      <c r="P1742" s="1" t="n">
        <v>104</v>
      </c>
      <c r="Q1742" s="1" t="s">
        <v>99</v>
      </c>
      <c r="R1742" s="1" t="s">
        <v>37</v>
      </c>
      <c r="S1742" s="1" t="n">
        <v>1130101</v>
      </c>
      <c r="T1742" s="1" t="s">
        <v>38</v>
      </c>
      <c r="U1742" s="17" t="n">
        <v>70</v>
      </c>
      <c r="W1742" s="1" t="n">
        <v>0</v>
      </c>
      <c r="X1742" s="1" t="s">
        <v>1044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46239</v>
      </c>
      <c r="C1743" s="15" t="n">
        <v>46239</v>
      </c>
      <c r="D1743" s="1" t="n">
        <v>10067</v>
      </c>
      <c r="E1743" s="1" t="s">
        <v>1991</v>
      </c>
      <c r="F1743" s="1" t="n">
        <v>24</v>
      </c>
      <c r="G1743" s="1" t="s">
        <v>32</v>
      </c>
      <c r="H1743" s="1" t="n">
        <v>2110101</v>
      </c>
      <c r="I1743" s="1" t="s">
        <v>33</v>
      </c>
      <c r="J1743" s="1" t="n">
        <v>1503907</v>
      </c>
      <c r="L1743" s="1" t="n">
        <v>616391</v>
      </c>
      <c r="M1743" s="1" t="s">
        <v>41</v>
      </c>
      <c r="N1743" s="1" t="s">
        <v>42</v>
      </c>
      <c r="P1743" s="1" t="n">
        <v>102</v>
      </c>
      <c r="Q1743" s="1" t="s">
        <v>107</v>
      </c>
      <c r="R1743" s="1" t="s">
        <v>60</v>
      </c>
      <c r="S1743" s="1" t="n">
        <v>4210227</v>
      </c>
      <c r="T1743" s="1" t="s">
        <v>418</v>
      </c>
      <c r="U1743" s="17" t="n">
        <v>216.48</v>
      </c>
      <c r="W1743" s="1" t="n">
        <v>0</v>
      </c>
      <c r="X1743" s="1" t="s">
        <v>1992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46239</v>
      </c>
      <c r="C1744" s="15" t="n">
        <v>46239</v>
      </c>
      <c r="D1744" s="1" t="n">
        <v>17</v>
      </c>
      <c r="E1744" s="1" t="s">
        <v>94</v>
      </c>
      <c r="F1744" s="1" t="n">
        <v>34</v>
      </c>
      <c r="G1744" s="1" t="s">
        <v>71</v>
      </c>
      <c r="H1744" s="1" t="n">
        <v>2110405</v>
      </c>
      <c r="I1744" s="1" t="s">
        <v>83</v>
      </c>
      <c r="J1744" s="1" t="n">
        <v>1504687</v>
      </c>
      <c r="L1744" s="1" t="n">
        <v>616564</v>
      </c>
      <c r="M1744" s="1" t="s">
        <v>41</v>
      </c>
      <c r="N1744" s="1" t="s">
        <v>42</v>
      </c>
      <c r="P1744" s="1" t="n">
        <v>101</v>
      </c>
      <c r="Q1744" s="1" t="s">
        <v>84</v>
      </c>
      <c r="R1744" s="1" t="s">
        <v>91</v>
      </c>
      <c r="S1744" s="1" t="n">
        <v>4220199</v>
      </c>
      <c r="T1744" s="1" t="s">
        <v>92</v>
      </c>
      <c r="U1744" s="17" t="n">
        <v>220</v>
      </c>
      <c r="W1744" s="1" t="n">
        <v>0</v>
      </c>
      <c r="X1744" s="1" t="s">
        <v>1993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46239</v>
      </c>
      <c r="C1745" s="15" t="n">
        <v>46239</v>
      </c>
      <c r="D1745" s="1" t="n">
        <v>33</v>
      </c>
      <c r="E1745" s="1" t="s">
        <v>70</v>
      </c>
      <c r="F1745" s="1" t="n">
        <v>34</v>
      </c>
      <c r="G1745" s="1" t="s">
        <v>71</v>
      </c>
      <c r="H1745" s="1" t="n">
        <v>2110101</v>
      </c>
      <c r="I1745" s="1" t="s">
        <v>33</v>
      </c>
      <c r="J1745" s="1" t="n">
        <v>1505339</v>
      </c>
      <c r="L1745" s="1" t="n">
        <v>5439</v>
      </c>
      <c r="M1745" s="1" t="s">
        <v>41</v>
      </c>
      <c r="N1745" s="1" t="s">
        <v>35</v>
      </c>
      <c r="P1745" s="1" t="n">
        <v>104</v>
      </c>
      <c r="Q1745" s="1" t="s">
        <v>99</v>
      </c>
      <c r="R1745" s="1" t="s">
        <v>37</v>
      </c>
      <c r="S1745" s="1" t="n">
        <v>1130101</v>
      </c>
      <c r="T1745" s="1" t="s">
        <v>38</v>
      </c>
      <c r="U1745" s="17" t="n">
        <v>500</v>
      </c>
      <c r="W1745" s="1" t="n">
        <v>0</v>
      </c>
      <c r="X1745" s="1" t="s">
        <v>1994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46239</v>
      </c>
      <c r="C1746" s="15" t="n">
        <v>46239</v>
      </c>
      <c r="D1746" s="1" t="n">
        <v>10096</v>
      </c>
      <c r="E1746" s="1" t="s">
        <v>1496</v>
      </c>
      <c r="F1746" s="1" t="n">
        <v>13</v>
      </c>
      <c r="G1746" s="1" t="s">
        <v>98</v>
      </c>
      <c r="H1746" s="1" t="n">
        <v>2110101</v>
      </c>
      <c r="I1746" s="1" t="s">
        <v>33</v>
      </c>
      <c r="J1746" s="1" t="n">
        <v>1508427</v>
      </c>
      <c r="L1746" s="1" t="n">
        <v>122</v>
      </c>
      <c r="M1746" s="1" t="s">
        <v>41</v>
      </c>
      <c r="N1746" s="1" t="s">
        <v>35</v>
      </c>
      <c r="P1746" s="1" t="n">
        <v>104</v>
      </c>
      <c r="Q1746" s="1" t="s">
        <v>99</v>
      </c>
      <c r="R1746" s="1" t="s">
        <v>37</v>
      </c>
      <c r="S1746" s="1" t="n">
        <v>1130101</v>
      </c>
      <c r="T1746" s="1" t="s">
        <v>38</v>
      </c>
      <c r="U1746" s="17" t="n">
        <v>280</v>
      </c>
      <c r="W1746" s="1" t="n">
        <v>0</v>
      </c>
      <c r="X1746" s="1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46239</v>
      </c>
      <c r="C1747" s="15" t="n">
        <v>46239</v>
      </c>
      <c r="D1747" s="1" t="n">
        <v>717</v>
      </c>
      <c r="E1747" s="1" t="s">
        <v>113</v>
      </c>
      <c r="F1747" s="1" t="n">
        <v>34</v>
      </c>
      <c r="G1747" s="1" t="s">
        <v>71</v>
      </c>
      <c r="H1747" s="1" t="n">
        <v>2110405</v>
      </c>
      <c r="I1747" s="1" t="s">
        <v>83</v>
      </c>
      <c r="J1747" s="1" t="n">
        <v>1509165</v>
      </c>
      <c r="L1747" s="1" t="n">
        <v>618316</v>
      </c>
      <c r="M1747" s="1" t="s">
        <v>41</v>
      </c>
      <c r="N1747" s="1" t="s">
        <v>42</v>
      </c>
      <c r="P1747" s="1" t="n">
        <v>102</v>
      </c>
      <c r="Q1747" s="1" t="s">
        <v>107</v>
      </c>
      <c r="R1747" s="1" t="s">
        <v>91</v>
      </c>
      <c r="S1747" s="1" t="n">
        <v>4220199</v>
      </c>
      <c r="T1747" s="1" t="s">
        <v>92</v>
      </c>
      <c r="U1747" s="17" t="n">
        <v>610</v>
      </c>
      <c r="W1747" s="1" t="n">
        <v>0</v>
      </c>
      <c r="X1747" s="1" t="s">
        <v>1996</v>
      </c>
      <c r="Z1747" s="1" t="str">
        <f aca="false">IF($T1747="","",IFERROR(INDEX('Resumo Grupos'!$AC$3:$AC$200,MATCH($T1747,'Resumo Grupos'!$AB$3:$AB$200,0)),"n/d"))</f>
        <v>Pagamentos outros não operacionais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46092</v>
      </c>
      <c r="C1748" s="15" t="n">
        <v>46240</v>
      </c>
      <c r="D1748" s="1" t="n">
        <v>16</v>
      </c>
      <c r="E1748" s="1" t="s">
        <v>90</v>
      </c>
      <c r="F1748" s="1" t="n">
        <v>11</v>
      </c>
      <c r="G1748" s="1" t="s">
        <v>170</v>
      </c>
      <c r="H1748" s="1" t="n">
        <v>2110405</v>
      </c>
      <c r="I1748" s="1" t="s">
        <v>83</v>
      </c>
      <c r="J1748" s="1" t="n">
        <v>784488</v>
      </c>
      <c r="L1748" s="1" t="n">
        <v>338625</v>
      </c>
      <c r="M1748" s="1" t="s">
        <v>128</v>
      </c>
      <c r="N1748" s="1" t="s">
        <v>42</v>
      </c>
      <c r="P1748" s="1" t="n">
        <v>101</v>
      </c>
      <c r="Q1748" s="1" t="s">
        <v>84</v>
      </c>
      <c r="R1748" s="1" t="s">
        <v>91</v>
      </c>
      <c r="S1748" s="1" t="n">
        <v>4220199</v>
      </c>
      <c r="T1748" s="1" t="s">
        <v>92</v>
      </c>
      <c r="U1748" s="17" t="n">
        <v>3600</v>
      </c>
      <c r="W1748" s="1" t="n">
        <v>0</v>
      </c>
      <c r="X1748" s="1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46211</v>
      </c>
      <c r="C1749" s="15" t="n">
        <v>46240</v>
      </c>
      <c r="D1749" s="1" t="n">
        <v>1830</v>
      </c>
      <c r="E1749" s="1" t="s">
        <v>104</v>
      </c>
      <c r="F1749" s="1" t="n">
        <v>24</v>
      </c>
      <c r="G1749" s="1" t="s">
        <v>32</v>
      </c>
      <c r="H1749" s="1" t="n">
        <v>2110405</v>
      </c>
      <c r="I1749" s="1" t="s">
        <v>83</v>
      </c>
      <c r="J1749" s="1" t="n">
        <v>1370639</v>
      </c>
      <c r="L1749" s="1" t="n">
        <v>1053</v>
      </c>
      <c r="M1749" s="1" t="s">
        <v>41</v>
      </c>
      <c r="N1749" s="1" t="s">
        <v>42</v>
      </c>
      <c r="P1749" s="1" t="n">
        <v>101</v>
      </c>
      <c r="Q1749" s="1" t="s">
        <v>84</v>
      </c>
      <c r="R1749" s="1" t="s">
        <v>85</v>
      </c>
      <c r="S1749" s="1" t="n">
        <v>4210319</v>
      </c>
      <c r="T1749" s="1" t="s">
        <v>617</v>
      </c>
      <c r="U1749" s="17" t="n">
        <v>209</v>
      </c>
      <c r="W1749" s="1" t="n">
        <v>209</v>
      </c>
      <c r="X1749" s="1" t="s">
        <v>1998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46213</v>
      </c>
      <c r="C1750" s="15" t="n">
        <v>46240</v>
      </c>
      <c r="D1750" s="1" t="n">
        <v>1626</v>
      </c>
      <c r="E1750" s="1" t="s">
        <v>40</v>
      </c>
      <c r="F1750" s="1" t="n">
        <v>24</v>
      </c>
      <c r="G1750" s="1" t="s">
        <v>32</v>
      </c>
      <c r="H1750" s="1" t="n">
        <v>2110405</v>
      </c>
      <c r="I1750" s="1" t="s">
        <v>83</v>
      </c>
      <c r="J1750" s="1" t="n">
        <v>1376626</v>
      </c>
      <c r="L1750" s="1" t="n">
        <v>312590</v>
      </c>
      <c r="M1750" s="1" t="s">
        <v>128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1643.75</v>
      </c>
      <c r="W1750" s="1" t="n">
        <v>1643.75</v>
      </c>
      <c r="X1750" s="1" t="s">
        <v>1999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46213</v>
      </c>
      <c r="C1751" s="15" t="n">
        <v>46240</v>
      </c>
      <c r="D1751" s="1" t="n">
        <v>1740</v>
      </c>
      <c r="E1751" s="1" t="s">
        <v>258</v>
      </c>
      <c r="F1751" s="1" t="n">
        <v>24</v>
      </c>
      <c r="G1751" s="1" t="s">
        <v>32</v>
      </c>
      <c r="H1751" s="1" t="n">
        <v>2110405</v>
      </c>
      <c r="I1751" s="1" t="s">
        <v>83</v>
      </c>
      <c r="J1751" s="1" t="n">
        <v>1376989</v>
      </c>
      <c r="L1751" s="1" t="n">
        <v>1245715</v>
      </c>
      <c r="M1751" s="1" t="s">
        <v>34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828.44</v>
      </c>
      <c r="W1751" s="1" t="n">
        <v>828.44</v>
      </c>
      <c r="X1751" s="1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46219</v>
      </c>
      <c r="C1752" s="15" t="n">
        <v>46240</v>
      </c>
      <c r="D1752" s="1" t="n">
        <v>1636</v>
      </c>
      <c r="E1752" s="1" t="s">
        <v>68</v>
      </c>
      <c r="F1752" s="1" t="n">
        <v>24</v>
      </c>
      <c r="G1752" s="1" t="s">
        <v>32</v>
      </c>
      <c r="H1752" s="1" t="n">
        <v>2110405</v>
      </c>
      <c r="I1752" s="1" t="s">
        <v>83</v>
      </c>
      <c r="J1752" s="1" t="n">
        <v>1407061</v>
      </c>
      <c r="L1752" s="1" t="n">
        <v>3220224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1757.52</v>
      </c>
      <c r="W1752" s="1" t="n">
        <v>1757.52</v>
      </c>
      <c r="X1752" s="1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46219</v>
      </c>
      <c r="C1753" s="15" t="n">
        <v>46240</v>
      </c>
      <c r="D1753" s="1" t="n">
        <v>1601</v>
      </c>
      <c r="E1753" s="1" t="s">
        <v>195</v>
      </c>
      <c r="F1753" s="1" t="n">
        <v>24</v>
      </c>
      <c r="G1753" s="1" t="s">
        <v>32</v>
      </c>
      <c r="H1753" s="1" t="n">
        <v>2110405</v>
      </c>
      <c r="I1753" s="1" t="s">
        <v>83</v>
      </c>
      <c r="J1753" s="1" t="n">
        <v>1407452</v>
      </c>
      <c r="L1753" s="1" t="n">
        <v>854275</v>
      </c>
      <c r="M1753" s="1" t="s">
        <v>34</v>
      </c>
      <c r="N1753" s="1" t="s">
        <v>42</v>
      </c>
      <c r="P1753" s="1" t="n">
        <v>103</v>
      </c>
      <c r="Q1753" s="1" t="s">
        <v>36</v>
      </c>
      <c r="R1753" s="1" t="s">
        <v>37</v>
      </c>
      <c r="S1753" s="1" t="n">
        <v>1130101</v>
      </c>
      <c r="T1753" s="1" t="s">
        <v>38</v>
      </c>
      <c r="U1753" s="17" t="n">
        <v>748.7</v>
      </c>
      <c r="W1753" s="1" t="n">
        <v>748.7</v>
      </c>
      <c r="X1753" s="1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46220</v>
      </c>
      <c r="C1754" s="15" t="n">
        <v>46240</v>
      </c>
      <c r="D1754" s="1" t="n">
        <v>1608</v>
      </c>
      <c r="E1754" s="1" t="s">
        <v>51</v>
      </c>
      <c r="F1754" s="1" t="n">
        <v>24</v>
      </c>
      <c r="G1754" s="1" t="s">
        <v>32</v>
      </c>
      <c r="H1754" s="1" t="n">
        <v>2110405</v>
      </c>
      <c r="I1754" s="1" t="s">
        <v>83</v>
      </c>
      <c r="J1754" s="1" t="n">
        <v>1410646</v>
      </c>
      <c r="L1754" s="1" t="n">
        <v>1693814</v>
      </c>
      <c r="M1754" s="1" t="s">
        <v>41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2799.83</v>
      </c>
      <c r="W1754" s="1" t="n">
        <v>2799.83</v>
      </c>
      <c r="X1754" s="1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46221</v>
      </c>
      <c r="C1755" s="15" t="n">
        <v>46240</v>
      </c>
      <c r="D1755" s="1" t="n">
        <v>1675</v>
      </c>
      <c r="E1755" s="1" t="s">
        <v>80</v>
      </c>
      <c r="F1755" s="1" t="n">
        <v>24</v>
      </c>
      <c r="G1755" s="1" t="s">
        <v>32</v>
      </c>
      <c r="H1755" s="1" t="n">
        <v>2110405</v>
      </c>
      <c r="I1755" s="1" t="s">
        <v>83</v>
      </c>
      <c r="J1755" s="1" t="n">
        <v>1415719</v>
      </c>
      <c r="L1755" s="1" t="n">
        <v>502189</v>
      </c>
      <c r="M1755" s="1" t="s">
        <v>41</v>
      </c>
      <c r="N1755" s="1" t="s">
        <v>42</v>
      </c>
      <c r="P1755" s="1" t="n">
        <v>103</v>
      </c>
      <c r="Q1755" s="1" t="s">
        <v>36</v>
      </c>
      <c r="R1755" s="1" t="s">
        <v>37</v>
      </c>
      <c r="S1755" s="1" t="n">
        <v>1130101</v>
      </c>
      <c r="T1755" s="1" t="s">
        <v>38</v>
      </c>
      <c r="U1755" s="17" t="n">
        <v>1181.96</v>
      </c>
      <c r="W1755" s="1" t="n">
        <v>1181.96</v>
      </c>
      <c r="X1755" s="1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46223</v>
      </c>
      <c r="C1756" s="15" t="n">
        <v>46240</v>
      </c>
      <c r="D1756" s="1" t="n">
        <v>1676</v>
      </c>
      <c r="E1756" s="1" t="s">
        <v>199</v>
      </c>
      <c r="F1756" s="1" t="n">
        <v>24</v>
      </c>
      <c r="G1756" s="1" t="s">
        <v>32</v>
      </c>
      <c r="H1756" s="1" t="n">
        <v>2110405</v>
      </c>
      <c r="I1756" s="1" t="s">
        <v>83</v>
      </c>
      <c r="J1756" s="1" t="n">
        <v>1424767</v>
      </c>
      <c r="L1756" s="1" t="n">
        <v>10857</v>
      </c>
      <c r="M1756" s="1" t="s">
        <v>41</v>
      </c>
      <c r="N1756" s="1" t="s">
        <v>42</v>
      </c>
      <c r="P1756" s="1" t="n">
        <v>103</v>
      </c>
      <c r="Q1756" s="1" t="s">
        <v>36</v>
      </c>
      <c r="R1756" s="1" t="s">
        <v>37</v>
      </c>
      <c r="S1756" s="1" t="n">
        <v>1130101</v>
      </c>
      <c r="T1756" s="1" t="s">
        <v>38</v>
      </c>
      <c r="U1756" s="17" t="n">
        <v>1608.44</v>
      </c>
      <c r="W1756" s="1" t="n">
        <v>1608.44</v>
      </c>
      <c r="X1756" s="1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46223</v>
      </c>
      <c r="C1757" s="15" t="n">
        <v>46240</v>
      </c>
      <c r="D1757" s="1" t="n">
        <v>1718</v>
      </c>
      <c r="E1757" s="1" t="s">
        <v>134</v>
      </c>
      <c r="F1757" s="1" t="n">
        <v>24</v>
      </c>
      <c r="G1757" s="1" t="s">
        <v>32</v>
      </c>
      <c r="H1757" s="1" t="n">
        <v>2110405</v>
      </c>
      <c r="I1757" s="1" t="s">
        <v>83</v>
      </c>
      <c r="J1757" s="1" t="n">
        <v>1425328</v>
      </c>
      <c r="L1757" s="1" t="n">
        <v>682525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698.48</v>
      </c>
      <c r="W1757" s="1" t="n">
        <v>698.48</v>
      </c>
      <c r="X1757" s="1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46225</v>
      </c>
      <c r="C1758" s="15" t="n">
        <v>46240</v>
      </c>
      <c r="D1758" s="1" t="n">
        <v>10009</v>
      </c>
      <c r="E1758" s="1" t="s">
        <v>201</v>
      </c>
      <c r="F1758" s="1" t="n">
        <v>24</v>
      </c>
      <c r="G1758" s="1" t="s">
        <v>32</v>
      </c>
      <c r="H1758" s="1" t="n">
        <v>2110405</v>
      </c>
      <c r="I1758" s="1" t="s">
        <v>83</v>
      </c>
      <c r="J1758" s="1" t="n">
        <v>1434102</v>
      </c>
      <c r="L1758" s="1" t="n">
        <v>1428642</v>
      </c>
      <c r="M1758" s="1" t="s">
        <v>128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957.84</v>
      </c>
      <c r="W1758" s="1" t="n">
        <v>957.84</v>
      </c>
      <c r="X1758" s="1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46225</v>
      </c>
      <c r="C1759" s="15" t="n">
        <v>46240</v>
      </c>
      <c r="D1759" s="1" t="n">
        <v>794</v>
      </c>
      <c r="E1759" s="1" t="s">
        <v>325</v>
      </c>
      <c r="F1759" s="1" t="n">
        <v>24</v>
      </c>
      <c r="G1759" s="1" t="s">
        <v>32</v>
      </c>
      <c r="H1759" s="1" t="n">
        <v>2110405</v>
      </c>
      <c r="I1759" s="1" t="s">
        <v>83</v>
      </c>
      <c r="J1759" s="1" t="n">
        <v>1435872</v>
      </c>
      <c r="L1759" s="1" t="n">
        <v>8403</v>
      </c>
      <c r="M1759" s="1" t="s">
        <v>41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2621.74</v>
      </c>
      <c r="W1759" s="1" t="n">
        <v>2621.74</v>
      </c>
      <c r="X1759" s="1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46225</v>
      </c>
      <c r="C1760" s="15" t="n">
        <v>46240</v>
      </c>
      <c r="D1760" s="1" t="n">
        <v>1740</v>
      </c>
      <c r="E1760" s="1" t="s">
        <v>258</v>
      </c>
      <c r="F1760" s="1" t="n">
        <v>24</v>
      </c>
      <c r="G1760" s="1" t="s">
        <v>32</v>
      </c>
      <c r="H1760" s="1" t="n">
        <v>2110405</v>
      </c>
      <c r="I1760" s="1" t="s">
        <v>83</v>
      </c>
      <c r="J1760" s="1" t="n">
        <v>1435938</v>
      </c>
      <c r="L1760" s="1" t="n">
        <v>1248470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662.72</v>
      </c>
      <c r="W1760" s="1" t="n">
        <v>662.72</v>
      </c>
      <c r="X1760" s="1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46226</v>
      </c>
      <c r="C1761" s="15" t="n">
        <v>46240</v>
      </c>
      <c r="D1761" s="1" t="n">
        <v>1667</v>
      </c>
      <c r="E1761" s="1" t="s">
        <v>40</v>
      </c>
      <c r="F1761" s="1" t="n">
        <v>24</v>
      </c>
      <c r="G1761" s="1" t="s">
        <v>32</v>
      </c>
      <c r="H1761" s="1" t="n">
        <v>2110405</v>
      </c>
      <c r="I1761" s="1" t="s">
        <v>83</v>
      </c>
      <c r="J1761" s="1" t="n">
        <v>1439734</v>
      </c>
      <c r="L1761" s="1" t="n">
        <v>396990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398.7</v>
      </c>
      <c r="W1761" s="1" t="n">
        <v>398.7</v>
      </c>
      <c r="X1761" s="1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46226</v>
      </c>
      <c r="C1762" s="15" t="n">
        <v>46240</v>
      </c>
      <c r="D1762" s="1" t="n">
        <v>1616</v>
      </c>
      <c r="E1762" s="1" t="s">
        <v>517</v>
      </c>
      <c r="F1762" s="1" t="n">
        <v>24</v>
      </c>
      <c r="G1762" s="1" t="s">
        <v>32</v>
      </c>
      <c r="H1762" s="1" t="n">
        <v>2110405</v>
      </c>
      <c r="I1762" s="1" t="s">
        <v>83</v>
      </c>
      <c r="J1762" s="1" t="n">
        <v>1440106</v>
      </c>
      <c r="L1762" s="1" t="n">
        <v>592593</v>
      </c>
      <c r="M1762" s="1" t="s">
        <v>41</v>
      </c>
      <c r="N1762" s="1" t="s">
        <v>42</v>
      </c>
      <c r="P1762" s="1" t="n">
        <v>104</v>
      </c>
      <c r="Q1762" s="1" t="s">
        <v>99</v>
      </c>
      <c r="R1762" s="1" t="s">
        <v>37</v>
      </c>
      <c r="S1762" s="1" t="n">
        <v>1130101</v>
      </c>
      <c r="T1762" s="1" t="s">
        <v>38</v>
      </c>
      <c r="U1762" s="17" t="n">
        <v>605.92</v>
      </c>
      <c r="W1762" s="1" t="n">
        <v>605.92</v>
      </c>
      <c r="X1762" s="1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46226</v>
      </c>
      <c r="C1763" s="15" t="n">
        <v>46240</v>
      </c>
      <c r="D1763" s="1" t="n">
        <v>10037</v>
      </c>
      <c r="E1763" s="1" t="s">
        <v>540</v>
      </c>
      <c r="F1763" s="1" t="n">
        <v>24</v>
      </c>
      <c r="G1763" s="1" t="s">
        <v>32</v>
      </c>
      <c r="H1763" s="1" t="n">
        <v>2110405</v>
      </c>
      <c r="I1763" s="1" t="s">
        <v>83</v>
      </c>
      <c r="J1763" s="1" t="n">
        <v>1440179</v>
      </c>
      <c r="L1763" s="1" t="n">
        <v>2808</v>
      </c>
      <c r="M1763" s="1" t="s">
        <v>34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445.37</v>
      </c>
      <c r="W1763" s="1" t="n">
        <v>445.37</v>
      </c>
      <c r="X1763" s="1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46226</v>
      </c>
      <c r="C1764" s="15" t="n">
        <v>46240</v>
      </c>
      <c r="D1764" s="1" t="n">
        <v>1616</v>
      </c>
      <c r="E1764" s="1" t="s">
        <v>517</v>
      </c>
      <c r="F1764" s="1" t="n">
        <v>24</v>
      </c>
      <c r="G1764" s="1" t="s">
        <v>32</v>
      </c>
      <c r="H1764" s="1" t="n">
        <v>2110405</v>
      </c>
      <c r="I1764" s="1" t="s">
        <v>83</v>
      </c>
      <c r="J1764" s="1" t="n">
        <v>1440186</v>
      </c>
      <c r="L1764" s="1" t="n">
        <v>592618</v>
      </c>
      <c r="M1764" s="1" t="s">
        <v>41</v>
      </c>
      <c r="N1764" s="1" t="s">
        <v>42</v>
      </c>
      <c r="P1764" s="1" t="n">
        <v>104</v>
      </c>
      <c r="Q1764" s="1" t="s">
        <v>99</v>
      </c>
      <c r="R1764" s="1" t="s">
        <v>37</v>
      </c>
      <c r="S1764" s="1" t="n">
        <v>1130101</v>
      </c>
      <c r="T1764" s="1" t="s">
        <v>38</v>
      </c>
      <c r="U1764" s="17" t="n">
        <v>434.05</v>
      </c>
      <c r="W1764" s="1" t="n">
        <v>434.05</v>
      </c>
      <c r="X1764" s="1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46226</v>
      </c>
      <c r="C1765" s="15" t="n">
        <v>46240</v>
      </c>
      <c r="D1765" s="1" t="n">
        <v>1626</v>
      </c>
      <c r="E1765" s="1" t="s">
        <v>40</v>
      </c>
      <c r="F1765" s="1" t="n">
        <v>24</v>
      </c>
      <c r="G1765" s="1" t="s">
        <v>32</v>
      </c>
      <c r="H1765" s="1" t="n">
        <v>2110405</v>
      </c>
      <c r="I1765" s="1" t="s">
        <v>83</v>
      </c>
      <c r="J1765" s="1" t="n">
        <v>1440328</v>
      </c>
      <c r="L1765" s="1" t="n">
        <v>592650</v>
      </c>
      <c r="M1765" s="1" t="s">
        <v>41</v>
      </c>
      <c r="N1765" s="1" t="s">
        <v>42</v>
      </c>
      <c r="P1765" s="1" t="n">
        <v>104</v>
      </c>
      <c r="Q1765" s="1" t="s">
        <v>99</v>
      </c>
      <c r="R1765" s="1" t="s">
        <v>37</v>
      </c>
      <c r="S1765" s="1" t="n">
        <v>1130101</v>
      </c>
      <c r="T1765" s="1" t="s">
        <v>38</v>
      </c>
      <c r="U1765" s="17" t="n">
        <v>907.87</v>
      </c>
      <c r="W1765" s="1" t="n">
        <v>907.87</v>
      </c>
      <c r="X1765" s="1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46228</v>
      </c>
      <c r="C1766" s="15" t="n">
        <v>46240</v>
      </c>
      <c r="D1766" s="1" t="n">
        <v>1668</v>
      </c>
      <c r="E1766" s="1" t="s">
        <v>57</v>
      </c>
      <c r="F1766" s="1" t="n">
        <v>24</v>
      </c>
      <c r="G1766" s="1" t="s">
        <v>32</v>
      </c>
      <c r="H1766" s="1" t="n">
        <v>2110405</v>
      </c>
      <c r="I1766" s="1" t="s">
        <v>83</v>
      </c>
      <c r="J1766" s="1" t="n">
        <v>1449563</v>
      </c>
      <c r="L1766" s="1" t="n">
        <v>739552</v>
      </c>
      <c r="M1766" s="1" t="s">
        <v>41</v>
      </c>
      <c r="N1766" s="1" t="s">
        <v>42</v>
      </c>
      <c r="P1766" s="1" t="n">
        <v>103</v>
      </c>
      <c r="Q1766" s="1" t="s">
        <v>36</v>
      </c>
      <c r="R1766" s="1" t="s">
        <v>37</v>
      </c>
      <c r="S1766" s="1" t="n">
        <v>1130101</v>
      </c>
      <c r="T1766" s="1" t="s">
        <v>38</v>
      </c>
      <c r="U1766" s="17" t="n">
        <v>340</v>
      </c>
      <c r="W1766" s="1" t="n">
        <v>340</v>
      </c>
      <c r="X1766" s="1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46228</v>
      </c>
      <c r="C1767" s="15" t="n">
        <v>46240</v>
      </c>
      <c r="D1767" s="1" t="n">
        <v>10009</v>
      </c>
      <c r="E1767" s="1" t="s">
        <v>201</v>
      </c>
      <c r="F1767" s="1" t="n">
        <v>24</v>
      </c>
      <c r="G1767" s="1" t="s">
        <v>32</v>
      </c>
      <c r="H1767" s="1" t="n">
        <v>2110405</v>
      </c>
      <c r="I1767" s="1" t="s">
        <v>83</v>
      </c>
      <c r="J1767" s="1" t="n">
        <v>1449995</v>
      </c>
      <c r="L1767" s="1" t="n">
        <v>1431708</v>
      </c>
      <c r="M1767" s="1" t="s">
        <v>34</v>
      </c>
      <c r="N1767" s="1" t="s">
        <v>42</v>
      </c>
      <c r="P1767" s="1" t="n">
        <v>103</v>
      </c>
      <c r="Q1767" s="1" t="s">
        <v>36</v>
      </c>
      <c r="R1767" s="1" t="s">
        <v>37</v>
      </c>
      <c r="S1767" s="1" t="n">
        <v>1130101</v>
      </c>
      <c r="T1767" s="1" t="s">
        <v>38</v>
      </c>
      <c r="U1767" s="17" t="n">
        <v>1721.47</v>
      </c>
      <c r="W1767" s="1" t="n">
        <v>1721.47</v>
      </c>
      <c r="X1767" s="1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46233</v>
      </c>
      <c r="C1768" s="15" t="n">
        <v>46240</v>
      </c>
      <c r="D1768" s="1" t="n">
        <v>1614</v>
      </c>
      <c r="E1768" s="1" t="s">
        <v>66</v>
      </c>
      <c r="F1768" s="1" t="n">
        <v>24</v>
      </c>
      <c r="G1768" s="1" t="s">
        <v>32</v>
      </c>
      <c r="H1768" s="1" t="n">
        <v>2110405</v>
      </c>
      <c r="I1768" s="1" t="s">
        <v>83</v>
      </c>
      <c r="J1768" s="1" t="n">
        <v>1473362</v>
      </c>
      <c r="L1768" s="1" t="n">
        <v>11493</v>
      </c>
      <c r="M1768" s="1" t="s">
        <v>34</v>
      </c>
      <c r="N1768" s="1" t="s">
        <v>42</v>
      </c>
      <c r="P1768" s="1" t="n">
        <v>103</v>
      </c>
      <c r="Q1768" s="1" t="s">
        <v>36</v>
      </c>
      <c r="R1768" s="1" t="s">
        <v>37</v>
      </c>
      <c r="S1768" s="1" t="n">
        <v>1130101</v>
      </c>
      <c r="T1768" s="1" t="s">
        <v>38</v>
      </c>
      <c r="U1768" s="17" t="n">
        <v>285.48</v>
      </c>
      <c r="W1768" s="1" t="n">
        <v>285.48</v>
      </c>
      <c r="X1768" s="1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46233</v>
      </c>
      <c r="C1769" s="15" t="n">
        <v>46240</v>
      </c>
      <c r="D1769" s="1" t="n">
        <v>1609</v>
      </c>
      <c r="E1769" s="1" t="s">
        <v>64</v>
      </c>
      <c r="F1769" s="1" t="n">
        <v>24</v>
      </c>
      <c r="G1769" s="1" t="s">
        <v>32</v>
      </c>
      <c r="H1769" s="1" t="n">
        <v>2110405</v>
      </c>
      <c r="I1769" s="1" t="s">
        <v>83</v>
      </c>
      <c r="J1769" s="1" t="n">
        <v>1474673</v>
      </c>
      <c r="L1769" s="1" t="n">
        <v>5888</v>
      </c>
      <c r="M1769" s="1" t="s">
        <v>41</v>
      </c>
      <c r="N1769" s="1" t="s">
        <v>42</v>
      </c>
      <c r="P1769" s="1" t="n">
        <v>103</v>
      </c>
      <c r="Q1769" s="1" t="s">
        <v>36</v>
      </c>
      <c r="R1769" s="1" t="s">
        <v>37</v>
      </c>
      <c r="S1769" s="1" t="n">
        <v>1130101</v>
      </c>
      <c r="T1769" s="1" t="s">
        <v>38</v>
      </c>
      <c r="U1769" s="17" t="n">
        <v>365</v>
      </c>
      <c r="W1769" s="1" t="n">
        <v>365</v>
      </c>
      <c r="X1769" s="1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46233</v>
      </c>
      <c r="C1770" s="15" t="n">
        <v>46240</v>
      </c>
      <c r="D1770" s="1" t="n">
        <v>1625</v>
      </c>
      <c r="E1770" s="1" t="s">
        <v>211</v>
      </c>
      <c r="F1770" s="1" t="n">
        <v>24</v>
      </c>
      <c r="G1770" s="1" t="s">
        <v>32</v>
      </c>
      <c r="H1770" s="1" t="n">
        <v>2110405</v>
      </c>
      <c r="I1770" s="1" t="s">
        <v>83</v>
      </c>
      <c r="J1770" s="1" t="n">
        <v>1474777</v>
      </c>
      <c r="L1770" s="1" t="n">
        <v>14881</v>
      </c>
      <c r="M1770" s="1" t="s">
        <v>41</v>
      </c>
      <c r="N1770" s="1" t="s">
        <v>42</v>
      </c>
      <c r="P1770" s="1" t="n">
        <v>103</v>
      </c>
      <c r="Q1770" s="1" t="s">
        <v>36</v>
      </c>
      <c r="R1770" s="1" t="s">
        <v>37</v>
      </c>
      <c r="S1770" s="1" t="n">
        <v>1130101</v>
      </c>
      <c r="T1770" s="1" t="s">
        <v>38</v>
      </c>
      <c r="U1770" s="17" t="n">
        <v>4726.7</v>
      </c>
      <c r="W1770" s="1" t="n">
        <v>4726.7</v>
      </c>
      <c r="X1770" s="1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46235</v>
      </c>
      <c r="C1771" s="15" t="n">
        <v>46240</v>
      </c>
      <c r="D1771" s="1" t="n">
        <v>1899</v>
      </c>
      <c r="E1771" s="1" t="s">
        <v>74</v>
      </c>
      <c r="F1771" s="1" t="n">
        <v>24</v>
      </c>
      <c r="G1771" s="1" t="s">
        <v>32</v>
      </c>
      <c r="H1771" s="1" t="n">
        <v>2110405</v>
      </c>
      <c r="I1771" s="1" t="s">
        <v>83</v>
      </c>
      <c r="J1771" s="1" t="n">
        <v>1481751</v>
      </c>
      <c r="L1771" s="1" t="n">
        <v>739</v>
      </c>
      <c r="M1771" s="1" t="s">
        <v>41</v>
      </c>
      <c r="N1771" s="1" t="s">
        <v>42</v>
      </c>
      <c r="P1771" s="1" t="n">
        <v>103</v>
      </c>
      <c r="Q1771" s="1" t="s">
        <v>36</v>
      </c>
      <c r="R1771" s="1" t="s">
        <v>37</v>
      </c>
      <c r="S1771" s="1" t="n">
        <v>1130101</v>
      </c>
      <c r="T1771" s="1" t="s">
        <v>38</v>
      </c>
      <c r="U1771" s="17" t="n">
        <v>739.15</v>
      </c>
      <c r="W1771" s="1" t="n">
        <v>739.15</v>
      </c>
      <c r="X1771" s="1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46238</v>
      </c>
      <c r="C1772" s="15" t="n">
        <v>46240</v>
      </c>
      <c r="D1772" s="1" t="n">
        <v>642</v>
      </c>
      <c r="E1772" s="1" t="s">
        <v>161</v>
      </c>
      <c r="F1772" s="1" t="n">
        <v>24</v>
      </c>
      <c r="G1772" s="1" t="s">
        <v>32</v>
      </c>
      <c r="H1772" s="1" t="n">
        <v>2110405</v>
      </c>
      <c r="I1772" s="1" t="s">
        <v>83</v>
      </c>
      <c r="J1772" s="1" t="n">
        <v>1500381</v>
      </c>
      <c r="L1772" s="1" t="n">
        <v>576</v>
      </c>
      <c r="M1772" s="1" t="s">
        <v>41</v>
      </c>
      <c r="N1772" s="1" t="s">
        <v>42</v>
      </c>
      <c r="P1772" s="1" t="n">
        <v>103</v>
      </c>
      <c r="Q1772" s="1" t="s">
        <v>36</v>
      </c>
      <c r="R1772" s="1" t="s">
        <v>37</v>
      </c>
      <c r="S1772" s="1" t="n">
        <v>1130101</v>
      </c>
      <c r="T1772" s="1" t="s">
        <v>38</v>
      </c>
      <c r="U1772" s="17" t="n">
        <v>816</v>
      </c>
      <c r="W1772" s="1" t="n">
        <v>816</v>
      </c>
      <c r="X1772" s="1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1137</v>
      </c>
      <c r="E1773" s="1" t="s">
        <v>82</v>
      </c>
      <c r="F1773" s="1" t="n">
        <v>34</v>
      </c>
      <c r="G1773" s="1" t="s">
        <v>71</v>
      </c>
      <c r="H1773" s="1" t="n">
        <v>2110405</v>
      </c>
      <c r="I1773" s="1" t="s">
        <v>83</v>
      </c>
      <c r="J1773" s="1" t="n">
        <v>1508284</v>
      </c>
      <c r="L1773" s="1" t="n">
        <v>618072</v>
      </c>
      <c r="M1773" s="1" t="s">
        <v>41</v>
      </c>
      <c r="N1773" s="1" t="s">
        <v>42</v>
      </c>
      <c r="P1773" s="1" t="n">
        <v>101</v>
      </c>
      <c r="Q1773" s="1" t="s">
        <v>84</v>
      </c>
      <c r="R1773" s="1" t="s">
        <v>85</v>
      </c>
      <c r="S1773" s="1" t="n">
        <v>4210301</v>
      </c>
      <c r="T1773" s="1" t="s">
        <v>295</v>
      </c>
      <c r="U1773" s="17" t="n">
        <v>1284.5</v>
      </c>
      <c r="W1773" s="1" t="n">
        <v>1284.5</v>
      </c>
      <c r="X1773" s="1" t="s">
        <v>2022</v>
      </c>
      <c r="Z1773" s="1" t="str">
        <f aca="false">IF($T1773="","",IFERROR(INDEX('Resumo Grupos'!$AC$3:$AC$200,MATCH($T1773,'Resumo Grupos'!$AB$3:$AB$200,0)),"n/d"))</f>
        <v>Salários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1137</v>
      </c>
      <c r="E1774" s="1" t="s">
        <v>82</v>
      </c>
      <c r="F1774" s="1" t="n">
        <v>34</v>
      </c>
      <c r="G1774" s="1" t="s">
        <v>71</v>
      </c>
      <c r="H1774" s="1" t="n">
        <v>2110405</v>
      </c>
      <c r="I1774" s="1" t="s">
        <v>83</v>
      </c>
      <c r="J1774" s="1" t="n">
        <v>1508287</v>
      </c>
      <c r="L1774" s="1" t="n">
        <v>618073</v>
      </c>
      <c r="M1774" s="1" t="s">
        <v>41</v>
      </c>
      <c r="N1774" s="1" t="s">
        <v>42</v>
      </c>
      <c r="P1774" s="1" t="n">
        <v>101</v>
      </c>
      <c r="Q1774" s="1" t="s">
        <v>84</v>
      </c>
      <c r="R1774" s="1" t="s">
        <v>85</v>
      </c>
      <c r="S1774" s="1" t="n">
        <v>4210301</v>
      </c>
      <c r="T1774" s="1" t="s">
        <v>295</v>
      </c>
      <c r="U1774" s="17" t="n">
        <v>378.58</v>
      </c>
      <c r="W1774" s="1" t="n">
        <v>378.58</v>
      </c>
      <c r="X1774" s="1" t="s">
        <v>2022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46240</v>
      </c>
      <c r="C1775" s="15" t="n">
        <v>46240</v>
      </c>
      <c r="D1775" s="1" t="n">
        <v>1961</v>
      </c>
      <c r="E1775" s="1" t="s">
        <v>1014</v>
      </c>
      <c r="F1775" s="1" t="n">
        <v>34</v>
      </c>
      <c r="G1775" s="1" t="s">
        <v>71</v>
      </c>
      <c r="H1775" s="1" t="n">
        <v>2110405</v>
      </c>
      <c r="I1775" s="1" t="s">
        <v>83</v>
      </c>
      <c r="J1775" s="1" t="n">
        <v>1508789</v>
      </c>
      <c r="L1775" s="1" t="n">
        <v>618218</v>
      </c>
      <c r="M1775" s="1" t="s">
        <v>41</v>
      </c>
      <c r="N1775" s="1" t="s">
        <v>42</v>
      </c>
      <c r="P1775" s="1" t="n">
        <v>101</v>
      </c>
      <c r="Q1775" s="1" t="s">
        <v>84</v>
      </c>
      <c r="R1775" s="1" t="s">
        <v>85</v>
      </c>
      <c r="S1775" s="1" t="n">
        <v>4210310</v>
      </c>
      <c r="T1775" s="1" t="s">
        <v>1015</v>
      </c>
      <c r="U1775" s="17" t="n">
        <v>220</v>
      </c>
      <c r="W1775" s="1" t="n">
        <v>220</v>
      </c>
      <c r="X1775" s="1" t="s">
        <v>2023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46240</v>
      </c>
      <c r="C1776" s="15" t="n">
        <v>46240</v>
      </c>
      <c r="D1776" s="1" t="n">
        <v>33</v>
      </c>
      <c r="E1776" s="1" t="s">
        <v>70</v>
      </c>
      <c r="F1776" s="1" t="n">
        <v>13</v>
      </c>
      <c r="G1776" s="1" t="s">
        <v>98</v>
      </c>
      <c r="H1776" s="1" t="n">
        <v>2110101</v>
      </c>
      <c r="I1776" s="1" t="s">
        <v>33</v>
      </c>
      <c r="J1776" s="1" t="n">
        <v>1509045</v>
      </c>
      <c r="L1776" s="1" t="n">
        <v>5440</v>
      </c>
      <c r="M1776" s="1" t="s">
        <v>41</v>
      </c>
      <c r="N1776" s="1" t="s">
        <v>35</v>
      </c>
      <c r="P1776" s="1" t="n">
        <v>104</v>
      </c>
      <c r="Q1776" s="1" t="s">
        <v>99</v>
      </c>
      <c r="R1776" s="1" t="s">
        <v>37</v>
      </c>
      <c r="S1776" s="1" t="n">
        <v>1130101</v>
      </c>
      <c r="T1776" s="1" t="s">
        <v>38</v>
      </c>
      <c r="U1776" s="17" t="n">
        <v>350</v>
      </c>
      <c r="W1776" s="1" t="n">
        <v>350</v>
      </c>
      <c r="X1776" s="1" t="s">
        <v>2024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46240</v>
      </c>
      <c r="C1777" s="15" t="n">
        <v>46240</v>
      </c>
      <c r="D1777" s="1" t="n">
        <v>33</v>
      </c>
      <c r="E1777" s="1" t="s">
        <v>70</v>
      </c>
      <c r="F1777" s="1" t="n">
        <v>13</v>
      </c>
      <c r="G1777" s="1" t="s">
        <v>98</v>
      </c>
      <c r="H1777" s="1" t="n">
        <v>2110101</v>
      </c>
      <c r="I1777" s="1" t="s">
        <v>33</v>
      </c>
      <c r="J1777" s="1" t="n">
        <v>1509219</v>
      </c>
      <c r="L1777" s="1" t="n">
        <v>5442</v>
      </c>
      <c r="M1777" s="1" t="s">
        <v>41</v>
      </c>
      <c r="N1777" s="1" t="s">
        <v>35</v>
      </c>
      <c r="P1777" s="1" t="n">
        <v>104</v>
      </c>
      <c r="Q1777" s="1" t="s">
        <v>99</v>
      </c>
      <c r="R1777" s="1" t="s">
        <v>37</v>
      </c>
      <c r="S1777" s="1" t="n">
        <v>1130101</v>
      </c>
      <c r="T1777" s="1" t="s">
        <v>38</v>
      </c>
      <c r="U1777" s="17" t="n">
        <v>420</v>
      </c>
      <c r="W1777" s="1" t="n">
        <v>420</v>
      </c>
      <c r="X1777" s="1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46240</v>
      </c>
      <c r="C1778" s="15" t="n">
        <v>46240</v>
      </c>
      <c r="D1778" s="1" t="n">
        <v>33</v>
      </c>
      <c r="E1778" s="1" t="s">
        <v>70</v>
      </c>
      <c r="F1778" s="1" t="n">
        <v>13</v>
      </c>
      <c r="G1778" s="1" t="s">
        <v>98</v>
      </c>
      <c r="H1778" s="1" t="n">
        <v>2110101</v>
      </c>
      <c r="I1778" s="1" t="s">
        <v>33</v>
      </c>
      <c r="J1778" s="1" t="n">
        <v>1509244</v>
      </c>
      <c r="L1778" s="1" t="n">
        <v>5443</v>
      </c>
      <c r="M1778" s="1" t="s">
        <v>41</v>
      </c>
      <c r="N1778" s="1" t="s">
        <v>35</v>
      </c>
      <c r="P1778" s="1" t="n">
        <v>104</v>
      </c>
      <c r="Q1778" s="1" t="s">
        <v>99</v>
      </c>
      <c r="R1778" s="1" t="s">
        <v>37</v>
      </c>
      <c r="S1778" s="1" t="n">
        <v>1130101</v>
      </c>
      <c r="T1778" s="1" t="s">
        <v>38</v>
      </c>
      <c r="U1778" s="17" t="n">
        <v>350</v>
      </c>
      <c r="W1778" s="1" t="n">
        <v>350</v>
      </c>
      <c r="X1778" s="1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46240</v>
      </c>
      <c r="C1779" s="15" t="n">
        <v>46240</v>
      </c>
      <c r="D1779" s="1" t="n">
        <v>33</v>
      </c>
      <c r="E1779" s="1" t="s">
        <v>70</v>
      </c>
      <c r="F1779" s="1" t="n">
        <v>13</v>
      </c>
      <c r="G1779" s="1" t="s">
        <v>98</v>
      </c>
      <c r="H1779" s="1" t="n">
        <v>2110101</v>
      </c>
      <c r="I1779" s="1" t="s">
        <v>33</v>
      </c>
      <c r="J1779" s="1" t="n">
        <v>1509334</v>
      </c>
      <c r="L1779" s="1" t="n">
        <v>5444</v>
      </c>
      <c r="M1779" s="1" t="s">
        <v>41</v>
      </c>
      <c r="N1779" s="1" t="s">
        <v>35</v>
      </c>
      <c r="P1779" s="1" t="n">
        <v>104</v>
      </c>
      <c r="Q1779" s="1" t="s">
        <v>99</v>
      </c>
      <c r="R1779" s="1" t="s">
        <v>37</v>
      </c>
      <c r="S1779" s="1" t="n">
        <v>1130101</v>
      </c>
      <c r="T1779" s="1" t="s">
        <v>38</v>
      </c>
      <c r="U1779" s="17" t="n">
        <v>350</v>
      </c>
      <c r="W1779" s="1" t="n">
        <v>350</v>
      </c>
      <c r="X1779" s="1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46240</v>
      </c>
      <c r="C1780" s="15" t="n">
        <v>46240</v>
      </c>
      <c r="D1780" s="1" t="n">
        <v>978</v>
      </c>
      <c r="E1780" s="1" t="s">
        <v>97</v>
      </c>
      <c r="F1780" s="1" t="n">
        <v>13</v>
      </c>
      <c r="G1780" s="1" t="s">
        <v>98</v>
      </c>
      <c r="H1780" s="1" t="n">
        <v>2110101</v>
      </c>
      <c r="I1780" s="1" t="s">
        <v>33</v>
      </c>
      <c r="J1780" s="1" t="n">
        <v>1509405</v>
      </c>
      <c r="L1780" s="1" t="n">
        <v>443</v>
      </c>
      <c r="M1780" s="1" t="s">
        <v>41</v>
      </c>
      <c r="N1780" s="1" t="s">
        <v>35</v>
      </c>
      <c r="P1780" s="1" t="n">
        <v>104</v>
      </c>
      <c r="Q1780" s="1" t="s">
        <v>99</v>
      </c>
      <c r="R1780" s="1" t="s">
        <v>37</v>
      </c>
      <c r="S1780" s="1" t="n">
        <v>1130101</v>
      </c>
      <c r="T1780" s="1" t="s">
        <v>38</v>
      </c>
      <c r="U1780" s="17" t="n">
        <v>405.5</v>
      </c>
      <c r="W1780" s="1" t="n">
        <v>0</v>
      </c>
      <c r="X1780" s="1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46240</v>
      </c>
      <c r="C1781" s="15" t="n">
        <v>46240</v>
      </c>
      <c r="D1781" s="1" t="n">
        <v>1137</v>
      </c>
      <c r="E1781" s="1" t="s">
        <v>82</v>
      </c>
      <c r="F1781" s="1" t="n">
        <v>34</v>
      </c>
      <c r="G1781" s="1" t="s">
        <v>71</v>
      </c>
      <c r="H1781" s="1" t="n">
        <v>2110405</v>
      </c>
      <c r="I1781" s="1" t="s">
        <v>83</v>
      </c>
      <c r="J1781" s="1" t="n">
        <v>1510054</v>
      </c>
      <c r="L1781" s="1" t="n">
        <v>618572</v>
      </c>
      <c r="M1781" s="1" t="s">
        <v>41</v>
      </c>
      <c r="N1781" s="1" t="s">
        <v>42</v>
      </c>
      <c r="P1781" s="1" t="n">
        <v>101</v>
      </c>
      <c r="Q1781" s="1" t="s">
        <v>84</v>
      </c>
      <c r="R1781" s="1" t="s">
        <v>85</v>
      </c>
      <c r="S1781" s="1" t="n">
        <v>4210301</v>
      </c>
      <c r="T1781" s="1" t="s">
        <v>295</v>
      </c>
      <c r="U1781" s="17" t="n">
        <v>21294.16</v>
      </c>
      <c r="W1781" s="1" t="n">
        <v>21294.16</v>
      </c>
      <c r="X1781" s="1" t="s">
        <v>2029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46240</v>
      </c>
      <c r="C1782" s="15" t="n">
        <v>46240</v>
      </c>
      <c r="D1782" s="1" t="n">
        <v>1936</v>
      </c>
      <c r="E1782" s="1" t="s">
        <v>1075</v>
      </c>
      <c r="F1782" s="1" t="n">
        <v>34</v>
      </c>
      <c r="G1782" s="1" t="s">
        <v>71</v>
      </c>
      <c r="H1782" s="1" t="n">
        <v>2110405</v>
      </c>
      <c r="I1782" s="1" t="s">
        <v>83</v>
      </c>
      <c r="J1782" s="1" t="n">
        <v>1513693</v>
      </c>
      <c r="L1782" s="1" t="n">
        <v>619965</v>
      </c>
      <c r="M1782" s="1" t="s">
        <v>41</v>
      </c>
      <c r="N1782" s="1" t="s">
        <v>42</v>
      </c>
      <c r="P1782" s="1" t="n">
        <v>102</v>
      </c>
      <c r="Q1782" s="1" t="s">
        <v>107</v>
      </c>
      <c r="R1782" s="1" t="s">
        <v>37</v>
      </c>
      <c r="S1782" s="1" t="n">
        <v>1130101</v>
      </c>
      <c r="T1782" s="1" t="s">
        <v>38</v>
      </c>
      <c r="U1782" s="17" t="n">
        <v>626.05</v>
      </c>
      <c r="W1782" s="1" t="n">
        <v>626.05</v>
      </c>
      <c r="X1782" s="1" t="s">
        <v>2030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46240</v>
      </c>
      <c r="C1783" s="15" t="n">
        <v>46240</v>
      </c>
      <c r="D1783" s="1" t="n">
        <v>1187</v>
      </c>
      <c r="E1783" s="1" t="s">
        <v>424</v>
      </c>
      <c r="F1783" s="1" t="n">
        <v>13</v>
      </c>
      <c r="G1783" s="1" t="s">
        <v>98</v>
      </c>
      <c r="H1783" s="1" t="n">
        <v>2110101</v>
      </c>
      <c r="I1783" s="1" t="s">
        <v>33</v>
      </c>
      <c r="J1783" s="1" t="n">
        <v>1518718</v>
      </c>
      <c r="L1783" s="1" t="n">
        <v>237</v>
      </c>
      <c r="M1783" s="1" t="s">
        <v>41</v>
      </c>
      <c r="N1783" s="1" t="s">
        <v>35</v>
      </c>
      <c r="P1783" s="1" t="n">
        <v>104</v>
      </c>
      <c r="Q1783" s="1" t="s">
        <v>99</v>
      </c>
      <c r="R1783" s="1" t="s">
        <v>37</v>
      </c>
      <c r="S1783" s="1" t="n">
        <v>1130101</v>
      </c>
      <c r="T1783" s="1" t="s">
        <v>38</v>
      </c>
      <c r="U1783" s="17" t="n">
        <v>750</v>
      </c>
      <c r="W1783" s="1" t="n">
        <v>0</v>
      </c>
      <c r="X1783" s="1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46148</v>
      </c>
      <c r="C1784" s="15" t="n">
        <v>46241</v>
      </c>
      <c r="D1784" s="1" t="n">
        <v>607</v>
      </c>
      <c r="E1784" s="1" t="s">
        <v>182</v>
      </c>
      <c r="F1784" s="1" t="n">
        <v>24</v>
      </c>
      <c r="G1784" s="1" t="s">
        <v>32</v>
      </c>
      <c r="H1784" s="1" t="n">
        <v>2110101</v>
      </c>
      <c r="I1784" s="1" t="s">
        <v>33</v>
      </c>
      <c r="J1784" s="1" t="n">
        <v>1057743</v>
      </c>
      <c r="L1784" s="1" t="n">
        <v>10336</v>
      </c>
      <c r="M1784" s="1" t="s">
        <v>183</v>
      </c>
      <c r="N1784" s="1" t="s">
        <v>35</v>
      </c>
      <c r="P1784" s="1" t="n">
        <v>103</v>
      </c>
      <c r="Q1784" s="1" t="s">
        <v>36</v>
      </c>
      <c r="R1784" s="1" t="s">
        <v>37</v>
      </c>
      <c r="S1784" s="1" t="n">
        <v>1130101</v>
      </c>
      <c r="T1784" s="1" t="s">
        <v>38</v>
      </c>
      <c r="U1784" s="17" t="n">
        <v>250.38</v>
      </c>
      <c r="W1784" s="1" t="n">
        <v>250.38</v>
      </c>
      <c r="X1784" s="1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148</v>
      </c>
      <c r="F1785" s="1" t="n">
        <v>24</v>
      </c>
      <c r="G1785" s="1" t="s">
        <v>32</v>
      </c>
      <c r="H1785" s="1" t="n">
        <v>2110405</v>
      </c>
      <c r="I1785" s="1" t="s">
        <v>83</v>
      </c>
      <c r="J1785" s="1" t="n">
        <v>1458857</v>
      </c>
      <c r="L1785" s="1" t="n">
        <v>1950823</v>
      </c>
      <c r="M1785" s="1" t="s">
        <v>41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65.93</v>
      </c>
      <c r="W1785" s="1" t="n">
        <v>65.93</v>
      </c>
      <c r="X1785" s="1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46212</v>
      </c>
      <c r="C1786" s="15" t="n">
        <v>46241</v>
      </c>
      <c r="D1786" s="1" t="n">
        <v>10011</v>
      </c>
      <c r="E1786" s="1" t="s">
        <v>189</v>
      </c>
      <c r="F1786" s="1" t="n">
        <v>24</v>
      </c>
      <c r="G1786" s="1" t="s">
        <v>32</v>
      </c>
      <c r="H1786" s="1" t="n">
        <v>2110405</v>
      </c>
      <c r="I1786" s="1" t="s">
        <v>83</v>
      </c>
      <c r="J1786" s="1" t="n">
        <v>1375344</v>
      </c>
      <c r="L1786" s="1" t="n">
        <v>34611</v>
      </c>
      <c r="M1786" s="1" t="s">
        <v>41</v>
      </c>
      <c r="N1786" s="1" t="s">
        <v>42</v>
      </c>
      <c r="P1786" s="1" t="n">
        <v>103</v>
      </c>
      <c r="Q1786" s="1" t="s">
        <v>36</v>
      </c>
      <c r="R1786" s="1" t="s">
        <v>37</v>
      </c>
      <c r="S1786" s="1" t="n">
        <v>1130101</v>
      </c>
      <c r="T1786" s="1" t="s">
        <v>38</v>
      </c>
      <c r="U1786" s="17" t="n">
        <v>1091.08</v>
      </c>
      <c r="W1786" s="1" t="n">
        <v>1091.08</v>
      </c>
      <c r="X1786" s="1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46212</v>
      </c>
      <c r="C1787" s="15" t="n">
        <v>46241</v>
      </c>
      <c r="D1787" s="1" t="n">
        <v>1718</v>
      </c>
      <c r="E1787" s="1" t="s">
        <v>134</v>
      </c>
      <c r="F1787" s="1" t="n">
        <v>24</v>
      </c>
      <c r="G1787" s="1" t="s">
        <v>32</v>
      </c>
      <c r="H1787" s="1" t="n">
        <v>2110405</v>
      </c>
      <c r="I1787" s="1" t="s">
        <v>83</v>
      </c>
      <c r="J1787" s="1" t="n">
        <v>1375395</v>
      </c>
      <c r="L1787" s="1" t="n">
        <v>681131</v>
      </c>
      <c r="M1787" s="1" t="s">
        <v>128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871.12</v>
      </c>
      <c r="W1787" s="1" t="n">
        <v>871.12</v>
      </c>
      <c r="X1787" s="1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46214</v>
      </c>
      <c r="C1788" s="15" t="n">
        <v>46241</v>
      </c>
      <c r="D1788" s="1" t="n">
        <v>794</v>
      </c>
      <c r="E1788" s="1" t="s">
        <v>325</v>
      </c>
      <c r="F1788" s="1" t="n">
        <v>24</v>
      </c>
      <c r="G1788" s="1" t="s">
        <v>32</v>
      </c>
      <c r="H1788" s="1" t="n">
        <v>2110405</v>
      </c>
      <c r="I1788" s="1" t="s">
        <v>83</v>
      </c>
      <c r="J1788" s="1" t="n">
        <v>1381993</v>
      </c>
      <c r="L1788" s="1" t="n">
        <v>8364</v>
      </c>
      <c r="M1788" s="1" t="s">
        <v>34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523.67</v>
      </c>
      <c r="W1788" s="1" t="n">
        <v>523.67</v>
      </c>
      <c r="X1788" s="1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46216</v>
      </c>
      <c r="C1789" s="15" t="n">
        <v>46241</v>
      </c>
      <c r="D1789" s="1" t="n">
        <v>1705</v>
      </c>
      <c r="E1789" s="1" t="s">
        <v>148</v>
      </c>
      <c r="F1789" s="1" t="n">
        <v>24</v>
      </c>
      <c r="G1789" s="1" t="s">
        <v>32</v>
      </c>
      <c r="H1789" s="1" t="n">
        <v>2110405</v>
      </c>
      <c r="I1789" s="1" t="s">
        <v>83</v>
      </c>
      <c r="J1789" s="1" t="n">
        <v>1392743</v>
      </c>
      <c r="L1789" s="1" t="n">
        <v>1197029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215.52</v>
      </c>
      <c r="W1789" s="1" t="n">
        <v>215.52</v>
      </c>
      <c r="X1789" s="1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46218</v>
      </c>
      <c r="C1790" s="15" t="n">
        <v>46241</v>
      </c>
      <c r="D1790" s="1" t="n">
        <v>10011</v>
      </c>
      <c r="E1790" s="1" t="s">
        <v>189</v>
      </c>
      <c r="F1790" s="1" t="n">
        <v>24</v>
      </c>
      <c r="G1790" s="1" t="s">
        <v>32</v>
      </c>
      <c r="H1790" s="1" t="n">
        <v>2110405</v>
      </c>
      <c r="I1790" s="1" t="s">
        <v>83</v>
      </c>
      <c r="J1790" s="1" t="n">
        <v>1401989</v>
      </c>
      <c r="L1790" s="1" t="n">
        <v>34663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2006</v>
      </c>
      <c r="W1790" s="1" t="n">
        <v>2006</v>
      </c>
      <c r="X1790" s="1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46223</v>
      </c>
      <c r="C1791" s="15" t="n">
        <v>46241</v>
      </c>
      <c r="D1791" s="1" t="n">
        <v>1107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83</v>
      </c>
      <c r="J1791" s="1" t="n">
        <v>1423979</v>
      </c>
      <c r="L1791" s="1" t="n">
        <v>430879</v>
      </c>
      <c r="M1791" s="1" t="s">
        <v>34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1180.51</v>
      </c>
      <c r="W1791" s="1" t="n">
        <v>1180.51</v>
      </c>
      <c r="X1791" s="1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46225</v>
      </c>
      <c r="C1792" s="15" t="n">
        <v>46241</v>
      </c>
      <c r="D1792" s="1" t="n">
        <v>10017</v>
      </c>
      <c r="E1792" s="1" t="s">
        <v>753</v>
      </c>
      <c r="F1792" s="1" t="n">
        <v>24</v>
      </c>
      <c r="G1792" s="1" t="s">
        <v>32</v>
      </c>
      <c r="H1792" s="1" t="n">
        <v>2110405</v>
      </c>
      <c r="I1792" s="1" t="s">
        <v>83</v>
      </c>
      <c r="J1792" s="1" t="n">
        <v>1434930</v>
      </c>
      <c r="L1792" s="1" t="n">
        <v>194574</v>
      </c>
      <c r="M1792" s="1" t="s">
        <v>34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808.45</v>
      </c>
      <c r="W1792" s="1" t="n">
        <v>808.45</v>
      </c>
      <c r="X1792" s="1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46226</v>
      </c>
      <c r="C1793" s="15" t="n">
        <v>46241</v>
      </c>
      <c r="D1793" s="1" t="n">
        <v>1402</v>
      </c>
      <c r="E1793" s="1" t="s">
        <v>628</v>
      </c>
      <c r="F1793" s="1" t="n">
        <v>24</v>
      </c>
      <c r="G1793" s="1" t="s">
        <v>32</v>
      </c>
      <c r="H1793" s="1" t="n">
        <v>2110405</v>
      </c>
      <c r="I1793" s="1" t="s">
        <v>83</v>
      </c>
      <c r="J1793" s="1" t="n">
        <v>1439563</v>
      </c>
      <c r="L1793" s="1" t="n">
        <v>3858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60</v>
      </c>
      <c r="S1793" s="1" t="n">
        <v>4210227</v>
      </c>
      <c r="T1793" s="1" t="s">
        <v>418</v>
      </c>
      <c r="U1793" s="17" t="n">
        <v>994.74</v>
      </c>
      <c r="W1793" s="1" t="n">
        <v>994.74</v>
      </c>
      <c r="X1793" s="1" t="s">
        <v>2041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46226</v>
      </c>
      <c r="C1794" s="15" t="n">
        <v>46241</v>
      </c>
      <c r="D1794" s="1" t="n">
        <v>1666</v>
      </c>
      <c r="E1794" s="1" t="s">
        <v>31</v>
      </c>
      <c r="F1794" s="1" t="n">
        <v>24</v>
      </c>
      <c r="G1794" s="1" t="s">
        <v>32</v>
      </c>
      <c r="H1794" s="1" t="n">
        <v>2110405</v>
      </c>
      <c r="I1794" s="1" t="s">
        <v>83</v>
      </c>
      <c r="J1794" s="1" t="n">
        <v>1440189</v>
      </c>
      <c r="L1794" s="1" t="n">
        <v>568312</v>
      </c>
      <c r="M1794" s="1" t="s">
        <v>34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7635.42</v>
      </c>
      <c r="W1794" s="1" t="n">
        <v>7635.42</v>
      </c>
      <c r="X1794" s="1" t="s">
        <v>2042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46226</v>
      </c>
      <c r="C1795" s="15" t="n">
        <v>46241</v>
      </c>
      <c r="D1795" s="1" t="n">
        <v>10017</v>
      </c>
      <c r="E1795" s="1" t="s">
        <v>753</v>
      </c>
      <c r="F1795" s="1" t="n">
        <v>24</v>
      </c>
      <c r="G1795" s="1" t="s">
        <v>32</v>
      </c>
      <c r="H1795" s="1" t="n">
        <v>2110405</v>
      </c>
      <c r="I1795" s="1" t="s">
        <v>83</v>
      </c>
      <c r="J1795" s="1" t="n">
        <v>1440211</v>
      </c>
      <c r="L1795" s="1" t="n">
        <v>592622</v>
      </c>
      <c r="M1795" s="1" t="s">
        <v>41</v>
      </c>
      <c r="N1795" s="1" t="s">
        <v>42</v>
      </c>
      <c r="P1795" s="1" t="n">
        <v>104</v>
      </c>
      <c r="Q1795" s="1" t="s">
        <v>99</v>
      </c>
      <c r="R1795" s="1" t="s">
        <v>37</v>
      </c>
      <c r="S1795" s="1" t="n">
        <v>1130101</v>
      </c>
      <c r="T1795" s="1" t="s">
        <v>38</v>
      </c>
      <c r="U1795" s="17" t="n">
        <v>868.36</v>
      </c>
      <c r="W1795" s="1" t="n">
        <v>868.36</v>
      </c>
      <c r="X1795" s="1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46228</v>
      </c>
      <c r="C1796" s="15" t="n">
        <v>46241</v>
      </c>
      <c r="D1796" s="1" t="n">
        <v>1270</v>
      </c>
      <c r="E1796" s="1" t="s">
        <v>309</v>
      </c>
      <c r="F1796" s="1" t="n">
        <v>24</v>
      </c>
      <c r="G1796" s="1" t="s">
        <v>32</v>
      </c>
      <c r="H1796" s="1" t="n">
        <v>2110405</v>
      </c>
      <c r="I1796" s="1" t="s">
        <v>83</v>
      </c>
      <c r="J1796" s="1" t="n">
        <v>1450031</v>
      </c>
      <c r="L1796" s="1" t="n">
        <v>2702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581.5</v>
      </c>
      <c r="W1796" s="1" t="n">
        <v>581.5</v>
      </c>
      <c r="X1796" s="1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46228</v>
      </c>
      <c r="C1797" s="15" t="n">
        <v>46241</v>
      </c>
      <c r="D1797" s="1" t="n">
        <v>1657</v>
      </c>
      <c r="E1797" s="1" t="s">
        <v>1062</v>
      </c>
      <c r="F1797" s="1" t="n">
        <v>24</v>
      </c>
      <c r="G1797" s="1" t="s">
        <v>32</v>
      </c>
      <c r="H1797" s="1" t="n">
        <v>2110405</v>
      </c>
      <c r="I1797" s="1" t="s">
        <v>83</v>
      </c>
      <c r="J1797" s="1" t="n">
        <v>1450043</v>
      </c>
      <c r="L1797" s="1" t="n">
        <v>296100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925.97</v>
      </c>
      <c r="W1797" s="1" t="n">
        <v>925.97</v>
      </c>
      <c r="X1797" s="1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46228</v>
      </c>
      <c r="C1798" s="15" t="n">
        <v>46241</v>
      </c>
      <c r="D1798" s="1" t="n">
        <v>1114</v>
      </c>
      <c r="E1798" s="1" t="s">
        <v>144</v>
      </c>
      <c r="F1798" s="1" t="n">
        <v>24</v>
      </c>
      <c r="G1798" s="1" t="s">
        <v>32</v>
      </c>
      <c r="H1798" s="1" t="n">
        <v>2110405</v>
      </c>
      <c r="I1798" s="1" t="s">
        <v>83</v>
      </c>
      <c r="J1798" s="1" t="n">
        <v>1450174</v>
      </c>
      <c r="L1798" s="1" t="n">
        <v>41958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5054.39</v>
      </c>
      <c r="W1798" s="1" t="n">
        <v>5054.39</v>
      </c>
      <c r="X1798" s="1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46230</v>
      </c>
      <c r="C1799" s="15" t="n">
        <v>46241</v>
      </c>
      <c r="D1799" s="1" t="n">
        <v>1705</v>
      </c>
      <c r="E1799" s="1" t="s">
        <v>148</v>
      </c>
      <c r="F1799" s="1" t="n">
        <v>24</v>
      </c>
      <c r="G1799" s="1" t="s">
        <v>32</v>
      </c>
      <c r="H1799" s="1" t="n">
        <v>2110405</v>
      </c>
      <c r="I1799" s="1" t="s">
        <v>83</v>
      </c>
      <c r="J1799" s="1" t="n">
        <v>1457905</v>
      </c>
      <c r="L1799" s="1" t="n">
        <v>1951962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5518.6</v>
      </c>
      <c r="W1799" s="1" t="n">
        <v>5518.6</v>
      </c>
      <c r="X1799" s="1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46230</v>
      </c>
      <c r="C1800" s="15" t="n">
        <v>46241</v>
      </c>
      <c r="D1800" s="1" t="n">
        <v>1705</v>
      </c>
      <c r="E1800" s="1" t="s">
        <v>148</v>
      </c>
      <c r="F1800" s="1" t="n">
        <v>24</v>
      </c>
      <c r="G1800" s="1" t="s">
        <v>32</v>
      </c>
      <c r="H1800" s="1" t="n">
        <v>2110405</v>
      </c>
      <c r="I1800" s="1" t="s">
        <v>83</v>
      </c>
      <c r="J1800" s="1" t="n">
        <v>1458370</v>
      </c>
      <c r="L1800" s="1" t="n">
        <v>1217731</v>
      </c>
      <c r="M1800" s="1" t="s">
        <v>41</v>
      </c>
      <c r="N1800" s="1" t="s">
        <v>42</v>
      </c>
      <c r="P1800" s="1" t="n">
        <v>103</v>
      </c>
      <c r="Q1800" s="1" t="s">
        <v>36</v>
      </c>
      <c r="R1800" s="1" t="s">
        <v>37</v>
      </c>
      <c r="S1800" s="1" t="n">
        <v>1130101</v>
      </c>
      <c r="T1800" s="1" t="s">
        <v>38</v>
      </c>
      <c r="U1800" s="17" t="n">
        <v>3459.51</v>
      </c>
      <c r="W1800" s="1" t="n">
        <v>3459.51</v>
      </c>
      <c r="X1800" s="1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46230</v>
      </c>
      <c r="C1801" s="15" t="n">
        <v>46241</v>
      </c>
      <c r="D1801" s="1" t="n">
        <v>1705</v>
      </c>
      <c r="E1801" s="1" t="s">
        <v>148</v>
      </c>
      <c r="F1801" s="1" t="n">
        <v>24</v>
      </c>
      <c r="G1801" s="1" t="s">
        <v>32</v>
      </c>
      <c r="H1801" s="1" t="n">
        <v>2110405</v>
      </c>
      <c r="I1801" s="1" t="s">
        <v>83</v>
      </c>
      <c r="J1801" s="1" t="n">
        <v>1458410</v>
      </c>
      <c r="L1801" s="1" t="n">
        <v>1216466</v>
      </c>
      <c r="M1801" s="1" t="s">
        <v>41</v>
      </c>
      <c r="N1801" s="1" t="s">
        <v>42</v>
      </c>
      <c r="P1801" s="1" t="n">
        <v>103</v>
      </c>
      <c r="Q1801" s="1" t="s">
        <v>36</v>
      </c>
      <c r="R1801" s="1" t="s">
        <v>37</v>
      </c>
      <c r="S1801" s="1" t="n">
        <v>1130101</v>
      </c>
      <c r="T1801" s="1" t="s">
        <v>38</v>
      </c>
      <c r="U1801" s="17" t="n">
        <v>152.38</v>
      </c>
      <c r="W1801" s="1" t="n">
        <v>152.38</v>
      </c>
      <c r="X1801" s="1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46230</v>
      </c>
      <c r="C1802" s="15" t="n">
        <v>46241</v>
      </c>
      <c r="D1802" s="1" t="n">
        <v>1613</v>
      </c>
      <c r="E1802" s="1" t="s">
        <v>208</v>
      </c>
      <c r="F1802" s="1" t="n">
        <v>24</v>
      </c>
      <c r="G1802" s="1" t="s">
        <v>32</v>
      </c>
      <c r="H1802" s="1" t="n">
        <v>2110405</v>
      </c>
      <c r="I1802" s="1" t="s">
        <v>83</v>
      </c>
      <c r="J1802" s="1" t="n">
        <v>1460199</v>
      </c>
      <c r="L1802" s="1" t="n">
        <v>1611963</v>
      </c>
      <c r="M1802" s="1" t="s">
        <v>41</v>
      </c>
      <c r="N1802" s="1" t="s">
        <v>42</v>
      </c>
      <c r="P1802" s="1" t="n">
        <v>103</v>
      </c>
      <c r="Q1802" s="1" t="s">
        <v>36</v>
      </c>
      <c r="R1802" s="1" t="s">
        <v>37</v>
      </c>
      <c r="S1802" s="1" t="n">
        <v>1130101</v>
      </c>
      <c r="T1802" s="1" t="s">
        <v>38</v>
      </c>
      <c r="U1802" s="17" t="n">
        <v>676.2</v>
      </c>
      <c r="W1802" s="1" t="n">
        <v>676.2</v>
      </c>
      <c r="X1802" s="1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46232</v>
      </c>
      <c r="C1803" s="15" t="n">
        <v>46241</v>
      </c>
      <c r="D1803" s="1" t="n">
        <v>1723</v>
      </c>
      <c r="E1803" s="1" t="s">
        <v>264</v>
      </c>
      <c r="F1803" s="1" t="n">
        <v>24</v>
      </c>
      <c r="G1803" s="1" t="s">
        <v>32</v>
      </c>
      <c r="H1803" s="1" t="n">
        <v>2110405</v>
      </c>
      <c r="I1803" s="1" t="s">
        <v>83</v>
      </c>
      <c r="J1803" s="1" t="n">
        <v>1469410</v>
      </c>
      <c r="L1803" s="1" t="n">
        <v>173886</v>
      </c>
      <c r="M1803" s="1" t="s">
        <v>41</v>
      </c>
      <c r="N1803" s="1" t="s">
        <v>42</v>
      </c>
      <c r="P1803" s="1" t="n">
        <v>103</v>
      </c>
      <c r="Q1803" s="1" t="s">
        <v>36</v>
      </c>
      <c r="R1803" s="1" t="s">
        <v>37</v>
      </c>
      <c r="S1803" s="1" t="n">
        <v>1130101</v>
      </c>
      <c r="T1803" s="1" t="s">
        <v>38</v>
      </c>
      <c r="U1803" s="17" t="n">
        <v>5242.4</v>
      </c>
      <c r="W1803" s="1" t="n">
        <v>5242.4</v>
      </c>
      <c r="X1803" s="1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46234</v>
      </c>
      <c r="C1804" s="15" t="n">
        <v>46241</v>
      </c>
      <c r="D1804" s="1" t="n">
        <v>33</v>
      </c>
      <c r="E1804" s="1" t="s">
        <v>70</v>
      </c>
      <c r="F1804" s="1" t="n">
        <v>34</v>
      </c>
      <c r="G1804" s="1" t="s">
        <v>71</v>
      </c>
      <c r="H1804" s="1" t="n">
        <v>2110101</v>
      </c>
      <c r="I1804" s="1" t="s">
        <v>33</v>
      </c>
      <c r="J1804" s="1" t="n">
        <v>1478271</v>
      </c>
      <c r="L1804" s="1" t="n">
        <v>5400</v>
      </c>
      <c r="M1804" s="1" t="s">
        <v>41</v>
      </c>
      <c r="N1804" s="1" t="s">
        <v>35</v>
      </c>
      <c r="P1804" s="1" t="n">
        <v>103</v>
      </c>
      <c r="Q1804" s="1" t="s">
        <v>36</v>
      </c>
      <c r="R1804" s="1" t="s">
        <v>37</v>
      </c>
      <c r="S1804" s="1" t="n">
        <v>1130101</v>
      </c>
      <c r="T1804" s="1" t="s">
        <v>38</v>
      </c>
      <c r="U1804" s="17" t="n">
        <v>1560</v>
      </c>
      <c r="W1804" s="1" t="n">
        <v>1560</v>
      </c>
      <c r="X1804" s="1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46235</v>
      </c>
      <c r="C1805" s="15" t="n">
        <v>46241</v>
      </c>
      <c r="D1805" s="1" t="n">
        <v>1642</v>
      </c>
      <c r="E1805" s="1" t="s">
        <v>159</v>
      </c>
      <c r="F1805" s="1" t="n">
        <v>24</v>
      </c>
      <c r="G1805" s="1" t="s">
        <v>32</v>
      </c>
      <c r="H1805" s="1" t="n">
        <v>2110405</v>
      </c>
      <c r="I1805" s="1" t="s">
        <v>83</v>
      </c>
      <c r="J1805" s="1" t="n">
        <v>1481798</v>
      </c>
      <c r="L1805" s="1" t="n">
        <v>1034623</v>
      </c>
      <c r="M1805" s="1" t="s">
        <v>41</v>
      </c>
      <c r="N1805" s="1" t="s">
        <v>42</v>
      </c>
      <c r="P1805" s="1" t="n">
        <v>103</v>
      </c>
      <c r="Q1805" s="1" t="s">
        <v>36</v>
      </c>
      <c r="R1805" s="1" t="s">
        <v>37</v>
      </c>
      <c r="S1805" s="1" t="n">
        <v>1130101</v>
      </c>
      <c r="T1805" s="1" t="s">
        <v>38</v>
      </c>
      <c r="U1805" s="17" t="n">
        <v>556.5</v>
      </c>
      <c r="W1805" s="1" t="n">
        <v>556.5</v>
      </c>
      <c r="X1805" s="1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46235</v>
      </c>
      <c r="C1806" s="15" t="n">
        <v>46241</v>
      </c>
      <c r="D1806" s="1" t="n">
        <v>1286</v>
      </c>
      <c r="E1806" s="1" t="s">
        <v>319</v>
      </c>
      <c r="F1806" s="1" t="n">
        <v>24</v>
      </c>
      <c r="G1806" s="1" t="s">
        <v>32</v>
      </c>
      <c r="H1806" s="1" t="n">
        <v>2110405</v>
      </c>
      <c r="I1806" s="1" t="s">
        <v>83</v>
      </c>
      <c r="J1806" s="1" t="n">
        <v>1482229</v>
      </c>
      <c r="L1806" s="1" t="n">
        <v>10438</v>
      </c>
      <c r="M1806" s="1" t="s">
        <v>41</v>
      </c>
      <c r="N1806" s="1" t="s">
        <v>42</v>
      </c>
      <c r="P1806" s="1" t="n">
        <v>103</v>
      </c>
      <c r="Q1806" s="1" t="s">
        <v>36</v>
      </c>
      <c r="R1806" s="1" t="s">
        <v>37</v>
      </c>
      <c r="S1806" s="1" t="n">
        <v>1130101</v>
      </c>
      <c r="T1806" s="1" t="s">
        <v>38</v>
      </c>
      <c r="U1806" s="17" t="n">
        <v>1026</v>
      </c>
      <c r="W1806" s="1" t="n">
        <v>1026</v>
      </c>
      <c r="X1806" s="1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17</v>
      </c>
      <c r="E1807" s="1" t="s">
        <v>94</v>
      </c>
      <c r="F1807" s="1" t="n">
        <v>34</v>
      </c>
      <c r="G1807" s="1" t="s">
        <v>71</v>
      </c>
      <c r="H1807" s="1" t="n">
        <v>2110405</v>
      </c>
      <c r="I1807" s="1" t="s">
        <v>83</v>
      </c>
      <c r="J1807" s="1" t="n">
        <v>1512942</v>
      </c>
      <c r="L1807" s="1" t="n">
        <v>619809</v>
      </c>
      <c r="M1807" s="1" t="s">
        <v>41</v>
      </c>
      <c r="N1807" s="1" t="s">
        <v>42</v>
      </c>
      <c r="P1807" s="1" t="n">
        <v>101</v>
      </c>
      <c r="Q1807" s="1" t="s">
        <v>84</v>
      </c>
      <c r="R1807" s="1" t="s">
        <v>91</v>
      </c>
      <c r="S1807" s="1" t="n">
        <v>4220199</v>
      </c>
      <c r="T1807" s="1" t="s">
        <v>92</v>
      </c>
      <c r="U1807" s="17" t="n">
        <v>150</v>
      </c>
      <c r="W1807" s="1" t="n">
        <v>150</v>
      </c>
      <c r="X1807" s="1" t="s">
        <v>2055</v>
      </c>
      <c r="Z1807" s="1" t="str">
        <f aca="false">IF($T1807="","",IFERROR(INDEX('Resumo Grupos'!$AC$3:$AC$200,MATCH($T1807,'Resumo Grupos'!$AB$3:$AB$200,0)),"n/d"))</f>
        <v>Pagamentos outros não operacionais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46237</v>
      </c>
      <c r="C1808" s="15" t="n">
        <v>46241</v>
      </c>
      <c r="D1808" s="1" t="n">
        <v>1899</v>
      </c>
      <c r="E1808" s="1" t="s">
        <v>74</v>
      </c>
      <c r="F1808" s="1" t="n">
        <v>24</v>
      </c>
      <c r="G1808" s="1" t="s">
        <v>32</v>
      </c>
      <c r="H1808" s="1" t="n">
        <v>2110405</v>
      </c>
      <c r="I1808" s="1" t="s">
        <v>83</v>
      </c>
      <c r="J1808" s="1" t="n">
        <v>1495710</v>
      </c>
      <c r="L1808" s="1" t="n">
        <v>741</v>
      </c>
      <c r="M1808" s="1" t="s">
        <v>41</v>
      </c>
      <c r="N1808" s="1" t="s">
        <v>42</v>
      </c>
      <c r="P1808" s="1" t="n">
        <v>103</v>
      </c>
      <c r="Q1808" s="1" t="s">
        <v>36</v>
      </c>
      <c r="R1808" s="1" t="s">
        <v>37</v>
      </c>
      <c r="S1808" s="1" t="n">
        <v>1130101</v>
      </c>
      <c r="T1808" s="1" t="s">
        <v>38</v>
      </c>
      <c r="U1808" s="17" t="n">
        <v>700</v>
      </c>
      <c r="W1808" s="1" t="n">
        <v>700</v>
      </c>
      <c r="X1808" s="1" t="s">
        <v>2056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46237</v>
      </c>
      <c r="C1809" s="15" t="n">
        <v>46241</v>
      </c>
      <c r="D1809" s="1" t="n">
        <v>1899</v>
      </c>
      <c r="E1809" s="1" t="s">
        <v>74</v>
      </c>
      <c r="F1809" s="1" t="n">
        <v>24</v>
      </c>
      <c r="G1809" s="1" t="s">
        <v>32</v>
      </c>
      <c r="H1809" s="1" t="n">
        <v>2110405</v>
      </c>
      <c r="I1809" s="1" t="s">
        <v>83</v>
      </c>
      <c r="J1809" s="1" t="n">
        <v>1495726</v>
      </c>
      <c r="L1809" s="1" t="n">
        <v>742</v>
      </c>
      <c r="M1809" s="1" t="s">
        <v>41</v>
      </c>
      <c r="N1809" s="1" t="s">
        <v>42</v>
      </c>
      <c r="P1809" s="1" t="n">
        <v>103</v>
      </c>
      <c r="Q1809" s="1" t="s">
        <v>36</v>
      </c>
      <c r="R1809" s="1" t="s">
        <v>37</v>
      </c>
      <c r="S1809" s="1" t="n">
        <v>1130101</v>
      </c>
      <c r="T1809" s="1" t="s">
        <v>38</v>
      </c>
      <c r="U1809" s="17" t="n">
        <v>474.5</v>
      </c>
      <c r="W1809" s="1" t="n">
        <v>474.5</v>
      </c>
      <c r="X1809" s="1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1195</v>
      </c>
      <c r="E1810" s="1" t="s">
        <v>300</v>
      </c>
      <c r="F1810" s="1" t="n">
        <v>24</v>
      </c>
      <c r="G1810" s="1" t="s">
        <v>32</v>
      </c>
      <c r="H1810" s="1" t="n">
        <v>2110405</v>
      </c>
      <c r="I1810" s="1" t="s">
        <v>83</v>
      </c>
      <c r="J1810" s="1" t="n">
        <v>1152372</v>
      </c>
      <c r="L1810" s="1" t="n">
        <v>480964</v>
      </c>
      <c r="M1810" s="1" t="s">
        <v>34</v>
      </c>
      <c r="N1810" s="1" t="s">
        <v>42</v>
      </c>
      <c r="P1810" s="1" t="n">
        <v>102</v>
      </c>
      <c r="Q1810" s="1" t="s">
        <v>107</v>
      </c>
      <c r="R1810" s="1" t="s">
        <v>85</v>
      </c>
      <c r="S1810" s="1" t="n">
        <v>4210311</v>
      </c>
      <c r="T1810" s="1" t="s">
        <v>301</v>
      </c>
      <c r="U1810" s="17" t="n">
        <v>3001.44</v>
      </c>
      <c r="W1810" s="1" t="n">
        <v>3001.44</v>
      </c>
      <c r="X1810" s="1" t="s">
        <v>1134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1000001</v>
      </c>
      <c r="E1811" s="1" t="s">
        <v>782</v>
      </c>
      <c r="F1811" s="1" t="n">
        <v>24</v>
      </c>
      <c r="G1811" s="1" t="s">
        <v>32</v>
      </c>
      <c r="H1811" s="1" t="n">
        <v>2110405</v>
      </c>
      <c r="I1811" s="1" t="s">
        <v>83</v>
      </c>
      <c r="J1811" s="1" t="n">
        <v>1463045</v>
      </c>
      <c r="L1811" s="1" t="n">
        <v>601783</v>
      </c>
      <c r="M1811" s="1" t="s">
        <v>34</v>
      </c>
      <c r="N1811" s="1" t="s">
        <v>42</v>
      </c>
      <c r="P1811" s="1" t="n">
        <v>102</v>
      </c>
      <c r="Q1811" s="1" t="s">
        <v>107</v>
      </c>
      <c r="R1811" s="1" t="s">
        <v>91</v>
      </c>
      <c r="S1811" s="1" t="n">
        <v>4220199</v>
      </c>
      <c r="T1811" s="1" t="s">
        <v>92</v>
      </c>
      <c r="U1811" s="17" t="n">
        <v>2413.98</v>
      </c>
      <c r="W1811" s="1" t="n">
        <v>2413.98</v>
      </c>
      <c r="X1811" s="1" t="s">
        <v>1773</v>
      </c>
      <c r="Z1811" s="1" t="str">
        <f aca="false">IF($T1811="","",IFERROR(INDEX('Resumo Grupos'!$AC$3:$AC$200,MATCH($T1811,'Resumo Grupos'!$AB$3:$AB$200,0)),"n/d"))</f>
        <v>Pagamentos outros não operacionais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1779</v>
      </c>
      <c r="E1812" s="1" t="s">
        <v>864</v>
      </c>
      <c r="F1812" s="1" t="n">
        <v>34</v>
      </c>
      <c r="G1812" s="1" t="s">
        <v>71</v>
      </c>
      <c r="H1812" s="1" t="n">
        <v>2110405</v>
      </c>
      <c r="I1812" s="1" t="s">
        <v>83</v>
      </c>
      <c r="J1812" s="1" t="n">
        <v>1513472</v>
      </c>
      <c r="L1812" s="1" t="n">
        <v>619925</v>
      </c>
      <c r="M1812" s="1" t="s">
        <v>41</v>
      </c>
      <c r="N1812" s="1" t="s">
        <v>42</v>
      </c>
      <c r="P1812" s="1" t="n">
        <v>102</v>
      </c>
      <c r="Q1812" s="1" t="s">
        <v>107</v>
      </c>
      <c r="R1812" s="1" t="s">
        <v>108</v>
      </c>
      <c r="S1812" s="1" t="n">
        <v>4210504</v>
      </c>
      <c r="T1812" s="1" t="s">
        <v>174</v>
      </c>
      <c r="U1812" s="17" t="n">
        <v>93.1</v>
      </c>
      <c r="W1812" s="1" t="n">
        <v>0</v>
      </c>
      <c r="X1812" s="1" t="s">
        <v>2058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46241</v>
      </c>
      <c r="D1813" s="1" t="n">
        <v>515</v>
      </c>
      <c r="E1813" s="1" t="s">
        <v>106</v>
      </c>
      <c r="F1813" s="1" t="n">
        <v>34</v>
      </c>
      <c r="G1813" s="1" t="s">
        <v>71</v>
      </c>
      <c r="H1813" s="1" t="n">
        <v>2110405</v>
      </c>
      <c r="I1813" s="1" t="s">
        <v>83</v>
      </c>
      <c r="J1813" s="1" t="n">
        <v>1513478</v>
      </c>
      <c r="L1813" s="1" t="n">
        <v>619928</v>
      </c>
      <c r="M1813" s="1" t="s">
        <v>41</v>
      </c>
      <c r="N1813" s="1" t="s">
        <v>42</v>
      </c>
      <c r="P1813" s="1" t="n">
        <v>102</v>
      </c>
      <c r="Q1813" s="1" t="s">
        <v>107</v>
      </c>
      <c r="R1813" s="1" t="s">
        <v>91</v>
      </c>
      <c r="S1813" s="1" t="n">
        <v>4220199</v>
      </c>
      <c r="T1813" s="1" t="s">
        <v>92</v>
      </c>
      <c r="U1813" s="17" t="n">
        <v>100</v>
      </c>
      <c r="W1813" s="1" t="n">
        <v>100</v>
      </c>
      <c r="X1813" s="1" t="s">
        <v>2059</v>
      </c>
      <c r="Z1813" s="1" t="str">
        <f aca="false">IF($T1813="","",IFERROR(INDEX('Resumo Grupos'!$AC$3:$AC$200,MATCH($T1813,'Resumo Grupos'!$AB$3:$AB$200,0)),"n/d"))</f>
        <v>Pagamentos outros não operacionais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46241</v>
      </c>
      <c r="D1814" s="1" t="n">
        <v>17</v>
      </c>
      <c r="E1814" s="1" t="s">
        <v>94</v>
      </c>
      <c r="F1814" s="1" t="n">
        <v>34</v>
      </c>
      <c r="G1814" s="1" t="s">
        <v>71</v>
      </c>
      <c r="H1814" s="1" t="n">
        <v>2110405</v>
      </c>
      <c r="I1814" s="1" t="s">
        <v>83</v>
      </c>
      <c r="J1814" s="1" t="n">
        <v>1514377</v>
      </c>
      <c r="L1814" s="1" t="n">
        <v>620132</v>
      </c>
      <c r="M1814" s="1" t="s">
        <v>41</v>
      </c>
      <c r="N1814" s="1" t="s">
        <v>42</v>
      </c>
      <c r="P1814" s="1" t="n">
        <v>101</v>
      </c>
      <c r="Q1814" s="1" t="s">
        <v>84</v>
      </c>
      <c r="R1814" s="1" t="s">
        <v>91</v>
      </c>
      <c r="S1814" s="1" t="n">
        <v>4220199</v>
      </c>
      <c r="T1814" s="1" t="s">
        <v>92</v>
      </c>
      <c r="U1814" s="17" t="n">
        <v>1303.99</v>
      </c>
      <c r="W1814" s="1" t="n">
        <v>1303.99</v>
      </c>
      <c r="X1814" s="1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46241</v>
      </c>
      <c r="C1815" s="15" t="n">
        <v>46241</v>
      </c>
      <c r="D1815" s="1" t="n">
        <v>33</v>
      </c>
      <c r="E1815" s="1" t="s">
        <v>70</v>
      </c>
      <c r="F1815" s="1" t="n">
        <v>34</v>
      </c>
      <c r="G1815" s="1" t="s">
        <v>71</v>
      </c>
      <c r="H1815" s="1" t="n">
        <v>2110101</v>
      </c>
      <c r="I1815" s="1" t="s">
        <v>33</v>
      </c>
      <c r="J1815" s="1" t="n">
        <v>1514611</v>
      </c>
      <c r="L1815" s="1" t="n">
        <v>5453</v>
      </c>
      <c r="M1815" s="1" t="s">
        <v>41</v>
      </c>
      <c r="N1815" s="1" t="s">
        <v>35</v>
      </c>
      <c r="P1815" s="1" t="n">
        <v>104</v>
      </c>
      <c r="Q1815" s="1" t="s">
        <v>99</v>
      </c>
      <c r="R1815" s="1" t="s">
        <v>37</v>
      </c>
      <c r="S1815" s="1" t="n">
        <v>1130101</v>
      </c>
      <c r="T1815" s="1" t="s">
        <v>38</v>
      </c>
      <c r="U1815" s="17" t="n">
        <v>3404</v>
      </c>
      <c r="W1815" s="1" t="n">
        <v>3404</v>
      </c>
      <c r="X1815" s="1" t="s">
        <v>172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46241</v>
      </c>
      <c r="C1816" s="15" t="n">
        <v>46241</v>
      </c>
      <c r="D1816" s="1" t="n">
        <v>33</v>
      </c>
      <c r="E1816" s="1" t="s">
        <v>70</v>
      </c>
      <c r="F1816" s="1" t="n">
        <v>34</v>
      </c>
      <c r="G1816" s="1" t="s">
        <v>71</v>
      </c>
      <c r="H1816" s="1" t="n">
        <v>2110101</v>
      </c>
      <c r="I1816" s="1" t="s">
        <v>33</v>
      </c>
      <c r="J1816" s="1" t="n">
        <v>1514687</v>
      </c>
      <c r="L1816" s="1" t="n">
        <v>5454</v>
      </c>
      <c r="M1816" s="1" t="s">
        <v>41</v>
      </c>
      <c r="N1816" s="1" t="s">
        <v>35</v>
      </c>
      <c r="P1816" s="1" t="n">
        <v>104</v>
      </c>
      <c r="Q1816" s="1" t="s">
        <v>99</v>
      </c>
      <c r="R1816" s="1" t="s">
        <v>37</v>
      </c>
      <c r="S1816" s="1" t="n">
        <v>1130101</v>
      </c>
      <c r="T1816" s="1" t="s">
        <v>38</v>
      </c>
      <c r="U1816" s="17" t="n">
        <v>830</v>
      </c>
      <c r="W1816" s="1" t="n">
        <v>830</v>
      </c>
      <c r="X1816" s="1" t="s">
        <v>2061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46241</v>
      </c>
      <c r="D1817" s="1" t="n">
        <v>10096</v>
      </c>
      <c r="E1817" s="1" t="s">
        <v>1496</v>
      </c>
      <c r="F1817" s="1" t="n">
        <v>13</v>
      </c>
      <c r="G1817" s="1" t="s">
        <v>98</v>
      </c>
      <c r="H1817" s="1" t="n">
        <v>2110101</v>
      </c>
      <c r="I1817" s="1" t="s">
        <v>33</v>
      </c>
      <c r="J1817" s="1" t="n">
        <v>1515613</v>
      </c>
      <c r="L1817" s="1" t="n">
        <v>131</v>
      </c>
      <c r="M1817" s="1" t="s">
        <v>41</v>
      </c>
      <c r="N1817" s="1" t="s">
        <v>35</v>
      </c>
      <c r="P1817" s="1" t="n">
        <v>104</v>
      </c>
      <c r="Q1817" s="1" t="s">
        <v>99</v>
      </c>
      <c r="R1817" s="1" t="s">
        <v>37</v>
      </c>
      <c r="S1817" s="1" t="n">
        <v>1130101</v>
      </c>
      <c r="T1817" s="1" t="s">
        <v>38</v>
      </c>
      <c r="U1817" s="17" t="n">
        <v>420</v>
      </c>
      <c r="W1817" s="1" t="n">
        <v>0</v>
      </c>
      <c r="X1817" s="1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46241</v>
      </c>
      <c r="D1818" s="1" t="n">
        <v>1783</v>
      </c>
      <c r="E1818" s="1" t="s">
        <v>899</v>
      </c>
      <c r="F1818" s="1" t="n">
        <v>13</v>
      </c>
      <c r="G1818" s="1" t="s">
        <v>98</v>
      </c>
      <c r="H1818" s="1" t="n">
        <v>2110101</v>
      </c>
      <c r="I1818" s="1" t="s">
        <v>33</v>
      </c>
      <c r="J1818" s="1" t="n">
        <v>1515625</v>
      </c>
      <c r="L1818" s="1" t="n">
        <v>526</v>
      </c>
      <c r="M1818" s="1" t="s">
        <v>41</v>
      </c>
      <c r="N1818" s="1" t="s">
        <v>35</v>
      </c>
      <c r="P1818" s="1" t="n">
        <v>104</v>
      </c>
      <c r="Q1818" s="1" t="s">
        <v>99</v>
      </c>
      <c r="R1818" s="1" t="s">
        <v>37</v>
      </c>
      <c r="S1818" s="1" t="n">
        <v>1130101</v>
      </c>
      <c r="T1818" s="1" t="s">
        <v>38</v>
      </c>
      <c r="U1818" s="17" t="n">
        <v>160.32</v>
      </c>
      <c r="W1818" s="1" t="n">
        <v>0</v>
      </c>
      <c r="X1818" s="1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46241</v>
      </c>
      <c r="D1819" s="1" t="n">
        <v>10035</v>
      </c>
      <c r="E1819" s="1" t="s">
        <v>336</v>
      </c>
      <c r="F1819" s="1" t="n">
        <v>13</v>
      </c>
      <c r="G1819" s="1" t="s">
        <v>98</v>
      </c>
      <c r="H1819" s="1" t="n">
        <v>2110101</v>
      </c>
      <c r="I1819" s="1" t="s">
        <v>33</v>
      </c>
      <c r="J1819" s="1" t="n">
        <v>1518708</v>
      </c>
      <c r="L1819" s="1" t="n">
        <v>396</v>
      </c>
      <c r="M1819" s="1" t="s">
        <v>41</v>
      </c>
      <c r="N1819" s="1" t="s">
        <v>35</v>
      </c>
      <c r="P1819" s="1" t="n">
        <v>104</v>
      </c>
      <c r="Q1819" s="1" t="s">
        <v>99</v>
      </c>
      <c r="R1819" s="1" t="s">
        <v>37</v>
      </c>
      <c r="S1819" s="1" t="n">
        <v>1130101</v>
      </c>
      <c r="T1819" s="1" t="s">
        <v>38</v>
      </c>
      <c r="U1819" s="17" t="n">
        <v>470</v>
      </c>
      <c r="W1819" s="1" t="n">
        <v>0</v>
      </c>
      <c r="X1819" s="1" t="s">
        <v>1756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46241</v>
      </c>
      <c r="C1820" s="15" t="n">
        <v>46241</v>
      </c>
      <c r="D1820" s="1" t="n">
        <v>1173</v>
      </c>
      <c r="E1820" s="1" t="s">
        <v>867</v>
      </c>
      <c r="F1820" s="1" t="n">
        <v>13</v>
      </c>
      <c r="G1820" s="1" t="s">
        <v>98</v>
      </c>
      <c r="H1820" s="1" t="n">
        <v>2110101</v>
      </c>
      <c r="I1820" s="1" t="s">
        <v>33</v>
      </c>
      <c r="J1820" s="1" t="n">
        <v>1518728</v>
      </c>
      <c r="L1820" s="1" t="n">
        <v>1046</v>
      </c>
      <c r="M1820" s="1" t="s">
        <v>41</v>
      </c>
      <c r="N1820" s="1" t="s">
        <v>35</v>
      </c>
      <c r="P1820" s="1" t="n">
        <v>104</v>
      </c>
      <c r="Q1820" s="1" t="s">
        <v>99</v>
      </c>
      <c r="R1820" s="1" t="s">
        <v>37</v>
      </c>
      <c r="S1820" s="1" t="n">
        <v>1130101</v>
      </c>
      <c r="T1820" s="1" t="s">
        <v>38</v>
      </c>
      <c r="U1820" s="17" t="n">
        <v>180</v>
      </c>
      <c r="W1820" s="1" t="n">
        <v>0</v>
      </c>
      <c r="X1820" s="1" t="s">
        <v>2064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46241</v>
      </c>
      <c r="C1821" s="15" t="n">
        <v>46241</v>
      </c>
      <c r="D1821" s="1" t="n">
        <v>1391</v>
      </c>
      <c r="E1821" s="1" t="s">
        <v>388</v>
      </c>
      <c r="F1821" s="1" t="n">
        <v>34</v>
      </c>
      <c r="G1821" s="1" t="s">
        <v>71</v>
      </c>
      <c r="H1821" s="1" t="n">
        <v>2110405</v>
      </c>
      <c r="I1821" s="1" t="s">
        <v>83</v>
      </c>
      <c r="J1821" s="1" t="n">
        <v>1529520</v>
      </c>
      <c r="L1821" s="1" t="n">
        <v>414</v>
      </c>
      <c r="M1821" s="1" t="s">
        <v>41</v>
      </c>
      <c r="N1821" s="1" t="s">
        <v>42</v>
      </c>
      <c r="P1821" s="1" t="n">
        <v>103</v>
      </c>
      <c r="Q1821" s="1" t="s">
        <v>36</v>
      </c>
      <c r="R1821" s="1" t="s">
        <v>37</v>
      </c>
      <c r="S1821" s="1" t="n">
        <v>1130101</v>
      </c>
      <c r="T1821" s="1" t="s">
        <v>38</v>
      </c>
      <c r="U1821" s="17" t="n">
        <v>360</v>
      </c>
      <c r="W1821" s="1" t="n">
        <v>360</v>
      </c>
      <c r="X1821" s="1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46202</v>
      </c>
      <c r="C1822" s="15" t="n">
        <v>46242</v>
      </c>
      <c r="D1822" s="1" t="n">
        <v>1624</v>
      </c>
      <c r="E1822" s="1" t="s">
        <v>244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1322405</v>
      </c>
      <c r="L1822" s="1" t="n">
        <v>660505</v>
      </c>
      <c r="M1822" s="1" t="s">
        <v>34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660</v>
      </c>
      <c r="W1822" s="1" t="n">
        <v>660</v>
      </c>
      <c r="X1822" s="1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46212</v>
      </c>
      <c r="C1823" s="15" t="n">
        <v>46242</v>
      </c>
      <c r="D1823" s="1" t="n">
        <v>10037</v>
      </c>
      <c r="E1823" s="1" t="s">
        <v>540</v>
      </c>
      <c r="F1823" s="1" t="n">
        <v>24</v>
      </c>
      <c r="G1823" s="1" t="s">
        <v>32</v>
      </c>
      <c r="H1823" s="1" t="n">
        <v>2110405</v>
      </c>
      <c r="I1823" s="1" t="s">
        <v>83</v>
      </c>
      <c r="J1823" s="1" t="n">
        <v>1374662</v>
      </c>
      <c r="L1823" s="1" t="n">
        <v>2737</v>
      </c>
      <c r="M1823" s="1" t="s">
        <v>34</v>
      </c>
      <c r="N1823" s="1" t="s">
        <v>42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527.3</v>
      </c>
      <c r="W1823" s="1" t="n">
        <v>527.3</v>
      </c>
      <c r="X1823" s="1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46237</v>
      </c>
      <c r="C1824" s="15" t="n">
        <v>46242</v>
      </c>
      <c r="D1824" s="1" t="n">
        <v>754</v>
      </c>
      <c r="E1824" s="1" t="s">
        <v>157</v>
      </c>
      <c r="F1824" s="1" t="n">
        <v>24</v>
      </c>
      <c r="G1824" s="1" t="s">
        <v>32</v>
      </c>
      <c r="H1824" s="1" t="n">
        <v>2110405</v>
      </c>
      <c r="I1824" s="1" t="s">
        <v>83</v>
      </c>
      <c r="J1824" s="1" t="n">
        <v>1495440</v>
      </c>
      <c r="L1824" s="1" t="n">
        <v>32187</v>
      </c>
      <c r="M1824" s="1" t="s">
        <v>41</v>
      </c>
      <c r="N1824" s="1" t="s">
        <v>42</v>
      </c>
      <c r="P1824" s="1" t="n">
        <v>103</v>
      </c>
      <c r="Q1824" s="1" t="s">
        <v>36</v>
      </c>
      <c r="R1824" s="1" t="s">
        <v>37</v>
      </c>
      <c r="S1824" s="1" t="n">
        <v>1130101</v>
      </c>
      <c r="T1824" s="1" t="s">
        <v>38</v>
      </c>
      <c r="U1824" s="17" t="n">
        <v>3557.5</v>
      </c>
      <c r="W1824" s="1" t="n">
        <v>3557.5</v>
      </c>
      <c r="X1824" s="1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46237</v>
      </c>
      <c r="C1825" s="15" t="n">
        <v>46242</v>
      </c>
      <c r="D1825" s="1" t="n">
        <v>1625</v>
      </c>
      <c r="E1825" s="1" t="s">
        <v>211</v>
      </c>
      <c r="F1825" s="1" t="n">
        <v>24</v>
      </c>
      <c r="G1825" s="1" t="s">
        <v>32</v>
      </c>
      <c r="H1825" s="1" t="n">
        <v>2110405</v>
      </c>
      <c r="I1825" s="1" t="s">
        <v>83</v>
      </c>
      <c r="J1825" s="1" t="n">
        <v>1495532</v>
      </c>
      <c r="L1825" s="1" t="n">
        <v>14907</v>
      </c>
      <c r="M1825" s="1" t="s">
        <v>41</v>
      </c>
      <c r="N1825" s="1" t="s">
        <v>42</v>
      </c>
      <c r="P1825" s="1" t="n">
        <v>103</v>
      </c>
      <c r="Q1825" s="1" t="s">
        <v>36</v>
      </c>
      <c r="R1825" s="1" t="s">
        <v>37</v>
      </c>
      <c r="S1825" s="1" t="n">
        <v>1130101</v>
      </c>
      <c r="T1825" s="1" t="s">
        <v>38</v>
      </c>
      <c r="U1825" s="17" t="n">
        <v>4044.8</v>
      </c>
      <c r="W1825" s="1" t="n">
        <v>4044.8</v>
      </c>
      <c r="X1825" s="1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46241</v>
      </c>
      <c r="C1826" s="15" t="n">
        <v>46242</v>
      </c>
      <c r="D1826" s="1" t="n">
        <v>33</v>
      </c>
      <c r="E1826" s="1" t="s">
        <v>70</v>
      </c>
      <c r="F1826" s="1" t="n">
        <v>34</v>
      </c>
      <c r="G1826" s="1" t="s">
        <v>71</v>
      </c>
      <c r="H1826" s="1" t="n">
        <v>2110101</v>
      </c>
      <c r="I1826" s="1" t="s">
        <v>33</v>
      </c>
      <c r="J1826" s="1" t="n">
        <v>1514851</v>
      </c>
      <c r="L1826" s="1" t="n">
        <v>5455</v>
      </c>
      <c r="M1826" s="1" t="s">
        <v>41</v>
      </c>
      <c r="N1826" s="1" t="s">
        <v>35</v>
      </c>
      <c r="P1826" s="1" t="n">
        <v>104</v>
      </c>
      <c r="Q1826" s="1" t="s">
        <v>99</v>
      </c>
      <c r="R1826" s="1" t="s">
        <v>37</v>
      </c>
      <c r="S1826" s="1" t="n">
        <v>1130101</v>
      </c>
      <c r="T1826" s="1" t="s">
        <v>38</v>
      </c>
      <c r="U1826" s="17" t="n">
        <v>3382</v>
      </c>
      <c r="W1826" s="1" t="n">
        <v>3382</v>
      </c>
      <c r="X1826" s="1" t="s">
        <v>220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46241</v>
      </c>
      <c r="C1827" s="15" t="n">
        <v>46242</v>
      </c>
      <c r="D1827" s="1" t="n">
        <v>1615</v>
      </c>
      <c r="E1827" s="1" t="s">
        <v>221</v>
      </c>
      <c r="F1827" s="1" t="n">
        <v>34</v>
      </c>
      <c r="G1827" s="1" t="s">
        <v>71</v>
      </c>
      <c r="H1827" s="1" t="n">
        <v>2110101</v>
      </c>
      <c r="I1827" s="1" t="s">
        <v>33</v>
      </c>
      <c r="J1827" s="1" t="n">
        <v>1514916</v>
      </c>
      <c r="L1827" s="1" t="n">
        <v>5456</v>
      </c>
      <c r="M1827" s="1" t="s">
        <v>41</v>
      </c>
      <c r="N1827" s="1" t="s">
        <v>35</v>
      </c>
      <c r="P1827" s="1" t="n">
        <v>104</v>
      </c>
      <c r="Q1827" s="1" t="s">
        <v>99</v>
      </c>
      <c r="R1827" s="1" t="s">
        <v>37</v>
      </c>
      <c r="S1827" s="1" t="n">
        <v>1130101</v>
      </c>
      <c r="T1827" s="1" t="s">
        <v>38</v>
      </c>
      <c r="U1827" s="17" t="n">
        <v>1610</v>
      </c>
      <c r="W1827" s="1" t="n">
        <v>1610</v>
      </c>
      <c r="X1827" s="1" t="s">
        <v>2070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46241</v>
      </c>
      <c r="C1828" s="15" t="n">
        <v>46242</v>
      </c>
      <c r="D1828" s="1" t="n">
        <v>33</v>
      </c>
      <c r="E1828" s="1" t="s">
        <v>70</v>
      </c>
      <c r="F1828" s="1" t="n">
        <v>34</v>
      </c>
      <c r="G1828" s="1" t="s">
        <v>71</v>
      </c>
      <c r="H1828" s="1" t="n">
        <v>2110405</v>
      </c>
      <c r="I1828" s="1" t="s">
        <v>83</v>
      </c>
      <c r="J1828" s="1" t="n">
        <v>1515329</v>
      </c>
      <c r="L1828" s="1" t="n">
        <v>620434</v>
      </c>
      <c r="M1828" s="1" t="s">
        <v>41</v>
      </c>
      <c r="N1828" s="1" t="s">
        <v>42</v>
      </c>
      <c r="P1828" s="1" t="n">
        <v>104</v>
      </c>
      <c r="Q1828" s="1" t="s">
        <v>99</v>
      </c>
      <c r="R1828" s="1" t="s">
        <v>37</v>
      </c>
      <c r="S1828" s="1" t="n">
        <v>1130101</v>
      </c>
      <c r="T1828" s="1" t="s">
        <v>38</v>
      </c>
      <c r="U1828" s="17" t="n">
        <v>70</v>
      </c>
      <c r="W1828" s="1" t="n">
        <v>70</v>
      </c>
      <c r="X1828" s="1" t="s">
        <v>1044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46242</v>
      </c>
      <c r="C1829" s="15" t="n">
        <v>46242</v>
      </c>
      <c r="D1829" s="1" t="n">
        <v>978</v>
      </c>
      <c r="E1829" s="1" t="s">
        <v>97</v>
      </c>
      <c r="F1829" s="1" t="n">
        <v>13</v>
      </c>
      <c r="G1829" s="1" t="s">
        <v>98</v>
      </c>
      <c r="H1829" s="1" t="n">
        <v>2110101</v>
      </c>
      <c r="I1829" s="1" t="s">
        <v>33</v>
      </c>
      <c r="J1829" s="1" t="n">
        <v>1518674</v>
      </c>
      <c r="L1829" s="1" t="n">
        <v>455</v>
      </c>
      <c r="M1829" s="1" t="s">
        <v>41</v>
      </c>
      <c r="N1829" s="1" t="s">
        <v>35</v>
      </c>
      <c r="P1829" s="1" t="n">
        <v>104</v>
      </c>
      <c r="Q1829" s="1" t="s">
        <v>99</v>
      </c>
      <c r="R1829" s="1" t="s">
        <v>37</v>
      </c>
      <c r="S1829" s="1" t="n">
        <v>1130101</v>
      </c>
      <c r="T1829" s="1" t="s">
        <v>38</v>
      </c>
      <c r="U1829" s="17" t="n">
        <v>390</v>
      </c>
      <c r="W1829" s="1" t="n">
        <v>0</v>
      </c>
      <c r="X1829" s="1" t="s">
        <v>2071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46242</v>
      </c>
      <c r="C1830" s="15" t="n">
        <v>46242</v>
      </c>
      <c r="D1830" s="1" t="n">
        <v>10096</v>
      </c>
      <c r="E1830" s="1" t="s">
        <v>1496</v>
      </c>
      <c r="F1830" s="1" t="n">
        <v>13</v>
      </c>
      <c r="G1830" s="1" t="s">
        <v>98</v>
      </c>
      <c r="H1830" s="1" t="n">
        <v>2110101</v>
      </c>
      <c r="I1830" s="1" t="s">
        <v>33</v>
      </c>
      <c r="J1830" s="1" t="n">
        <v>1528968</v>
      </c>
      <c r="L1830" s="1" t="n">
        <v>140</v>
      </c>
      <c r="M1830" s="1" t="s">
        <v>41</v>
      </c>
      <c r="N1830" s="1" t="s">
        <v>35</v>
      </c>
      <c r="P1830" s="1" t="n">
        <v>104</v>
      </c>
      <c r="Q1830" s="1" t="s">
        <v>99</v>
      </c>
      <c r="R1830" s="1" t="s">
        <v>37</v>
      </c>
      <c r="S1830" s="1" t="n">
        <v>1130101</v>
      </c>
      <c r="T1830" s="1" t="s">
        <v>38</v>
      </c>
      <c r="U1830" s="17" t="n">
        <v>840</v>
      </c>
      <c r="W1830" s="1" t="n">
        <v>0</v>
      </c>
      <c r="X1830" s="1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46203</v>
      </c>
      <c r="C1831" s="15" t="n">
        <v>46243</v>
      </c>
      <c r="D1831" s="1" t="n">
        <v>10011</v>
      </c>
      <c r="E1831" s="1" t="s">
        <v>189</v>
      </c>
      <c r="F1831" s="1" t="n">
        <v>24</v>
      </c>
      <c r="G1831" s="1" t="s">
        <v>32</v>
      </c>
      <c r="H1831" s="1" t="n">
        <v>2110101</v>
      </c>
      <c r="I1831" s="1" t="s">
        <v>33</v>
      </c>
      <c r="J1831" s="1" t="n">
        <v>1330475</v>
      </c>
      <c r="L1831" s="1" t="n">
        <v>34300</v>
      </c>
      <c r="M1831" s="1" t="s">
        <v>128</v>
      </c>
      <c r="N1831" s="1" t="s">
        <v>35</v>
      </c>
      <c r="P1831" s="1" t="n">
        <v>103</v>
      </c>
      <c r="Q1831" s="1" t="s">
        <v>36</v>
      </c>
      <c r="R1831" s="1" t="s">
        <v>37</v>
      </c>
      <c r="S1831" s="1" t="n">
        <v>1130101</v>
      </c>
      <c r="T1831" s="1" t="s">
        <v>38</v>
      </c>
      <c r="U1831" s="17" t="n">
        <v>3377.6</v>
      </c>
      <c r="W1831" s="1" t="n">
        <v>3377.6</v>
      </c>
      <c r="X1831" s="1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46209</v>
      </c>
      <c r="C1832" s="15" t="n">
        <v>46243</v>
      </c>
      <c r="D1832" s="1" t="n">
        <v>10020</v>
      </c>
      <c r="E1832" s="1" t="s">
        <v>260</v>
      </c>
      <c r="F1832" s="1" t="n">
        <v>24</v>
      </c>
      <c r="G1832" s="1" t="s">
        <v>32</v>
      </c>
      <c r="H1832" s="1" t="n">
        <v>2110101</v>
      </c>
      <c r="I1832" s="1" t="s">
        <v>33</v>
      </c>
      <c r="J1832" s="1" t="n">
        <v>1360452</v>
      </c>
      <c r="L1832" s="1" t="n">
        <v>707</v>
      </c>
      <c r="M1832" s="1" t="s">
        <v>394</v>
      </c>
      <c r="N1832" s="1" t="s">
        <v>35</v>
      </c>
      <c r="P1832" s="1" t="n">
        <v>103</v>
      </c>
      <c r="Q1832" s="1" t="s">
        <v>36</v>
      </c>
      <c r="R1832" s="1" t="s">
        <v>37</v>
      </c>
      <c r="S1832" s="1" t="n">
        <v>1130101</v>
      </c>
      <c r="T1832" s="1" t="s">
        <v>38</v>
      </c>
      <c r="U1832" s="17" t="n">
        <v>410.7</v>
      </c>
      <c r="W1832" s="1" t="n">
        <v>410.7</v>
      </c>
      <c r="X1832" s="1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46029</v>
      </c>
      <c r="C1833" s="15" t="n">
        <v>46244</v>
      </c>
      <c r="D1833" s="1" t="n">
        <v>105</v>
      </c>
      <c r="E1833" s="1" t="s">
        <v>427</v>
      </c>
      <c r="F1833" s="1" t="n">
        <v>46</v>
      </c>
      <c r="G1833" s="1" t="s">
        <v>428</v>
      </c>
      <c r="H1833" s="1" t="n">
        <v>2110405</v>
      </c>
      <c r="I1833" s="1" t="s">
        <v>83</v>
      </c>
      <c r="J1833" s="1" t="n">
        <v>651504</v>
      </c>
      <c r="L1833" s="1" t="n">
        <v>287048</v>
      </c>
      <c r="M1833" s="1" t="s">
        <v>1696</v>
      </c>
      <c r="N1833" s="1" t="s">
        <v>42</v>
      </c>
      <c r="P1833" s="1" t="n">
        <v>101</v>
      </c>
      <c r="Q1833" s="1" t="s">
        <v>84</v>
      </c>
      <c r="R1833" s="1" t="s">
        <v>91</v>
      </c>
      <c r="S1833" s="1" t="n">
        <v>4220199</v>
      </c>
      <c r="T1833" s="1" t="s">
        <v>92</v>
      </c>
      <c r="U1833" s="17" t="n">
        <v>1567.08</v>
      </c>
      <c r="W1833" s="1" t="n">
        <v>0</v>
      </c>
      <c r="X1833" s="1" t="s">
        <v>2075</v>
      </c>
      <c r="Z1833" s="1" t="str">
        <f aca="false">IF($T1833="","",IFERROR(INDEX('Resumo Grupos'!$AC$3:$AC$200,MATCH($T1833,'Resumo Grupos'!$AB$3:$AB$200,0)),"n/d"))</f>
        <v>Pagamentos outros não operacionais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46092</v>
      </c>
      <c r="C1834" s="15" t="n">
        <v>46244</v>
      </c>
      <c r="D1834" s="1" t="n">
        <v>1835</v>
      </c>
      <c r="E1834" s="1" t="s">
        <v>433</v>
      </c>
      <c r="F1834" s="1" t="n">
        <v>46</v>
      </c>
      <c r="G1834" s="1" t="s">
        <v>428</v>
      </c>
      <c r="H1834" s="1" t="n">
        <v>2110405</v>
      </c>
      <c r="I1834" s="1" t="s">
        <v>83</v>
      </c>
      <c r="J1834" s="1" t="n">
        <v>927300</v>
      </c>
      <c r="L1834" s="1" t="n">
        <v>99886</v>
      </c>
      <c r="M1834" s="1" t="s">
        <v>234</v>
      </c>
      <c r="N1834" s="1" t="s">
        <v>42</v>
      </c>
      <c r="P1834" s="1" t="n">
        <v>101</v>
      </c>
      <c r="Q1834" s="1" t="s">
        <v>84</v>
      </c>
      <c r="R1834" s="1" t="s">
        <v>60</v>
      </c>
      <c r="S1834" s="1" t="n">
        <v>4210228</v>
      </c>
      <c r="T1834" s="1" t="s">
        <v>434</v>
      </c>
      <c r="U1834" s="17" t="n">
        <v>225.13</v>
      </c>
      <c r="W1834" s="1" t="n">
        <v>0</v>
      </c>
      <c r="X1834" s="1" t="s">
        <v>2076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46135</v>
      </c>
      <c r="C1835" s="15" t="n">
        <v>46244</v>
      </c>
      <c r="D1835" s="1" t="n">
        <v>1758</v>
      </c>
      <c r="E1835" s="1" t="s">
        <v>451</v>
      </c>
      <c r="F1835" s="1" t="n">
        <v>46</v>
      </c>
      <c r="G1835" s="1" t="s">
        <v>428</v>
      </c>
      <c r="H1835" s="1" t="n">
        <v>2110405</v>
      </c>
      <c r="I1835" s="1" t="s">
        <v>83</v>
      </c>
      <c r="J1835" s="1" t="n">
        <v>993744</v>
      </c>
      <c r="L1835" s="1" t="n">
        <v>420093</v>
      </c>
      <c r="M1835" s="1" t="s">
        <v>394</v>
      </c>
      <c r="N1835" s="1" t="s">
        <v>42</v>
      </c>
      <c r="P1835" s="1" t="n">
        <v>101</v>
      </c>
      <c r="Q1835" s="1" t="s">
        <v>84</v>
      </c>
      <c r="R1835" s="1" t="s">
        <v>91</v>
      </c>
      <c r="S1835" s="1" t="n">
        <v>4220199</v>
      </c>
      <c r="T1835" s="1" t="s">
        <v>92</v>
      </c>
      <c r="U1835" s="17" t="n">
        <v>130</v>
      </c>
      <c r="W1835" s="1" t="n">
        <v>0</v>
      </c>
      <c r="X1835" s="1" t="s">
        <v>2077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46139</v>
      </c>
      <c r="C1836" s="15" t="n">
        <v>46244</v>
      </c>
      <c r="D1836" s="1" t="n">
        <v>1835</v>
      </c>
      <c r="E1836" s="1" t="s">
        <v>433</v>
      </c>
      <c r="F1836" s="1" t="n">
        <v>46</v>
      </c>
      <c r="G1836" s="1" t="s">
        <v>428</v>
      </c>
      <c r="H1836" s="1" t="n">
        <v>2110405</v>
      </c>
      <c r="I1836" s="1" t="s">
        <v>83</v>
      </c>
      <c r="J1836" s="1" t="n">
        <v>1014538</v>
      </c>
      <c r="L1836" s="1" t="n">
        <v>102658</v>
      </c>
      <c r="M1836" s="1" t="s">
        <v>128</v>
      </c>
      <c r="N1836" s="1" t="s">
        <v>42</v>
      </c>
      <c r="P1836" s="1" t="n">
        <v>101</v>
      </c>
      <c r="Q1836" s="1" t="s">
        <v>84</v>
      </c>
      <c r="R1836" s="1" t="s">
        <v>60</v>
      </c>
      <c r="S1836" s="1" t="n">
        <v>4210227</v>
      </c>
      <c r="T1836" s="1" t="s">
        <v>418</v>
      </c>
      <c r="U1836" s="17" t="n">
        <v>103.11</v>
      </c>
      <c r="W1836" s="1" t="n">
        <v>0</v>
      </c>
      <c r="X1836" s="1" t="s">
        <v>2078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46112</v>
      </c>
      <c r="C1837" s="15" t="n">
        <v>46244</v>
      </c>
      <c r="D1837" s="1" t="n">
        <v>10006</v>
      </c>
      <c r="E1837" s="1" t="s">
        <v>274</v>
      </c>
      <c r="F1837" s="1" t="n">
        <v>46</v>
      </c>
      <c r="G1837" s="1" t="s">
        <v>428</v>
      </c>
      <c r="H1837" s="1" t="n">
        <v>2110405</v>
      </c>
      <c r="I1837" s="1" t="s">
        <v>83</v>
      </c>
      <c r="J1837" s="1" t="n">
        <v>1085756</v>
      </c>
      <c r="L1837" s="1" t="n">
        <v>455404</v>
      </c>
      <c r="M1837" s="1" t="s">
        <v>394</v>
      </c>
      <c r="N1837" s="1" t="s">
        <v>42</v>
      </c>
      <c r="P1837" s="1" t="n">
        <v>101</v>
      </c>
      <c r="Q1837" s="1" t="s">
        <v>84</v>
      </c>
      <c r="R1837" s="1" t="s">
        <v>60</v>
      </c>
      <c r="S1837" s="1" t="n">
        <v>4210232</v>
      </c>
      <c r="T1837" s="1" t="s">
        <v>431</v>
      </c>
      <c r="U1837" s="17" t="n">
        <v>375</v>
      </c>
      <c r="W1837" s="1" t="n">
        <v>0</v>
      </c>
      <c r="X1837" s="1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46169</v>
      </c>
      <c r="C1838" s="15" t="n">
        <v>46244</v>
      </c>
      <c r="D1838" s="1" t="n">
        <v>546</v>
      </c>
      <c r="E1838" s="1" t="s">
        <v>1287</v>
      </c>
      <c r="F1838" s="1" t="n">
        <v>46</v>
      </c>
      <c r="G1838" s="1" t="s">
        <v>428</v>
      </c>
      <c r="H1838" s="1" t="n">
        <v>2110405</v>
      </c>
      <c r="I1838" s="1" t="s">
        <v>83</v>
      </c>
      <c r="J1838" s="1" t="n">
        <v>1176263</v>
      </c>
      <c r="L1838" s="1" t="n">
        <v>2639</v>
      </c>
      <c r="M1838" s="1" t="s">
        <v>34</v>
      </c>
      <c r="N1838" s="1" t="s">
        <v>42</v>
      </c>
      <c r="P1838" s="1" t="n">
        <v>101</v>
      </c>
      <c r="Q1838" s="1" t="s">
        <v>84</v>
      </c>
      <c r="R1838" s="1" t="s">
        <v>60</v>
      </c>
      <c r="S1838" s="1" t="n">
        <v>4210227</v>
      </c>
      <c r="T1838" s="1" t="s">
        <v>418</v>
      </c>
      <c r="U1838" s="17" t="n">
        <v>158.85</v>
      </c>
      <c r="W1838" s="1" t="n">
        <v>0</v>
      </c>
      <c r="X1838" s="1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46182</v>
      </c>
      <c r="C1839" s="15" t="n">
        <v>46244</v>
      </c>
      <c r="D1839" s="1" t="n">
        <v>1898</v>
      </c>
      <c r="E1839" s="1" t="s">
        <v>441</v>
      </c>
      <c r="F1839" s="1" t="n">
        <v>46</v>
      </c>
      <c r="G1839" s="1" t="s">
        <v>428</v>
      </c>
      <c r="H1839" s="1" t="n">
        <v>2110405</v>
      </c>
      <c r="I1839" s="1" t="s">
        <v>83</v>
      </c>
      <c r="J1839" s="1" t="n">
        <v>1226797</v>
      </c>
      <c r="L1839" s="1" t="n">
        <v>5536</v>
      </c>
      <c r="M1839" s="1" t="s">
        <v>34</v>
      </c>
      <c r="N1839" s="1" t="s">
        <v>42</v>
      </c>
      <c r="P1839" s="1" t="n">
        <v>101</v>
      </c>
      <c r="Q1839" s="1" t="s">
        <v>84</v>
      </c>
      <c r="R1839" s="1" t="s">
        <v>60</v>
      </c>
      <c r="S1839" s="1" t="n">
        <v>4210226</v>
      </c>
      <c r="T1839" s="1" t="s">
        <v>438</v>
      </c>
      <c r="U1839" s="17" t="n">
        <v>157.89</v>
      </c>
      <c r="W1839" s="1" t="n">
        <v>0</v>
      </c>
      <c r="X1839" s="1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46153</v>
      </c>
      <c r="C1840" s="15" t="n">
        <v>46244</v>
      </c>
      <c r="D1840" s="1" t="n">
        <v>1898</v>
      </c>
      <c r="E1840" s="1" t="s">
        <v>441</v>
      </c>
      <c r="F1840" s="1" t="n">
        <v>46</v>
      </c>
      <c r="G1840" s="1" t="s">
        <v>428</v>
      </c>
      <c r="H1840" s="1" t="n">
        <v>2110405</v>
      </c>
      <c r="I1840" s="1" t="s">
        <v>83</v>
      </c>
      <c r="J1840" s="1" t="n">
        <v>1230688</v>
      </c>
      <c r="L1840" s="1" t="n">
        <v>5484</v>
      </c>
      <c r="M1840" s="1" t="s">
        <v>128</v>
      </c>
      <c r="N1840" s="1" t="s">
        <v>42</v>
      </c>
      <c r="P1840" s="1" t="n">
        <v>101</v>
      </c>
      <c r="Q1840" s="1" t="s">
        <v>84</v>
      </c>
      <c r="R1840" s="1" t="s">
        <v>60</v>
      </c>
      <c r="S1840" s="1" t="n">
        <v>4210205</v>
      </c>
      <c r="T1840" s="1" t="s">
        <v>442</v>
      </c>
      <c r="U1840" s="17" t="n">
        <v>120.12</v>
      </c>
      <c r="W1840" s="1" t="n">
        <v>0</v>
      </c>
      <c r="X1840" s="1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46183</v>
      </c>
      <c r="C1841" s="15" t="n">
        <v>46244</v>
      </c>
      <c r="D1841" s="1" t="n">
        <v>1747</v>
      </c>
      <c r="E1841" s="1" t="s">
        <v>1292</v>
      </c>
      <c r="F1841" s="1" t="n">
        <v>46</v>
      </c>
      <c r="G1841" s="1" t="s">
        <v>428</v>
      </c>
      <c r="H1841" s="1" t="n">
        <v>2110405</v>
      </c>
      <c r="I1841" s="1" t="s">
        <v>83</v>
      </c>
      <c r="J1841" s="1" t="n">
        <v>1231737</v>
      </c>
      <c r="L1841" s="1" t="n">
        <v>1529878</v>
      </c>
      <c r="M1841" s="1" t="s">
        <v>34</v>
      </c>
      <c r="N1841" s="1" t="s">
        <v>42</v>
      </c>
      <c r="P1841" s="1" t="n">
        <v>101</v>
      </c>
      <c r="Q1841" s="1" t="s">
        <v>84</v>
      </c>
      <c r="R1841" s="1" t="s">
        <v>85</v>
      </c>
      <c r="S1841" s="1" t="n">
        <v>4210317</v>
      </c>
      <c r="T1841" s="1" t="s">
        <v>457</v>
      </c>
      <c r="U1841" s="17" t="n">
        <v>116.07</v>
      </c>
      <c r="W1841" s="1" t="n">
        <v>0</v>
      </c>
      <c r="X1841" s="1" t="s">
        <v>1293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46204</v>
      </c>
      <c r="C1842" s="15" t="n">
        <v>46244</v>
      </c>
      <c r="D1842" s="1" t="n">
        <v>1008</v>
      </c>
      <c r="E1842" s="1" t="s">
        <v>2083</v>
      </c>
      <c r="F1842" s="1" t="n">
        <v>46</v>
      </c>
      <c r="G1842" s="1" t="s">
        <v>428</v>
      </c>
      <c r="H1842" s="1" t="n">
        <v>2110405</v>
      </c>
      <c r="I1842" s="1" t="s">
        <v>83</v>
      </c>
      <c r="J1842" s="1" t="n">
        <v>1336323</v>
      </c>
      <c r="L1842" s="1" t="n">
        <v>1657</v>
      </c>
      <c r="M1842" s="1" t="s">
        <v>41</v>
      </c>
      <c r="N1842" s="1" t="s">
        <v>42</v>
      </c>
      <c r="P1842" s="1" t="n">
        <v>101</v>
      </c>
      <c r="Q1842" s="1" t="s">
        <v>84</v>
      </c>
      <c r="R1842" s="1" t="s">
        <v>60</v>
      </c>
      <c r="S1842" s="1" t="n">
        <v>4210232</v>
      </c>
      <c r="T1842" s="1" t="s">
        <v>431</v>
      </c>
      <c r="U1842" s="17" t="n">
        <v>208</v>
      </c>
      <c r="W1842" s="1" t="n">
        <v>0</v>
      </c>
      <c r="X1842" s="1" t="s">
        <v>2084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46211</v>
      </c>
      <c r="C1843" s="15" t="n">
        <v>46244</v>
      </c>
      <c r="D1843" s="1" t="n">
        <v>10026</v>
      </c>
      <c r="E1843" s="1" t="s">
        <v>722</v>
      </c>
      <c r="F1843" s="1" t="n">
        <v>24</v>
      </c>
      <c r="G1843" s="1" t="s">
        <v>32</v>
      </c>
      <c r="H1843" s="1" t="n">
        <v>1110202</v>
      </c>
      <c r="I1843" s="1" t="s">
        <v>285</v>
      </c>
      <c r="J1843" s="1" t="n">
        <v>1370737</v>
      </c>
      <c r="L1843" s="1" t="n">
        <v>565779</v>
      </c>
      <c r="M1843" s="1" t="s">
        <v>41</v>
      </c>
      <c r="N1843" s="1" t="s">
        <v>42</v>
      </c>
      <c r="P1843" s="1" t="n">
        <v>101</v>
      </c>
      <c r="Q1843" s="1" t="s">
        <v>84</v>
      </c>
      <c r="R1843" s="1" t="s">
        <v>60</v>
      </c>
      <c r="S1843" s="1" t="n">
        <v>4210222</v>
      </c>
      <c r="T1843" s="1" t="s">
        <v>1957</v>
      </c>
      <c r="U1843" s="17" t="n">
        <v>666.67</v>
      </c>
      <c r="W1843" s="1" t="n">
        <v>0</v>
      </c>
      <c r="X1843" s="1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46211</v>
      </c>
      <c r="C1844" s="15" t="n">
        <v>46244</v>
      </c>
      <c r="D1844" s="1" t="n">
        <v>10026</v>
      </c>
      <c r="E1844" s="1" t="s">
        <v>722</v>
      </c>
      <c r="F1844" s="1" t="n">
        <v>24</v>
      </c>
      <c r="G1844" s="1" t="s">
        <v>32</v>
      </c>
      <c r="H1844" s="1" t="n">
        <v>2110405</v>
      </c>
      <c r="I1844" s="1" t="s">
        <v>83</v>
      </c>
      <c r="J1844" s="1" t="n">
        <v>1370749</v>
      </c>
      <c r="L1844" s="1" t="n">
        <v>565780</v>
      </c>
      <c r="M1844" s="1" t="s">
        <v>41</v>
      </c>
      <c r="N1844" s="1" t="s">
        <v>42</v>
      </c>
      <c r="P1844" s="1" t="n">
        <v>101</v>
      </c>
      <c r="Q1844" s="1" t="s">
        <v>84</v>
      </c>
      <c r="R1844" s="1" t="s">
        <v>91</v>
      </c>
      <c r="S1844" s="1" t="n">
        <v>4220199</v>
      </c>
      <c r="T1844" s="1" t="s">
        <v>92</v>
      </c>
      <c r="U1844" s="17" t="n">
        <v>2000</v>
      </c>
      <c r="W1844" s="1" t="n">
        <v>2000</v>
      </c>
      <c r="X1844" s="1" t="s">
        <v>2086</v>
      </c>
      <c r="Z1844" s="1" t="str">
        <f aca="false">IF($T1844="","",IFERROR(INDEX('Resumo Grupos'!$AC$3:$AC$200,MATCH($T1844,'Resumo Grupos'!$AB$3:$AB$200,0)),"n/d"))</f>
        <v>Pagamentos outros não operacionais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46213</v>
      </c>
      <c r="C1845" s="15" t="n">
        <v>46244</v>
      </c>
      <c r="D1845" s="1" t="n">
        <v>1914</v>
      </c>
      <c r="E1845" s="1" t="s">
        <v>2087</v>
      </c>
      <c r="F1845" s="1" t="n">
        <v>46</v>
      </c>
      <c r="G1845" s="1" t="s">
        <v>428</v>
      </c>
      <c r="H1845" s="1" t="n">
        <v>1110202</v>
      </c>
      <c r="I1845" s="1" t="s">
        <v>285</v>
      </c>
      <c r="J1845" s="1" t="n">
        <v>1377369</v>
      </c>
      <c r="L1845" s="1" t="n">
        <v>28968</v>
      </c>
      <c r="M1845" s="1" t="s">
        <v>41</v>
      </c>
      <c r="N1845" s="1" t="s">
        <v>42</v>
      </c>
      <c r="P1845" s="1" t="n">
        <v>101</v>
      </c>
      <c r="Q1845" s="1" t="s">
        <v>84</v>
      </c>
      <c r="R1845" s="1" t="s">
        <v>60</v>
      </c>
      <c r="S1845" s="1" t="n">
        <v>4210232</v>
      </c>
      <c r="T1845" s="1" t="s">
        <v>431</v>
      </c>
      <c r="U1845" s="17" t="n">
        <v>935.28</v>
      </c>
      <c r="W1845" s="1" t="n">
        <v>0</v>
      </c>
      <c r="X1845" s="1" t="s">
        <v>2088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46199</v>
      </c>
      <c r="C1846" s="15" t="n">
        <v>46244</v>
      </c>
      <c r="D1846" s="1" t="n">
        <v>1758</v>
      </c>
      <c r="E1846" s="1" t="s">
        <v>451</v>
      </c>
      <c r="F1846" s="1" t="n">
        <v>46</v>
      </c>
      <c r="G1846" s="1" t="s">
        <v>428</v>
      </c>
      <c r="H1846" s="1" t="n">
        <v>1110202</v>
      </c>
      <c r="I1846" s="1" t="s">
        <v>285</v>
      </c>
      <c r="J1846" s="1" t="n">
        <v>1378055</v>
      </c>
      <c r="L1846" s="1" t="n">
        <v>568065</v>
      </c>
      <c r="M1846" s="1" t="s">
        <v>34</v>
      </c>
      <c r="N1846" s="1" t="s">
        <v>42</v>
      </c>
      <c r="P1846" s="1" t="n">
        <v>101</v>
      </c>
      <c r="Q1846" s="1" t="s">
        <v>84</v>
      </c>
      <c r="R1846" s="1" t="s">
        <v>60</v>
      </c>
      <c r="S1846" s="1" t="n">
        <v>4210227</v>
      </c>
      <c r="T1846" s="1" t="s">
        <v>418</v>
      </c>
      <c r="U1846" s="17" t="n">
        <v>429.66</v>
      </c>
      <c r="W1846" s="1" t="n">
        <v>0</v>
      </c>
      <c r="X1846" s="1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46213</v>
      </c>
      <c r="C1847" s="15" t="n">
        <v>46244</v>
      </c>
      <c r="D1847" s="1" t="n">
        <v>1465</v>
      </c>
      <c r="E1847" s="1" t="s">
        <v>1309</v>
      </c>
      <c r="F1847" s="1" t="n">
        <v>46</v>
      </c>
      <c r="G1847" s="1" t="s">
        <v>428</v>
      </c>
      <c r="H1847" s="1" t="n">
        <v>1110202</v>
      </c>
      <c r="I1847" s="1" t="s">
        <v>285</v>
      </c>
      <c r="J1847" s="1" t="n">
        <v>1378075</v>
      </c>
      <c r="L1847" s="1" t="n">
        <v>568085</v>
      </c>
      <c r="M1847" s="1" t="s">
        <v>41</v>
      </c>
      <c r="N1847" s="1" t="s">
        <v>42</v>
      </c>
      <c r="P1847" s="1" t="n">
        <v>101</v>
      </c>
      <c r="Q1847" s="1" t="s">
        <v>84</v>
      </c>
      <c r="R1847" s="1" t="s">
        <v>60</v>
      </c>
      <c r="S1847" s="1" t="n">
        <v>4210228</v>
      </c>
      <c r="T1847" s="1" t="s">
        <v>434</v>
      </c>
      <c r="U1847" s="17" t="n">
        <v>86.76</v>
      </c>
      <c r="W1847" s="1" t="n">
        <v>0</v>
      </c>
      <c r="X1847" s="1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46183</v>
      </c>
      <c r="C1848" s="15" t="n">
        <v>46244</v>
      </c>
      <c r="D1848" s="1" t="n">
        <v>16</v>
      </c>
      <c r="E1848" s="1" t="s">
        <v>90</v>
      </c>
      <c r="F1848" s="1" t="n">
        <v>46</v>
      </c>
      <c r="G1848" s="1" t="s">
        <v>428</v>
      </c>
      <c r="H1848" s="1" t="n">
        <v>1110202</v>
      </c>
      <c r="I1848" s="1" t="s">
        <v>285</v>
      </c>
      <c r="J1848" s="1" t="n">
        <v>1378230</v>
      </c>
      <c r="L1848" s="1" t="n">
        <v>568166</v>
      </c>
      <c r="M1848" s="1" t="s">
        <v>34</v>
      </c>
      <c r="N1848" s="1" t="s">
        <v>42</v>
      </c>
      <c r="P1848" s="1" t="n">
        <v>101</v>
      </c>
      <c r="Q1848" s="1" t="s">
        <v>84</v>
      </c>
      <c r="R1848" s="1" t="s">
        <v>91</v>
      </c>
      <c r="S1848" s="1" t="n">
        <v>4220199</v>
      </c>
      <c r="T1848" s="1" t="s">
        <v>92</v>
      </c>
      <c r="U1848" s="17" t="n">
        <v>331.61</v>
      </c>
      <c r="W1848" s="1" t="n">
        <v>0</v>
      </c>
      <c r="X1848" s="1" t="s">
        <v>2091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46174</v>
      </c>
      <c r="C1849" s="15" t="n">
        <v>46244</v>
      </c>
      <c r="D1849" s="1" t="n">
        <v>1933</v>
      </c>
      <c r="E1849" s="1" t="s">
        <v>1336</v>
      </c>
      <c r="F1849" s="1" t="n">
        <v>46</v>
      </c>
      <c r="G1849" s="1" t="s">
        <v>428</v>
      </c>
      <c r="H1849" s="1" t="n">
        <v>2110405</v>
      </c>
      <c r="I1849" s="1" t="s">
        <v>83</v>
      </c>
      <c r="J1849" s="1" t="n">
        <v>1382032</v>
      </c>
      <c r="L1849" s="1" t="n">
        <v>570381</v>
      </c>
      <c r="M1849" s="1" t="s">
        <v>34</v>
      </c>
      <c r="N1849" s="1" t="s">
        <v>42</v>
      </c>
      <c r="P1849" s="1" t="n">
        <v>101</v>
      </c>
      <c r="Q1849" s="1" t="s">
        <v>84</v>
      </c>
      <c r="R1849" s="1" t="s">
        <v>91</v>
      </c>
      <c r="S1849" s="1" t="n">
        <v>4220199</v>
      </c>
      <c r="T1849" s="1" t="s">
        <v>92</v>
      </c>
      <c r="U1849" s="17" t="n">
        <v>600</v>
      </c>
      <c r="W1849" s="1" t="n">
        <v>0</v>
      </c>
      <c r="X1849" s="1" t="s">
        <v>1337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46209</v>
      </c>
      <c r="C1850" s="15" t="n">
        <v>46244</v>
      </c>
      <c r="D1850" s="1" t="n">
        <v>930</v>
      </c>
      <c r="E1850" s="1" t="s">
        <v>465</v>
      </c>
      <c r="F1850" s="1" t="n">
        <v>46</v>
      </c>
      <c r="G1850" s="1" t="s">
        <v>428</v>
      </c>
      <c r="H1850" s="1" t="n">
        <v>1110202</v>
      </c>
      <c r="I1850" s="1" t="s">
        <v>285</v>
      </c>
      <c r="J1850" s="1" t="n">
        <v>1382123</v>
      </c>
      <c r="L1850" s="1" t="n">
        <v>570412</v>
      </c>
      <c r="M1850" s="1" t="s">
        <v>41</v>
      </c>
      <c r="N1850" s="1" t="s">
        <v>42</v>
      </c>
      <c r="P1850" s="1" t="n">
        <v>101</v>
      </c>
      <c r="Q1850" s="1" t="s">
        <v>84</v>
      </c>
      <c r="R1850" s="1" t="s">
        <v>60</v>
      </c>
      <c r="S1850" s="1" t="n">
        <v>4210232</v>
      </c>
      <c r="T1850" s="1" t="s">
        <v>431</v>
      </c>
      <c r="U1850" s="17" t="n">
        <v>44</v>
      </c>
      <c r="W1850" s="1" t="n">
        <v>0</v>
      </c>
      <c r="X1850" s="1" t="s">
        <v>2092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46216</v>
      </c>
      <c r="C1851" s="15" t="n">
        <v>46244</v>
      </c>
      <c r="D1851" s="1" t="n">
        <v>1608</v>
      </c>
      <c r="E1851" s="1" t="s">
        <v>51</v>
      </c>
      <c r="F1851" s="1" t="n">
        <v>24</v>
      </c>
      <c r="G1851" s="1" t="s">
        <v>32</v>
      </c>
      <c r="H1851" s="1" t="n">
        <v>2110405</v>
      </c>
      <c r="I1851" s="1" t="s">
        <v>83</v>
      </c>
      <c r="J1851" s="1" t="n">
        <v>1393462</v>
      </c>
      <c r="L1851" s="1" t="n">
        <v>1690976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37</v>
      </c>
      <c r="S1851" s="1" t="n">
        <v>1130101</v>
      </c>
      <c r="T1851" s="1" t="s">
        <v>38</v>
      </c>
      <c r="U1851" s="17" t="n">
        <v>2819.44</v>
      </c>
      <c r="W1851" s="1" t="n">
        <v>2819.44</v>
      </c>
      <c r="X1851" s="1" t="s">
        <v>2093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46216</v>
      </c>
      <c r="C1852" s="15" t="n">
        <v>46244</v>
      </c>
      <c r="D1852" s="1" t="n">
        <v>1608</v>
      </c>
      <c r="E1852" s="1" t="s">
        <v>51</v>
      </c>
      <c r="F1852" s="1" t="n">
        <v>24</v>
      </c>
      <c r="G1852" s="1" t="s">
        <v>32</v>
      </c>
      <c r="H1852" s="1" t="n">
        <v>2110405</v>
      </c>
      <c r="I1852" s="1" t="s">
        <v>83</v>
      </c>
      <c r="J1852" s="1" t="n">
        <v>1393857</v>
      </c>
      <c r="L1852" s="1" t="n">
        <v>1690878</v>
      </c>
      <c r="M1852" s="1" t="s">
        <v>128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1039.09</v>
      </c>
      <c r="W1852" s="1" t="n">
        <v>1039.09</v>
      </c>
      <c r="X1852" s="1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46216</v>
      </c>
      <c r="C1853" s="15" t="n">
        <v>46244</v>
      </c>
      <c r="D1853" s="1" t="n">
        <v>1717</v>
      </c>
      <c r="E1853" s="1" t="s">
        <v>2095</v>
      </c>
      <c r="F1853" s="1" t="n">
        <v>46</v>
      </c>
      <c r="G1853" s="1" t="s">
        <v>428</v>
      </c>
      <c r="H1853" s="1" t="n">
        <v>1110202</v>
      </c>
      <c r="I1853" s="1" t="s">
        <v>285</v>
      </c>
      <c r="J1853" s="1" t="n">
        <v>1394062</v>
      </c>
      <c r="L1853" s="1" t="n">
        <v>51412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319.2</v>
      </c>
      <c r="W1853" s="1" t="n">
        <v>0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46218</v>
      </c>
      <c r="C1854" s="15" t="n">
        <v>46244</v>
      </c>
      <c r="D1854" s="1" t="n">
        <v>957</v>
      </c>
      <c r="E1854" s="1" t="s">
        <v>132</v>
      </c>
      <c r="F1854" s="1" t="n">
        <v>24</v>
      </c>
      <c r="G1854" s="1" t="s">
        <v>32</v>
      </c>
      <c r="H1854" s="1" t="n">
        <v>2110405</v>
      </c>
      <c r="I1854" s="1" t="s">
        <v>83</v>
      </c>
      <c r="J1854" s="1" t="n">
        <v>1402047</v>
      </c>
      <c r="L1854" s="1" t="n">
        <v>21047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2186.18</v>
      </c>
      <c r="W1854" s="1" t="n">
        <v>2186.18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46219</v>
      </c>
      <c r="C1855" s="15" t="n">
        <v>46244</v>
      </c>
      <c r="D1855" s="1" t="n">
        <v>1280</v>
      </c>
      <c r="E1855" s="1" t="s">
        <v>2098</v>
      </c>
      <c r="F1855" s="1" t="n">
        <v>46</v>
      </c>
      <c r="G1855" s="1" t="s">
        <v>428</v>
      </c>
      <c r="H1855" s="1" t="n">
        <v>1110202</v>
      </c>
      <c r="I1855" s="1" t="s">
        <v>285</v>
      </c>
      <c r="J1855" s="1" t="n">
        <v>1407597</v>
      </c>
      <c r="L1855" s="1" t="n">
        <v>580167</v>
      </c>
      <c r="M1855" s="1" t="s">
        <v>41</v>
      </c>
      <c r="N1855" s="1" t="s">
        <v>42</v>
      </c>
      <c r="P1855" s="1" t="n">
        <v>101</v>
      </c>
      <c r="Q1855" s="1" t="s">
        <v>84</v>
      </c>
      <c r="R1855" s="1" t="s">
        <v>60</v>
      </c>
      <c r="S1855" s="1" t="n">
        <v>4210228</v>
      </c>
      <c r="T1855" s="1" t="s">
        <v>434</v>
      </c>
      <c r="U1855" s="17" t="n">
        <v>13.98</v>
      </c>
      <c r="W1855" s="1" t="n">
        <v>0</v>
      </c>
      <c r="X1855" s="1" t="s">
        <v>2099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46224</v>
      </c>
      <c r="C1856" s="15" t="n">
        <v>46244</v>
      </c>
      <c r="D1856" s="1" t="n">
        <v>1740</v>
      </c>
      <c r="E1856" s="1" t="s">
        <v>258</v>
      </c>
      <c r="F1856" s="1" t="n">
        <v>24</v>
      </c>
      <c r="G1856" s="1" t="s">
        <v>32</v>
      </c>
      <c r="H1856" s="1" t="n">
        <v>2110405</v>
      </c>
      <c r="I1856" s="1" t="s">
        <v>83</v>
      </c>
      <c r="J1856" s="1" t="n">
        <v>1431693</v>
      </c>
      <c r="L1856" s="1" t="n">
        <v>1249231</v>
      </c>
      <c r="M1856" s="1" t="s">
        <v>34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2044.89</v>
      </c>
      <c r="W1856" s="1" t="n">
        <v>2044.89</v>
      </c>
      <c r="X1856" s="1" t="s">
        <v>2100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46226</v>
      </c>
      <c r="C1857" s="15" t="n">
        <v>46244</v>
      </c>
      <c r="D1857" s="1" t="n">
        <v>10033</v>
      </c>
      <c r="E1857" s="1" t="s">
        <v>306</v>
      </c>
      <c r="F1857" s="1" t="n">
        <v>24</v>
      </c>
      <c r="G1857" s="1" t="s">
        <v>32</v>
      </c>
      <c r="H1857" s="1" t="n">
        <v>2110405</v>
      </c>
      <c r="I1857" s="1" t="s">
        <v>83</v>
      </c>
      <c r="J1857" s="1" t="n">
        <v>1439582</v>
      </c>
      <c r="L1857" s="1" t="n">
        <v>592457</v>
      </c>
      <c r="M1857" s="1" t="s">
        <v>41</v>
      </c>
      <c r="N1857" s="1" t="s">
        <v>42</v>
      </c>
      <c r="P1857" s="1" t="n">
        <v>104</v>
      </c>
      <c r="Q1857" s="1" t="s">
        <v>99</v>
      </c>
      <c r="R1857" s="1" t="s">
        <v>37</v>
      </c>
      <c r="S1857" s="1" t="n">
        <v>1130101</v>
      </c>
      <c r="T1857" s="1" t="s">
        <v>38</v>
      </c>
      <c r="U1857" s="17" t="n">
        <v>1958.46</v>
      </c>
      <c r="W1857" s="1" t="n">
        <v>1958.46</v>
      </c>
      <c r="X1857" s="1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46226</v>
      </c>
      <c r="C1858" s="15" t="n">
        <v>46244</v>
      </c>
      <c r="D1858" s="1" t="n">
        <v>1893</v>
      </c>
      <c r="E1858" s="1" t="s">
        <v>2102</v>
      </c>
      <c r="F1858" s="1" t="n">
        <v>34</v>
      </c>
      <c r="G1858" s="1" t="s">
        <v>71</v>
      </c>
      <c r="H1858" s="1" t="n">
        <v>1110202</v>
      </c>
      <c r="I1858" s="1" t="s">
        <v>285</v>
      </c>
      <c r="J1858" s="1" t="n">
        <v>1440493</v>
      </c>
      <c r="L1858" s="1" t="n">
        <v>592715</v>
      </c>
      <c r="M1858" s="1" t="s">
        <v>41</v>
      </c>
      <c r="N1858" s="1" t="s">
        <v>42</v>
      </c>
      <c r="P1858" s="1" t="n">
        <v>101</v>
      </c>
      <c r="Q1858" s="1" t="s">
        <v>84</v>
      </c>
      <c r="R1858" s="1" t="s">
        <v>85</v>
      </c>
      <c r="S1858" s="1" t="n">
        <v>4210315</v>
      </c>
      <c r="T1858" s="1" t="s">
        <v>503</v>
      </c>
      <c r="U1858" s="17" t="n">
        <v>209.99</v>
      </c>
      <c r="W1858" s="1" t="n">
        <v>0</v>
      </c>
      <c r="X1858" s="1" t="s">
        <v>2103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46227</v>
      </c>
      <c r="C1859" s="15" t="n">
        <v>46244</v>
      </c>
      <c r="D1859" s="1" t="n">
        <v>1878</v>
      </c>
      <c r="E1859" s="1" t="s">
        <v>2104</v>
      </c>
      <c r="F1859" s="1" t="n">
        <v>46</v>
      </c>
      <c r="G1859" s="1" t="s">
        <v>428</v>
      </c>
      <c r="H1859" s="1" t="n">
        <v>1110202</v>
      </c>
      <c r="I1859" s="1" t="s">
        <v>285</v>
      </c>
      <c r="J1859" s="1" t="n">
        <v>1444896</v>
      </c>
      <c r="L1859" s="1" t="n">
        <v>594406</v>
      </c>
      <c r="M1859" s="1" t="s">
        <v>41</v>
      </c>
      <c r="N1859" s="1" t="s">
        <v>42</v>
      </c>
      <c r="P1859" s="1" t="n">
        <v>102</v>
      </c>
      <c r="Q1859" s="1" t="s">
        <v>107</v>
      </c>
      <c r="R1859" s="1" t="s">
        <v>60</v>
      </c>
      <c r="S1859" s="1" t="n">
        <v>4210227</v>
      </c>
      <c r="T1859" s="1" t="s">
        <v>418</v>
      </c>
      <c r="U1859" s="17" t="n">
        <v>44</v>
      </c>
      <c r="W1859" s="1" t="n">
        <v>0</v>
      </c>
      <c r="X1859" s="1" t="s">
        <v>2105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46231</v>
      </c>
      <c r="C1860" s="15" t="n">
        <v>46244</v>
      </c>
      <c r="D1860" s="1" t="n">
        <v>1835</v>
      </c>
      <c r="E1860" s="1" t="s">
        <v>433</v>
      </c>
      <c r="F1860" s="1" t="n">
        <v>46</v>
      </c>
      <c r="G1860" s="1" t="s">
        <v>428</v>
      </c>
      <c r="H1860" s="1" t="n">
        <v>1110202</v>
      </c>
      <c r="I1860" s="1" t="s">
        <v>285</v>
      </c>
      <c r="J1860" s="1" t="n">
        <v>1464175</v>
      </c>
      <c r="L1860" s="1" t="n">
        <v>108113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60</v>
      </c>
      <c r="S1860" s="1" t="n">
        <v>4210228</v>
      </c>
      <c r="T1860" s="1" t="s">
        <v>434</v>
      </c>
      <c r="U1860" s="17" t="n">
        <v>13.76</v>
      </c>
      <c r="W1860" s="1" t="n">
        <v>0</v>
      </c>
      <c r="X1860" s="1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46232</v>
      </c>
      <c r="C1861" s="15" t="n">
        <v>46244</v>
      </c>
      <c r="D1861" s="1" t="n">
        <v>1810</v>
      </c>
      <c r="E1861" s="1" t="s">
        <v>242</v>
      </c>
      <c r="F1861" s="1" t="n">
        <v>24</v>
      </c>
      <c r="G1861" s="1" t="s">
        <v>32</v>
      </c>
      <c r="H1861" s="1" t="n">
        <v>2110405</v>
      </c>
      <c r="I1861" s="1" t="s">
        <v>83</v>
      </c>
      <c r="J1861" s="1" t="n">
        <v>1469140</v>
      </c>
      <c r="L1861" s="1" t="n">
        <v>85345</v>
      </c>
      <c r="M1861" s="1" t="s">
        <v>34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184.5</v>
      </c>
      <c r="W1861" s="1" t="n">
        <v>184.5</v>
      </c>
      <c r="X1861" s="1" t="s">
        <v>2107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46232</v>
      </c>
      <c r="C1862" s="15" t="n">
        <v>46244</v>
      </c>
      <c r="D1862" s="1" t="n">
        <v>1810</v>
      </c>
      <c r="E1862" s="1" t="s">
        <v>242</v>
      </c>
      <c r="F1862" s="1" t="n">
        <v>24</v>
      </c>
      <c r="G1862" s="1" t="s">
        <v>32</v>
      </c>
      <c r="H1862" s="1" t="n">
        <v>2110405</v>
      </c>
      <c r="I1862" s="1" t="s">
        <v>83</v>
      </c>
      <c r="J1862" s="1" t="n">
        <v>1469179</v>
      </c>
      <c r="L1862" s="1" t="n">
        <v>85346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1164.5</v>
      </c>
      <c r="W1862" s="1" t="n">
        <v>1164.5</v>
      </c>
      <c r="X1862" s="1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46232</v>
      </c>
      <c r="C1863" s="15" t="n">
        <v>46244</v>
      </c>
      <c r="D1863" s="1" t="n">
        <v>1778</v>
      </c>
      <c r="E1863" s="1" t="s">
        <v>266</v>
      </c>
      <c r="F1863" s="1" t="n">
        <v>24</v>
      </c>
      <c r="G1863" s="1" t="s">
        <v>32</v>
      </c>
      <c r="H1863" s="1" t="n">
        <v>2110405</v>
      </c>
      <c r="I1863" s="1" t="s">
        <v>83</v>
      </c>
      <c r="J1863" s="1" t="n">
        <v>1469303</v>
      </c>
      <c r="L1863" s="1" t="n">
        <v>124473366</v>
      </c>
      <c r="M1863" s="1" t="s">
        <v>41</v>
      </c>
      <c r="N1863" s="1" t="s">
        <v>42</v>
      </c>
      <c r="P1863" s="1" t="n">
        <v>101</v>
      </c>
      <c r="Q1863" s="1" t="s">
        <v>84</v>
      </c>
      <c r="R1863" s="1" t="s">
        <v>60</v>
      </c>
      <c r="S1863" s="1" t="n">
        <v>4210207</v>
      </c>
      <c r="T1863" s="1" t="s">
        <v>267</v>
      </c>
      <c r="U1863" s="17" t="n">
        <v>273.13</v>
      </c>
      <c r="W1863" s="1" t="n">
        <v>273.13</v>
      </c>
      <c r="X1863" s="1" t="s">
        <v>2109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46232</v>
      </c>
      <c r="C1864" s="15" t="n">
        <v>46244</v>
      </c>
      <c r="D1864" s="1" t="n">
        <v>514</v>
      </c>
      <c r="E1864" s="1" t="s">
        <v>643</v>
      </c>
      <c r="F1864" s="1" t="n">
        <v>45</v>
      </c>
      <c r="G1864" s="1" t="s">
        <v>1343</v>
      </c>
      <c r="H1864" s="1" t="n">
        <v>1110202</v>
      </c>
      <c r="I1864" s="1" t="s">
        <v>285</v>
      </c>
      <c r="J1864" s="1" t="n">
        <v>1469577</v>
      </c>
      <c r="L1864" s="1" t="n">
        <v>603909</v>
      </c>
      <c r="M1864" s="1" t="s">
        <v>41</v>
      </c>
      <c r="N1864" s="1" t="s">
        <v>42</v>
      </c>
      <c r="P1864" s="1" t="n">
        <v>101</v>
      </c>
      <c r="Q1864" s="1" t="s">
        <v>84</v>
      </c>
      <c r="R1864" s="1" t="s">
        <v>91</v>
      </c>
      <c r="S1864" s="1" t="n">
        <v>4220199</v>
      </c>
      <c r="T1864" s="1" t="s">
        <v>92</v>
      </c>
      <c r="U1864" s="17" t="n">
        <v>383.13</v>
      </c>
      <c r="W1864" s="1" t="n">
        <v>0</v>
      </c>
      <c r="X1864" s="1" t="s">
        <v>2110</v>
      </c>
      <c r="Z1864" s="1" t="str">
        <f aca="false">IF($T1864="","",IFERROR(INDEX('Resumo Grupos'!$AC$3:$AC$200,MATCH($T1864,'Resumo Grupos'!$AB$3:$AB$200,0)),"n/d"))</f>
        <v>Pagamentos outros não operacionais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46233</v>
      </c>
      <c r="C1865" s="15" t="n">
        <v>46244</v>
      </c>
      <c r="D1865" s="1" t="n">
        <v>1621</v>
      </c>
      <c r="E1865" s="1" t="s">
        <v>311</v>
      </c>
      <c r="F1865" s="1" t="n">
        <v>24</v>
      </c>
      <c r="G1865" s="1" t="s">
        <v>32</v>
      </c>
      <c r="H1865" s="1" t="n">
        <v>2110405</v>
      </c>
      <c r="I1865" s="1" t="s">
        <v>83</v>
      </c>
      <c r="J1865" s="1" t="n">
        <v>1474720</v>
      </c>
      <c r="L1865" s="1" t="n">
        <v>931981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4669.12</v>
      </c>
      <c r="W1865" s="1" t="n">
        <v>4669.12</v>
      </c>
      <c r="X1865" s="1" t="s">
        <v>2111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46233</v>
      </c>
      <c r="C1866" s="15" t="n">
        <v>46244</v>
      </c>
      <c r="D1866" s="1" t="n">
        <v>1621</v>
      </c>
      <c r="E1866" s="1" t="s">
        <v>311</v>
      </c>
      <c r="F1866" s="1" t="n">
        <v>24</v>
      </c>
      <c r="G1866" s="1" t="s">
        <v>32</v>
      </c>
      <c r="H1866" s="1" t="n">
        <v>2110405</v>
      </c>
      <c r="I1866" s="1" t="s">
        <v>83</v>
      </c>
      <c r="J1866" s="1" t="n">
        <v>1474734</v>
      </c>
      <c r="L1866" s="1" t="n">
        <v>931982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223.09</v>
      </c>
      <c r="W1866" s="1" t="n">
        <v>223.09</v>
      </c>
      <c r="X1866" s="1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46233</v>
      </c>
      <c r="C1867" s="15" t="n">
        <v>46244</v>
      </c>
      <c r="D1867" s="1" t="n">
        <v>1621</v>
      </c>
      <c r="E1867" s="1" t="s">
        <v>311</v>
      </c>
      <c r="F1867" s="1" t="n">
        <v>24</v>
      </c>
      <c r="G1867" s="1" t="s">
        <v>32</v>
      </c>
      <c r="H1867" s="1" t="n">
        <v>2110405</v>
      </c>
      <c r="I1867" s="1" t="s">
        <v>83</v>
      </c>
      <c r="J1867" s="1" t="n">
        <v>1474752</v>
      </c>
      <c r="L1867" s="1" t="n">
        <v>931983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157.71</v>
      </c>
      <c r="W1867" s="1" t="n">
        <v>157.71</v>
      </c>
      <c r="X1867" s="1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46234</v>
      </c>
      <c r="C1868" s="15" t="n">
        <v>46244</v>
      </c>
      <c r="D1868" s="1" t="n">
        <v>1723</v>
      </c>
      <c r="E1868" s="1" t="s">
        <v>264</v>
      </c>
      <c r="F1868" s="1" t="n">
        <v>24</v>
      </c>
      <c r="G1868" s="1" t="s">
        <v>32</v>
      </c>
      <c r="H1868" s="1" t="n">
        <v>2110405</v>
      </c>
      <c r="I1868" s="1" t="s">
        <v>83</v>
      </c>
      <c r="J1868" s="1" t="n">
        <v>1478789</v>
      </c>
      <c r="L1868" s="1" t="n">
        <v>174095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3288.4</v>
      </c>
      <c r="W1868" s="1" t="n">
        <v>3288.4</v>
      </c>
      <c r="X1868" s="1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46234</v>
      </c>
      <c r="C1869" s="15" t="n">
        <v>46244</v>
      </c>
      <c r="D1869" s="1" t="n">
        <v>1621</v>
      </c>
      <c r="E1869" s="1" t="s">
        <v>311</v>
      </c>
      <c r="F1869" s="1" t="n">
        <v>24</v>
      </c>
      <c r="G1869" s="1" t="s">
        <v>32</v>
      </c>
      <c r="H1869" s="1" t="n">
        <v>2110405</v>
      </c>
      <c r="I1869" s="1" t="s">
        <v>83</v>
      </c>
      <c r="J1869" s="1" t="n">
        <v>1479582</v>
      </c>
      <c r="L1869" s="1" t="n">
        <v>933625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242.43</v>
      </c>
      <c r="W1869" s="1" t="n">
        <v>242.43</v>
      </c>
      <c r="X1869" s="1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46234</v>
      </c>
      <c r="C1870" s="15" t="n">
        <v>46244</v>
      </c>
      <c r="D1870" s="1" t="n">
        <v>1621</v>
      </c>
      <c r="E1870" s="1" t="s">
        <v>311</v>
      </c>
      <c r="F1870" s="1" t="n">
        <v>24</v>
      </c>
      <c r="G1870" s="1" t="s">
        <v>32</v>
      </c>
      <c r="H1870" s="1" t="n">
        <v>1110202</v>
      </c>
      <c r="I1870" s="1" t="s">
        <v>285</v>
      </c>
      <c r="J1870" s="1" t="n">
        <v>1479622</v>
      </c>
      <c r="L1870" s="1" t="n">
        <v>933624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938.92</v>
      </c>
      <c r="W1870" s="1" t="n">
        <v>938.92</v>
      </c>
      <c r="X1870" s="1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46237</v>
      </c>
      <c r="C1871" s="15" t="n">
        <v>46244</v>
      </c>
      <c r="D1871" s="1" t="n">
        <v>1631</v>
      </c>
      <c r="E1871" s="1" t="s">
        <v>78</v>
      </c>
      <c r="F1871" s="1" t="n">
        <v>24</v>
      </c>
      <c r="G1871" s="1" t="s">
        <v>32</v>
      </c>
      <c r="H1871" s="1" t="n">
        <v>2110405</v>
      </c>
      <c r="I1871" s="1" t="s">
        <v>83</v>
      </c>
      <c r="J1871" s="1" t="n">
        <v>1495666</v>
      </c>
      <c r="L1871" s="1" t="n">
        <v>15204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659.7</v>
      </c>
      <c r="W1871" s="1" t="n">
        <v>659.7</v>
      </c>
      <c r="X1871" s="1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46237</v>
      </c>
      <c r="C1872" s="15" t="n">
        <v>46244</v>
      </c>
      <c r="D1872" s="1" t="n">
        <v>1292</v>
      </c>
      <c r="E1872" s="1" t="s">
        <v>321</v>
      </c>
      <c r="F1872" s="1" t="n">
        <v>24</v>
      </c>
      <c r="G1872" s="1" t="s">
        <v>32</v>
      </c>
      <c r="H1872" s="1" t="n">
        <v>1110202</v>
      </c>
      <c r="I1872" s="1" t="s">
        <v>285</v>
      </c>
      <c r="J1872" s="1" t="n">
        <v>1495679</v>
      </c>
      <c r="L1872" s="1" t="n">
        <v>3752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965</v>
      </c>
      <c r="W1872" s="1" t="n">
        <v>965</v>
      </c>
      <c r="X1872" s="1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46237</v>
      </c>
      <c r="C1873" s="15" t="n">
        <v>46244</v>
      </c>
      <c r="D1873" s="1" t="n">
        <v>581</v>
      </c>
      <c r="E1873" s="1" t="s">
        <v>278</v>
      </c>
      <c r="F1873" s="1" t="n">
        <v>24</v>
      </c>
      <c r="G1873" s="1" t="s">
        <v>32</v>
      </c>
      <c r="H1873" s="1" t="n">
        <v>2110405</v>
      </c>
      <c r="I1873" s="1" t="s">
        <v>83</v>
      </c>
      <c r="J1873" s="1" t="n">
        <v>1495739</v>
      </c>
      <c r="L1873" s="1" t="n">
        <v>31724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363.5</v>
      </c>
      <c r="W1873" s="1" t="n">
        <v>363.5</v>
      </c>
      <c r="X1873" s="1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46238</v>
      </c>
      <c r="C1874" s="15" t="n">
        <v>46244</v>
      </c>
      <c r="D1874" s="1" t="n">
        <v>1645</v>
      </c>
      <c r="E1874" s="1" t="s">
        <v>2120</v>
      </c>
      <c r="F1874" s="1" t="n">
        <v>24</v>
      </c>
      <c r="G1874" s="1" t="s">
        <v>32</v>
      </c>
      <c r="H1874" s="1" t="n">
        <v>2110405</v>
      </c>
      <c r="I1874" s="1" t="s">
        <v>83</v>
      </c>
      <c r="J1874" s="1" t="n">
        <v>1498727</v>
      </c>
      <c r="L1874" s="1" t="n">
        <v>142307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841.5</v>
      </c>
      <c r="W1874" s="1" t="n">
        <v>841.5</v>
      </c>
      <c r="X1874" s="1" t="s">
        <v>2121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46238</v>
      </c>
      <c r="C1875" s="15" t="n">
        <v>46244</v>
      </c>
      <c r="D1875" s="1" t="n">
        <v>1650</v>
      </c>
      <c r="E1875" s="1" t="s">
        <v>76</v>
      </c>
      <c r="F1875" s="1" t="n">
        <v>24</v>
      </c>
      <c r="G1875" s="1" t="s">
        <v>32</v>
      </c>
      <c r="H1875" s="1" t="n">
        <v>2110405</v>
      </c>
      <c r="I1875" s="1" t="s">
        <v>83</v>
      </c>
      <c r="J1875" s="1" t="n">
        <v>1498817</v>
      </c>
      <c r="L1875" s="1" t="n">
        <v>227628</v>
      </c>
      <c r="M1875" s="1" t="s">
        <v>41</v>
      </c>
      <c r="N1875" s="1" t="s">
        <v>42</v>
      </c>
      <c r="P1875" s="1" t="n">
        <v>103</v>
      </c>
      <c r="Q1875" s="1" t="s">
        <v>36</v>
      </c>
      <c r="R1875" s="1" t="s">
        <v>37</v>
      </c>
      <c r="S1875" s="1" t="n">
        <v>1130101</v>
      </c>
      <c r="T1875" s="1" t="s">
        <v>38</v>
      </c>
      <c r="U1875" s="17" t="n">
        <v>592.01</v>
      </c>
      <c r="W1875" s="1" t="n">
        <v>592.01</v>
      </c>
      <c r="X1875" s="1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46238</v>
      </c>
      <c r="C1876" s="15" t="n">
        <v>46244</v>
      </c>
      <c r="D1876" s="1" t="n">
        <v>1363</v>
      </c>
      <c r="E1876" s="1" t="s">
        <v>155</v>
      </c>
      <c r="F1876" s="1" t="n">
        <v>24</v>
      </c>
      <c r="G1876" s="1" t="s">
        <v>32</v>
      </c>
      <c r="H1876" s="1" t="n">
        <v>2110405</v>
      </c>
      <c r="I1876" s="1" t="s">
        <v>83</v>
      </c>
      <c r="J1876" s="1" t="n">
        <v>1498860</v>
      </c>
      <c r="L1876" s="1" t="n">
        <v>3658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370</v>
      </c>
      <c r="W1876" s="1" t="n">
        <v>370</v>
      </c>
      <c r="X1876" s="1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46238</v>
      </c>
      <c r="C1877" s="15" t="n">
        <v>46244</v>
      </c>
      <c r="D1877" s="1" t="n">
        <v>560</v>
      </c>
      <c r="E1877" s="1" t="s">
        <v>853</v>
      </c>
      <c r="F1877" s="1" t="n">
        <v>24</v>
      </c>
      <c r="G1877" s="1" t="s">
        <v>32</v>
      </c>
      <c r="H1877" s="1" t="n">
        <v>2110405</v>
      </c>
      <c r="I1877" s="1" t="s">
        <v>83</v>
      </c>
      <c r="J1877" s="1" t="n">
        <v>1498883</v>
      </c>
      <c r="L1877" s="1" t="n">
        <v>1957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570</v>
      </c>
      <c r="W1877" s="1" t="n">
        <v>570</v>
      </c>
      <c r="X1877" s="1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46238</v>
      </c>
      <c r="C1878" s="15" t="n">
        <v>46244</v>
      </c>
      <c r="D1878" s="1" t="n">
        <v>10065</v>
      </c>
      <c r="E1878" s="1" t="s">
        <v>825</v>
      </c>
      <c r="F1878" s="1" t="n">
        <v>24</v>
      </c>
      <c r="G1878" s="1" t="s">
        <v>32</v>
      </c>
      <c r="H1878" s="1" t="n">
        <v>2110405</v>
      </c>
      <c r="I1878" s="1" t="s">
        <v>83</v>
      </c>
      <c r="J1878" s="1" t="n">
        <v>1500404</v>
      </c>
      <c r="L1878" s="1" t="n">
        <v>78</v>
      </c>
      <c r="M1878" s="1" t="s">
        <v>41</v>
      </c>
      <c r="N1878" s="1" t="s">
        <v>42</v>
      </c>
      <c r="P1878" s="1" t="n">
        <v>103</v>
      </c>
      <c r="Q1878" s="1" t="s">
        <v>36</v>
      </c>
      <c r="R1878" s="1" t="s">
        <v>37</v>
      </c>
      <c r="S1878" s="1" t="n">
        <v>1130101</v>
      </c>
      <c r="T1878" s="1" t="s">
        <v>38</v>
      </c>
      <c r="U1878" s="17" t="n">
        <v>288</v>
      </c>
      <c r="W1878" s="1" t="n">
        <v>288</v>
      </c>
      <c r="X1878" s="1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46239</v>
      </c>
      <c r="C1879" s="15" t="n">
        <v>46244</v>
      </c>
      <c r="D1879" s="1" t="n">
        <v>686</v>
      </c>
      <c r="E1879" s="1" t="s">
        <v>940</v>
      </c>
      <c r="F1879" s="1" t="n">
        <v>34</v>
      </c>
      <c r="G1879" s="1" t="s">
        <v>71</v>
      </c>
      <c r="H1879" s="1" t="n">
        <v>2110101</v>
      </c>
      <c r="I1879" s="1" t="s">
        <v>33</v>
      </c>
      <c r="J1879" s="1" t="n">
        <v>1504381</v>
      </c>
      <c r="L1879" s="1" t="n">
        <v>1399</v>
      </c>
      <c r="M1879" s="1" t="s">
        <v>41</v>
      </c>
      <c r="N1879" s="1" t="s">
        <v>42</v>
      </c>
      <c r="P1879" s="1" t="n">
        <v>103</v>
      </c>
      <c r="Q1879" s="1" t="s">
        <v>36</v>
      </c>
      <c r="R1879" s="1" t="s">
        <v>37</v>
      </c>
      <c r="S1879" s="1" t="n">
        <v>1130101</v>
      </c>
      <c r="T1879" s="1" t="s">
        <v>38</v>
      </c>
      <c r="U1879" s="17" t="n">
        <v>280</v>
      </c>
      <c r="W1879" s="1" t="n">
        <v>280</v>
      </c>
      <c r="X1879" s="1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46240</v>
      </c>
      <c r="C1880" s="15" t="n">
        <v>46244</v>
      </c>
      <c r="D1880" s="1" t="n">
        <v>1899</v>
      </c>
      <c r="E1880" s="1" t="s">
        <v>74</v>
      </c>
      <c r="F1880" s="1" t="n">
        <v>24</v>
      </c>
      <c r="G1880" s="1" t="s">
        <v>32</v>
      </c>
      <c r="H1880" s="1" t="n">
        <v>2110405</v>
      </c>
      <c r="I1880" s="1" t="s">
        <v>83</v>
      </c>
      <c r="J1880" s="1" t="n">
        <v>1508560</v>
      </c>
      <c r="L1880" s="1" t="n">
        <v>748</v>
      </c>
      <c r="M1880" s="1" t="s">
        <v>41</v>
      </c>
      <c r="N1880" s="1" t="s">
        <v>42</v>
      </c>
      <c r="P1880" s="1" t="n">
        <v>103</v>
      </c>
      <c r="Q1880" s="1" t="s">
        <v>36</v>
      </c>
      <c r="R1880" s="1" t="s">
        <v>37</v>
      </c>
      <c r="S1880" s="1" t="n">
        <v>1130101</v>
      </c>
      <c r="T1880" s="1" t="s">
        <v>38</v>
      </c>
      <c r="U1880" s="17" t="n">
        <v>524.4</v>
      </c>
      <c r="W1880" s="1" t="n">
        <v>524.4</v>
      </c>
      <c r="X1880" s="1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46240</v>
      </c>
      <c r="C1881" s="15" t="n">
        <v>46244</v>
      </c>
      <c r="D1881" s="1" t="n">
        <v>1899</v>
      </c>
      <c r="E1881" s="1" t="s">
        <v>74</v>
      </c>
      <c r="F1881" s="1" t="n">
        <v>24</v>
      </c>
      <c r="G1881" s="1" t="s">
        <v>32</v>
      </c>
      <c r="H1881" s="1" t="n">
        <v>2110405</v>
      </c>
      <c r="I1881" s="1" t="s">
        <v>83</v>
      </c>
      <c r="J1881" s="1" t="n">
        <v>1508847</v>
      </c>
      <c r="L1881" s="1" t="n">
        <v>750</v>
      </c>
      <c r="M1881" s="1" t="s">
        <v>41</v>
      </c>
      <c r="N1881" s="1" t="s">
        <v>42</v>
      </c>
      <c r="P1881" s="1" t="n">
        <v>103</v>
      </c>
      <c r="Q1881" s="1" t="s">
        <v>36</v>
      </c>
      <c r="R1881" s="1" t="s">
        <v>37</v>
      </c>
      <c r="S1881" s="1" t="n">
        <v>1130101</v>
      </c>
      <c r="T1881" s="1" t="s">
        <v>38</v>
      </c>
      <c r="U1881" s="17" t="n">
        <v>490</v>
      </c>
      <c r="W1881" s="1" t="n">
        <v>490</v>
      </c>
      <c r="X1881" s="1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46240</v>
      </c>
      <c r="C1882" s="15" t="n">
        <v>46244</v>
      </c>
      <c r="D1882" s="1" t="n">
        <v>1899</v>
      </c>
      <c r="E1882" s="1" t="s">
        <v>74</v>
      </c>
      <c r="F1882" s="1" t="n">
        <v>24</v>
      </c>
      <c r="G1882" s="1" t="s">
        <v>32</v>
      </c>
      <c r="H1882" s="1" t="n">
        <v>2110405</v>
      </c>
      <c r="I1882" s="1" t="s">
        <v>83</v>
      </c>
      <c r="J1882" s="1" t="n">
        <v>1508860</v>
      </c>
      <c r="L1882" s="1" t="n">
        <v>749</v>
      </c>
      <c r="M1882" s="1" t="s">
        <v>41</v>
      </c>
      <c r="N1882" s="1" t="s">
        <v>42</v>
      </c>
      <c r="P1882" s="1" t="n">
        <v>103</v>
      </c>
      <c r="Q1882" s="1" t="s">
        <v>36</v>
      </c>
      <c r="R1882" s="1" t="s">
        <v>37</v>
      </c>
      <c r="S1882" s="1" t="n">
        <v>1130101</v>
      </c>
      <c r="T1882" s="1" t="s">
        <v>38</v>
      </c>
      <c r="U1882" s="17" t="n">
        <v>420</v>
      </c>
      <c r="W1882" s="1" t="n">
        <v>420</v>
      </c>
      <c r="X1882" s="1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46240</v>
      </c>
      <c r="C1883" s="15" t="n">
        <v>46244</v>
      </c>
      <c r="D1883" s="1" t="n">
        <v>1614</v>
      </c>
      <c r="E1883" s="1" t="s">
        <v>66</v>
      </c>
      <c r="F1883" s="1" t="n">
        <v>24</v>
      </c>
      <c r="G1883" s="1" t="s">
        <v>32</v>
      </c>
      <c r="H1883" s="1" t="n">
        <v>2110405</v>
      </c>
      <c r="I1883" s="1" t="s">
        <v>83</v>
      </c>
      <c r="J1883" s="1" t="n">
        <v>1509557</v>
      </c>
      <c r="L1883" s="1" t="n">
        <v>11530</v>
      </c>
      <c r="M1883" s="1" t="s">
        <v>41</v>
      </c>
      <c r="N1883" s="1" t="s">
        <v>42</v>
      </c>
      <c r="P1883" s="1" t="n">
        <v>103</v>
      </c>
      <c r="Q1883" s="1" t="s">
        <v>36</v>
      </c>
      <c r="R1883" s="1" t="s">
        <v>37</v>
      </c>
      <c r="S1883" s="1" t="n">
        <v>1130101</v>
      </c>
      <c r="T1883" s="1" t="s">
        <v>38</v>
      </c>
      <c r="U1883" s="17" t="n">
        <v>695.21</v>
      </c>
      <c r="W1883" s="1" t="n">
        <v>695.21</v>
      </c>
      <c r="X1883" s="1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46241</v>
      </c>
      <c r="C1884" s="15" t="n">
        <v>46244</v>
      </c>
      <c r="D1884" s="1" t="n">
        <v>17</v>
      </c>
      <c r="E1884" s="1" t="s">
        <v>94</v>
      </c>
      <c r="F1884" s="1" t="n">
        <v>34</v>
      </c>
      <c r="G1884" s="1" t="s">
        <v>71</v>
      </c>
      <c r="H1884" s="1" t="n">
        <v>2110405</v>
      </c>
      <c r="I1884" s="1" t="s">
        <v>83</v>
      </c>
      <c r="J1884" s="1" t="n">
        <v>1512942</v>
      </c>
      <c r="L1884" s="1" t="n">
        <v>619809</v>
      </c>
      <c r="M1884" s="1" t="s">
        <v>34</v>
      </c>
      <c r="N1884" s="1" t="s">
        <v>42</v>
      </c>
      <c r="P1884" s="1" t="n">
        <v>101</v>
      </c>
      <c r="Q1884" s="1" t="s">
        <v>84</v>
      </c>
      <c r="R1884" s="1" t="s">
        <v>91</v>
      </c>
      <c r="S1884" s="1" t="n">
        <v>4220199</v>
      </c>
      <c r="T1884" s="1" t="s">
        <v>92</v>
      </c>
      <c r="U1884" s="17" t="n">
        <v>150</v>
      </c>
      <c r="W1884" s="1" t="n">
        <v>150</v>
      </c>
      <c r="X1884" s="1" t="s">
        <v>2131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46241</v>
      </c>
      <c r="C1885" s="15" t="n">
        <v>46244</v>
      </c>
      <c r="D1885" s="1" t="n">
        <v>10018</v>
      </c>
      <c r="E1885" s="1" t="s">
        <v>328</v>
      </c>
      <c r="F1885" s="1" t="n">
        <v>34</v>
      </c>
      <c r="G1885" s="1" t="s">
        <v>71</v>
      </c>
      <c r="H1885" s="1" t="n">
        <v>2110405</v>
      </c>
      <c r="I1885" s="1" t="s">
        <v>83</v>
      </c>
      <c r="J1885" s="1" t="n">
        <v>1513405</v>
      </c>
      <c r="L1885" s="1" t="n">
        <v>354</v>
      </c>
      <c r="M1885" s="1" t="s">
        <v>41</v>
      </c>
      <c r="N1885" s="1" t="s">
        <v>42</v>
      </c>
      <c r="P1885" s="1" t="n">
        <v>103</v>
      </c>
      <c r="Q1885" s="1" t="s">
        <v>36</v>
      </c>
      <c r="R1885" s="1" t="s">
        <v>37</v>
      </c>
      <c r="S1885" s="1" t="n">
        <v>1130101</v>
      </c>
      <c r="T1885" s="1" t="s">
        <v>38</v>
      </c>
      <c r="U1885" s="17" t="n">
        <v>3354.4</v>
      </c>
      <c r="W1885" s="1" t="n">
        <v>3354.4</v>
      </c>
      <c r="X1885" s="1" t="s">
        <v>2132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46242</v>
      </c>
      <c r="C1886" s="15" t="n">
        <v>46244</v>
      </c>
      <c r="D1886" s="1" t="n">
        <v>642</v>
      </c>
      <c r="E1886" s="1" t="s">
        <v>161</v>
      </c>
      <c r="F1886" s="1" t="n">
        <v>24</v>
      </c>
      <c r="G1886" s="1" t="s">
        <v>32</v>
      </c>
      <c r="H1886" s="1" t="n">
        <v>2110405</v>
      </c>
      <c r="I1886" s="1" t="s">
        <v>83</v>
      </c>
      <c r="J1886" s="1" t="n">
        <v>1517769</v>
      </c>
      <c r="L1886" s="1" t="n">
        <v>578</v>
      </c>
      <c r="M1886" s="1" t="s">
        <v>41</v>
      </c>
      <c r="N1886" s="1" t="s">
        <v>42</v>
      </c>
      <c r="P1886" s="1" t="n">
        <v>103</v>
      </c>
      <c r="Q1886" s="1" t="s">
        <v>36</v>
      </c>
      <c r="R1886" s="1" t="s">
        <v>37</v>
      </c>
      <c r="S1886" s="1" t="n">
        <v>1130101</v>
      </c>
      <c r="T1886" s="1" t="s">
        <v>38</v>
      </c>
      <c r="U1886" s="17" t="n">
        <v>1152</v>
      </c>
      <c r="W1886" s="1" t="n">
        <v>1152</v>
      </c>
      <c r="X1886" s="1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46202</v>
      </c>
      <c r="C1887" s="15" t="n">
        <v>46244</v>
      </c>
      <c r="D1887" s="1" t="n">
        <v>1105</v>
      </c>
      <c r="E1887" s="1" t="s">
        <v>472</v>
      </c>
      <c r="F1887" s="1" t="n">
        <v>46</v>
      </c>
      <c r="G1887" s="1" t="s">
        <v>428</v>
      </c>
      <c r="H1887" s="1" t="n">
        <v>2110405</v>
      </c>
      <c r="I1887" s="1" t="s">
        <v>83</v>
      </c>
      <c r="J1887" s="1" t="n">
        <v>1518296</v>
      </c>
      <c r="L1887" s="1" t="n">
        <v>621646</v>
      </c>
      <c r="M1887" s="1" t="s">
        <v>41</v>
      </c>
      <c r="N1887" s="1" t="s">
        <v>42</v>
      </c>
      <c r="P1887" s="1" t="n">
        <v>101</v>
      </c>
      <c r="Q1887" s="1" t="s">
        <v>84</v>
      </c>
      <c r="R1887" s="1" t="s">
        <v>60</v>
      </c>
      <c r="S1887" s="1" t="n">
        <v>4210208</v>
      </c>
      <c r="T1887" s="1" t="s">
        <v>473</v>
      </c>
      <c r="U1887" s="17" t="n">
        <v>43</v>
      </c>
      <c r="W1887" s="1" t="n">
        <v>0</v>
      </c>
      <c r="X1887" s="1" t="s">
        <v>2134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46200</v>
      </c>
      <c r="C1888" s="15" t="n">
        <v>46244</v>
      </c>
      <c r="D1888" s="1" t="n">
        <v>1331</v>
      </c>
      <c r="E1888" s="1" t="s">
        <v>490</v>
      </c>
      <c r="F1888" s="1" t="n">
        <v>46</v>
      </c>
      <c r="G1888" s="1" t="s">
        <v>428</v>
      </c>
      <c r="H1888" s="1" t="n">
        <v>2110405</v>
      </c>
      <c r="I1888" s="1" t="s">
        <v>83</v>
      </c>
      <c r="J1888" s="1" t="n">
        <v>1518346</v>
      </c>
      <c r="L1888" s="1" t="n">
        <v>621657</v>
      </c>
      <c r="M1888" s="1" t="s">
        <v>41</v>
      </c>
      <c r="N1888" s="1" t="s">
        <v>42</v>
      </c>
      <c r="P1888" s="1" t="n">
        <v>101</v>
      </c>
      <c r="Q1888" s="1" t="s">
        <v>84</v>
      </c>
      <c r="R1888" s="1" t="s">
        <v>60</v>
      </c>
      <c r="S1888" s="1" t="n">
        <v>4210209</v>
      </c>
      <c r="T1888" s="1" t="s">
        <v>491</v>
      </c>
      <c r="U1888" s="17" t="n">
        <v>197.14</v>
      </c>
      <c r="W1888" s="1" t="n">
        <v>0</v>
      </c>
      <c r="X1888" s="1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46206</v>
      </c>
      <c r="C1889" s="15" t="n">
        <v>46244</v>
      </c>
      <c r="D1889" s="1" t="n">
        <v>1331</v>
      </c>
      <c r="E1889" s="1" t="s">
        <v>490</v>
      </c>
      <c r="F1889" s="1" t="n">
        <v>46</v>
      </c>
      <c r="G1889" s="1" t="s">
        <v>428</v>
      </c>
      <c r="H1889" s="1" t="n">
        <v>2110405</v>
      </c>
      <c r="I1889" s="1" t="s">
        <v>83</v>
      </c>
      <c r="J1889" s="1" t="n">
        <v>1518362</v>
      </c>
      <c r="L1889" s="1" t="n">
        <v>621658</v>
      </c>
      <c r="M1889" s="1" t="s">
        <v>41</v>
      </c>
      <c r="N1889" s="1" t="s">
        <v>42</v>
      </c>
      <c r="P1889" s="1" t="n">
        <v>101</v>
      </c>
      <c r="Q1889" s="1" t="s">
        <v>84</v>
      </c>
      <c r="R1889" s="1" t="s">
        <v>60</v>
      </c>
      <c r="S1889" s="1" t="n">
        <v>4210209</v>
      </c>
      <c r="T1889" s="1" t="s">
        <v>491</v>
      </c>
      <c r="U1889" s="17" t="n">
        <v>73.03</v>
      </c>
      <c r="W1889" s="1" t="n">
        <v>0</v>
      </c>
      <c r="X1889" s="1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46242</v>
      </c>
      <c r="C1890" s="15" t="n">
        <v>46244</v>
      </c>
      <c r="D1890" s="1" t="n">
        <v>1259</v>
      </c>
      <c r="E1890" s="1" t="s">
        <v>2137</v>
      </c>
      <c r="F1890" s="1" t="n">
        <v>46</v>
      </c>
      <c r="G1890" s="1" t="s">
        <v>428</v>
      </c>
      <c r="H1890" s="1" t="n">
        <v>2110405</v>
      </c>
      <c r="I1890" s="1" t="s">
        <v>83</v>
      </c>
      <c r="J1890" s="1" t="n">
        <v>1518395</v>
      </c>
      <c r="L1890" s="1" t="n">
        <v>621666</v>
      </c>
      <c r="M1890" s="1" t="s">
        <v>41</v>
      </c>
      <c r="N1890" s="1" t="s">
        <v>42</v>
      </c>
      <c r="P1890" s="1" t="n">
        <v>101</v>
      </c>
      <c r="Q1890" s="1" t="s">
        <v>84</v>
      </c>
      <c r="R1890" s="1" t="s">
        <v>60</v>
      </c>
      <c r="S1890" s="1" t="n">
        <v>4210209</v>
      </c>
      <c r="T1890" s="1" t="s">
        <v>491</v>
      </c>
      <c r="U1890" s="17" t="n">
        <v>70</v>
      </c>
      <c r="W1890" s="1" t="n">
        <v>0</v>
      </c>
      <c r="X1890" s="1" t="s">
        <v>2136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46216</v>
      </c>
      <c r="C1891" s="15" t="n">
        <v>46244</v>
      </c>
      <c r="D1891" s="1" t="n">
        <v>1331</v>
      </c>
      <c r="E1891" s="1" t="s">
        <v>490</v>
      </c>
      <c r="F1891" s="1" t="n">
        <v>46</v>
      </c>
      <c r="G1891" s="1" t="s">
        <v>428</v>
      </c>
      <c r="H1891" s="1" t="n">
        <v>2110405</v>
      </c>
      <c r="I1891" s="1" t="s">
        <v>83</v>
      </c>
      <c r="J1891" s="1" t="n">
        <v>1518424</v>
      </c>
      <c r="L1891" s="1" t="n">
        <v>621678</v>
      </c>
      <c r="M1891" s="1" t="s">
        <v>41</v>
      </c>
      <c r="N1891" s="1" t="s">
        <v>42</v>
      </c>
      <c r="P1891" s="1" t="n">
        <v>101</v>
      </c>
      <c r="Q1891" s="1" t="s">
        <v>84</v>
      </c>
      <c r="R1891" s="1" t="s">
        <v>60</v>
      </c>
      <c r="S1891" s="1" t="n">
        <v>4210209</v>
      </c>
      <c r="T1891" s="1" t="s">
        <v>491</v>
      </c>
      <c r="U1891" s="17" t="n">
        <v>83.86</v>
      </c>
      <c r="W1891" s="1" t="n">
        <v>0</v>
      </c>
      <c r="X1891" s="1" t="s">
        <v>2138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46220</v>
      </c>
      <c r="C1892" s="15" t="n">
        <v>46244</v>
      </c>
      <c r="D1892" s="1" t="n">
        <v>1331</v>
      </c>
      <c r="E1892" s="1" t="s">
        <v>490</v>
      </c>
      <c r="F1892" s="1" t="n">
        <v>46</v>
      </c>
      <c r="G1892" s="1" t="s">
        <v>428</v>
      </c>
      <c r="H1892" s="1" t="n">
        <v>2110405</v>
      </c>
      <c r="I1892" s="1" t="s">
        <v>83</v>
      </c>
      <c r="J1892" s="1" t="n">
        <v>1518430</v>
      </c>
      <c r="L1892" s="1" t="n">
        <v>621685</v>
      </c>
      <c r="M1892" s="1" t="s">
        <v>41</v>
      </c>
      <c r="N1892" s="1" t="s">
        <v>42</v>
      </c>
      <c r="P1892" s="1" t="n">
        <v>101</v>
      </c>
      <c r="Q1892" s="1" t="s">
        <v>84</v>
      </c>
      <c r="R1892" s="1" t="s">
        <v>60</v>
      </c>
      <c r="S1892" s="1" t="n">
        <v>4210209</v>
      </c>
      <c r="T1892" s="1" t="s">
        <v>491</v>
      </c>
      <c r="U1892" s="17" t="n">
        <v>443.99</v>
      </c>
      <c r="W1892" s="1" t="n">
        <v>0</v>
      </c>
      <c r="X1892" s="1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46223</v>
      </c>
      <c r="C1893" s="15" t="n">
        <v>46244</v>
      </c>
      <c r="D1893" s="1" t="n">
        <v>1331</v>
      </c>
      <c r="E1893" s="1" t="s">
        <v>490</v>
      </c>
      <c r="F1893" s="1" t="n">
        <v>46</v>
      </c>
      <c r="G1893" s="1" t="s">
        <v>428</v>
      </c>
      <c r="H1893" s="1" t="n">
        <v>2110405</v>
      </c>
      <c r="I1893" s="1" t="s">
        <v>83</v>
      </c>
      <c r="J1893" s="1" t="n">
        <v>1518437</v>
      </c>
      <c r="L1893" s="1" t="n">
        <v>621688</v>
      </c>
      <c r="M1893" s="1" t="s">
        <v>41</v>
      </c>
      <c r="N1893" s="1" t="s">
        <v>42</v>
      </c>
      <c r="P1893" s="1" t="n">
        <v>101</v>
      </c>
      <c r="Q1893" s="1" t="s">
        <v>84</v>
      </c>
      <c r="R1893" s="1" t="s">
        <v>60</v>
      </c>
      <c r="S1893" s="1" t="n">
        <v>4210209</v>
      </c>
      <c r="T1893" s="1" t="s">
        <v>491</v>
      </c>
      <c r="U1893" s="17" t="n">
        <v>64.52</v>
      </c>
      <c r="W1893" s="1" t="n">
        <v>0</v>
      </c>
      <c r="X1893" s="1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33</v>
      </c>
      <c r="E1894" s="1" t="s">
        <v>70</v>
      </c>
      <c r="F1894" s="1" t="n">
        <v>13</v>
      </c>
      <c r="G1894" s="1" t="s">
        <v>98</v>
      </c>
      <c r="H1894" s="1" t="n">
        <v>2110101</v>
      </c>
      <c r="I1894" s="1" t="s">
        <v>33</v>
      </c>
      <c r="J1894" s="1" t="n">
        <v>1528419</v>
      </c>
      <c r="L1894" s="1" t="n">
        <v>5457</v>
      </c>
      <c r="M1894" s="1" t="s">
        <v>41</v>
      </c>
      <c r="N1894" s="1" t="s">
        <v>35</v>
      </c>
      <c r="P1894" s="1" t="n">
        <v>104</v>
      </c>
      <c r="Q1894" s="1" t="s">
        <v>99</v>
      </c>
      <c r="R1894" s="1" t="s">
        <v>37</v>
      </c>
      <c r="S1894" s="1" t="n">
        <v>1130101</v>
      </c>
      <c r="T1894" s="1" t="s">
        <v>38</v>
      </c>
      <c r="U1894" s="17" t="n">
        <v>300</v>
      </c>
      <c r="W1894" s="1" t="n">
        <v>300</v>
      </c>
      <c r="X1894" s="1" t="s">
        <v>2141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33</v>
      </c>
      <c r="E1895" s="1" t="s">
        <v>70</v>
      </c>
      <c r="F1895" s="1" t="n">
        <v>13</v>
      </c>
      <c r="G1895" s="1" t="s">
        <v>98</v>
      </c>
      <c r="H1895" s="1" t="n">
        <v>2110101</v>
      </c>
      <c r="I1895" s="1" t="s">
        <v>33</v>
      </c>
      <c r="J1895" s="1" t="n">
        <v>1528628</v>
      </c>
      <c r="L1895" s="1" t="n">
        <v>5458</v>
      </c>
      <c r="M1895" s="1" t="s">
        <v>41</v>
      </c>
      <c r="N1895" s="1" t="s">
        <v>35</v>
      </c>
      <c r="P1895" s="1" t="n">
        <v>104</v>
      </c>
      <c r="Q1895" s="1" t="s">
        <v>99</v>
      </c>
      <c r="R1895" s="1" t="s">
        <v>37</v>
      </c>
      <c r="S1895" s="1" t="n">
        <v>1130101</v>
      </c>
      <c r="T1895" s="1" t="s">
        <v>38</v>
      </c>
      <c r="U1895" s="17" t="n">
        <v>525</v>
      </c>
      <c r="W1895" s="1" t="n">
        <v>525</v>
      </c>
      <c r="X1895" s="1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33</v>
      </c>
      <c r="E1896" s="1" t="s">
        <v>70</v>
      </c>
      <c r="F1896" s="1" t="n">
        <v>13</v>
      </c>
      <c r="G1896" s="1" t="s">
        <v>98</v>
      </c>
      <c r="H1896" s="1" t="n">
        <v>2110101</v>
      </c>
      <c r="I1896" s="1" t="s">
        <v>33</v>
      </c>
      <c r="J1896" s="1" t="n">
        <v>1528663</v>
      </c>
      <c r="L1896" s="1" t="n">
        <v>5459</v>
      </c>
      <c r="M1896" s="1" t="s">
        <v>41</v>
      </c>
      <c r="N1896" s="1" t="s">
        <v>35</v>
      </c>
      <c r="P1896" s="1" t="n">
        <v>104</v>
      </c>
      <c r="Q1896" s="1" t="s">
        <v>99</v>
      </c>
      <c r="R1896" s="1" t="s">
        <v>37</v>
      </c>
      <c r="S1896" s="1" t="n">
        <v>1130101</v>
      </c>
      <c r="T1896" s="1" t="s">
        <v>38</v>
      </c>
      <c r="U1896" s="17" t="n">
        <v>300</v>
      </c>
      <c r="W1896" s="1" t="n">
        <v>300</v>
      </c>
      <c r="X1896" s="1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46225</v>
      </c>
      <c r="C1897" s="15" t="n">
        <v>46244</v>
      </c>
      <c r="D1897" s="1" t="n">
        <v>105</v>
      </c>
      <c r="E1897" s="1" t="s">
        <v>427</v>
      </c>
      <c r="F1897" s="1" t="n">
        <v>46</v>
      </c>
      <c r="G1897" s="1" t="s">
        <v>428</v>
      </c>
      <c r="H1897" s="1" t="n">
        <v>2110405</v>
      </c>
      <c r="I1897" s="1" t="s">
        <v>83</v>
      </c>
      <c r="J1897" s="1" t="n">
        <v>1528808</v>
      </c>
      <c r="L1897" s="1" t="n">
        <v>625710</v>
      </c>
      <c r="M1897" s="1" t="s">
        <v>41</v>
      </c>
      <c r="N1897" s="1" t="s">
        <v>42</v>
      </c>
      <c r="P1897" s="1" t="n">
        <v>101</v>
      </c>
      <c r="Q1897" s="1" t="s">
        <v>84</v>
      </c>
      <c r="R1897" s="1" t="s">
        <v>91</v>
      </c>
      <c r="S1897" s="1" t="n">
        <v>4220199</v>
      </c>
      <c r="T1897" s="1" t="s">
        <v>92</v>
      </c>
      <c r="U1897" s="17" t="n">
        <v>560</v>
      </c>
      <c r="W1897" s="1" t="n">
        <v>0</v>
      </c>
      <c r="X1897" s="1" t="s">
        <v>2144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46199</v>
      </c>
      <c r="C1898" s="15" t="n">
        <v>46244</v>
      </c>
      <c r="D1898" s="1" t="n">
        <v>1242</v>
      </c>
      <c r="E1898" s="1" t="s">
        <v>1302</v>
      </c>
      <c r="F1898" s="1" t="n">
        <v>46</v>
      </c>
      <c r="G1898" s="1" t="s">
        <v>428</v>
      </c>
      <c r="H1898" s="1" t="n">
        <v>2110405</v>
      </c>
      <c r="I1898" s="1" t="s">
        <v>83</v>
      </c>
      <c r="J1898" s="1" t="n">
        <v>1529016</v>
      </c>
      <c r="L1898" s="1" t="n">
        <v>625769</v>
      </c>
      <c r="M1898" s="1" t="s">
        <v>41</v>
      </c>
      <c r="N1898" s="1" t="s">
        <v>42</v>
      </c>
      <c r="P1898" s="1" t="n">
        <v>101</v>
      </c>
      <c r="Q1898" s="1" t="s">
        <v>84</v>
      </c>
      <c r="R1898" s="1" t="s">
        <v>91</v>
      </c>
      <c r="S1898" s="1" t="n">
        <v>4220199</v>
      </c>
      <c r="T1898" s="1" t="s">
        <v>92</v>
      </c>
      <c r="U1898" s="17" t="n">
        <v>160</v>
      </c>
      <c r="W1898" s="1" t="n">
        <v>0</v>
      </c>
      <c r="X1898" s="1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1936</v>
      </c>
      <c r="E1899" s="1" t="s">
        <v>1075</v>
      </c>
      <c r="F1899" s="1" t="n">
        <v>24</v>
      </c>
      <c r="G1899" s="1" t="s">
        <v>32</v>
      </c>
      <c r="H1899" s="1" t="n">
        <v>2110405</v>
      </c>
      <c r="I1899" s="1" t="s">
        <v>83</v>
      </c>
      <c r="J1899" s="1" t="n">
        <v>1530560</v>
      </c>
      <c r="L1899" s="1" t="n">
        <v>626216</v>
      </c>
      <c r="M1899" s="1" t="s">
        <v>41</v>
      </c>
      <c r="N1899" s="1" t="s">
        <v>42</v>
      </c>
      <c r="P1899" s="1" t="n">
        <v>102</v>
      </c>
      <c r="Q1899" s="1" t="s">
        <v>107</v>
      </c>
      <c r="R1899" s="1" t="s">
        <v>37</v>
      </c>
      <c r="S1899" s="1" t="n">
        <v>1130101</v>
      </c>
      <c r="T1899" s="1" t="s">
        <v>38</v>
      </c>
      <c r="U1899" s="17" t="n">
        <v>700</v>
      </c>
      <c r="W1899" s="1" t="n">
        <v>700</v>
      </c>
      <c r="X1899" s="1" t="s">
        <v>2146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46244</v>
      </c>
      <c r="C1900" s="15" t="n">
        <v>46244</v>
      </c>
      <c r="D1900" s="1" t="n">
        <v>1000001</v>
      </c>
      <c r="E1900" s="1" t="s">
        <v>782</v>
      </c>
      <c r="F1900" s="1" t="n">
        <v>24</v>
      </c>
      <c r="G1900" s="1" t="s">
        <v>32</v>
      </c>
      <c r="H1900" s="1" t="n">
        <v>2110405</v>
      </c>
      <c r="I1900" s="1" t="s">
        <v>83</v>
      </c>
      <c r="J1900" s="1" t="n">
        <v>1530576</v>
      </c>
      <c r="L1900" s="1" t="n">
        <v>626217</v>
      </c>
      <c r="M1900" s="1" t="s">
        <v>41</v>
      </c>
      <c r="N1900" s="1" t="s">
        <v>42</v>
      </c>
      <c r="P1900" s="1" t="n">
        <v>102</v>
      </c>
      <c r="Q1900" s="1" t="s">
        <v>107</v>
      </c>
      <c r="R1900" s="1" t="s">
        <v>91</v>
      </c>
      <c r="S1900" s="1" t="n">
        <v>4220199</v>
      </c>
      <c r="T1900" s="1" t="s">
        <v>92</v>
      </c>
      <c r="U1900" s="17" t="n">
        <v>1068.8</v>
      </c>
      <c r="W1900" s="1" t="n">
        <v>1068.8</v>
      </c>
      <c r="X1900" s="1" t="s">
        <v>2147</v>
      </c>
      <c r="Z1900" s="1" t="str">
        <f aca="false">IF($T1900="","",IFERROR(INDEX('Resumo Grupos'!$AC$3:$AC$200,MATCH($T1900,'Resumo Grupos'!$AB$3:$AB$200,0)),"n/d"))</f>
        <v>Pagamentos outros não operacionais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46244</v>
      </c>
      <c r="C1901" s="15" t="n">
        <v>46244</v>
      </c>
      <c r="D1901" s="1" t="n">
        <v>1000001</v>
      </c>
      <c r="E1901" s="1" t="s">
        <v>782</v>
      </c>
      <c r="F1901" s="1" t="n">
        <v>24</v>
      </c>
      <c r="G1901" s="1" t="s">
        <v>32</v>
      </c>
      <c r="H1901" s="1" t="n">
        <v>2110101</v>
      </c>
      <c r="I1901" s="1" t="s">
        <v>33</v>
      </c>
      <c r="J1901" s="1" t="n">
        <v>1530584</v>
      </c>
      <c r="L1901" s="1" t="n">
        <v>626223</v>
      </c>
      <c r="M1901" s="1" t="s">
        <v>41</v>
      </c>
      <c r="N1901" s="1" t="s">
        <v>42</v>
      </c>
      <c r="P1901" s="1" t="n">
        <v>102</v>
      </c>
      <c r="Q1901" s="1" t="s">
        <v>107</v>
      </c>
      <c r="R1901" s="1" t="s">
        <v>91</v>
      </c>
      <c r="S1901" s="1" t="n">
        <v>4220199</v>
      </c>
      <c r="T1901" s="1" t="s">
        <v>92</v>
      </c>
      <c r="U1901" s="17" t="n">
        <v>3752.9</v>
      </c>
      <c r="W1901" s="1" t="n">
        <v>3752.9</v>
      </c>
      <c r="X1901" s="1" t="s">
        <v>2147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46244</v>
      </c>
      <c r="C1902" s="15" t="n">
        <v>46244</v>
      </c>
      <c r="D1902" s="1" t="n">
        <v>514</v>
      </c>
      <c r="E1902" s="1" t="s">
        <v>643</v>
      </c>
      <c r="F1902" s="1" t="n">
        <v>34</v>
      </c>
      <c r="G1902" s="1" t="s">
        <v>71</v>
      </c>
      <c r="H1902" s="1" t="n">
        <v>2110405</v>
      </c>
      <c r="I1902" s="1" t="s">
        <v>83</v>
      </c>
      <c r="J1902" s="1" t="n">
        <v>1530589</v>
      </c>
      <c r="L1902" s="1" t="n">
        <v>626224</v>
      </c>
      <c r="M1902" s="1" t="s">
        <v>41</v>
      </c>
      <c r="N1902" s="1" t="s">
        <v>42</v>
      </c>
      <c r="P1902" s="1" t="n">
        <v>102</v>
      </c>
      <c r="Q1902" s="1" t="s">
        <v>107</v>
      </c>
      <c r="R1902" s="1" t="s">
        <v>91</v>
      </c>
      <c r="S1902" s="1" t="n">
        <v>4220199</v>
      </c>
      <c r="T1902" s="1" t="s">
        <v>92</v>
      </c>
      <c r="U1902" s="17" t="n">
        <v>100</v>
      </c>
      <c r="W1902" s="1" t="n">
        <v>100</v>
      </c>
      <c r="X1902" s="1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46244</v>
      </c>
      <c r="C1903" s="15" t="n">
        <v>46244</v>
      </c>
      <c r="D1903" s="1" t="n">
        <v>1779</v>
      </c>
      <c r="E1903" s="1" t="s">
        <v>864</v>
      </c>
      <c r="F1903" s="1" t="n">
        <v>34</v>
      </c>
      <c r="G1903" s="1" t="s">
        <v>71</v>
      </c>
      <c r="H1903" s="1" t="n">
        <v>2110405</v>
      </c>
      <c r="I1903" s="1" t="s">
        <v>83</v>
      </c>
      <c r="J1903" s="1" t="n">
        <v>1535093</v>
      </c>
      <c r="L1903" s="1" t="n">
        <v>627179</v>
      </c>
      <c r="M1903" s="1" t="s">
        <v>41</v>
      </c>
      <c r="N1903" s="1" t="s">
        <v>42</v>
      </c>
      <c r="P1903" s="1" t="n">
        <v>102</v>
      </c>
      <c r="Q1903" s="1" t="s">
        <v>107</v>
      </c>
      <c r="R1903" s="1" t="s">
        <v>91</v>
      </c>
      <c r="S1903" s="1" t="n">
        <v>4220199</v>
      </c>
      <c r="T1903" s="1" t="s">
        <v>92</v>
      </c>
      <c r="U1903" s="17" t="n">
        <v>169</v>
      </c>
      <c r="W1903" s="1" t="n">
        <v>169</v>
      </c>
      <c r="X1903" s="1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46244</v>
      </c>
      <c r="C1904" s="15" t="n">
        <v>46244</v>
      </c>
      <c r="D1904" s="1" t="n">
        <v>515</v>
      </c>
      <c r="E1904" s="1" t="s">
        <v>106</v>
      </c>
      <c r="F1904" s="1" t="n">
        <v>34</v>
      </c>
      <c r="G1904" s="1" t="s">
        <v>71</v>
      </c>
      <c r="H1904" s="1" t="n">
        <v>2110405</v>
      </c>
      <c r="I1904" s="1" t="s">
        <v>83</v>
      </c>
      <c r="J1904" s="1" t="n">
        <v>1535122</v>
      </c>
      <c r="L1904" s="1" t="n">
        <v>627187</v>
      </c>
      <c r="M1904" s="1" t="s">
        <v>41</v>
      </c>
      <c r="N1904" s="1" t="s">
        <v>42</v>
      </c>
      <c r="P1904" s="1" t="n">
        <v>102</v>
      </c>
      <c r="Q1904" s="1" t="s">
        <v>107</v>
      </c>
      <c r="R1904" s="1" t="s">
        <v>108</v>
      </c>
      <c r="S1904" s="1" t="n">
        <v>4210502</v>
      </c>
      <c r="T1904" s="1" t="s">
        <v>901</v>
      </c>
      <c r="U1904" s="17" t="n">
        <v>10036.2</v>
      </c>
      <c r="W1904" s="1" t="n">
        <v>10036.2</v>
      </c>
      <c r="X1904" s="1" t="s">
        <v>2150</v>
      </c>
      <c r="Z1904" s="1" t="str">
        <f aca="false">IF($T1904="","",IFERROR(INDEX('Resumo Grupos'!$AC$3:$AC$200,MATCH($T1904,'Resumo Grupos'!$AB$3:$AB$200,0)),"n/d"))</f>
        <v>Empréstimo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46244</v>
      </c>
      <c r="D1905" s="1" t="n">
        <v>4</v>
      </c>
      <c r="E1905" s="1" t="s">
        <v>1883</v>
      </c>
      <c r="F1905" s="1" t="n">
        <v>34</v>
      </c>
      <c r="G1905" s="1" t="s">
        <v>71</v>
      </c>
      <c r="H1905" s="1" t="n">
        <v>2110405</v>
      </c>
      <c r="I1905" s="1" t="s">
        <v>83</v>
      </c>
      <c r="J1905" s="1" t="n">
        <v>1535374</v>
      </c>
      <c r="L1905" s="1" t="n">
        <v>627254</v>
      </c>
      <c r="M1905" s="1" t="s">
        <v>41</v>
      </c>
      <c r="N1905" s="1" t="s">
        <v>42</v>
      </c>
      <c r="P1905" s="1" t="n">
        <v>102</v>
      </c>
      <c r="Q1905" s="1" t="s">
        <v>107</v>
      </c>
      <c r="R1905" s="1" t="s">
        <v>85</v>
      </c>
      <c r="S1905" s="1" t="n">
        <v>4210301</v>
      </c>
      <c r="T1905" s="1" t="s">
        <v>295</v>
      </c>
      <c r="U1905" s="17" t="n">
        <v>1300</v>
      </c>
      <c r="W1905" s="1" t="n">
        <v>1300</v>
      </c>
      <c r="X1905" s="1" t="s">
        <v>2151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46244</v>
      </c>
      <c r="D1906" s="1" t="n">
        <v>514</v>
      </c>
      <c r="E1906" s="1" t="s">
        <v>643</v>
      </c>
      <c r="F1906" s="1" t="n">
        <v>34</v>
      </c>
      <c r="G1906" s="1" t="s">
        <v>71</v>
      </c>
      <c r="H1906" s="1" t="n">
        <v>2110405</v>
      </c>
      <c r="I1906" s="1" t="s">
        <v>83</v>
      </c>
      <c r="J1906" s="1" t="n">
        <v>1535387</v>
      </c>
      <c r="L1906" s="1" t="n">
        <v>627263</v>
      </c>
      <c r="M1906" s="1" t="s">
        <v>41</v>
      </c>
      <c r="N1906" s="1" t="s">
        <v>42</v>
      </c>
      <c r="P1906" s="1" t="n">
        <v>102</v>
      </c>
      <c r="Q1906" s="1" t="s">
        <v>107</v>
      </c>
      <c r="R1906" s="1" t="s">
        <v>91</v>
      </c>
      <c r="S1906" s="1" t="n">
        <v>4220199</v>
      </c>
      <c r="T1906" s="1" t="s">
        <v>92</v>
      </c>
      <c r="U1906" s="17" t="n">
        <v>9183.61</v>
      </c>
      <c r="W1906" s="1" t="n">
        <v>9183.61</v>
      </c>
      <c r="X1906" s="1" t="s">
        <v>2152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46244</v>
      </c>
      <c r="C1907" s="15" t="n">
        <v>46244</v>
      </c>
      <c r="D1907" s="1" t="n">
        <v>978</v>
      </c>
      <c r="E1907" s="1" t="s">
        <v>97</v>
      </c>
      <c r="F1907" s="1" t="n">
        <v>13</v>
      </c>
      <c r="G1907" s="1" t="s">
        <v>98</v>
      </c>
      <c r="H1907" s="1" t="n">
        <v>2110101</v>
      </c>
      <c r="I1907" s="1" t="s">
        <v>33</v>
      </c>
      <c r="J1907" s="1" t="n">
        <v>1536219</v>
      </c>
      <c r="L1907" s="1" t="n">
        <v>458</v>
      </c>
      <c r="M1907" s="1" t="s">
        <v>41</v>
      </c>
      <c r="N1907" s="1" t="s">
        <v>35</v>
      </c>
      <c r="P1907" s="1" t="n">
        <v>104</v>
      </c>
      <c r="Q1907" s="1" t="s">
        <v>99</v>
      </c>
      <c r="R1907" s="1" t="s">
        <v>37</v>
      </c>
      <c r="S1907" s="1" t="n">
        <v>1130101</v>
      </c>
      <c r="T1907" s="1" t="s">
        <v>38</v>
      </c>
      <c r="U1907" s="17" t="n">
        <v>448</v>
      </c>
      <c r="W1907" s="1" t="n">
        <v>0</v>
      </c>
      <c r="X1907" s="1" t="s">
        <v>2153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46244</v>
      </c>
      <c r="C1908" s="15" t="n">
        <v>46244</v>
      </c>
      <c r="D1908" s="1" t="n">
        <v>1779</v>
      </c>
      <c r="E1908" s="1" t="s">
        <v>864</v>
      </c>
      <c r="F1908" s="1" t="n">
        <v>37</v>
      </c>
      <c r="G1908" s="1" t="s">
        <v>1338</v>
      </c>
      <c r="H1908" s="1" t="n">
        <v>2110405</v>
      </c>
      <c r="I1908" s="1" t="s">
        <v>83</v>
      </c>
      <c r="J1908" s="1" t="n">
        <v>1542611</v>
      </c>
      <c r="L1908" s="1" t="n">
        <v>631075</v>
      </c>
      <c r="M1908" s="1" t="s">
        <v>41</v>
      </c>
      <c r="N1908" s="1" t="s">
        <v>42</v>
      </c>
      <c r="P1908" s="1" t="n">
        <v>101</v>
      </c>
      <c r="Q1908" s="1" t="s">
        <v>84</v>
      </c>
      <c r="R1908" s="1" t="s">
        <v>225</v>
      </c>
      <c r="S1908" s="1" t="n">
        <v>1140104</v>
      </c>
      <c r="T1908" s="1" t="s">
        <v>1340</v>
      </c>
      <c r="U1908" s="17" t="n">
        <v>16.83</v>
      </c>
      <c r="W1908" s="1" t="n">
        <v>0</v>
      </c>
      <c r="X1908" s="1" t="s">
        <v>2154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46164</v>
      </c>
      <c r="C1909" s="15" t="n">
        <v>46245</v>
      </c>
      <c r="D1909" s="1" t="n">
        <v>515</v>
      </c>
      <c r="E1909" s="1" t="s">
        <v>106</v>
      </c>
      <c r="F1909" s="1" t="n">
        <v>34</v>
      </c>
      <c r="G1909" s="1" t="s">
        <v>71</v>
      </c>
      <c r="H1909" s="1" t="n">
        <v>2110405</v>
      </c>
      <c r="I1909" s="1" t="s">
        <v>83</v>
      </c>
      <c r="J1909" s="1" t="n">
        <v>1137849</v>
      </c>
      <c r="L1909" s="1" t="n">
        <v>474941</v>
      </c>
      <c r="M1909" s="1" t="s">
        <v>128</v>
      </c>
      <c r="N1909" s="1" t="s">
        <v>42</v>
      </c>
      <c r="P1909" s="1" t="n">
        <v>101</v>
      </c>
      <c r="Q1909" s="1" t="s">
        <v>84</v>
      </c>
      <c r="R1909" s="1" t="s">
        <v>165</v>
      </c>
      <c r="S1909" s="1" t="n">
        <v>2110901</v>
      </c>
      <c r="T1909" s="1" t="s">
        <v>166</v>
      </c>
      <c r="U1909" s="17" t="n">
        <v>15770.14</v>
      </c>
      <c r="W1909" s="1" t="n">
        <v>15770.14</v>
      </c>
      <c r="X1909" s="1" t="s">
        <v>2155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46216</v>
      </c>
      <c r="C1910" s="15" t="n">
        <v>46245</v>
      </c>
      <c r="D1910" s="1" t="n">
        <v>1624</v>
      </c>
      <c r="E1910" s="1" t="s">
        <v>244</v>
      </c>
      <c r="F1910" s="1" t="n">
        <v>24</v>
      </c>
      <c r="G1910" s="1" t="s">
        <v>32</v>
      </c>
      <c r="H1910" s="1" t="n">
        <v>2110405</v>
      </c>
      <c r="I1910" s="1" t="s">
        <v>83</v>
      </c>
      <c r="J1910" s="1" t="n">
        <v>1393007</v>
      </c>
      <c r="L1910" s="1" t="n">
        <v>662479</v>
      </c>
      <c r="M1910" s="1" t="s">
        <v>34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823.62</v>
      </c>
      <c r="W1910" s="1" t="n">
        <v>823.62</v>
      </c>
      <c r="X1910" s="1" t="s">
        <v>2156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46219</v>
      </c>
      <c r="C1911" s="15" t="n">
        <v>46245</v>
      </c>
      <c r="D1911" s="1" t="n">
        <v>1637</v>
      </c>
      <c r="E1911" s="1" t="s">
        <v>44</v>
      </c>
      <c r="F1911" s="1" t="n">
        <v>24</v>
      </c>
      <c r="G1911" s="1" t="s">
        <v>32</v>
      </c>
      <c r="H1911" s="1" t="n">
        <v>2110405</v>
      </c>
      <c r="I1911" s="1" t="s">
        <v>83</v>
      </c>
      <c r="J1911" s="1" t="n">
        <v>1406479</v>
      </c>
      <c r="L1911" s="1" t="n">
        <v>1905835</v>
      </c>
      <c r="M1911" s="1" t="s">
        <v>41</v>
      </c>
      <c r="N1911" s="1" t="s">
        <v>42</v>
      </c>
      <c r="P1911" s="1" t="n">
        <v>103</v>
      </c>
      <c r="Q1911" s="1" t="s">
        <v>36</v>
      </c>
      <c r="R1911" s="1" t="s">
        <v>37</v>
      </c>
      <c r="S1911" s="1" t="n">
        <v>1130101</v>
      </c>
      <c r="T1911" s="1" t="s">
        <v>38</v>
      </c>
      <c r="U1911" s="17" t="n">
        <v>639.52</v>
      </c>
      <c r="W1911" s="1" t="n">
        <v>639.52</v>
      </c>
      <c r="X1911" s="1" t="s">
        <v>2157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46223</v>
      </c>
      <c r="C1912" s="15" t="n">
        <v>46245</v>
      </c>
      <c r="D1912" s="1" t="n">
        <v>1671</v>
      </c>
      <c r="E1912" s="1" t="s">
        <v>340</v>
      </c>
      <c r="F1912" s="1" t="n">
        <v>24</v>
      </c>
      <c r="G1912" s="1" t="s">
        <v>32</v>
      </c>
      <c r="H1912" s="1" t="n">
        <v>2110405</v>
      </c>
      <c r="I1912" s="1" t="s">
        <v>83</v>
      </c>
      <c r="J1912" s="1" t="n">
        <v>1424628</v>
      </c>
      <c r="L1912" s="1" t="n">
        <v>581015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612.71</v>
      </c>
      <c r="W1912" s="1" t="n">
        <v>612.71</v>
      </c>
      <c r="X1912" s="1" t="s">
        <v>2158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46226</v>
      </c>
      <c r="C1913" s="15" t="n">
        <v>46245</v>
      </c>
      <c r="D1913" s="1" t="n">
        <v>1612</v>
      </c>
      <c r="E1913" s="1" t="s">
        <v>193</v>
      </c>
      <c r="F1913" s="1" t="n">
        <v>24</v>
      </c>
      <c r="G1913" s="1" t="s">
        <v>32</v>
      </c>
      <c r="H1913" s="1" t="n">
        <v>2110405</v>
      </c>
      <c r="I1913" s="1" t="s">
        <v>83</v>
      </c>
      <c r="J1913" s="1" t="n">
        <v>1439513</v>
      </c>
      <c r="L1913" s="1" t="n">
        <v>592437</v>
      </c>
      <c r="M1913" s="1" t="s">
        <v>41</v>
      </c>
      <c r="N1913" s="1" t="s">
        <v>42</v>
      </c>
      <c r="P1913" s="1" t="n">
        <v>104</v>
      </c>
      <c r="Q1913" s="1" t="s">
        <v>99</v>
      </c>
      <c r="R1913" s="1" t="s">
        <v>37</v>
      </c>
      <c r="S1913" s="1" t="n">
        <v>1130101</v>
      </c>
      <c r="T1913" s="1" t="s">
        <v>38</v>
      </c>
      <c r="U1913" s="17" t="n">
        <v>683.04</v>
      </c>
      <c r="W1913" s="1" t="n">
        <v>683.04</v>
      </c>
      <c r="X1913" s="1" t="s">
        <v>2159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46226</v>
      </c>
      <c r="C1914" s="15" t="n">
        <v>46245</v>
      </c>
      <c r="D1914" s="1" t="n">
        <v>1668</v>
      </c>
      <c r="E1914" s="1" t="s">
        <v>57</v>
      </c>
      <c r="F1914" s="1" t="n">
        <v>24</v>
      </c>
      <c r="G1914" s="1" t="s">
        <v>32</v>
      </c>
      <c r="H1914" s="1" t="n">
        <v>2110405</v>
      </c>
      <c r="I1914" s="1" t="s">
        <v>83</v>
      </c>
      <c r="J1914" s="1" t="n">
        <v>1439648</v>
      </c>
      <c r="L1914" s="1" t="n">
        <v>740924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60</v>
      </c>
      <c r="S1914" s="1" t="n">
        <v>4210299</v>
      </c>
      <c r="T1914" s="1" t="s">
        <v>1946</v>
      </c>
      <c r="U1914" s="17" t="n">
        <v>1662.92</v>
      </c>
      <c r="W1914" s="1" t="n">
        <v>1662.92</v>
      </c>
      <c r="X1914" s="1" t="s">
        <v>2160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46226</v>
      </c>
      <c r="C1915" s="15" t="n">
        <v>46245</v>
      </c>
      <c r="D1915" s="1" t="n">
        <v>1668</v>
      </c>
      <c r="E1915" s="1" t="s">
        <v>57</v>
      </c>
      <c r="F1915" s="1" t="n">
        <v>24</v>
      </c>
      <c r="G1915" s="1" t="s">
        <v>32</v>
      </c>
      <c r="H1915" s="1" t="n">
        <v>2110405</v>
      </c>
      <c r="I1915" s="1" t="s">
        <v>83</v>
      </c>
      <c r="J1915" s="1" t="n">
        <v>1439664</v>
      </c>
      <c r="L1915" s="1" t="n">
        <v>740926</v>
      </c>
      <c r="M1915" s="1" t="s">
        <v>41</v>
      </c>
      <c r="N1915" s="1" t="s">
        <v>42</v>
      </c>
      <c r="P1915" s="1" t="n">
        <v>103</v>
      </c>
      <c r="Q1915" s="1" t="s">
        <v>36</v>
      </c>
      <c r="R1915" s="1" t="s">
        <v>60</v>
      </c>
      <c r="S1915" s="1" t="n">
        <v>4210299</v>
      </c>
      <c r="T1915" s="1" t="s">
        <v>1946</v>
      </c>
      <c r="U1915" s="17" t="n">
        <v>451.39</v>
      </c>
      <c r="W1915" s="1" t="n">
        <v>451.39</v>
      </c>
      <c r="X1915" s="1" t="s">
        <v>2161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46232</v>
      </c>
      <c r="C1916" s="15" t="n">
        <v>46245</v>
      </c>
      <c r="D1916" s="1" t="n">
        <v>630</v>
      </c>
      <c r="E1916" s="1" t="s">
        <v>519</v>
      </c>
      <c r="F1916" s="1" t="n">
        <v>24</v>
      </c>
      <c r="G1916" s="1" t="s">
        <v>32</v>
      </c>
      <c r="H1916" s="1" t="n">
        <v>2110405</v>
      </c>
      <c r="I1916" s="1" t="s">
        <v>83</v>
      </c>
      <c r="J1916" s="1" t="n">
        <v>1469203</v>
      </c>
      <c r="L1916" s="1" t="n">
        <v>603817</v>
      </c>
      <c r="M1916" s="1" t="s">
        <v>41</v>
      </c>
      <c r="N1916" s="1" t="s">
        <v>42</v>
      </c>
      <c r="P1916" s="1" t="n">
        <v>101</v>
      </c>
      <c r="Q1916" s="1" t="s">
        <v>84</v>
      </c>
      <c r="R1916" s="1" t="s">
        <v>85</v>
      </c>
      <c r="S1916" s="1" t="n">
        <v>4210311</v>
      </c>
      <c r="T1916" s="1" t="s">
        <v>301</v>
      </c>
      <c r="U1916" s="17" t="n">
        <v>130.84</v>
      </c>
      <c r="W1916" s="1" t="n">
        <v>130.84</v>
      </c>
      <c r="X1916" s="1" t="s">
        <v>2162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46232</v>
      </c>
      <c r="C1917" s="15" t="n">
        <v>46245</v>
      </c>
      <c r="D1917" s="1" t="n">
        <v>1114</v>
      </c>
      <c r="E1917" s="1" t="s">
        <v>144</v>
      </c>
      <c r="F1917" s="1" t="n">
        <v>24</v>
      </c>
      <c r="G1917" s="1" t="s">
        <v>32</v>
      </c>
      <c r="H1917" s="1" t="n">
        <v>2110405</v>
      </c>
      <c r="I1917" s="1" t="s">
        <v>83</v>
      </c>
      <c r="J1917" s="1" t="n">
        <v>1469780</v>
      </c>
      <c r="L1917" s="1" t="n">
        <v>42217</v>
      </c>
      <c r="M1917" s="1" t="s">
        <v>41</v>
      </c>
      <c r="N1917" s="1" t="s">
        <v>42</v>
      </c>
      <c r="P1917" s="1" t="n">
        <v>103</v>
      </c>
      <c r="Q1917" s="1" t="s">
        <v>36</v>
      </c>
      <c r="R1917" s="1" t="s">
        <v>37</v>
      </c>
      <c r="S1917" s="1" t="n">
        <v>1130101</v>
      </c>
      <c r="T1917" s="1" t="s">
        <v>38</v>
      </c>
      <c r="U1917" s="17" t="n">
        <v>3523.17</v>
      </c>
      <c r="W1917" s="1" t="n">
        <v>3523.17</v>
      </c>
      <c r="X1917" s="1" t="s">
        <v>2163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46238</v>
      </c>
      <c r="C1918" s="15" t="n">
        <v>46245</v>
      </c>
      <c r="D1918" s="1" t="n">
        <v>1286</v>
      </c>
      <c r="E1918" s="1" t="s">
        <v>319</v>
      </c>
      <c r="F1918" s="1" t="n">
        <v>24</v>
      </c>
      <c r="G1918" s="1" t="s">
        <v>32</v>
      </c>
      <c r="H1918" s="1" t="n">
        <v>2110405</v>
      </c>
      <c r="I1918" s="1" t="s">
        <v>83</v>
      </c>
      <c r="J1918" s="1" t="n">
        <v>1500876</v>
      </c>
      <c r="L1918" s="1" t="n">
        <v>10468</v>
      </c>
      <c r="M1918" s="1" t="s">
        <v>41</v>
      </c>
      <c r="N1918" s="1" t="s">
        <v>42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648</v>
      </c>
      <c r="W1918" s="1" t="n">
        <v>648</v>
      </c>
      <c r="X1918" s="1" t="s">
        <v>2164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46238</v>
      </c>
      <c r="C1919" s="15" t="n">
        <v>46245</v>
      </c>
      <c r="D1919" s="1" t="n">
        <v>1642</v>
      </c>
      <c r="E1919" s="1" t="s">
        <v>159</v>
      </c>
      <c r="F1919" s="1" t="n">
        <v>24</v>
      </c>
      <c r="G1919" s="1" t="s">
        <v>32</v>
      </c>
      <c r="H1919" s="1" t="n">
        <v>2110405</v>
      </c>
      <c r="I1919" s="1" t="s">
        <v>83</v>
      </c>
      <c r="J1919" s="1" t="n">
        <v>1500899</v>
      </c>
      <c r="L1919" s="1" t="n">
        <v>1035089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706.95</v>
      </c>
      <c r="W1919" s="1" t="n">
        <v>706.95</v>
      </c>
      <c r="X1919" s="1" t="s">
        <v>2165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46244</v>
      </c>
      <c r="C1920" s="15" t="n">
        <v>46245</v>
      </c>
      <c r="D1920" s="1" t="n">
        <v>1899</v>
      </c>
      <c r="E1920" s="1" t="s">
        <v>74</v>
      </c>
      <c r="F1920" s="1" t="n">
        <v>24</v>
      </c>
      <c r="G1920" s="1" t="s">
        <v>32</v>
      </c>
      <c r="H1920" s="1" t="n">
        <v>2110405</v>
      </c>
      <c r="I1920" s="1" t="s">
        <v>83</v>
      </c>
      <c r="J1920" s="1" t="n">
        <v>1528675</v>
      </c>
      <c r="L1920" s="1" t="n">
        <v>753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519.78</v>
      </c>
      <c r="W1920" s="1" t="n">
        <v>519.78</v>
      </c>
      <c r="X1920" s="1" t="s">
        <v>2166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46244</v>
      </c>
      <c r="C1921" s="15" t="n">
        <v>46245</v>
      </c>
      <c r="D1921" s="1" t="n">
        <v>1061</v>
      </c>
      <c r="E1921" s="1" t="s">
        <v>284</v>
      </c>
      <c r="F1921" s="1" t="n">
        <v>34</v>
      </c>
      <c r="G1921" s="1" t="s">
        <v>71</v>
      </c>
      <c r="H1921" s="1" t="n">
        <v>2110405</v>
      </c>
      <c r="I1921" s="1" t="s">
        <v>83</v>
      </c>
      <c r="J1921" s="1" t="n">
        <v>1448819</v>
      </c>
      <c r="L1921" s="1" t="n">
        <v>596052</v>
      </c>
      <c r="M1921" s="1" t="s">
        <v>34</v>
      </c>
      <c r="N1921" s="1" t="s">
        <v>42</v>
      </c>
      <c r="P1921" s="1" t="n">
        <v>101</v>
      </c>
      <c r="Q1921" s="1" t="s">
        <v>84</v>
      </c>
      <c r="R1921" s="1" t="s">
        <v>85</v>
      </c>
      <c r="S1921" s="1" t="n">
        <v>4210301</v>
      </c>
      <c r="T1921" s="1" t="s">
        <v>295</v>
      </c>
      <c r="U1921" s="17" t="n">
        <v>750.97</v>
      </c>
      <c r="W1921" s="1" t="n">
        <v>0</v>
      </c>
      <c r="X1921" s="1" t="s">
        <v>2167</v>
      </c>
      <c r="Z1921" s="1" t="str">
        <f aca="false">IF($T1921="","",IFERROR(INDEX('Resumo Grupos'!$AC$3:$AC$200,MATCH($T1921,'Resumo Grupos'!$AB$3:$AB$200,0)),"n/d"))</f>
        <v>Salários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46238</v>
      </c>
      <c r="C1922" s="15" t="n">
        <v>46245</v>
      </c>
      <c r="D1922" s="1" t="n">
        <v>754</v>
      </c>
      <c r="E1922" s="1" t="s">
        <v>157</v>
      </c>
      <c r="F1922" s="1" t="n">
        <v>24</v>
      </c>
      <c r="G1922" s="1" t="s">
        <v>32</v>
      </c>
      <c r="H1922" s="1" t="n">
        <v>2110405</v>
      </c>
      <c r="I1922" s="1" t="s">
        <v>83</v>
      </c>
      <c r="J1922" s="1" t="n">
        <v>1532609</v>
      </c>
      <c r="L1922" s="1" t="n">
        <v>32221</v>
      </c>
      <c r="M1922" s="1" t="s">
        <v>41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3157.5</v>
      </c>
      <c r="W1922" s="1" t="n">
        <v>3157.5</v>
      </c>
      <c r="X1922" s="1" t="s">
        <v>2168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46245</v>
      </c>
      <c r="C1923" s="15" t="n">
        <v>46245</v>
      </c>
      <c r="D1923" s="1" t="n">
        <v>33</v>
      </c>
      <c r="E1923" s="1" t="s">
        <v>70</v>
      </c>
      <c r="F1923" s="1" t="n">
        <v>34</v>
      </c>
      <c r="G1923" s="1" t="s">
        <v>71</v>
      </c>
      <c r="H1923" s="1" t="n">
        <v>2110101</v>
      </c>
      <c r="I1923" s="1" t="s">
        <v>33</v>
      </c>
      <c r="J1923" s="1" t="n">
        <v>1533001</v>
      </c>
      <c r="L1923" s="1" t="n">
        <v>5469</v>
      </c>
      <c r="M1923" s="1" t="s">
        <v>41</v>
      </c>
      <c r="N1923" s="1" t="s">
        <v>35</v>
      </c>
      <c r="P1923" s="1" t="n">
        <v>104</v>
      </c>
      <c r="Q1923" s="1" t="s">
        <v>99</v>
      </c>
      <c r="R1923" s="1" t="s">
        <v>37</v>
      </c>
      <c r="S1923" s="1" t="n">
        <v>1130101</v>
      </c>
      <c r="T1923" s="1" t="s">
        <v>38</v>
      </c>
      <c r="U1923" s="17" t="n">
        <v>2580</v>
      </c>
      <c r="W1923" s="1" t="n">
        <v>2580</v>
      </c>
      <c r="X1923" s="1" t="s">
        <v>2169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46245</v>
      </c>
      <c r="C1924" s="15" t="n">
        <v>46245</v>
      </c>
      <c r="D1924" s="1" t="n">
        <v>33</v>
      </c>
      <c r="E1924" s="1" t="s">
        <v>70</v>
      </c>
      <c r="F1924" s="1" t="n">
        <v>34</v>
      </c>
      <c r="G1924" s="1" t="s">
        <v>71</v>
      </c>
      <c r="H1924" s="1" t="n">
        <v>2110101</v>
      </c>
      <c r="I1924" s="1" t="s">
        <v>33</v>
      </c>
      <c r="J1924" s="1" t="n">
        <v>1533251</v>
      </c>
      <c r="L1924" s="1" t="n">
        <v>5474</v>
      </c>
      <c r="M1924" s="1" t="s">
        <v>41</v>
      </c>
      <c r="N1924" s="1" t="s">
        <v>35</v>
      </c>
      <c r="P1924" s="1" t="n">
        <v>104</v>
      </c>
      <c r="Q1924" s="1" t="s">
        <v>99</v>
      </c>
      <c r="R1924" s="1" t="s">
        <v>37</v>
      </c>
      <c r="S1924" s="1" t="n">
        <v>1130101</v>
      </c>
      <c r="T1924" s="1" t="s">
        <v>38</v>
      </c>
      <c r="U1924" s="17" t="n">
        <v>1100</v>
      </c>
      <c r="W1924" s="1" t="n">
        <v>1100</v>
      </c>
      <c r="X1924" s="1" t="s">
        <v>2170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46245</v>
      </c>
      <c r="C1925" s="15" t="n">
        <v>46245</v>
      </c>
      <c r="D1925" s="1" t="n">
        <v>1779</v>
      </c>
      <c r="E1925" s="1" t="s">
        <v>864</v>
      </c>
      <c r="F1925" s="1" t="n">
        <v>34</v>
      </c>
      <c r="G1925" s="1" t="s">
        <v>71</v>
      </c>
      <c r="H1925" s="1" t="n">
        <v>2110101</v>
      </c>
      <c r="I1925" s="1" t="s">
        <v>33</v>
      </c>
      <c r="J1925" s="1" t="n">
        <v>1535127</v>
      </c>
      <c r="L1925" s="1" t="n">
        <v>627188</v>
      </c>
      <c r="M1925" s="1" t="s">
        <v>41</v>
      </c>
      <c r="N1925" s="1" t="s">
        <v>42</v>
      </c>
      <c r="P1925" s="1" t="n">
        <v>101</v>
      </c>
      <c r="Q1925" s="1" t="s">
        <v>84</v>
      </c>
      <c r="R1925" s="1" t="s">
        <v>165</v>
      </c>
      <c r="S1925" s="1" t="n">
        <v>2110901</v>
      </c>
      <c r="T1925" s="1" t="s">
        <v>166</v>
      </c>
      <c r="U1925" s="17" t="n">
        <v>4095.48</v>
      </c>
      <c r="W1925" s="1" t="n">
        <v>4095.48</v>
      </c>
      <c r="X1925" s="1" t="s">
        <v>2171</v>
      </c>
      <c r="Z1925" s="1" t="str">
        <f aca="false">IF($T1925="","",IFERROR(INDEX('Resumo Grupos'!$AC$3:$AC$200,MATCH($T1925,'Resumo Grupos'!$AB$3:$AB$200,0)),"n/d"))</f>
        <v>Empréstimo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46245</v>
      </c>
      <c r="C1926" s="15" t="n">
        <v>46245</v>
      </c>
      <c r="D1926" s="1" t="n">
        <v>10096</v>
      </c>
      <c r="E1926" s="1" t="s">
        <v>1496</v>
      </c>
      <c r="F1926" s="1" t="n">
        <v>13</v>
      </c>
      <c r="G1926" s="1" t="s">
        <v>98</v>
      </c>
      <c r="H1926" s="1" t="n">
        <v>2110101</v>
      </c>
      <c r="I1926" s="1" t="s">
        <v>33</v>
      </c>
      <c r="J1926" s="1" t="n">
        <v>1536254</v>
      </c>
      <c r="L1926" s="1" t="n">
        <v>150</v>
      </c>
      <c r="M1926" s="1" t="s">
        <v>41</v>
      </c>
      <c r="N1926" s="1" t="s">
        <v>35</v>
      </c>
      <c r="P1926" s="1" t="n">
        <v>104</v>
      </c>
      <c r="Q1926" s="1" t="s">
        <v>99</v>
      </c>
      <c r="R1926" s="1" t="s">
        <v>37</v>
      </c>
      <c r="S1926" s="1" t="n">
        <v>1130101</v>
      </c>
      <c r="T1926" s="1" t="s">
        <v>38</v>
      </c>
      <c r="U1926" s="17" t="n">
        <v>280</v>
      </c>
      <c r="W1926" s="1" t="n">
        <v>0</v>
      </c>
      <c r="X1926" s="1" t="s">
        <v>2172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46192</v>
      </c>
      <c r="C1927" s="15" t="n">
        <v>46246</v>
      </c>
      <c r="D1927" s="1" t="n">
        <v>957</v>
      </c>
      <c r="E1927" s="1" t="s">
        <v>132</v>
      </c>
      <c r="F1927" s="1" t="n">
        <v>24</v>
      </c>
      <c r="G1927" s="1" t="s">
        <v>32</v>
      </c>
      <c r="H1927" s="1" t="n">
        <v>2110101</v>
      </c>
      <c r="I1927" s="1" t="s">
        <v>33</v>
      </c>
      <c r="J1927" s="1" t="n">
        <v>1273051</v>
      </c>
      <c r="L1927" s="1" t="n">
        <v>20498</v>
      </c>
      <c r="M1927" s="1" t="s">
        <v>34</v>
      </c>
      <c r="N1927" s="1" t="s">
        <v>35</v>
      </c>
      <c r="P1927" s="1" t="n">
        <v>103</v>
      </c>
      <c r="Q1927" s="1" t="s">
        <v>36</v>
      </c>
      <c r="R1927" s="1" t="s">
        <v>37</v>
      </c>
      <c r="S1927" s="1" t="n">
        <v>1130101</v>
      </c>
      <c r="T1927" s="1" t="s">
        <v>38</v>
      </c>
      <c r="U1927" s="17" t="n">
        <v>8427.07</v>
      </c>
      <c r="W1927" s="1" t="n">
        <v>8427.07</v>
      </c>
      <c r="X1927" s="1" t="s">
        <v>2173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46218</v>
      </c>
      <c r="C1928" s="15" t="n">
        <v>46246</v>
      </c>
      <c r="D1928" s="1" t="n">
        <v>1390</v>
      </c>
      <c r="E1928" s="1" t="s">
        <v>1405</v>
      </c>
      <c r="F1928" s="1" t="n">
        <v>24</v>
      </c>
      <c r="G1928" s="1" t="s">
        <v>32</v>
      </c>
      <c r="H1928" s="1" t="n">
        <v>2110405</v>
      </c>
      <c r="I1928" s="1" t="s">
        <v>83</v>
      </c>
      <c r="J1928" s="1" t="n">
        <v>1401827</v>
      </c>
      <c r="L1928" s="1" t="n">
        <v>6933</v>
      </c>
      <c r="M1928" s="1" t="s">
        <v>41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548.94</v>
      </c>
      <c r="W1928" s="1" t="n">
        <v>548.94</v>
      </c>
      <c r="X1928" s="1" t="s">
        <v>2174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46223</v>
      </c>
      <c r="C1929" s="15" t="n">
        <v>46246</v>
      </c>
      <c r="D1929" s="1" t="n">
        <v>1637</v>
      </c>
      <c r="E1929" s="1" t="s">
        <v>44</v>
      </c>
      <c r="F1929" s="1" t="n">
        <v>24</v>
      </c>
      <c r="G1929" s="1" t="s">
        <v>32</v>
      </c>
      <c r="H1929" s="1" t="n">
        <v>2110405</v>
      </c>
      <c r="I1929" s="1" t="s">
        <v>83</v>
      </c>
      <c r="J1929" s="1" t="n">
        <v>1424145</v>
      </c>
      <c r="L1929" s="1" t="n">
        <v>1906317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958.5</v>
      </c>
      <c r="W1929" s="1" t="n">
        <v>958.5</v>
      </c>
      <c r="X1929" s="1" t="s">
        <v>2175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46225</v>
      </c>
      <c r="C1930" s="15" t="n">
        <v>46246</v>
      </c>
      <c r="D1930" s="1" t="n">
        <v>10011</v>
      </c>
      <c r="E1930" s="1" t="s">
        <v>189</v>
      </c>
      <c r="F1930" s="1" t="n">
        <v>24</v>
      </c>
      <c r="G1930" s="1" t="s">
        <v>32</v>
      </c>
      <c r="H1930" s="1" t="n">
        <v>2110405</v>
      </c>
      <c r="I1930" s="1" t="s">
        <v>83</v>
      </c>
      <c r="J1930" s="1" t="n">
        <v>1435119</v>
      </c>
      <c r="L1930" s="1" t="n">
        <v>34737</v>
      </c>
      <c r="M1930" s="1" t="s">
        <v>41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807.05</v>
      </c>
      <c r="W1930" s="1" t="n">
        <v>807.05</v>
      </c>
      <c r="X1930" s="1" t="s">
        <v>2176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46225</v>
      </c>
      <c r="C1931" s="15" t="n">
        <v>46246</v>
      </c>
      <c r="D1931" s="1" t="n">
        <v>1659</v>
      </c>
      <c r="E1931" s="1" t="s">
        <v>54</v>
      </c>
      <c r="F1931" s="1" t="n">
        <v>24</v>
      </c>
      <c r="G1931" s="1" t="s">
        <v>32</v>
      </c>
      <c r="H1931" s="1" t="n">
        <v>2110405</v>
      </c>
      <c r="I1931" s="1" t="s">
        <v>83</v>
      </c>
      <c r="J1931" s="1" t="n">
        <v>1435386</v>
      </c>
      <c r="L1931" s="1" t="n">
        <v>886068</v>
      </c>
      <c r="M1931" s="1" t="s">
        <v>34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1420.58</v>
      </c>
      <c r="W1931" s="1" t="n">
        <v>1420.58</v>
      </c>
      <c r="X1931" s="1" t="s">
        <v>2177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46226</v>
      </c>
      <c r="C1932" s="15" t="n">
        <v>46246</v>
      </c>
      <c r="D1932" s="1" t="n">
        <v>1671</v>
      </c>
      <c r="E1932" s="1" t="s">
        <v>340</v>
      </c>
      <c r="F1932" s="1" t="n">
        <v>24</v>
      </c>
      <c r="G1932" s="1" t="s">
        <v>32</v>
      </c>
      <c r="H1932" s="1" t="n">
        <v>2110405</v>
      </c>
      <c r="I1932" s="1" t="s">
        <v>83</v>
      </c>
      <c r="J1932" s="1" t="n">
        <v>1439103</v>
      </c>
      <c r="L1932" s="1" t="n">
        <v>592343</v>
      </c>
      <c r="M1932" s="1" t="s">
        <v>34</v>
      </c>
      <c r="N1932" s="1" t="s">
        <v>42</v>
      </c>
      <c r="P1932" s="1" t="n">
        <v>104</v>
      </c>
      <c r="Q1932" s="1" t="s">
        <v>99</v>
      </c>
      <c r="R1932" s="1" t="s">
        <v>37</v>
      </c>
      <c r="S1932" s="1" t="n">
        <v>1130101</v>
      </c>
      <c r="T1932" s="1" t="s">
        <v>38</v>
      </c>
      <c r="U1932" s="17" t="n">
        <v>1473.38</v>
      </c>
      <c r="W1932" s="1" t="n">
        <v>1473.38</v>
      </c>
      <c r="X1932" s="1" t="s">
        <v>2178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46226</v>
      </c>
      <c r="C1933" s="15" t="n">
        <v>46246</v>
      </c>
      <c r="D1933" s="1" t="n">
        <v>957</v>
      </c>
      <c r="E1933" s="1" t="s">
        <v>132</v>
      </c>
      <c r="F1933" s="1" t="n">
        <v>24</v>
      </c>
      <c r="G1933" s="1" t="s">
        <v>32</v>
      </c>
      <c r="H1933" s="1" t="n">
        <v>2110405</v>
      </c>
      <c r="I1933" s="1" t="s">
        <v>83</v>
      </c>
      <c r="J1933" s="1" t="n">
        <v>1439137</v>
      </c>
      <c r="L1933" s="1" t="n">
        <v>21188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3458.9</v>
      </c>
      <c r="W1933" s="1" t="n">
        <v>3458.9</v>
      </c>
      <c r="X1933" s="1" t="s">
        <v>2179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46226</v>
      </c>
      <c r="C1934" s="15" t="n">
        <v>46246</v>
      </c>
      <c r="D1934" s="1" t="n">
        <v>1749</v>
      </c>
      <c r="E1934" s="1" t="s">
        <v>703</v>
      </c>
      <c r="F1934" s="1" t="n">
        <v>24</v>
      </c>
      <c r="G1934" s="1" t="s">
        <v>32</v>
      </c>
      <c r="H1934" s="1" t="n">
        <v>2110405</v>
      </c>
      <c r="I1934" s="1" t="s">
        <v>83</v>
      </c>
      <c r="J1934" s="1" t="n">
        <v>1439282</v>
      </c>
      <c r="L1934" s="1" t="n">
        <v>2785</v>
      </c>
      <c r="M1934" s="1" t="s">
        <v>34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2195.6</v>
      </c>
      <c r="W1934" s="1" t="n">
        <v>2195.6</v>
      </c>
      <c r="X1934" s="1" t="s">
        <v>2180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46226</v>
      </c>
      <c r="C1935" s="15" t="n">
        <v>46246</v>
      </c>
      <c r="D1935" s="1" t="n">
        <v>1608</v>
      </c>
      <c r="E1935" s="1" t="s">
        <v>51</v>
      </c>
      <c r="F1935" s="1" t="n">
        <v>24</v>
      </c>
      <c r="G1935" s="1" t="s">
        <v>32</v>
      </c>
      <c r="H1935" s="1" t="n">
        <v>2110405</v>
      </c>
      <c r="I1935" s="1" t="s">
        <v>83</v>
      </c>
      <c r="J1935" s="1" t="n">
        <v>1439448</v>
      </c>
      <c r="L1935" s="1" t="n">
        <v>592413</v>
      </c>
      <c r="M1935" s="1" t="s">
        <v>34</v>
      </c>
      <c r="N1935" s="1" t="s">
        <v>42</v>
      </c>
      <c r="P1935" s="1" t="n">
        <v>104</v>
      </c>
      <c r="Q1935" s="1" t="s">
        <v>99</v>
      </c>
      <c r="R1935" s="1" t="s">
        <v>37</v>
      </c>
      <c r="S1935" s="1" t="n">
        <v>1130101</v>
      </c>
      <c r="T1935" s="1" t="s">
        <v>38</v>
      </c>
      <c r="U1935" s="17" t="n">
        <v>1790.11</v>
      </c>
      <c r="W1935" s="1" t="n">
        <v>1790.11</v>
      </c>
      <c r="X1935" s="1" t="s">
        <v>1982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46226</v>
      </c>
      <c r="C1936" s="15" t="n">
        <v>46246</v>
      </c>
      <c r="D1936" s="1" t="n">
        <v>1402</v>
      </c>
      <c r="E1936" s="1" t="s">
        <v>628</v>
      </c>
      <c r="F1936" s="1" t="n">
        <v>24</v>
      </c>
      <c r="G1936" s="1" t="s">
        <v>32</v>
      </c>
      <c r="H1936" s="1" t="n">
        <v>2110405</v>
      </c>
      <c r="I1936" s="1" t="s">
        <v>83</v>
      </c>
      <c r="J1936" s="1" t="n">
        <v>1439699</v>
      </c>
      <c r="L1936" s="1" t="n">
        <v>3899</v>
      </c>
      <c r="M1936" s="1" t="s">
        <v>41</v>
      </c>
      <c r="N1936" s="1" t="s">
        <v>42</v>
      </c>
      <c r="P1936" s="1" t="n">
        <v>103</v>
      </c>
      <c r="Q1936" s="1" t="s">
        <v>36</v>
      </c>
      <c r="R1936" s="1" t="s">
        <v>60</v>
      </c>
      <c r="S1936" s="1" t="n">
        <v>4210299</v>
      </c>
      <c r="T1936" s="1" t="s">
        <v>1946</v>
      </c>
      <c r="U1936" s="17" t="n">
        <v>1478.5</v>
      </c>
      <c r="W1936" s="1" t="n">
        <v>1478.5</v>
      </c>
      <c r="X1936" s="1" t="s">
        <v>2181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46226</v>
      </c>
      <c r="C1937" s="15" t="n">
        <v>46246</v>
      </c>
      <c r="D1937" s="1" t="n">
        <v>1745</v>
      </c>
      <c r="E1937" s="1" t="s">
        <v>246</v>
      </c>
      <c r="F1937" s="1" t="n">
        <v>24</v>
      </c>
      <c r="G1937" s="1" t="s">
        <v>32</v>
      </c>
      <c r="H1937" s="1" t="n">
        <v>2110405</v>
      </c>
      <c r="I1937" s="1" t="s">
        <v>83</v>
      </c>
      <c r="J1937" s="1" t="n">
        <v>1440158</v>
      </c>
      <c r="L1937" s="1" t="n">
        <v>353326</v>
      </c>
      <c r="M1937" s="1" t="s">
        <v>34</v>
      </c>
      <c r="N1937" s="1" t="s">
        <v>42</v>
      </c>
      <c r="P1937" s="1" t="n">
        <v>103</v>
      </c>
      <c r="Q1937" s="1" t="s">
        <v>36</v>
      </c>
      <c r="R1937" s="1" t="s">
        <v>37</v>
      </c>
      <c r="S1937" s="1" t="n">
        <v>1130101</v>
      </c>
      <c r="T1937" s="1" t="s">
        <v>38</v>
      </c>
      <c r="U1937" s="17" t="n">
        <v>2063.42</v>
      </c>
      <c r="W1937" s="1" t="n">
        <v>2063.42</v>
      </c>
      <c r="X1937" s="1" t="s">
        <v>2182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46227</v>
      </c>
      <c r="C1938" s="15" t="n">
        <v>46246</v>
      </c>
      <c r="D1938" s="1" t="n">
        <v>1624</v>
      </c>
      <c r="E1938" s="1" t="s">
        <v>244</v>
      </c>
      <c r="F1938" s="1" t="n">
        <v>24</v>
      </c>
      <c r="G1938" s="1" t="s">
        <v>32</v>
      </c>
      <c r="H1938" s="1" t="n">
        <v>2110405</v>
      </c>
      <c r="I1938" s="1" t="s">
        <v>83</v>
      </c>
      <c r="J1938" s="1" t="n">
        <v>1443647</v>
      </c>
      <c r="L1938" s="1" t="n">
        <v>665164</v>
      </c>
      <c r="M1938" s="1" t="s">
        <v>41</v>
      </c>
      <c r="N1938" s="1" t="s">
        <v>42</v>
      </c>
      <c r="P1938" s="1" t="n">
        <v>103</v>
      </c>
      <c r="Q1938" s="1" t="s">
        <v>36</v>
      </c>
      <c r="R1938" s="1" t="s">
        <v>37</v>
      </c>
      <c r="S1938" s="1" t="n">
        <v>1130101</v>
      </c>
      <c r="T1938" s="1" t="s">
        <v>38</v>
      </c>
      <c r="U1938" s="17" t="n">
        <v>853.9</v>
      </c>
      <c r="W1938" s="1" t="n">
        <v>853.9</v>
      </c>
      <c r="X1938" s="1" t="s">
        <v>2183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46227</v>
      </c>
      <c r="C1939" s="15" t="n">
        <v>46246</v>
      </c>
      <c r="D1939" s="1" t="n">
        <v>1613</v>
      </c>
      <c r="E1939" s="1" t="s">
        <v>208</v>
      </c>
      <c r="F1939" s="1" t="n">
        <v>24</v>
      </c>
      <c r="G1939" s="1" t="s">
        <v>32</v>
      </c>
      <c r="H1939" s="1" t="n">
        <v>2110405</v>
      </c>
      <c r="I1939" s="1" t="s">
        <v>83</v>
      </c>
      <c r="J1939" s="1" t="n">
        <v>1443677</v>
      </c>
      <c r="L1939" s="1" t="n">
        <v>1611343</v>
      </c>
      <c r="M1939" s="1" t="s">
        <v>34</v>
      </c>
      <c r="N1939" s="1" t="s">
        <v>42</v>
      </c>
      <c r="P1939" s="1" t="n">
        <v>103</v>
      </c>
      <c r="Q1939" s="1" t="s">
        <v>36</v>
      </c>
      <c r="R1939" s="1" t="s">
        <v>37</v>
      </c>
      <c r="S1939" s="1" t="n">
        <v>1130101</v>
      </c>
      <c r="T1939" s="1" t="s">
        <v>38</v>
      </c>
      <c r="U1939" s="17" t="n">
        <v>447.25</v>
      </c>
      <c r="W1939" s="1" t="n">
        <v>447.25</v>
      </c>
      <c r="X1939" s="1" t="s">
        <v>2184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46228</v>
      </c>
      <c r="C1940" s="15" t="n">
        <v>46246</v>
      </c>
      <c r="D1940" s="1" t="n">
        <v>1636</v>
      </c>
      <c r="E1940" s="1" t="s">
        <v>68</v>
      </c>
      <c r="F1940" s="1" t="n">
        <v>24</v>
      </c>
      <c r="G1940" s="1" t="s">
        <v>32</v>
      </c>
      <c r="H1940" s="1" t="n">
        <v>2110405</v>
      </c>
      <c r="I1940" s="1" t="s">
        <v>83</v>
      </c>
      <c r="J1940" s="1" t="n">
        <v>1449938</v>
      </c>
      <c r="L1940" s="1" t="n">
        <v>3223292</v>
      </c>
      <c r="M1940" s="1" t="s">
        <v>41</v>
      </c>
      <c r="N1940" s="1" t="s">
        <v>42</v>
      </c>
      <c r="P1940" s="1" t="n">
        <v>103</v>
      </c>
      <c r="Q1940" s="1" t="s">
        <v>36</v>
      </c>
      <c r="R1940" s="1" t="s">
        <v>37</v>
      </c>
      <c r="S1940" s="1" t="n">
        <v>1130101</v>
      </c>
      <c r="T1940" s="1" t="s">
        <v>38</v>
      </c>
      <c r="U1940" s="17" t="n">
        <v>1641.4</v>
      </c>
      <c r="W1940" s="1" t="n">
        <v>1641.4</v>
      </c>
      <c r="X1940" s="1" t="s">
        <v>2185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46235</v>
      </c>
      <c r="C1941" s="15" t="n">
        <v>46246</v>
      </c>
      <c r="D1941" s="1" t="n">
        <v>1613</v>
      </c>
      <c r="E1941" s="1" t="s">
        <v>208</v>
      </c>
      <c r="F1941" s="1" t="n">
        <v>24</v>
      </c>
      <c r="G1941" s="1" t="s">
        <v>32</v>
      </c>
      <c r="H1941" s="1" t="n">
        <v>2110405</v>
      </c>
      <c r="I1941" s="1" t="s">
        <v>83</v>
      </c>
      <c r="J1941" s="1" t="n">
        <v>1482290</v>
      </c>
      <c r="L1941" s="1" t="n">
        <v>1614419</v>
      </c>
      <c r="M1941" s="1" t="s">
        <v>41</v>
      </c>
      <c r="N1941" s="1" t="s">
        <v>42</v>
      </c>
      <c r="P1941" s="1" t="n">
        <v>103</v>
      </c>
      <c r="Q1941" s="1" t="s">
        <v>36</v>
      </c>
      <c r="R1941" s="1" t="s">
        <v>37</v>
      </c>
      <c r="S1941" s="1" t="n">
        <v>1130101</v>
      </c>
      <c r="T1941" s="1" t="s">
        <v>38</v>
      </c>
      <c r="U1941" s="17" t="n">
        <v>1798.15</v>
      </c>
      <c r="W1941" s="1" t="n">
        <v>1798.15</v>
      </c>
      <c r="X1941" s="1" t="s">
        <v>2186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46240</v>
      </c>
      <c r="C1942" s="15" t="n">
        <v>46246</v>
      </c>
      <c r="D1942" s="1" t="n">
        <v>1123</v>
      </c>
      <c r="E1942" s="1" t="s">
        <v>215</v>
      </c>
      <c r="F1942" s="1" t="n">
        <v>24</v>
      </c>
      <c r="G1942" s="1" t="s">
        <v>32</v>
      </c>
      <c r="H1942" s="1" t="n">
        <v>2110405</v>
      </c>
      <c r="I1942" s="1" t="s">
        <v>83</v>
      </c>
      <c r="J1942" s="1" t="n">
        <v>1508498</v>
      </c>
      <c r="L1942" s="1" t="n">
        <v>45442</v>
      </c>
      <c r="M1942" s="1" t="s">
        <v>41</v>
      </c>
      <c r="N1942" s="1" t="s">
        <v>42</v>
      </c>
      <c r="P1942" s="1" t="n">
        <v>103</v>
      </c>
      <c r="Q1942" s="1" t="s">
        <v>36</v>
      </c>
      <c r="R1942" s="1" t="s">
        <v>37</v>
      </c>
      <c r="S1942" s="1" t="n">
        <v>1130101</v>
      </c>
      <c r="T1942" s="1" t="s">
        <v>38</v>
      </c>
      <c r="U1942" s="17" t="n">
        <v>1380</v>
      </c>
      <c r="W1942" s="1" t="n">
        <v>1380</v>
      </c>
      <c r="X1942" s="1" t="s">
        <v>2187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46240</v>
      </c>
      <c r="C1943" s="15" t="n">
        <v>46246</v>
      </c>
      <c r="D1943" s="1" t="n">
        <v>1024</v>
      </c>
      <c r="E1943" s="1" t="s">
        <v>688</v>
      </c>
      <c r="F1943" s="1" t="n">
        <v>24</v>
      </c>
      <c r="G1943" s="1" t="s">
        <v>32</v>
      </c>
      <c r="H1943" s="1" t="n">
        <v>2110405</v>
      </c>
      <c r="I1943" s="1" t="s">
        <v>83</v>
      </c>
      <c r="J1943" s="1" t="n">
        <v>1508619</v>
      </c>
      <c r="L1943" s="1" t="n">
        <v>615120</v>
      </c>
      <c r="M1943" s="1" t="s">
        <v>41</v>
      </c>
      <c r="N1943" s="1" t="s">
        <v>42</v>
      </c>
      <c r="P1943" s="1" t="n">
        <v>103</v>
      </c>
      <c r="Q1943" s="1" t="s">
        <v>36</v>
      </c>
      <c r="R1943" s="1" t="s">
        <v>37</v>
      </c>
      <c r="S1943" s="1" t="n">
        <v>1130101</v>
      </c>
      <c r="T1943" s="1" t="s">
        <v>38</v>
      </c>
      <c r="U1943" s="17" t="n">
        <v>630</v>
      </c>
      <c r="W1943" s="1" t="n">
        <v>630</v>
      </c>
      <c r="X1943" s="1" t="s">
        <v>2188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46240</v>
      </c>
      <c r="C1944" s="15" t="n">
        <v>46246</v>
      </c>
      <c r="D1944" s="1" t="n">
        <v>33</v>
      </c>
      <c r="E1944" s="1" t="s">
        <v>70</v>
      </c>
      <c r="F1944" s="1" t="n">
        <v>34</v>
      </c>
      <c r="G1944" s="1" t="s">
        <v>71</v>
      </c>
      <c r="H1944" s="1" t="n">
        <v>2110101</v>
      </c>
      <c r="I1944" s="1" t="s">
        <v>33</v>
      </c>
      <c r="J1944" s="1" t="n">
        <v>1509125</v>
      </c>
      <c r="L1944" s="1" t="n">
        <v>5441</v>
      </c>
      <c r="M1944" s="1" t="s">
        <v>41</v>
      </c>
      <c r="N1944" s="1" t="s">
        <v>35</v>
      </c>
      <c r="P1944" s="1" t="n">
        <v>103</v>
      </c>
      <c r="Q1944" s="1" t="s">
        <v>36</v>
      </c>
      <c r="R1944" s="1" t="s">
        <v>37</v>
      </c>
      <c r="S1944" s="1" t="n">
        <v>1130101</v>
      </c>
      <c r="T1944" s="1" t="s">
        <v>38</v>
      </c>
      <c r="U1944" s="17" t="n">
        <v>1800</v>
      </c>
      <c r="W1944" s="1" t="n">
        <v>1800</v>
      </c>
      <c r="X1944" s="1" t="s">
        <v>2189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46241</v>
      </c>
      <c r="C1945" s="15" t="n">
        <v>46246</v>
      </c>
      <c r="D1945" s="1" t="n">
        <v>887</v>
      </c>
      <c r="E1945" s="1" t="s">
        <v>502</v>
      </c>
      <c r="F1945" s="1" t="n">
        <v>24</v>
      </c>
      <c r="G1945" s="1" t="s">
        <v>32</v>
      </c>
      <c r="H1945" s="1" t="n">
        <v>2110405</v>
      </c>
      <c r="I1945" s="1" t="s">
        <v>83</v>
      </c>
      <c r="J1945" s="1" t="n">
        <v>1514434</v>
      </c>
      <c r="L1945" s="1" t="n">
        <v>620151</v>
      </c>
      <c r="M1945" s="1" t="s">
        <v>41</v>
      </c>
      <c r="N1945" s="1" t="s">
        <v>42</v>
      </c>
      <c r="P1945" s="1" t="n">
        <v>101</v>
      </c>
      <c r="Q1945" s="1" t="s">
        <v>84</v>
      </c>
      <c r="R1945" s="1" t="s">
        <v>85</v>
      </c>
      <c r="S1945" s="1" t="n">
        <v>4210315</v>
      </c>
      <c r="T1945" s="1" t="s">
        <v>503</v>
      </c>
      <c r="U1945" s="17" t="n">
        <v>199.8</v>
      </c>
      <c r="W1945" s="1" t="n">
        <v>199.8</v>
      </c>
      <c r="X1945" s="1" t="s">
        <v>743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46245</v>
      </c>
      <c r="C1946" s="15" t="n">
        <v>46246</v>
      </c>
      <c r="D1946" s="1" t="n">
        <v>33</v>
      </c>
      <c r="E1946" s="1" t="s">
        <v>70</v>
      </c>
      <c r="F1946" s="1" t="n">
        <v>34</v>
      </c>
      <c r="G1946" s="1" t="s">
        <v>71</v>
      </c>
      <c r="H1946" s="1" t="n">
        <v>2110101</v>
      </c>
      <c r="I1946" s="1" t="s">
        <v>33</v>
      </c>
      <c r="J1946" s="1" t="n">
        <v>1532676</v>
      </c>
      <c r="L1946" s="1" t="n">
        <v>5466</v>
      </c>
      <c r="M1946" s="1" t="s">
        <v>41</v>
      </c>
      <c r="N1946" s="1" t="s">
        <v>35</v>
      </c>
      <c r="P1946" s="1" t="n">
        <v>104</v>
      </c>
      <c r="Q1946" s="1" t="s">
        <v>99</v>
      </c>
      <c r="R1946" s="1" t="s">
        <v>37</v>
      </c>
      <c r="S1946" s="1" t="n">
        <v>1130101</v>
      </c>
      <c r="T1946" s="1" t="s">
        <v>38</v>
      </c>
      <c r="U1946" s="17" t="n">
        <v>695</v>
      </c>
      <c r="W1946" s="1" t="n">
        <v>695</v>
      </c>
      <c r="X1946" s="1" t="s">
        <v>220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46245</v>
      </c>
      <c r="C1947" s="15" t="n">
        <v>46246</v>
      </c>
      <c r="D1947" s="1" t="n">
        <v>33</v>
      </c>
      <c r="E1947" s="1" t="s">
        <v>70</v>
      </c>
      <c r="F1947" s="1" t="n">
        <v>34</v>
      </c>
      <c r="G1947" s="1" t="s">
        <v>71</v>
      </c>
      <c r="H1947" s="1" t="n">
        <v>2110405</v>
      </c>
      <c r="I1947" s="1" t="s">
        <v>83</v>
      </c>
      <c r="J1947" s="1" t="n">
        <v>1532715</v>
      </c>
      <c r="L1947" s="1" t="n">
        <v>626515</v>
      </c>
      <c r="M1947" s="1" t="s">
        <v>41</v>
      </c>
      <c r="N1947" s="1" t="s">
        <v>42</v>
      </c>
      <c r="P1947" s="1" t="n">
        <v>104</v>
      </c>
      <c r="Q1947" s="1" t="s">
        <v>99</v>
      </c>
      <c r="R1947" s="1" t="s">
        <v>37</v>
      </c>
      <c r="S1947" s="1" t="n">
        <v>1130101</v>
      </c>
      <c r="T1947" s="1" t="s">
        <v>38</v>
      </c>
      <c r="U1947" s="17" t="n">
        <v>160</v>
      </c>
      <c r="W1947" s="1" t="n">
        <v>160</v>
      </c>
      <c r="X1947" s="1" t="s">
        <v>1717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46245</v>
      </c>
      <c r="C1948" s="15" t="n">
        <v>46246</v>
      </c>
      <c r="D1948" s="1" t="n">
        <v>1615</v>
      </c>
      <c r="E1948" s="1" t="s">
        <v>221</v>
      </c>
      <c r="F1948" s="1" t="n">
        <v>34</v>
      </c>
      <c r="G1948" s="1" t="s">
        <v>71</v>
      </c>
      <c r="H1948" s="1" t="n">
        <v>2110101</v>
      </c>
      <c r="I1948" s="1" t="s">
        <v>33</v>
      </c>
      <c r="J1948" s="1" t="n">
        <v>1532725</v>
      </c>
      <c r="L1948" s="1" t="n">
        <v>15076</v>
      </c>
      <c r="M1948" s="1" t="s">
        <v>41</v>
      </c>
      <c r="N1948" s="1" t="s">
        <v>35</v>
      </c>
      <c r="P1948" s="1" t="n">
        <v>104</v>
      </c>
      <c r="Q1948" s="1" t="s">
        <v>99</v>
      </c>
      <c r="R1948" s="1" t="s">
        <v>37</v>
      </c>
      <c r="S1948" s="1" t="n">
        <v>1130101</v>
      </c>
      <c r="T1948" s="1" t="s">
        <v>38</v>
      </c>
      <c r="U1948" s="17" t="n">
        <v>470</v>
      </c>
      <c r="W1948" s="1" t="n">
        <v>470</v>
      </c>
      <c r="X1948" s="1" t="s">
        <v>2190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46246</v>
      </c>
      <c r="C1949" s="15" t="n">
        <v>46246</v>
      </c>
      <c r="D1949" s="1" t="n">
        <v>10003</v>
      </c>
      <c r="E1949" s="1" t="s">
        <v>2191</v>
      </c>
      <c r="F1949" s="1" t="n">
        <v>34</v>
      </c>
      <c r="G1949" s="1" t="s">
        <v>71</v>
      </c>
      <c r="H1949" s="1" t="n">
        <v>2110405</v>
      </c>
      <c r="I1949" s="1" t="s">
        <v>83</v>
      </c>
      <c r="J1949" s="1" t="n">
        <v>1534374</v>
      </c>
      <c r="L1949" s="1" t="n">
        <v>626909</v>
      </c>
      <c r="M1949" s="1" t="s">
        <v>41</v>
      </c>
      <c r="N1949" s="1" t="s">
        <v>42</v>
      </c>
      <c r="P1949" s="1" t="n">
        <v>101</v>
      </c>
      <c r="Q1949" s="1" t="s">
        <v>84</v>
      </c>
      <c r="R1949" s="1" t="s">
        <v>60</v>
      </c>
      <c r="S1949" s="1" t="n">
        <v>4210299</v>
      </c>
      <c r="T1949" s="1" t="s">
        <v>1946</v>
      </c>
      <c r="U1949" s="17" t="n">
        <v>99</v>
      </c>
      <c r="W1949" s="1" t="n">
        <v>99</v>
      </c>
      <c r="X1949" s="1" t="s">
        <v>2192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46246</v>
      </c>
      <c r="C1950" s="15" t="n">
        <v>46246</v>
      </c>
      <c r="D1950" s="1" t="n">
        <v>17</v>
      </c>
      <c r="E1950" s="1" t="s">
        <v>94</v>
      </c>
      <c r="F1950" s="1" t="n">
        <v>24</v>
      </c>
      <c r="G1950" s="1" t="s">
        <v>32</v>
      </c>
      <c r="H1950" s="1" t="n">
        <v>2110405</v>
      </c>
      <c r="I1950" s="1" t="s">
        <v>83</v>
      </c>
      <c r="J1950" s="1" t="n">
        <v>1323809</v>
      </c>
      <c r="L1950" s="1" t="n">
        <v>548260</v>
      </c>
      <c r="M1950" s="1" t="s">
        <v>34</v>
      </c>
      <c r="N1950" s="1" t="s">
        <v>42</v>
      </c>
      <c r="P1950" s="1" t="n">
        <v>101</v>
      </c>
      <c r="Q1950" s="1" t="s">
        <v>84</v>
      </c>
      <c r="R1950" s="1" t="s">
        <v>91</v>
      </c>
      <c r="S1950" s="1" t="n">
        <v>4220199</v>
      </c>
      <c r="T1950" s="1" t="s">
        <v>92</v>
      </c>
      <c r="U1950" s="17" t="n">
        <v>870.06</v>
      </c>
      <c r="W1950" s="1" t="n">
        <v>870.06</v>
      </c>
      <c r="X1950" s="1" t="s">
        <v>1192</v>
      </c>
      <c r="Z1950" s="1" t="str">
        <f aca="false">IF($T1950="","",IFERROR(INDEX('Resumo Grupos'!$AC$3:$AC$200,MATCH($T1950,'Resumo Grupos'!$AB$3:$AB$200,0)),"n/d"))</f>
        <v>Pagamentos outros não operacionais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46246</v>
      </c>
      <c r="C1951" s="15" t="n">
        <v>46246</v>
      </c>
      <c r="D1951" s="1" t="n">
        <v>514</v>
      </c>
      <c r="E1951" s="1" t="s">
        <v>643</v>
      </c>
      <c r="F1951" s="1" t="n">
        <v>34</v>
      </c>
      <c r="G1951" s="1" t="s">
        <v>71</v>
      </c>
      <c r="H1951" s="1" t="n">
        <v>2110405</v>
      </c>
      <c r="I1951" s="1" t="s">
        <v>83</v>
      </c>
      <c r="J1951" s="1" t="n">
        <v>1535102</v>
      </c>
      <c r="L1951" s="1" t="n">
        <v>627182</v>
      </c>
      <c r="M1951" s="1" t="s">
        <v>41</v>
      </c>
      <c r="N1951" s="1" t="s">
        <v>42</v>
      </c>
      <c r="P1951" s="1" t="n">
        <v>102</v>
      </c>
      <c r="Q1951" s="1" t="s">
        <v>107</v>
      </c>
      <c r="R1951" s="1" t="s">
        <v>108</v>
      </c>
      <c r="S1951" s="1" t="n">
        <v>4210504</v>
      </c>
      <c r="T1951" s="1" t="s">
        <v>174</v>
      </c>
      <c r="U1951" s="17" t="n">
        <v>422</v>
      </c>
      <c r="W1951" s="1" t="n">
        <v>0</v>
      </c>
      <c r="X1951" s="1" t="s">
        <v>2193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46246</v>
      </c>
      <c r="C1952" s="15" t="n">
        <v>46246</v>
      </c>
      <c r="D1952" s="1" t="n">
        <v>514</v>
      </c>
      <c r="E1952" s="1" t="s">
        <v>643</v>
      </c>
      <c r="F1952" s="1" t="n">
        <v>34</v>
      </c>
      <c r="G1952" s="1" t="s">
        <v>71</v>
      </c>
      <c r="H1952" s="1" t="n">
        <v>2110405</v>
      </c>
      <c r="I1952" s="1" t="s">
        <v>83</v>
      </c>
      <c r="J1952" s="1" t="n">
        <v>1535103</v>
      </c>
      <c r="L1952" s="1" t="n">
        <v>627183</v>
      </c>
      <c r="M1952" s="1" t="s">
        <v>41</v>
      </c>
      <c r="N1952" s="1" t="s">
        <v>42</v>
      </c>
      <c r="P1952" s="1" t="n">
        <v>102</v>
      </c>
      <c r="Q1952" s="1" t="s">
        <v>107</v>
      </c>
      <c r="R1952" s="1" t="s">
        <v>91</v>
      </c>
      <c r="S1952" s="1" t="n">
        <v>4220199</v>
      </c>
      <c r="T1952" s="1" t="s">
        <v>92</v>
      </c>
      <c r="U1952" s="17" t="n">
        <v>400</v>
      </c>
      <c r="W1952" s="1" t="n">
        <v>400</v>
      </c>
      <c r="X1952" s="1" t="s">
        <v>2194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46246</v>
      </c>
      <c r="C1953" s="15" t="n">
        <v>46246</v>
      </c>
      <c r="D1953" s="1" t="n">
        <v>515</v>
      </c>
      <c r="E1953" s="1" t="s">
        <v>106</v>
      </c>
      <c r="F1953" s="1" t="n">
        <v>34</v>
      </c>
      <c r="G1953" s="1" t="s">
        <v>71</v>
      </c>
      <c r="H1953" s="1" t="n">
        <v>2110405</v>
      </c>
      <c r="I1953" s="1" t="s">
        <v>83</v>
      </c>
      <c r="J1953" s="1" t="n">
        <v>1535203</v>
      </c>
      <c r="L1953" s="1" t="n">
        <v>627190</v>
      </c>
      <c r="M1953" s="1" t="s">
        <v>41</v>
      </c>
      <c r="N1953" s="1" t="s">
        <v>42</v>
      </c>
      <c r="P1953" s="1" t="n">
        <v>102</v>
      </c>
      <c r="Q1953" s="1" t="s">
        <v>107</v>
      </c>
      <c r="R1953" s="1" t="s">
        <v>91</v>
      </c>
      <c r="S1953" s="1" t="n">
        <v>4220199</v>
      </c>
      <c r="T1953" s="1" t="s">
        <v>92</v>
      </c>
      <c r="U1953" s="17" t="n">
        <v>507</v>
      </c>
      <c r="W1953" s="1" t="n">
        <v>507</v>
      </c>
      <c r="X1953" s="1" t="s">
        <v>2195</v>
      </c>
      <c r="Z1953" s="1" t="str">
        <f aca="false">IF($T1953="","",IFERROR(INDEX('Resumo Grupos'!$AC$3:$AC$200,MATCH($T1953,'Resumo Grupos'!$AB$3:$AB$200,0)),"n/d"))</f>
        <v>Pagamentos outros não operacionais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46246</v>
      </c>
      <c r="C1954" s="15" t="n">
        <v>46246</v>
      </c>
      <c r="D1954" s="1" t="n">
        <v>33</v>
      </c>
      <c r="E1954" s="1" t="s">
        <v>70</v>
      </c>
      <c r="F1954" s="1" t="n">
        <v>13</v>
      </c>
      <c r="G1954" s="1" t="s">
        <v>98</v>
      </c>
      <c r="H1954" s="1" t="n">
        <v>2110101</v>
      </c>
      <c r="I1954" s="1" t="s">
        <v>33</v>
      </c>
      <c r="J1954" s="1" t="n">
        <v>1535362</v>
      </c>
      <c r="L1954" s="1" t="n">
        <v>5475</v>
      </c>
      <c r="M1954" s="1" t="s">
        <v>41</v>
      </c>
      <c r="N1954" s="1" t="s">
        <v>35</v>
      </c>
      <c r="P1954" s="1" t="n">
        <v>104</v>
      </c>
      <c r="Q1954" s="1" t="s">
        <v>99</v>
      </c>
      <c r="R1954" s="1" t="s">
        <v>37</v>
      </c>
      <c r="S1954" s="1" t="n">
        <v>1130101</v>
      </c>
      <c r="T1954" s="1" t="s">
        <v>38</v>
      </c>
      <c r="U1954" s="17" t="n">
        <v>375</v>
      </c>
      <c r="W1954" s="1" t="n">
        <v>375</v>
      </c>
      <c r="X1954" s="1" t="s">
        <v>2196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46246</v>
      </c>
      <c r="C1955" s="15" t="n">
        <v>46246</v>
      </c>
      <c r="D1955" s="1" t="n">
        <v>33</v>
      </c>
      <c r="E1955" s="1" t="s">
        <v>70</v>
      </c>
      <c r="F1955" s="1" t="n">
        <v>13</v>
      </c>
      <c r="G1955" s="1" t="s">
        <v>98</v>
      </c>
      <c r="H1955" s="1" t="n">
        <v>2110101</v>
      </c>
      <c r="I1955" s="1" t="s">
        <v>33</v>
      </c>
      <c r="J1955" s="1" t="n">
        <v>1535485</v>
      </c>
      <c r="L1955" s="1" t="n">
        <v>5476</v>
      </c>
      <c r="M1955" s="1" t="s">
        <v>41</v>
      </c>
      <c r="N1955" s="1" t="s">
        <v>35</v>
      </c>
      <c r="P1955" s="1" t="n">
        <v>104</v>
      </c>
      <c r="Q1955" s="1" t="s">
        <v>99</v>
      </c>
      <c r="R1955" s="1" t="s">
        <v>37</v>
      </c>
      <c r="S1955" s="1" t="n">
        <v>1130101</v>
      </c>
      <c r="T1955" s="1" t="s">
        <v>38</v>
      </c>
      <c r="U1955" s="17" t="n">
        <v>300</v>
      </c>
      <c r="W1955" s="1" t="n">
        <v>300</v>
      </c>
      <c r="X1955" s="1" t="s">
        <v>2197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46246</v>
      </c>
      <c r="C1956" s="15" t="n">
        <v>46246</v>
      </c>
      <c r="D1956" s="1" t="n">
        <v>905</v>
      </c>
      <c r="E1956" s="1" t="s">
        <v>1205</v>
      </c>
      <c r="F1956" s="1" t="n">
        <v>34</v>
      </c>
      <c r="G1956" s="1" t="s">
        <v>71</v>
      </c>
      <c r="H1956" s="1" t="n">
        <v>2110405</v>
      </c>
      <c r="I1956" s="1" t="s">
        <v>83</v>
      </c>
      <c r="J1956" s="1" t="n">
        <v>1537351</v>
      </c>
      <c r="L1956" s="1" t="n">
        <v>628347</v>
      </c>
      <c r="M1956" s="1" t="s">
        <v>41</v>
      </c>
      <c r="N1956" s="1" t="s">
        <v>42</v>
      </c>
      <c r="P1956" s="1" t="n">
        <v>101</v>
      </c>
      <c r="Q1956" s="1" t="s">
        <v>84</v>
      </c>
      <c r="R1956" s="1" t="s">
        <v>60</v>
      </c>
      <c r="S1956" s="1" t="n">
        <v>4210227</v>
      </c>
      <c r="T1956" s="1" t="s">
        <v>418</v>
      </c>
      <c r="U1956" s="17" t="n">
        <v>200</v>
      </c>
      <c r="W1956" s="1" t="n">
        <v>200</v>
      </c>
      <c r="X1956" s="1" t="s">
        <v>2198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46246</v>
      </c>
      <c r="C1957" s="15" t="n">
        <v>46246</v>
      </c>
      <c r="D1957" s="1" t="n">
        <v>10096</v>
      </c>
      <c r="E1957" s="1" t="s">
        <v>1496</v>
      </c>
      <c r="F1957" s="1" t="n">
        <v>13</v>
      </c>
      <c r="G1957" s="1" t="s">
        <v>98</v>
      </c>
      <c r="H1957" s="1" t="n">
        <v>2110101</v>
      </c>
      <c r="I1957" s="1" t="s">
        <v>33</v>
      </c>
      <c r="J1957" s="1" t="n">
        <v>1545850</v>
      </c>
      <c r="L1957" s="1" t="n">
        <v>152</v>
      </c>
      <c r="M1957" s="1" t="s">
        <v>41</v>
      </c>
      <c r="N1957" s="1" t="s">
        <v>35</v>
      </c>
      <c r="P1957" s="1" t="n">
        <v>104</v>
      </c>
      <c r="Q1957" s="1" t="s">
        <v>99</v>
      </c>
      <c r="R1957" s="1" t="s">
        <v>37</v>
      </c>
      <c r="S1957" s="1" t="n">
        <v>1130101</v>
      </c>
      <c r="T1957" s="1" t="s">
        <v>38</v>
      </c>
      <c r="U1957" s="17" t="n">
        <v>280</v>
      </c>
      <c r="W1957" s="1" t="n">
        <v>0</v>
      </c>
      <c r="X1957" s="1" t="s">
        <v>2199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46105</v>
      </c>
      <c r="C1958" s="15" t="n">
        <v>46247</v>
      </c>
      <c r="D1958" s="1" t="n">
        <v>10056</v>
      </c>
      <c r="E1958" s="1" t="s">
        <v>560</v>
      </c>
      <c r="F1958" s="1" t="n">
        <v>42</v>
      </c>
      <c r="G1958" s="1" t="s">
        <v>561</v>
      </c>
      <c r="H1958" s="1" t="n">
        <v>2110405</v>
      </c>
      <c r="I1958" s="1" t="s">
        <v>83</v>
      </c>
      <c r="J1958" s="1" t="n">
        <v>848843</v>
      </c>
      <c r="L1958" s="1" t="n">
        <v>363960</v>
      </c>
      <c r="M1958" s="1" t="s">
        <v>234</v>
      </c>
      <c r="N1958" s="1" t="s">
        <v>42</v>
      </c>
      <c r="P1958" s="1" t="n">
        <v>101</v>
      </c>
      <c r="Q1958" s="1" t="s">
        <v>84</v>
      </c>
      <c r="R1958" s="1" t="s">
        <v>91</v>
      </c>
      <c r="S1958" s="1" t="n">
        <v>4220199</v>
      </c>
      <c r="T1958" s="1" t="s">
        <v>92</v>
      </c>
      <c r="U1958" s="17" t="n">
        <v>333.33</v>
      </c>
      <c r="W1958" s="1" t="n">
        <v>0</v>
      </c>
      <c r="X1958" s="1" t="s">
        <v>562</v>
      </c>
      <c r="Z1958" s="1" t="str">
        <f aca="false">IF($T1958="","",IFERROR(INDEX('Resumo Grupos'!$AC$3:$AC$200,MATCH($T1958,'Resumo Grupos'!$AB$3:$AB$200,0)),"n/d"))</f>
        <v>Pagamentos outros não operacionais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46219</v>
      </c>
      <c r="C1959" s="15" t="n">
        <v>46247</v>
      </c>
      <c r="D1959" s="1" t="n">
        <v>1601</v>
      </c>
      <c r="E1959" s="1" t="s">
        <v>195</v>
      </c>
      <c r="F1959" s="1" t="n">
        <v>24</v>
      </c>
      <c r="G1959" s="1" t="s">
        <v>32</v>
      </c>
      <c r="H1959" s="1" t="n">
        <v>2110405</v>
      </c>
      <c r="I1959" s="1" t="s">
        <v>83</v>
      </c>
      <c r="J1959" s="1" t="n">
        <v>1407452</v>
      </c>
      <c r="L1959" s="1" t="n">
        <v>854275</v>
      </c>
      <c r="M1959" s="1" t="s">
        <v>128</v>
      </c>
      <c r="N1959" s="1" t="s">
        <v>42</v>
      </c>
      <c r="P1959" s="1" t="n">
        <v>103</v>
      </c>
      <c r="Q1959" s="1" t="s">
        <v>36</v>
      </c>
      <c r="R1959" s="1" t="s">
        <v>37</v>
      </c>
      <c r="S1959" s="1" t="n">
        <v>1130101</v>
      </c>
      <c r="T1959" s="1" t="s">
        <v>38</v>
      </c>
      <c r="U1959" s="17" t="n">
        <v>748.69</v>
      </c>
      <c r="W1959" s="1" t="n">
        <v>748.69</v>
      </c>
      <c r="X1959" s="1" t="s">
        <v>2200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46220</v>
      </c>
      <c r="C1960" s="15" t="n">
        <v>46247</v>
      </c>
      <c r="D1960" s="1" t="n">
        <v>10012</v>
      </c>
      <c r="E1960" s="1" t="s">
        <v>204</v>
      </c>
      <c r="F1960" s="1" t="n">
        <v>24</v>
      </c>
      <c r="G1960" s="1" t="s">
        <v>32</v>
      </c>
      <c r="H1960" s="1" t="n">
        <v>2110405</v>
      </c>
      <c r="I1960" s="1" t="s">
        <v>83</v>
      </c>
      <c r="J1960" s="1" t="n">
        <v>1411310</v>
      </c>
      <c r="L1960" s="1" t="n">
        <v>1964147</v>
      </c>
      <c r="M1960" s="1" t="s">
        <v>41</v>
      </c>
      <c r="N1960" s="1" t="s">
        <v>42</v>
      </c>
      <c r="P1960" s="1" t="n">
        <v>103</v>
      </c>
      <c r="Q1960" s="1" t="s">
        <v>36</v>
      </c>
      <c r="R1960" s="1" t="s">
        <v>37</v>
      </c>
      <c r="S1960" s="1" t="n">
        <v>1130101</v>
      </c>
      <c r="T1960" s="1" t="s">
        <v>38</v>
      </c>
      <c r="U1960" s="17" t="n">
        <v>1129.22</v>
      </c>
      <c r="W1960" s="1" t="n">
        <v>1129.22</v>
      </c>
      <c r="X1960" s="1" t="s">
        <v>2201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46221</v>
      </c>
      <c r="C1961" s="15" t="n">
        <v>46247</v>
      </c>
      <c r="D1961" s="1" t="n">
        <v>1675</v>
      </c>
      <c r="E1961" s="1" t="s">
        <v>80</v>
      </c>
      <c r="F1961" s="1" t="n">
        <v>24</v>
      </c>
      <c r="G1961" s="1" t="s">
        <v>32</v>
      </c>
      <c r="H1961" s="1" t="n">
        <v>2110405</v>
      </c>
      <c r="I1961" s="1" t="s">
        <v>83</v>
      </c>
      <c r="J1961" s="1" t="n">
        <v>1415719</v>
      </c>
      <c r="L1961" s="1" t="n">
        <v>502189</v>
      </c>
      <c r="M1961" s="1" t="s">
        <v>34</v>
      </c>
      <c r="N1961" s="1" t="s">
        <v>42</v>
      </c>
      <c r="P1961" s="1" t="n">
        <v>103</v>
      </c>
      <c r="Q1961" s="1" t="s">
        <v>36</v>
      </c>
      <c r="R1961" s="1" t="s">
        <v>37</v>
      </c>
      <c r="S1961" s="1" t="n">
        <v>1130101</v>
      </c>
      <c r="T1961" s="1" t="s">
        <v>38</v>
      </c>
      <c r="U1961" s="17" t="n">
        <v>1181.96</v>
      </c>
      <c r="W1961" s="1" t="n">
        <v>1181.96</v>
      </c>
      <c r="X1961" s="1" t="s">
        <v>2202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46226</v>
      </c>
      <c r="C1962" s="15" t="n">
        <v>46247</v>
      </c>
      <c r="D1962" s="1" t="n">
        <v>1608</v>
      </c>
      <c r="E1962" s="1" t="s">
        <v>51</v>
      </c>
      <c r="F1962" s="1" t="n">
        <v>24</v>
      </c>
      <c r="G1962" s="1" t="s">
        <v>32</v>
      </c>
      <c r="H1962" s="1" t="n">
        <v>2110405</v>
      </c>
      <c r="I1962" s="1" t="s">
        <v>83</v>
      </c>
      <c r="J1962" s="1" t="n">
        <v>1440285</v>
      </c>
      <c r="L1962" s="1" t="n">
        <v>1697798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60</v>
      </c>
      <c r="S1962" s="1" t="n">
        <v>4210228</v>
      </c>
      <c r="T1962" s="1" t="s">
        <v>434</v>
      </c>
      <c r="U1962" s="17" t="n">
        <v>1571.92</v>
      </c>
      <c r="W1962" s="1" t="n">
        <v>1571.92</v>
      </c>
      <c r="X1962" s="1" t="s">
        <v>2203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46225</v>
      </c>
      <c r="C1963" s="15" t="n">
        <v>46247</v>
      </c>
      <c r="D1963" s="1" t="n">
        <v>794</v>
      </c>
      <c r="E1963" s="1" t="s">
        <v>325</v>
      </c>
      <c r="F1963" s="1" t="n">
        <v>24</v>
      </c>
      <c r="G1963" s="1" t="s">
        <v>32</v>
      </c>
      <c r="H1963" s="1" t="n">
        <v>2110405</v>
      </c>
      <c r="I1963" s="1" t="s">
        <v>83</v>
      </c>
      <c r="J1963" s="1" t="n">
        <v>1435872</v>
      </c>
      <c r="L1963" s="1" t="n">
        <v>8403</v>
      </c>
      <c r="M1963" s="1" t="s">
        <v>34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2621.74</v>
      </c>
      <c r="W1963" s="1" t="n">
        <v>2621.74</v>
      </c>
      <c r="X1963" s="1" t="s">
        <v>2204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46225</v>
      </c>
      <c r="C1964" s="15" t="n">
        <v>46247</v>
      </c>
      <c r="D1964" s="1" t="n">
        <v>1740</v>
      </c>
      <c r="E1964" s="1" t="s">
        <v>258</v>
      </c>
      <c r="F1964" s="1" t="n">
        <v>24</v>
      </c>
      <c r="G1964" s="1" t="s">
        <v>32</v>
      </c>
      <c r="H1964" s="1" t="n">
        <v>2110405</v>
      </c>
      <c r="I1964" s="1" t="s">
        <v>83</v>
      </c>
      <c r="J1964" s="1" t="n">
        <v>1435938</v>
      </c>
      <c r="L1964" s="1" t="n">
        <v>1248470</v>
      </c>
      <c r="M1964" s="1" t="s">
        <v>34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662.72</v>
      </c>
      <c r="W1964" s="1" t="n">
        <v>662.72</v>
      </c>
      <c r="X1964" s="1" t="s">
        <v>2205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46226</v>
      </c>
      <c r="C1965" s="15" t="n">
        <v>46247</v>
      </c>
      <c r="D1965" s="1" t="n">
        <v>1668</v>
      </c>
      <c r="E1965" s="1" t="s">
        <v>57</v>
      </c>
      <c r="F1965" s="1" t="n">
        <v>24</v>
      </c>
      <c r="G1965" s="1" t="s">
        <v>32</v>
      </c>
      <c r="H1965" s="1" t="n">
        <v>2110405</v>
      </c>
      <c r="I1965" s="1" t="s">
        <v>83</v>
      </c>
      <c r="J1965" s="1" t="n">
        <v>1439478</v>
      </c>
      <c r="L1965" s="1" t="n">
        <v>739551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60</v>
      </c>
      <c r="S1965" s="1" t="n">
        <v>4210299</v>
      </c>
      <c r="T1965" s="1" t="s">
        <v>1946</v>
      </c>
      <c r="U1965" s="17" t="n">
        <v>544.02</v>
      </c>
      <c r="W1965" s="1" t="n">
        <v>544.02</v>
      </c>
      <c r="X1965" s="1" t="s">
        <v>2206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46226</v>
      </c>
      <c r="C1966" s="15" t="n">
        <v>46247</v>
      </c>
      <c r="D1966" s="1" t="n">
        <v>1616</v>
      </c>
      <c r="E1966" s="1" t="s">
        <v>517</v>
      </c>
      <c r="F1966" s="1" t="n">
        <v>24</v>
      </c>
      <c r="G1966" s="1" t="s">
        <v>32</v>
      </c>
      <c r="H1966" s="1" t="n">
        <v>2110405</v>
      </c>
      <c r="I1966" s="1" t="s">
        <v>83</v>
      </c>
      <c r="J1966" s="1" t="n">
        <v>1440106</v>
      </c>
      <c r="L1966" s="1" t="n">
        <v>592593</v>
      </c>
      <c r="M1966" s="1" t="s">
        <v>34</v>
      </c>
      <c r="N1966" s="1" t="s">
        <v>42</v>
      </c>
      <c r="P1966" s="1" t="n">
        <v>104</v>
      </c>
      <c r="Q1966" s="1" t="s">
        <v>99</v>
      </c>
      <c r="R1966" s="1" t="s">
        <v>37</v>
      </c>
      <c r="S1966" s="1" t="n">
        <v>1130101</v>
      </c>
      <c r="T1966" s="1" t="s">
        <v>38</v>
      </c>
      <c r="U1966" s="17" t="n">
        <v>605.93</v>
      </c>
      <c r="W1966" s="1" t="n">
        <v>605.93</v>
      </c>
      <c r="X1966" s="1" t="s">
        <v>2207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46226</v>
      </c>
      <c r="C1967" s="15" t="n">
        <v>46247</v>
      </c>
      <c r="D1967" s="1" t="n">
        <v>10021</v>
      </c>
      <c r="E1967" s="1" t="s">
        <v>2208</v>
      </c>
      <c r="F1967" s="1" t="n">
        <v>24</v>
      </c>
      <c r="G1967" s="1" t="s">
        <v>32</v>
      </c>
      <c r="H1967" s="1" t="n">
        <v>2110405</v>
      </c>
      <c r="I1967" s="1" t="s">
        <v>83</v>
      </c>
      <c r="J1967" s="1" t="n">
        <v>1440166</v>
      </c>
      <c r="L1967" s="1" t="n">
        <v>134703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774.49</v>
      </c>
      <c r="W1967" s="1" t="n">
        <v>774.49</v>
      </c>
      <c r="X1967" s="1" t="s">
        <v>2209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46226</v>
      </c>
      <c r="C1968" s="15" t="n">
        <v>46247</v>
      </c>
      <c r="D1968" s="1" t="n">
        <v>1616</v>
      </c>
      <c r="E1968" s="1" t="s">
        <v>517</v>
      </c>
      <c r="F1968" s="1" t="n">
        <v>24</v>
      </c>
      <c r="G1968" s="1" t="s">
        <v>32</v>
      </c>
      <c r="H1968" s="1" t="n">
        <v>2110405</v>
      </c>
      <c r="I1968" s="1" t="s">
        <v>83</v>
      </c>
      <c r="J1968" s="1" t="n">
        <v>1440186</v>
      </c>
      <c r="L1968" s="1" t="n">
        <v>592618</v>
      </c>
      <c r="M1968" s="1" t="s">
        <v>34</v>
      </c>
      <c r="N1968" s="1" t="s">
        <v>42</v>
      </c>
      <c r="P1968" s="1" t="n">
        <v>104</v>
      </c>
      <c r="Q1968" s="1" t="s">
        <v>99</v>
      </c>
      <c r="R1968" s="1" t="s">
        <v>37</v>
      </c>
      <c r="S1968" s="1" t="n">
        <v>1130101</v>
      </c>
      <c r="T1968" s="1" t="s">
        <v>38</v>
      </c>
      <c r="U1968" s="17" t="n">
        <v>434.06</v>
      </c>
      <c r="W1968" s="1" t="n">
        <v>434.06</v>
      </c>
      <c r="X1968" s="1" t="s">
        <v>2013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46226</v>
      </c>
      <c r="C1969" s="15" t="n">
        <v>46247</v>
      </c>
      <c r="D1969" s="1" t="n">
        <v>1626</v>
      </c>
      <c r="E1969" s="1" t="s">
        <v>40</v>
      </c>
      <c r="F1969" s="1" t="n">
        <v>24</v>
      </c>
      <c r="G1969" s="1" t="s">
        <v>32</v>
      </c>
      <c r="H1969" s="1" t="n">
        <v>2110405</v>
      </c>
      <c r="I1969" s="1" t="s">
        <v>83</v>
      </c>
      <c r="J1969" s="1" t="n">
        <v>1440328</v>
      </c>
      <c r="L1969" s="1" t="n">
        <v>592650</v>
      </c>
      <c r="M1969" s="1" t="s">
        <v>34</v>
      </c>
      <c r="N1969" s="1" t="s">
        <v>42</v>
      </c>
      <c r="P1969" s="1" t="n">
        <v>104</v>
      </c>
      <c r="Q1969" s="1" t="s">
        <v>99</v>
      </c>
      <c r="R1969" s="1" t="s">
        <v>37</v>
      </c>
      <c r="S1969" s="1" t="n">
        <v>1130101</v>
      </c>
      <c r="T1969" s="1" t="s">
        <v>38</v>
      </c>
      <c r="U1969" s="17" t="n">
        <v>907.88</v>
      </c>
      <c r="W1969" s="1" t="n">
        <v>907.88</v>
      </c>
      <c r="X1969" s="1" t="s">
        <v>2014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46226</v>
      </c>
      <c r="C1970" s="15" t="n">
        <v>46247</v>
      </c>
      <c r="D1970" s="1" t="n">
        <v>10099</v>
      </c>
      <c r="E1970" s="1" t="s">
        <v>2210</v>
      </c>
      <c r="F1970" s="1" t="n">
        <v>42</v>
      </c>
      <c r="G1970" s="1" t="s">
        <v>561</v>
      </c>
      <c r="H1970" s="1" t="n">
        <v>2110405</v>
      </c>
      <c r="I1970" s="1" t="s">
        <v>83</v>
      </c>
      <c r="J1970" s="1" t="n">
        <v>1441040</v>
      </c>
      <c r="L1970" s="1" t="n">
        <v>19144</v>
      </c>
      <c r="M1970" s="1" t="s">
        <v>41</v>
      </c>
      <c r="N1970" s="1" t="s">
        <v>42</v>
      </c>
      <c r="P1970" s="1" t="n">
        <v>101</v>
      </c>
      <c r="Q1970" s="1" t="s">
        <v>84</v>
      </c>
      <c r="R1970" s="1" t="s">
        <v>37</v>
      </c>
      <c r="S1970" s="1" t="n">
        <v>1130101</v>
      </c>
      <c r="T1970" s="1" t="s">
        <v>38</v>
      </c>
      <c r="U1970" s="17" t="n">
        <v>518.41</v>
      </c>
      <c r="W1970" s="1" t="n">
        <v>518.41</v>
      </c>
      <c r="X1970" s="1" t="s">
        <v>2211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46227</v>
      </c>
      <c r="C1971" s="15" t="n">
        <v>46247</v>
      </c>
      <c r="D1971" s="1" t="n">
        <v>1740</v>
      </c>
      <c r="E1971" s="1" t="s">
        <v>258</v>
      </c>
      <c r="F1971" s="1" t="n">
        <v>24</v>
      </c>
      <c r="G1971" s="1" t="s">
        <v>32</v>
      </c>
      <c r="H1971" s="1" t="n">
        <v>2110405</v>
      </c>
      <c r="I1971" s="1" t="s">
        <v>83</v>
      </c>
      <c r="J1971" s="1" t="n">
        <v>1443664</v>
      </c>
      <c r="L1971" s="1" t="n">
        <v>1250798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762.96</v>
      </c>
      <c r="W1971" s="1" t="n">
        <v>762.96</v>
      </c>
      <c r="X1971" s="1" t="s">
        <v>2212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46228</v>
      </c>
      <c r="C1972" s="15" t="n">
        <v>46247</v>
      </c>
      <c r="D1972" s="1" t="n">
        <v>10009</v>
      </c>
      <c r="E1972" s="1" t="s">
        <v>201</v>
      </c>
      <c r="F1972" s="1" t="n">
        <v>24</v>
      </c>
      <c r="G1972" s="1" t="s">
        <v>32</v>
      </c>
      <c r="H1972" s="1" t="n">
        <v>2110405</v>
      </c>
      <c r="I1972" s="1" t="s">
        <v>83</v>
      </c>
      <c r="J1972" s="1" t="n">
        <v>1449995</v>
      </c>
      <c r="L1972" s="1" t="n">
        <v>1431708</v>
      </c>
      <c r="M1972" s="1" t="s">
        <v>128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1721.47</v>
      </c>
      <c r="W1972" s="1" t="n">
        <v>1721.47</v>
      </c>
      <c r="X1972" s="1" t="s">
        <v>2213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46228</v>
      </c>
      <c r="C1973" s="15" t="n">
        <v>46247</v>
      </c>
      <c r="D1973" s="1" t="n">
        <v>10009</v>
      </c>
      <c r="E1973" s="1" t="s">
        <v>201</v>
      </c>
      <c r="F1973" s="1" t="n">
        <v>24</v>
      </c>
      <c r="G1973" s="1" t="s">
        <v>32</v>
      </c>
      <c r="H1973" s="1" t="n">
        <v>2110405</v>
      </c>
      <c r="I1973" s="1" t="s">
        <v>83</v>
      </c>
      <c r="J1973" s="1" t="n">
        <v>1450017</v>
      </c>
      <c r="L1973" s="1" t="n">
        <v>1431398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637.5</v>
      </c>
      <c r="W1973" s="1" t="n">
        <v>637.5</v>
      </c>
      <c r="X1973" s="1" t="s">
        <v>2214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46228</v>
      </c>
      <c r="C1974" s="15" t="n">
        <v>46247</v>
      </c>
      <c r="D1974" s="1" t="n">
        <v>1637</v>
      </c>
      <c r="E1974" s="1" t="s">
        <v>44</v>
      </c>
      <c r="F1974" s="1" t="n">
        <v>24</v>
      </c>
      <c r="G1974" s="1" t="s">
        <v>32</v>
      </c>
      <c r="H1974" s="1" t="n">
        <v>2110405</v>
      </c>
      <c r="I1974" s="1" t="s">
        <v>83</v>
      </c>
      <c r="J1974" s="1" t="n">
        <v>1450076</v>
      </c>
      <c r="L1974" s="1" t="n">
        <v>1910465</v>
      </c>
      <c r="M1974" s="1" t="s">
        <v>41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1009.05</v>
      </c>
      <c r="W1974" s="1" t="n">
        <v>1009.05</v>
      </c>
      <c r="X1974" s="1" t="s">
        <v>2215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46231</v>
      </c>
      <c r="C1975" s="15" t="n">
        <v>46247</v>
      </c>
      <c r="D1975" s="1" t="n">
        <v>1611</v>
      </c>
      <c r="E1975" s="1" t="s">
        <v>206</v>
      </c>
      <c r="F1975" s="1" t="n">
        <v>24</v>
      </c>
      <c r="G1975" s="1" t="s">
        <v>32</v>
      </c>
      <c r="H1975" s="1" t="n">
        <v>2110405</v>
      </c>
      <c r="I1975" s="1" t="s">
        <v>83</v>
      </c>
      <c r="J1975" s="1" t="n">
        <v>1462932</v>
      </c>
      <c r="L1975" s="1" t="n">
        <v>1784397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955.52</v>
      </c>
      <c r="W1975" s="1" t="n">
        <v>955.52</v>
      </c>
      <c r="X1975" s="1" t="s">
        <v>2216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46232</v>
      </c>
      <c r="C1976" s="15" t="n">
        <v>46247</v>
      </c>
      <c r="D1976" s="1" t="n">
        <v>1664</v>
      </c>
      <c r="E1976" s="1" t="s">
        <v>1021</v>
      </c>
      <c r="F1976" s="1" t="n">
        <v>24</v>
      </c>
      <c r="G1976" s="1" t="s">
        <v>32</v>
      </c>
      <c r="H1976" s="1" t="n">
        <v>2110405</v>
      </c>
      <c r="I1976" s="1" t="s">
        <v>83</v>
      </c>
      <c r="J1976" s="1" t="n">
        <v>1469025</v>
      </c>
      <c r="L1976" s="1" t="n">
        <v>79231</v>
      </c>
      <c r="M1976" s="1" t="s">
        <v>41</v>
      </c>
      <c r="N1976" s="1" t="s">
        <v>42</v>
      </c>
      <c r="P1976" s="1" t="n">
        <v>103</v>
      </c>
      <c r="Q1976" s="1" t="s">
        <v>36</v>
      </c>
      <c r="R1976" s="1" t="s">
        <v>37</v>
      </c>
      <c r="S1976" s="1" t="n">
        <v>1130101</v>
      </c>
      <c r="T1976" s="1" t="s">
        <v>38</v>
      </c>
      <c r="U1976" s="17" t="n">
        <v>3261.6</v>
      </c>
      <c r="W1976" s="1" t="n">
        <v>3261.6</v>
      </c>
      <c r="X1976" s="1" t="s">
        <v>2217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46233</v>
      </c>
      <c r="C1977" s="15" t="n">
        <v>46247</v>
      </c>
      <c r="D1977" s="1" t="n">
        <v>1705</v>
      </c>
      <c r="E1977" s="1" t="s">
        <v>148</v>
      </c>
      <c r="F1977" s="1" t="n">
        <v>24</v>
      </c>
      <c r="G1977" s="1" t="s">
        <v>32</v>
      </c>
      <c r="H1977" s="1" t="n">
        <v>2110405</v>
      </c>
      <c r="I1977" s="1" t="s">
        <v>83</v>
      </c>
      <c r="J1977" s="1" t="n">
        <v>1472670</v>
      </c>
      <c r="L1977" s="1" t="n">
        <v>1224519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291.66</v>
      </c>
      <c r="W1977" s="1" t="n">
        <v>291.66</v>
      </c>
      <c r="X1977" s="1" t="s">
        <v>2218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46233</v>
      </c>
      <c r="C1978" s="15" t="n">
        <v>46247</v>
      </c>
      <c r="D1978" s="1" t="n">
        <v>1705</v>
      </c>
      <c r="E1978" s="1" t="s">
        <v>148</v>
      </c>
      <c r="F1978" s="1" t="n">
        <v>24</v>
      </c>
      <c r="G1978" s="1" t="s">
        <v>32</v>
      </c>
      <c r="H1978" s="1" t="n">
        <v>2110405</v>
      </c>
      <c r="I1978" s="1" t="s">
        <v>83</v>
      </c>
      <c r="J1978" s="1" t="n">
        <v>1472741</v>
      </c>
      <c r="L1978" s="1" t="n">
        <v>1225932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2841.78</v>
      </c>
      <c r="W1978" s="1" t="n">
        <v>2841.78</v>
      </c>
      <c r="X1978" s="1" t="s">
        <v>2219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46233</v>
      </c>
      <c r="C1979" s="15" t="n">
        <v>46247</v>
      </c>
      <c r="D1979" s="1" t="n">
        <v>1705</v>
      </c>
      <c r="E1979" s="1" t="s">
        <v>148</v>
      </c>
      <c r="F1979" s="1" t="n">
        <v>24</v>
      </c>
      <c r="G1979" s="1" t="s">
        <v>32</v>
      </c>
      <c r="H1979" s="1" t="n">
        <v>2110405</v>
      </c>
      <c r="I1979" s="1" t="s">
        <v>83</v>
      </c>
      <c r="J1979" s="1" t="n">
        <v>1472992</v>
      </c>
      <c r="L1979" s="1" t="n">
        <v>1959703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7097.53</v>
      </c>
      <c r="W1979" s="1" t="n">
        <v>7097.53</v>
      </c>
      <c r="X1979" s="1" t="s">
        <v>2220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46238</v>
      </c>
      <c r="C1980" s="15" t="n">
        <v>46247</v>
      </c>
      <c r="D1980" s="1" t="n">
        <v>1723</v>
      </c>
      <c r="E1980" s="1" t="s">
        <v>264</v>
      </c>
      <c r="F1980" s="1" t="n">
        <v>24</v>
      </c>
      <c r="G1980" s="1" t="s">
        <v>32</v>
      </c>
      <c r="H1980" s="1" t="n">
        <v>2110405</v>
      </c>
      <c r="I1980" s="1" t="s">
        <v>83</v>
      </c>
      <c r="J1980" s="1" t="n">
        <v>1500543</v>
      </c>
      <c r="L1980" s="1" t="n">
        <v>174223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5869.6</v>
      </c>
      <c r="W1980" s="1" t="n">
        <v>5869.6</v>
      </c>
      <c r="X1980" s="1" t="s">
        <v>2221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46240</v>
      </c>
      <c r="C1981" s="15" t="n">
        <v>46247</v>
      </c>
      <c r="D1981" s="1" t="n">
        <v>754</v>
      </c>
      <c r="E1981" s="1" t="s">
        <v>157</v>
      </c>
      <c r="F1981" s="1" t="n">
        <v>24</v>
      </c>
      <c r="G1981" s="1" t="s">
        <v>32</v>
      </c>
      <c r="H1981" s="1" t="n">
        <v>2110405</v>
      </c>
      <c r="I1981" s="1" t="s">
        <v>83</v>
      </c>
      <c r="J1981" s="1" t="n">
        <v>1509268</v>
      </c>
      <c r="L1981" s="1" t="n">
        <v>32272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1968.7</v>
      </c>
      <c r="W1981" s="1" t="n">
        <v>1968.7</v>
      </c>
      <c r="X1981" s="1" t="s">
        <v>2222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46240</v>
      </c>
      <c r="C1982" s="15" t="n">
        <v>46247</v>
      </c>
      <c r="D1982" s="1" t="n">
        <v>1625</v>
      </c>
      <c r="E1982" s="1" t="s">
        <v>211</v>
      </c>
      <c r="F1982" s="1" t="n">
        <v>24</v>
      </c>
      <c r="G1982" s="1" t="s">
        <v>32</v>
      </c>
      <c r="H1982" s="1" t="n">
        <v>2110405</v>
      </c>
      <c r="I1982" s="1" t="s">
        <v>83</v>
      </c>
      <c r="J1982" s="1" t="n">
        <v>1509472</v>
      </c>
      <c r="L1982" s="1" t="n">
        <v>14959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3860.7</v>
      </c>
      <c r="W1982" s="1" t="n">
        <v>3860.7</v>
      </c>
      <c r="X1982" s="1" t="s">
        <v>2223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46240</v>
      </c>
      <c r="C1983" s="15" t="n">
        <v>46247</v>
      </c>
      <c r="D1983" s="1" t="n">
        <v>1614</v>
      </c>
      <c r="E1983" s="1" t="s">
        <v>66</v>
      </c>
      <c r="F1983" s="1" t="n">
        <v>24</v>
      </c>
      <c r="G1983" s="1" t="s">
        <v>32</v>
      </c>
      <c r="H1983" s="1" t="n">
        <v>2110405</v>
      </c>
      <c r="I1983" s="1" t="s">
        <v>83</v>
      </c>
      <c r="J1983" s="1" t="n">
        <v>1509557</v>
      </c>
      <c r="L1983" s="1" t="n">
        <v>11530</v>
      </c>
      <c r="M1983" s="1" t="s">
        <v>34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695.21</v>
      </c>
      <c r="W1983" s="1" t="n">
        <v>695.21</v>
      </c>
      <c r="X1983" s="1" t="s">
        <v>2224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46105</v>
      </c>
      <c r="C1984" s="15" t="n">
        <v>46247</v>
      </c>
      <c r="D1984" s="1" t="n">
        <v>10056</v>
      </c>
      <c r="E1984" s="1" t="s">
        <v>560</v>
      </c>
      <c r="F1984" s="1" t="n">
        <v>42</v>
      </c>
      <c r="G1984" s="1" t="s">
        <v>561</v>
      </c>
      <c r="H1984" s="1" t="n">
        <v>2110405</v>
      </c>
      <c r="I1984" s="1" t="s">
        <v>83</v>
      </c>
      <c r="J1984" s="1" t="n">
        <v>1514486</v>
      </c>
      <c r="L1984" s="1" t="n">
        <v>620165</v>
      </c>
      <c r="M1984" s="1" t="s">
        <v>41</v>
      </c>
      <c r="N1984" s="1" t="s">
        <v>42</v>
      </c>
      <c r="P1984" s="1" t="n">
        <v>101</v>
      </c>
      <c r="Q1984" s="1" t="s">
        <v>84</v>
      </c>
      <c r="R1984" s="1" t="s">
        <v>91</v>
      </c>
      <c r="S1984" s="1" t="n">
        <v>4220199</v>
      </c>
      <c r="T1984" s="1" t="s">
        <v>92</v>
      </c>
      <c r="U1984" s="17" t="n">
        <v>233.35</v>
      </c>
      <c r="W1984" s="1" t="n">
        <v>233.35</v>
      </c>
      <c r="X1984" s="1" t="s">
        <v>2225</v>
      </c>
      <c r="Z1984" s="1" t="str">
        <f aca="false">IF($T1984="","",IFERROR(INDEX('Resumo Grupos'!$AC$3:$AC$200,MATCH($T1984,'Resumo Grupos'!$AB$3:$AB$200,0)),"n/d"))</f>
        <v>Pagamentos outros não operacionais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46241</v>
      </c>
      <c r="C1985" s="15" t="n">
        <v>46247</v>
      </c>
      <c r="D1985" s="1" t="n">
        <v>1789</v>
      </c>
      <c r="E1985" s="1" t="s">
        <v>543</v>
      </c>
      <c r="F1985" s="1" t="n">
        <v>24</v>
      </c>
      <c r="G1985" s="1" t="s">
        <v>32</v>
      </c>
      <c r="H1985" s="1" t="n">
        <v>2110405</v>
      </c>
      <c r="I1985" s="1" t="s">
        <v>83</v>
      </c>
      <c r="J1985" s="1" t="n">
        <v>1514497</v>
      </c>
      <c r="L1985" s="1" t="n">
        <v>119441429</v>
      </c>
      <c r="M1985" s="1" t="s">
        <v>41</v>
      </c>
      <c r="N1985" s="1" t="s">
        <v>42</v>
      </c>
      <c r="P1985" s="1" t="n">
        <v>101</v>
      </c>
      <c r="Q1985" s="1" t="s">
        <v>84</v>
      </c>
      <c r="R1985" s="1" t="s">
        <v>290</v>
      </c>
      <c r="S1985" s="1" t="n">
        <v>4210112</v>
      </c>
      <c r="T1985" s="1" t="s">
        <v>544</v>
      </c>
      <c r="U1985" s="17" t="n">
        <v>18429.49</v>
      </c>
      <c r="W1985" s="1" t="n">
        <v>18429.49</v>
      </c>
      <c r="X1985" s="1" t="s">
        <v>2226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46242</v>
      </c>
      <c r="C1986" s="15" t="n">
        <v>46247</v>
      </c>
      <c r="D1986" s="1" t="n">
        <v>10019</v>
      </c>
      <c r="E1986" s="1" t="s">
        <v>250</v>
      </c>
      <c r="F1986" s="1" t="n">
        <v>24</v>
      </c>
      <c r="G1986" s="1" t="s">
        <v>32</v>
      </c>
      <c r="H1986" s="1" t="n">
        <v>2110405</v>
      </c>
      <c r="I1986" s="1" t="s">
        <v>83</v>
      </c>
      <c r="J1986" s="1" t="n">
        <v>1517889</v>
      </c>
      <c r="L1986" s="1" t="n">
        <v>32287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4154.08</v>
      </c>
      <c r="W1986" s="1" t="n">
        <v>4154.08</v>
      </c>
      <c r="X1986" s="1" t="s">
        <v>2227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46244</v>
      </c>
      <c r="C1987" s="15" t="n">
        <v>46247</v>
      </c>
      <c r="D1987" s="1" t="n">
        <v>1363</v>
      </c>
      <c r="E1987" s="1" t="s">
        <v>155</v>
      </c>
      <c r="F1987" s="1" t="n">
        <v>24</v>
      </c>
      <c r="G1987" s="1" t="s">
        <v>32</v>
      </c>
      <c r="H1987" s="1" t="n">
        <v>2110405</v>
      </c>
      <c r="I1987" s="1" t="s">
        <v>83</v>
      </c>
      <c r="J1987" s="1" t="n">
        <v>1528654</v>
      </c>
      <c r="L1987" s="1" t="n">
        <v>3683</v>
      </c>
      <c r="M1987" s="1" t="s">
        <v>41</v>
      </c>
      <c r="N1987" s="1" t="s">
        <v>42</v>
      </c>
      <c r="P1987" s="1" t="n">
        <v>103</v>
      </c>
      <c r="Q1987" s="1" t="s">
        <v>36</v>
      </c>
      <c r="R1987" s="1" t="s">
        <v>37</v>
      </c>
      <c r="S1987" s="1" t="n">
        <v>1130101</v>
      </c>
      <c r="T1987" s="1" t="s">
        <v>38</v>
      </c>
      <c r="U1987" s="17" t="n">
        <v>426</v>
      </c>
      <c r="W1987" s="1" t="n">
        <v>426</v>
      </c>
      <c r="X1987" s="1" t="s">
        <v>2228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46244</v>
      </c>
      <c r="C1988" s="15" t="n">
        <v>46247</v>
      </c>
      <c r="D1988" s="1" t="n">
        <v>1328</v>
      </c>
      <c r="E1988" s="1" t="s">
        <v>323</v>
      </c>
      <c r="F1988" s="1" t="n">
        <v>24</v>
      </c>
      <c r="G1988" s="1" t="s">
        <v>32</v>
      </c>
      <c r="H1988" s="1" t="n">
        <v>2110405</v>
      </c>
      <c r="I1988" s="1" t="s">
        <v>83</v>
      </c>
      <c r="J1988" s="1" t="n">
        <v>1528680</v>
      </c>
      <c r="L1988" s="1" t="n">
        <v>4312</v>
      </c>
      <c r="M1988" s="1" t="s">
        <v>41</v>
      </c>
      <c r="N1988" s="1" t="s">
        <v>42</v>
      </c>
      <c r="P1988" s="1" t="n">
        <v>103</v>
      </c>
      <c r="Q1988" s="1" t="s">
        <v>36</v>
      </c>
      <c r="R1988" s="1" t="s">
        <v>37</v>
      </c>
      <c r="S1988" s="1" t="n">
        <v>1130101</v>
      </c>
      <c r="T1988" s="1" t="s">
        <v>38</v>
      </c>
      <c r="U1988" s="17" t="n">
        <v>290</v>
      </c>
      <c r="W1988" s="1" t="n">
        <v>290</v>
      </c>
      <c r="X1988" s="1" t="s">
        <v>2229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46244</v>
      </c>
      <c r="C1989" s="15" t="n">
        <v>46247</v>
      </c>
      <c r="D1989" s="1" t="n">
        <v>1276</v>
      </c>
      <c r="E1989" s="1" t="s">
        <v>383</v>
      </c>
      <c r="F1989" s="1" t="n">
        <v>24</v>
      </c>
      <c r="G1989" s="1" t="s">
        <v>32</v>
      </c>
      <c r="H1989" s="1" t="n">
        <v>2110405</v>
      </c>
      <c r="I1989" s="1" t="s">
        <v>83</v>
      </c>
      <c r="J1989" s="1" t="n">
        <v>1528689</v>
      </c>
      <c r="L1989" s="1" t="n">
        <v>3146</v>
      </c>
      <c r="M1989" s="1" t="s">
        <v>41</v>
      </c>
      <c r="N1989" s="1" t="s">
        <v>42</v>
      </c>
      <c r="P1989" s="1" t="n">
        <v>103</v>
      </c>
      <c r="Q1989" s="1" t="s">
        <v>36</v>
      </c>
      <c r="R1989" s="1" t="s">
        <v>37</v>
      </c>
      <c r="S1989" s="1" t="n">
        <v>1130101</v>
      </c>
      <c r="T1989" s="1" t="s">
        <v>38</v>
      </c>
      <c r="U1989" s="17" t="n">
        <v>1254</v>
      </c>
      <c r="W1989" s="1" t="n">
        <v>1254</v>
      </c>
      <c r="X1989" s="1" t="s">
        <v>2230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46244</v>
      </c>
      <c r="C1990" s="15" t="n">
        <v>46247</v>
      </c>
      <c r="D1990" s="1" t="n">
        <v>1276</v>
      </c>
      <c r="E1990" s="1" t="s">
        <v>383</v>
      </c>
      <c r="F1990" s="1" t="n">
        <v>24</v>
      </c>
      <c r="G1990" s="1" t="s">
        <v>32</v>
      </c>
      <c r="H1990" s="1" t="n">
        <v>2110405</v>
      </c>
      <c r="I1990" s="1" t="s">
        <v>83</v>
      </c>
      <c r="J1990" s="1" t="n">
        <v>1528712</v>
      </c>
      <c r="L1990" s="1" t="n">
        <v>3145</v>
      </c>
      <c r="M1990" s="1" t="s">
        <v>41</v>
      </c>
      <c r="N1990" s="1" t="s">
        <v>42</v>
      </c>
      <c r="P1990" s="1" t="n">
        <v>103</v>
      </c>
      <c r="Q1990" s="1" t="s">
        <v>36</v>
      </c>
      <c r="R1990" s="1" t="s">
        <v>60</v>
      </c>
      <c r="S1990" s="1" t="n">
        <v>4210228</v>
      </c>
      <c r="T1990" s="1" t="s">
        <v>434</v>
      </c>
      <c r="U1990" s="17" t="n">
        <v>743.5</v>
      </c>
      <c r="W1990" s="1" t="n">
        <v>743.5</v>
      </c>
      <c r="X1990" s="1" t="s">
        <v>2231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46244</v>
      </c>
      <c r="C1991" s="15" t="n">
        <v>46247</v>
      </c>
      <c r="D1991" s="1" t="n">
        <v>1024</v>
      </c>
      <c r="E1991" s="1" t="s">
        <v>688</v>
      </c>
      <c r="F1991" s="1" t="n">
        <v>24</v>
      </c>
      <c r="G1991" s="1" t="s">
        <v>32</v>
      </c>
      <c r="H1991" s="1" t="n">
        <v>2110405</v>
      </c>
      <c r="I1991" s="1" t="s">
        <v>83</v>
      </c>
      <c r="J1991" s="1" t="n">
        <v>1528729</v>
      </c>
      <c r="L1991" s="1" t="n">
        <v>616331</v>
      </c>
      <c r="M1991" s="1" t="s">
        <v>41</v>
      </c>
      <c r="N1991" s="1" t="s">
        <v>42</v>
      </c>
      <c r="P1991" s="1" t="n">
        <v>103</v>
      </c>
      <c r="Q1991" s="1" t="s">
        <v>36</v>
      </c>
      <c r="R1991" s="1" t="s">
        <v>37</v>
      </c>
      <c r="S1991" s="1" t="n">
        <v>1130101</v>
      </c>
      <c r="T1991" s="1" t="s">
        <v>38</v>
      </c>
      <c r="U1991" s="17" t="n">
        <v>855</v>
      </c>
      <c r="W1991" s="1" t="n">
        <v>855</v>
      </c>
      <c r="X1991" s="1" t="s">
        <v>2232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46244</v>
      </c>
      <c r="C1992" s="15" t="n">
        <v>46247</v>
      </c>
      <c r="D1992" s="1" t="n">
        <v>1899</v>
      </c>
      <c r="E1992" s="1" t="s">
        <v>74</v>
      </c>
      <c r="F1992" s="1" t="n">
        <v>24</v>
      </c>
      <c r="G1992" s="1" t="s">
        <v>32</v>
      </c>
      <c r="H1992" s="1" t="n">
        <v>2110405</v>
      </c>
      <c r="I1992" s="1" t="s">
        <v>83</v>
      </c>
      <c r="J1992" s="1" t="n">
        <v>1528754</v>
      </c>
      <c r="L1992" s="1" t="n">
        <v>754</v>
      </c>
      <c r="M1992" s="1" t="s">
        <v>41</v>
      </c>
      <c r="N1992" s="1" t="s">
        <v>42</v>
      </c>
      <c r="P1992" s="1" t="n">
        <v>103</v>
      </c>
      <c r="Q1992" s="1" t="s">
        <v>36</v>
      </c>
      <c r="R1992" s="1" t="s">
        <v>37</v>
      </c>
      <c r="S1992" s="1" t="n">
        <v>1130101</v>
      </c>
      <c r="T1992" s="1" t="s">
        <v>38</v>
      </c>
      <c r="U1992" s="17" t="n">
        <v>770</v>
      </c>
      <c r="W1992" s="1" t="n">
        <v>770</v>
      </c>
      <c r="X1992" s="1" t="s">
        <v>2233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46244</v>
      </c>
      <c r="C1993" s="15" t="n">
        <v>46247</v>
      </c>
      <c r="D1993" s="1" t="n">
        <v>1614</v>
      </c>
      <c r="E1993" s="1" t="s">
        <v>66</v>
      </c>
      <c r="F1993" s="1" t="n">
        <v>24</v>
      </c>
      <c r="G1993" s="1" t="s">
        <v>32</v>
      </c>
      <c r="H1993" s="1" t="n">
        <v>2110405</v>
      </c>
      <c r="I1993" s="1" t="s">
        <v>83</v>
      </c>
      <c r="J1993" s="1" t="n">
        <v>1529852</v>
      </c>
      <c r="L1993" s="1" t="n">
        <v>11542</v>
      </c>
      <c r="M1993" s="1" t="s">
        <v>41</v>
      </c>
      <c r="N1993" s="1" t="s">
        <v>42</v>
      </c>
      <c r="P1993" s="1" t="n">
        <v>103</v>
      </c>
      <c r="Q1993" s="1" t="s">
        <v>36</v>
      </c>
      <c r="R1993" s="1" t="s">
        <v>37</v>
      </c>
      <c r="S1993" s="1" t="n">
        <v>1130101</v>
      </c>
      <c r="T1993" s="1" t="s">
        <v>38</v>
      </c>
      <c r="U1993" s="17" t="n">
        <v>472.44</v>
      </c>
      <c r="W1993" s="1" t="n">
        <v>472.44</v>
      </c>
      <c r="X1993" s="1" t="s">
        <v>2234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46245</v>
      </c>
      <c r="C1994" s="15" t="n">
        <v>46247</v>
      </c>
      <c r="D1994" s="1" t="n">
        <v>642</v>
      </c>
      <c r="E1994" s="1" t="s">
        <v>161</v>
      </c>
      <c r="F1994" s="1" t="n">
        <v>24</v>
      </c>
      <c r="G1994" s="1" t="s">
        <v>32</v>
      </c>
      <c r="H1994" s="1" t="n">
        <v>2110405</v>
      </c>
      <c r="I1994" s="1" t="s">
        <v>83</v>
      </c>
      <c r="J1994" s="1" t="n">
        <v>1533211</v>
      </c>
      <c r="L1994" s="1" t="n">
        <v>595</v>
      </c>
      <c r="M1994" s="1" t="s">
        <v>41</v>
      </c>
      <c r="N1994" s="1" t="s">
        <v>42</v>
      </c>
      <c r="P1994" s="1" t="n">
        <v>103</v>
      </c>
      <c r="Q1994" s="1" t="s">
        <v>36</v>
      </c>
      <c r="R1994" s="1" t="s">
        <v>37</v>
      </c>
      <c r="S1994" s="1" t="n">
        <v>1130101</v>
      </c>
      <c r="T1994" s="1" t="s">
        <v>38</v>
      </c>
      <c r="U1994" s="17" t="n">
        <v>240</v>
      </c>
      <c r="W1994" s="1" t="n">
        <v>240</v>
      </c>
      <c r="X1994" s="1" t="s">
        <v>2235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46246</v>
      </c>
      <c r="C1995" s="15" t="n">
        <v>46247</v>
      </c>
      <c r="D1995" s="1" t="n">
        <v>10009</v>
      </c>
      <c r="E1995" s="1" t="s">
        <v>201</v>
      </c>
      <c r="F1995" s="1" t="n">
        <v>24</v>
      </c>
      <c r="G1995" s="1" t="s">
        <v>32</v>
      </c>
      <c r="H1995" s="1" t="n">
        <v>2110405</v>
      </c>
      <c r="I1995" s="1" t="s">
        <v>83</v>
      </c>
      <c r="J1995" s="1" t="n">
        <v>1537273</v>
      </c>
      <c r="L1995" s="1" t="n">
        <v>1436399</v>
      </c>
      <c r="M1995" s="1" t="s">
        <v>41</v>
      </c>
      <c r="N1995" s="1" t="s">
        <v>42</v>
      </c>
      <c r="P1995" s="1" t="n">
        <v>103</v>
      </c>
      <c r="Q1995" s="1" t="s">
        <v>36</v>
      </c>
      <c r="R1995" s="1" t="s">
        <v>37</v>
      </c>
      <c r="S1995" s="1" t="n">
        <v>1130101</v>
      </c>
      <c r="T1995" s="1" t="s">
        <v>38</v>
      </c>
      <c r="U1995" s="17" t="n">
        <v>1032.24</v>
      </c>
      <c r="W1995" s="1" t="n">
        <v>1032.24</v>
      </c>
      <c r="X1995" s="1" t="s">
        <v>2236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10003</v>
      </c>
      <c r="E1996" s="1" t="s">
        <v>2191</v>
      </c>
      <c r="F1996" s="1" t="n">
        <v>34</v>
      </c>
      <c r="G1996" s="1" t="s">
        <v>71</v>
      </c>
      <c r="H1996" s="1" t="n">
        <v>2110405</v>
      </c>
      <c r="I1996" s="1" t="s">
        <v>83</v>
      </c>
      <c r="J1996" s="1" t="n">
        <v>1540734</v>
      </c>
      <c r="L1996" s="1" t="n">
        <v>630172</v>
      </c>
      <c r="M1996" s="1" t="s">
        <v>41</v>
      </c>
      <c r="N1996" s="1" t="s">
        <v>42</v>
      </c>
      <c r="P1996" s="1" t="n">
        <v>101</v>
      </c>
      <c r="Q1996" s="1" t="s">
        <v>84</v>
      </c>
      <c r="R1996" s="1" t="s">
        <v>60</v>
      </c>
      <c r="S1996" s="1" t="n">
        <v>4210299</v>
      </c>
      <c r="T1996" s="1" t="s">
        <v>1946</v>
      </c>
      <c r="U1996" s="17" t="n">
        <v>150.13</v>
      </c>
      <c r="W1996" s="1" t="n">
        <v>150.13</v>
      </c>
      <c r="X1996" s="1" t="s">
        <v>2237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46247</v>
      </c>
      <c r="C1997" s="15" t="n">
        <v>46247</v>
      </c>
      <c r="D1997" s="1" t="n">
        <v>1936</v>
      </c>
      <c r="E1997" s="1" t="s">
        <v>1075</v>
      </c>
      <c r="F1997" s="1" t="n">
        <v>24</v>
      </c>
      <c r="G1997" s="1" t="s">
        <v>32</v>
      </c>
      <c r="H1997" s="1" t="n">
        <v>2110405</v>
      </c>
      <c r="I1997" s="1" t="s">
        <v>83</v>
      </c>
      <c r="J1997" s="1" t="n">
        <v>1540870</v>
      </c>
      <c r="L1997" s="1" t="n">
        <v>630173</v>
      </c>
      <c r="M1997" s="1" t="s">
        <v>41</v>
      </c>
      <c r="N1997" s="1" t="s">
        <v>42</v>
      </c>
      <c r="P1997" s="1" t="n">
        <v>102</v>
      </c>
      <c r="Q1997" s="1" t="s">
        <v>107</v>
      </c>
      <c r="R1997" s="1" t="s">
        <v>37</v>
      </c>
      <c r="S1997" s="1" t="n">
        <v>1130101</v>
      </c>
      <c r="T1997" s="1" t="s">
        <v>38</v>
      </c>
      <c r="U1997" s="17" t="n">
        <v>115.35</v>
      </c>
      <c r="W1997" s="1" t="n">
        <v>115.35</v>
      </c>
      <c r="X1997" s="1" t="s">
        <v>2238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46247</v>
      </c>
      <c r="C1998" s="15" t="n">
        <v>46247</v>
      </c>
      <c r="D1998" s="1" t="n">
        <v>515</v>
      </c>
      <c r="E1998" s="1" t="s">
        <v>106</v>
      </c>
      <c r="F1998" s="1" t="n">
        <v>42</v>
      </c>
      <c r="G1998" s="1" t="s">
        <v>561</v>
      </c>
      <c r="H1998" s="1" t="n">
        <v>2110405</v>
      </c>
      <c r="I1998" s="1" t="s">
        <v>83</v>
      </c>
      <c r="J1998" s="1" t="n">
        <v>1540890</v>
      </c>
      <c r="L1998" s="1" t="n">
        <v>630174</v>
      </c>
      <c r="M1998" s="1" t="s">
        <v>41</v>
      </c>
      <c r="N1998" s="1" t="s">
        <v>42</v>
      </c>
      <c r="P1998" s="1" t="n">
        <v>102</v>
      </c>
      <c r="Q1998" s="1" t="s">
        <v>107</v>
      </c>
      <c r="R1998" s="1" t="s">
        <v>225</v>
      </c>
      <c r="S1998" s="1" t="n">
        <v>1140104</v>
      </c>
      <c r="T1998" s="1" t="s">
        <v>1340</v>
      </c>
      <c r="U1998" s="17" t="n">
        <v>18.75</v>
      </c>
      <c r="W1998" s="1" t="n">
        <v>18.75</v>
      </c>
      <c r="X1998" s="1" t="s">
        <v>2239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46247</v>
      </c>
      <c r="C1999" s="15" t="n">
        <v>46247</v>
      </c>
      <c r="D1999" s="1" t="n">
        <v>33</v>
      </c>
      <c r="E1999" s="1" t="s">
        <v>70</v>
      </c>
      <c r="F1999" s="1" t="n">
        <v>13</v>
      </c>
      <c r="G1999" s="1" t="s">
        <v>98</v>
      </c>
      <c r="H1999" s="1" t="n">
        <v>2110101</v>
      </c>
      <c r="I1999" s="1" t="s">
        <v>33</v>
      </c>
      <c r="J1999" s="1" t="n">
        <v>1541317</v>
      </c>
      <c r="L1999" s="1" t="n">
        <v>5477</v>
      </c>
      <c r="M1999" s="1" t="s">
        <v>41</v>
      </c>
      <c r="N1999" s="1" t="s">
        <v>35</v>
      </c>
      <c r="P1999" s="1" t="n">
        <v>104</v>
      </c>
      <c r="Q1999" s="1" t="s">
        <v>99</v>
      </c>
      <c r="R1999" s="1" t="s">
        <v>37</v>
      </c>
      <c r="S1999" s="1" t="n">
        <v>1130101</v>
      </c>
      <c r="T1999" s="1" t="s">
        <v>38</v>
      </c>
      <c r="U1999" s="17" t="n">
        <v>375</v>
      </c>
      <c r="W1999" s="1" t="n">
        <v>375</v>
      </c>
      <c r="X1999" s="1" t="s">
        <v>2240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46247</v>
      </c>
      <c r="C2000" s="15" t="n">
        <v>46247</v>
      </c>
      <c r="D2000" s="1" t="n">
        <v>17</v>
      </c>
      <c r="E2000" s="1" t="s">
        <v>94</v>
      </c>
      <c r="F2000" s="1" t="n">
        <v>34</v>
      </c>
      <c r="G2000" s="1" t="s">
        <v>71</v>
      </c>
      <c r="H2000" s="1" t="n">
        <v>2110405</v>
      </c>
      <c r="I2000" s="1" t="s">
        <v>83</v>
      </c>
      <c r="J2000" s="1" t="n">
        <v>1542423</v>
      </c>
      <c r="L2000" s="1" t="n">
        <v>630978</v>
      </c>
      <c r="M2000" s="1" t="s">
        <v>41</v>
      </c>
      <c r="N2000" s="1" t="s">
        <v>42</v>
      </c>
      <c r="P2000" s="1" t="n">
        <v>101</v>
      </c>
      <c r="Q2000" s="1" t="s">
        <v>84</v>
      </c>
      <c r="R2000" s="1" t="s">
        <v>91</v>
      </c>
      <c r="S2000" s="1" t="n">
        <v>4220199</v>
      </c>
      <c r="T2000" s="1" t="s">
        <v>92</v>
      </c>
      <c r="U2000" s="17" t="n">
        <v>253.57</v>
      </c>
      <c r="W2000" s="1" t="n">
        <v>253.57</v>
      </c>
      <c r="X2000" s="1" t="s">
        <v>2241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46247</v>
      </c>
      <c r="C2001" s="15" t="n">
        <v>46247</v>
      </c>
      <c r="D2001" s="1" t="n">
        <v>33</v>
      </c>
      <c r="E2001" s="1" t="s">
        <v>70</v>
      </c>
      <c r="F2001" s="1" t="n">
        <v>13</v>
      </c>
      <c r="G2001" s="1" t="s">
        <v>98</v>
      </c>
      <c r="H2001" s="1" t="n">
        <v>2110101</v>
      </c>
      <c r="I2001" s="1" t="s">
        <v>33</v>
      </c>
      <c r="J2001" s="1" t="n">
        <v>1543506</v>
      </c>
      <c r="L2001" s="1" t="n">
        <v>5478</v>
      </c>
      <c r="M2001" s="1" t="s">
        <v>41</v>
      </c>
      <c r="N2001" s="1" t="s">
        <v>35</v>
      </c>
      <c r="P2001" s="1" t="n">
        <v>104</v>
      </c>
      <c r="Q2001" s="1" t="s">
        <v>99</v>
      </c>
      <c r="R2001" s="1" t="s">
        <v>37</v>
      </c>
      <c r="S2001" s="1" t="n">
        <v>1130101</v>
      </c>
      <c r="T2001" s="1" t="s">
        <v>38</v>
      </c>
      <c r="U2001" s="17" t="n">
        <v>300</v>
      </c>
      <c r="W2001" s="1" t="n">
        <v>0</v>
      </c>
      <c r="X2001" s="1" t="s">
        <v>2242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46247</v>
      </c>
      <c r="C2002" s="15" t="n">
        <v>46247</v>
      </c>
      <c r="D2002" s="1" t="n">
        <v>10096</v>
      </c>
      <c r="E2002" s="1" t="s">
        <v>1496</v>
      </c>
      <c r="F2002" s="1" t="n">
        <v>13</v>
      </c>
      <c r="G2002" s="1" t="s">
        <v>98</v>
      </c>
      <c r="H2002" s="1" t="n">
        <v>2110101</v>
      </c>
      <c r="I2002" s="1" t="s">
        <v>33</v>
      </c>
      <c r="J2002" s="1" t="n">
        <v>1545809</v>
      </c>
      <c r="L2002" s="1" t="n">
        <v>157</v>
      </c>
      <c r="M2002" s="1" t="s">
        <v>41</v>
      </c>
      <c r="N2002" s="1" t="s">
        <v>35</v>
      </c>
      <c r="P2002" s="1" t="n">
        <v>104</v>
      </c>
      <c r="Q2002" s="1" t="s">
        <v>99</v>
      </c>
      <c r="R2002" s="1" t="s">
        <v>37</v>
      </c>
      <c r="S2002" s="1" t="n">
        <v>1130101</v>
      </c>
      <c r="T2002" s="1" t="s">
        <v>38</v>
      </c>
      <c r="U2002" s="17" t="n">
        <v>316</v>
      </c>
      <c r="W2002" s="1" t="n">
        <v>0</v>
      </c>
      <c r="X2002" s="1" t="s">
        <v>2243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46247</v>
      </c>
      <c r="C2003" s="15" t="n">
        <v>46247</v>
      </c>
      <c r="D2003" s="1" t="n">
        <v>978</v>
      </c>
      <c r="E2003" s="1" t="s">
        <v>97</v>
      </c>
      <c r="F2003" s="1" t="n">
        <v>13</v>
      </c>
      <c r="G2003" s="1" t="s">
        <v>98</v>
      </c>
      <c r="H2003" s="1" t="n">
        <v>2110101</v>
      </c>
      <c r="I2003" s="1" t="s">
        <v>33</v>
      </c>
      <c r="J2003" s="1" t="n">
        <v>1545903</v>
      </c>
      <c r="L2003" s="1" t="n">
        <v>479</v>
      </c>
      <c r="M2003" s="1" t="s">
        <v>41</v>
      </c>
      <c r="N2003" s="1" t="s">
        <v>35</v>
      </c>
      <c r="P2003" s="1" t="n">
        <v>104</v>
      </c>
      <c r="Q2003" s="1" t="s">
        <v>99</v>
      </c>
      <c r="R2003" s="1" t="s">
        <v>37</v>
      </c>
      <c r="S2003" s="1" t="n">
        <v>1130101</v>
      </c>
      <c r="T2003" s="1" t="s">
        <v>38</v>
      </c>
      <c r="U2003" s="17" t="n">
        <v>480</v>
      </c>
      <c r="W2003" s="1" t="n">
        <v>0</v>
      </c>
      <c r="X2003" s="1" t="s">
        <v>2244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46247</v>
      </c>
      <c r="C2004" s="15" t="n">
        <v>46247</v>
      </c>
      <c r="D2004" s="1" t="n">
        <v>1391</v>
      </c>
      <c r="E2004" s="1" t="s">
        <v>388</v>
      </c>
      <c r="F2004" s="1" t="n">
        <v>13</v>
      </c>
      <c r="G2004" s="1" t="s">
        <v>98</v>
      </c>
      <c r="H2004" s="1" t="n">
        <v>2110101</v>
      </c>
      <c r="I2004" s="1" t="s">
        <v>33</v>
      </c>
      <c r="J2004" s="1" t="n">
        <v>1546221</v>
      </c>
      <c r="L2004" s="1" t="n">
        <v>415</v>
      </c>
      <c r="M2004" s="1" t="s">
        <v>41</v>
      </c>
      <c r="N2004" s="1" t="s">
        <v>35</v>
      </c>
      <c r="P2004" s="1" t="n">
        <v>104</v>
      </c>
      <c r="Q2004" s="1" t="s">
        <v>99</v>
      </c>
      <c r="R2004" s="1" t="s">
        <v>37</v>
      </c>
      <c r="S2004" s="1" t="n">
        <v>1130101</v>
      </c>
      <c r="T2004" s="1" t="s">
        <v>38</v>
      </c>
      <c r="U2004" s="17" t="n">
        <v>108</v>
      </c>
      <c r="W2004" s="1" t="n">
        <v>0</v>
      </c>
      <c r="X2004" s="1" t="s">
        <v>2245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46247</v>
      </c>
      <c r="C2005" s="15" t="n">
        <v>46247</v>
      </c>
      <c r="D2005" s="1" t="n">
        <v>48</v>
      </c>
      <c r="E2005" s="1" t="s">
        <v>1045</v>
      </c>
      <c r="F2005" s="1" t="n">
        <v>34</v>
      </c>
      <c r="G2005" s="1" t="s">
        <v>71</v>
      </c>
      <c r="H2005" s="1" t="n">
        <v>2110405</v>
      </c>
      <c r="I2005" s="1" t="s">
        <v>83</v>
      </c>
      <c r="J2005" s="1" t="n">
        <v>1563602</v>
      </c>
      <c r="L2005" s="1" t="n">
        <v>639348</v>
      </c>
      <c r="M2005" s="1" t="s">
        <v>41</v>
      </c>
      <c r="N2005" s="1" t="s">
        <v>42</v>
      </c>
      <c r="P2005" s="1" t="n">
        <v>102</v>
      </c>
      <c r="Q2005" s="1" t="s">
        <v>107</v>
      </c>
      <c r="R2005" s="1" t="s">
        <v>60</v>
      </c>
      <c r="S2005" s="1" t="n">
        <v>4210227</v>
      </c>
      <c r="T2005" s="1" t="s">
        <v>418</v>
      </c>
      <c r="U2005" s="17" t="n">
        <v>51.94</v>
      </c>
      <c r="W2005" s="1" t="n">
        <v>51.94</v>
      </c>
      <c r="X2005" s="1" t="s">
        <v>2246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46204</v>
      </c>
      <c r="C2006" s="15" t="n">
        <v>46248</v>
      </c>
      <c r="D2006" s="1" t="n">
        <v>607</v>
      </c>
      <c r="E2006" s="1" t="s">
        <v>182</v>
      </c>
      <c r="F2006" s="1" t="n">
        <v>24</v>
      </c>
      <c r="G2006" s="1" t="s">
        <v>32</v>
      </c>
      <c r="H2006" s="1" t="n">
        <v>2110101</v>
      </c>
      <c r="I2006" s="1" t="s">
        <v>33</v>
      </c>
      <c r="J2006" s="1" t="n">
        <v>1335231</v>
      </c>
      <c r="L2006" s="1" t="n">
        <v>11002</v>
      </c>
      <c r="M2006" s="1" t="s">
        <v>128</v>
      </c>
      <c r="N2006" s="1" t="s">
        <v>35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1849.57</v>
      </c>
      <c r="W2006" s="1" t="n">
        <v>1849.57</v>
      </c>
      <c r="X2006" s="1" t="s">
        <v>2247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46214</v>
      </c>
      <c r="C2007" s="15" t="n">
        <v>46248</v>
      </c>
      <c r="D2007" s="1" t="n">
        <v>794</v>
      </c>
      <c r="E2007" s="1" t="s">
        <v>325</v>
      </c>
      <c r="F2007" s="1" t="n">
        <v>24</v>
      </c>
      <c r="G2007" s="1" t="s">
        <v>32</v>
      </c>
      <c r="H2007" s="1" t="n">
        <v>2110405</v>
      </c>
      <c r="I2007" s="1" t="s">
        <v>83</v>
      </c>
      <c r="J2007" s="1" t="n">
        <v>1381993</v>
      </c>
      <c r="L2007" s="1" t="n">
        <v>8364</v>
      </c>
      <c r="M2007" s="1" t="s">
        <v>128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523.66</v>
      </c>
      <c r="W2007" s="1" t="n">
        <v>523.66</v>
      </c>
      <c r="X2007" s="1" t="s">
        <v>2248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46225</v>
      </c>
      <c r="C2008" s="15" t="n">
        <v>46248</v>
      </c>
      <c r="D2008" s="1" t="n">
        <v>10012</v>
      </c>
      <c r="E2008" s="1" t="s">
        <v>204</v>
      </c>
      <c r="F2008" s="1" t="n">
        <v>24</v>
      </c>
      <c r="G2008" s="1" t="s">
        <v>32</v>
      </c>
      <c r="H2008" s="1" t="n">
        <v>2110405</v>
      </c>
      <c r="I2008" s="1" t="s">
        <v>83</v>
      </c>
      <c r="J2008" s="1" t="n">
        <v>1434176</v>
      </c>
      <c r="L2008" s="1" t="n">
        <v>1964247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945.12</v>
      </c>
      <c r="W2008" s="1" t="n">
        <v>945.12</v>
      </c>
      <c r="X2008" s="1" t="s">
        <v>2249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46226</v>
      </c>
      <c r="C2009" s="15" t="n">
        <v>46248</v>
      </c>
      <c r="D2009" s="1" t="n">
        <v>1608</v>
      </c>
      <c r="E2009" s="1" t="s">
        <v>51</v>
      </c>
      <c r="F2009" s="1" t="n">
        <v>24</v>
      </c>
      <c r="G2009" s="1" t="s">
        <v>32</v>
      </c>
      <c r="H2009" s="1" t="n">
        <v>2110405</v>
      </c>
      <c r="I2009" s="1" t="s">
        <v>83</v>
      </c>
      <c r="J2009" s="1" t="n">
        <v>1439247</v>
      </c>
      <c r="L2009" s="1" t="n">
        <v>1698036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2010.78</v>
      </c>
      <c r="W2009" s="1" t="n">
        <v>2010.78</v>
      </c>
      <c r="X2009" s="1" t="s">
        <v>2250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46226</v>
      </c>
      <c r="C2010" s="15" t="n">
        <v>46248</v>
      </c>
      <c r="D2010" s="1" t="n">
        <v>1666</v>
      </c>
      <c r="E2010" s="1" t="s">
        <v>31</v>
      </c>
      <c r="F2010" s="1" t="n">
        <v>24</v>
      </c>
      <c r="G2010" s="1" t="s">
        <v>32</v>
      </c>
      <c r="H2010" s="1" t="n">
        <v>2110405</v>
      </c>
      <c r="I2010" s="1" t="s">
        <v>83</v>
      </c>
      <c r="J2010" s="1" t="n">
        <v>1440189</v>
      </c>
      <c r="L2010" s="1" t="n">
        <v>568312</v>
      </c>
      <c r="M2010" s="1" t="s">
        <v>128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7866.8</v>
      </c>
      <c r="W2010" s="1" t="n">
        <v>7866.8</v>
      </c>
      <c r="X2010" s="1" t="s">
        <v>2251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46226</v>
      </c>
      <c r="C2011" s="15" t="n">
        <v>46248</v>
      </c>
      <c r="D2011" s="1" t="n">
        <v>10017</v>
      </c>
      <c r="E2011" s="1" t="s">
        <v>753</v>
      </c>
      <c r="F2011" s="1" t="n">
        <v>24</v>
      </c>
      <c r="G2011" s="1" t="s">
        <v>32</v>
      </c>
      <c r="H2011" s="1" t="n">
        <v>2110405</v>
      </c>
      <c r="I2011" s="1" t="s">
        <v>83</v>
      </c>
      <c r="J2011" s="1" t="n">
        <v>1440211</v>
      </c>
      <c r="L2011" s="1" t="n">
        <v>592622</v>
      </c>
      <c r="M2011" s="1" t="s">
        <v>34</v>
      </c>
      <c r="N2011" s="1" t="s">
        <v>42</v>
      </c>
      <c r="P2011" s="1" t="n">
        <v>104</v>
      </c>
      <c r="Q2011" s="1" t="s">
        <v>99</v>
      </c>
      <c r="R2011" s="1" t="s">
        <v>37</v>
      </c>
      <c r="S2011" s="1" t="n">
        <v>1130101</v>
      </c>
      <c r="T2011" s="1" t="s">
        <v>38</v>
      </c>
      <c r="U2011" s="17" t="n">
        <v>868.36</v>
      </c>
      <c r="W2011" s="1" t="n">
        <v>868.36</v>
      </c>
      <c r="X2011" s="1" t="s">
        <v>2043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46228</v>
      </c>
      <c r="C2012" s="15" t="n">
        <v>46248</v>
      </c>
      <c r="D2012" s="1" t="n">
        <v>1657</v>
      </c>
      <c r="E2012" s="1" t="s">
        <v>1062</v>
      </c>
      <c r="F2012" s="1" t="n">
        <v>24</v>
      </c>
      <c r="G2012" s="1" t="s">
        <v>32</v>
      </c>
      <c r="H2012" s="1" t="n">
        <v>2110405</v>
      </c>
      <c r="I2012" s="1" t="s">
        <v>83</v>
      </c>
      <c r="J2012" s="1" t="n">
        <v>1450043</v>
      </c>
      <c r="L2012" s="1" t="n">
        <v>296100</v>
      </c>
      <c r="M2012" s="1" t="s">
        <v>34</v>
      </c>
      <c r="N2012" s="1" t="s">
        <v>42</v>
      </c>
      <c r="P2012" s="1" t="n">
        <v>103</v>
      </c>
      <c r="Q2012" s="1" t="s">
        <v>36</v>
      </c>
      <c r="R2012" s="1" t="s">
        <v>37</v>
      </c>
      <c r="S2012" s="1" t="n">
        <v>1130101</v>
      </c>
      <c r="T2012" s="1" t="s">
        <v>38</v>
      </c>
      <c r="U2012" s="17" t="n">
        <v>925.97</v>
      </c>
      <c r="W2012" s="1" t="n">
        <v>925.97</v>
      </c>
      <c r="X2012" s="1" t="s">
        <v>2252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46230</v>
      </c>
      <c r="C2013" s="15" t="n">
        <v>46248</v>
      </c>
      <c r="D2013" s="1" t="n">
        <v>1613</v>
      </c>
      <c r="E2013" s="1" t="s">
        <v>208</v>
      </c>
      <c r="F2013" s="1" t="n">
        <v>24</v>
      </c>
      <c r="G2013" s="1" t="s">
        <v>32</v>
      </c>
      <c r="H2013" s="1" t="n">
        <v>2110405</v>
      </c>
      <c r="I2013" s="1" t="s">
        <v>83</v>
      </c>
      <c r="J2013" s="1" t="n">
        <v>1460199</v>
      </c>
      <c r="L2013" s="1" t="n">
        <v>1611963</v>
      </c>
      <c r="M2013" s="1" t="s">
        <v>34</v>
      </c>
      <c r="N2013" s="1" t="s">
        <v>42</v>
      </c>
      <c r="P2013" s="1" t="n">
        <v>103</v>
      </c>
      <c r="Q2013" s="1" t="s">
        <v>36</v>
      </c>
      <c r="R2013" s="1" t="s">
        <v>37</v>
      </c>
      <c r="S2013" s="1" t="n">
        <v>1130101</v>
      </c>
      <c r="T2013" s="1" t="s">
        <v>38</v>
      </c>
      <c r="U2013" s="17" t="n">
        <v>676.2</v>
      </c>
      <c r="W2013" s="1" t="n">
        <v>676.2</v>
      </c>
      <c r="X2013" s="1" t="s">
        <v>2253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46234</v>
      </c>
      <c r="C2014" s="15" t="n">
        <v>46248</v>
      </c>
      <c r="D2014" s="1" t="n">
        <v>1270</v>
      </c>
      <c r="E2014" s="1" t="s">
        <v>309</v>
      </c>
      <c r="F2014" s="1" t="n">
        <v>24</v>
      </c>
      <c r="G2014" s="1" t="s">
        <v>32</v>
      </c>
      <c r="H2014" s="1" t="n">
        <v>2110405</v>
      </c>
      <c r="I2014" s="1" t="s">
        <v>83</v>
      </c>
      <c r="J2014" s="1" t="n">
        <v>1478225</v>
      </c>
      <c r="L2014" s="1" t="n">
        <v>2736</v>
      </c>
      <c r="M2014" s="1" t="s">
        <v>41</v>
      </c>
      <c r="N2014" s="1" t="s">
        <v>42</v>
      </c>
      <c r="P2014" s="1" t="n">
        <v>103</v>
      </c>
      <c r="Q2014" s="1" t="s">
        <v>36</v>
      </c>
      <c r="R2014" s="1" t="s">
        <v>37</v>
      </c>
      <c r="S2014" s="1" t="n">
        <v>1130101</v>
      </c>
      <c r="T2014" s="1" t="s">
        <v>38</v>
      </c>
      <c r="U2014" s="17" t="n">
        <v>555</v>
      </c>
      <c r="W2014" s="1" t="n">
        <v>555</v>
      </c>
      <c r="X2014" s="1" t="s">
        <v>2254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46235</v>
      </c>
      <c r="C2015" s="15" t="n">
        <v>46248</v>
      </c>
      <c r="D2015" s="1" t="n">
        <v>1114</v>
      </c>
      <c r="E2015" s="1" t="s">
        <v>144</v>
      </c>
      <c r="F2015" s="1" t="n">
        <v>24</v>
      </c>
      <c r="G2015" s="1" t="s">
        <v>32</v>
      </c>
      <c r="H2015" s="1" t="n">
        <v>2110405</v>
      </c>
      <c r="I2015" s="1" t="s">
        <v>83</v>
      </c>
      <c r="J2015" s="1" t="n">
        <v>1482214</v>
      </c>
      <c r="L2015" s="1" t="n">
        <v>42703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4614.83</v>
      </c>
      <c r="W2015" s="1" t="n">
        <v>4614.83</v>
      </c>
      <c r="X2015" s="1" t="s">
        <v>2255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46235</v>
      </c>
      <c r="C2016" s="15" t="n">
        <v>46248</v>
      </c>
      <c r="D2016" s="1" t="n">
        <v>1815</v>
      </c>
      <c r="E2016" s="1" t="s">
        <v>551</v>
      </c>
      <c r="F2016" s="1" t="n">
        <v>24</v>
      </c>
      <c r="G2016" s="1" t="s">
        <v>32</v>
      </c>
      <c r="H2016" s="1" t="n">
        <v>2110405</v>
      </c>
      <c r="I2016" s="1" t="s">
        <v>83</v>
      </c>
      <c r="J2016" s="1" t="n">
        <v>1482383</v>
      </c>
      <c r="L2016" s="1" t="n">
        <v>395526</v>
      </c>
      <c r="M2016" s="1" t="s">
        <v>41</v>
      </c>
      <c r="N2016" s="1" t="s">
        <v>42</v>
      </c>
      <c r="P2016" s="1" t="n">
        <v>103</v>
      </c>
      <c r="Q2016" s="1" t="s">
        <v>36</v>
      </c>
      <c r="R2016" s="1" t="s">
        <v>37</v>
      </c>
      <c r="S2016" s="1" t="n">
        <v>1130101</v>
      </c>
      <c r="T2016" s="1" t="s">
        <v>38</v>
      </c>
      <c r="U2016" s="17" t="n">
        <v>1143.83</v>
      </c>
      <c r="W2016" s="1" t="n">
        <v>1143.83</v>
      </c>
      <c r="X2016" s="1" t="s">
        <v>2256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46238</v>
      </c>
      <c r="C2017" s="15" t="n">
        <v>46248</v>
      </c>
      <c r="D2017" s="1" t="n">
        <v>1723</v>
      </c>
      <c r="E2017" s="1" t="s">
        <v>264</v>
      </c>
      <c r="F2017" s="1" t="n">
        <v>24</v>
      </c>
      <c r="G2017" s="1" t="s">
        <v>32</v>
      </c>
      <c r="H2017" s="1" t="n">
        <v>2110405</v>
      </c>
      <c r="I2017" s="1" t="s">
        <v>83</v>
      </c>
      <c r="J2017" s="1" t="n">
        <v>1500804</v>
      </c>
      <c r="L2017" s="1" t="n">
        <v>174276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2334.4</v>
      </c>
      <c r="W2017" s="1" t="n">
        <v>2334.4</v>
      </c>
      <c r="X2017" s="1" t="s">
        <v>2257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46241</v>
      </c>
      <c r="C2018" s="15" t="n">
        <v>46248</v>
      </c>
      <c r="D2018" s="1" t="n">
        <v>1650</v>
      </c>
      <c r="E2018" s="1" t="s">
        <v>76</v>
      </c>
      <c r="F2018" s="1" t="n">
        <v>24</v>
      </c>
      <c r="G2018" s="1" t="s">
        <v>32</v>
      </c>
      <c r="H2018" s="1" t="n">
        <v>2110405</v>
      </c>
      <c r="I2018" s="1" t="s">
        <v>83</v>
      </c>
      <c r="J2018" s="1" t="n">
        <v>1515395</v>
      </c>
      <c r="L2018" s="1" t="n">
        <v>228213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205.32</v>
      </c>
      <c r="W2018" s="1" t="n">
        <v>205.32</v>
      </c>
      <c r="X2018" s="1" t="s">
        <v>2258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46242</v>
      </c>
      <c r="C2019" s="15" t="n">
        <v>46248</v>
      </c>
      <c r="D2019" s="1" t="n">
        <v>1815</v>
      </c>
      <c r="E2019" s="1" t="s">
        <v>551</v>
      </c>
      <c r="F2019" s="1" t="n">
        <v>24</v>
      </c>
      <c r="G2019" s="1" t="s">
        <v>32</v>
      </c>
      <c r="H2019" s="1" t="n">
        <v>2110405</v>
      </c>
      <c r="I2019" s="1" t="s">
        <v>83</v>
      </c>
      <c r="J2019" s="1" t="n">
        <v>1517855</v>
      </c>
      <c r="L2019" s="1" t="n">
        <v>396666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1052.37</v>
      </c>
      <c r="W2019" s="1" t="n">
        <v>1052.37</v>
      </c>
      <c r="X2019" s="1" t="s">
        <v>2259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46240</v>
      </c>
      <c r="C2020" s="15" t="n">
        <v>46248</v>
      </c>
      <c r="D2020" s="1" t="n">
        <v>1683</v>
      </c>
      <c r="E2020" s="1" t="s">
        <v>591</v>
      </c>
      <c r="F2020" s="1" t="n">
        <v>34</v>
      </c>
      <c r="G2020" s="1" t="s">
        <v>71</v>
      </c>
      <c r="H2020" s="1" t="n">
        <v>2110101</v>
      </c>
      <c r="I2020" s="1" t="s">
        <v>33</v>
      </c>
      <c r="J2020" s="1" t="n">
        <v>1528694</v>
      </c>
      <c r="L2020" s="1" t="n">
        <v>1659689</v>
      </c>
      <c r="M2020" s="1" t="s">
        <v>41</v>
      </c>
      <c r="N2020" s="1" t="s">
        <v>35</v>
      </c>
      <c r="P2020" s="1" t="n">
        <v>104</v>
      </c>
      <c r="Q2020" s="1" t="s">
        <v>99</v>
      </c>
      <c r="R2020" s="1" t="s">
        <v>37</v>
      </c>
      <c r="S2020" s="1" t="n">
        <v>1130101</v>
      </c>
      <c r="T2020" s="1" t="s">
        <v>38</v>
      </c>
      <c r="U2020" s="17" t="n">
        <v>225</v>
      </c>
      <c r="W2020" s="1" t="n">
        <v>225</v>
      </c>
      <c r="X2020" s="1" t="s">
        <v>2260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46240</v>
      </c>
      <c r="C2021" s="15" t="n">
        <v>46248</v>
      </c>
      <c r="D2021" s="1" t="n">
        <v>1683</v>
      </c>
      <c r="E2021" s="1" t="s">
        <v>591</v>
      </c>
      <c r="F2021" s="1" t="n">
        <v>34</v>
      </c>
      <c r="G2021" s="1" t="s">
        <v>71</v>
      </c>
      <c r="H2021" s="1" t="n">
        <v>2110101</v>
      </c>
      <c r="I2021" s="1" t="s">
        <v>33</v>
      </c>
      <c r="J2021" s="1" t="n">
        <v>1528716</v>
      </c>
      <c r="L2021" s="1" t="n">
        <v>1659694</v>
      </c>
      <c r="M2021" s="1" t="s">
        <v>41</v>
      </c>
      <c r="N2021" s="1" t="s">
        <v>35</v>
      </c>
      <c r="P2021" s="1" t="n">
        <v>104</v>
      </c>
      <c r="Q2021" s="1" t="s">
        <v>99</v>
      </c>
      <c r="R2021" s="1" t="s">
        <v>37</v>
      </c>
      <c r="S2021" s="1" t="n">
        <v>1130101</v>
      </c>
      <c r="T2021" s="1" t="s">
        <v>38</v>
      </c>
      <c r="U2021" s="17" t="n">
        <v>217.5</v>
      </c>
      <c r="W2021" s="1" t="n">
        <v>217.5</v>
      </c>
      <c r="X2021" s="1" t="s">
        <v>2261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46240</v>
      </c>
      <c r="C2022" s="15" t="n">
        <v>46248</v>
      </c>
      <c r="D2022" s="1" t="n">
        <v>1683</v>
      </c>
      <c r="E2022" s="1" t="s">
        <v>591</v>
      </c>
      <c r="F2022" s="1" t="n">
        <v>34</v>
      </c>
      <c r="G2022" s="1" t="s">
        <v>71</v>
      </c>
      <c r="H2022" s="1" t="n">
        <v>2110101</v>
      </c>
      <c r="I2022" s="1" t="s">
        <v>33</v>
      </c>
      <c r="J2022" s="1" t="n">
        <v>1528746</v>
      </c>
      <c r="L2022" s="1" t="n">
        <v>1659706</v>
      </c>
      <c r="M2022" s="1" t="s">
        <v>41</v>
      </c>
      <c r="N2022" s="1" t="s">
        <v>35</v>
      </c>
      <c r="P2022" s="1" t="n">
        <v>104</v>
      </c>
      <c r="Q2022" s="1" t="s">
        <v>99</v>
      </c>
      <c r="R2022" s="1" t="s">
        <v>37</v>
      </c>
      <c r="S2022" s="1" t="n">
        <v>1130101</v>
      </c>
      <c r="T2022" s="1" t="s">
        <v>38</v>
      </c>
      <c r="U2022" s="17" t="n">
        <v>171</v>
      </c>
      <c r="W2022" s="1" t="n">
        <v>171</v>
      </c>
      <c r="X2022" s="1" t="s">
        <v>2262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46242</v>
      </c>
      <c r="C2023" s="15" t="n">
        <v>46248</v>
      </c>
      <c r="D2023" s="1" t="n">
        <v>1683</v>
      </c>
      <c r="E2023" s="1" t="s">
        <v>591</v>
      </c>
      <c r="F2023" s="1" t="n">
        <v>34</v>
      </c>
      <c r="G2023" s="1" t="s">
        <v>71</v>
      </c>
      <c r="H2023" s="1" t="n">
        <v>2110101</v>
      </c>
      <c r="I2023" s="1" t="s">
        <v>33</v>
      </c>
      <c r="J2023" s="1" t="n">
        <v>1528766</v>
      </c>
      <c r="L2023" s="1" t="n">
        <v>1660615</v>
      </c>
      <c r="M2023" s="1" t="s">
        <v>41</v>
      </c>
      <c r="N2023" s="1" t="s">
        <v>35</v>
      </c>
      <c r="P2023" s="1" t="n">
        <v>104</v>
      </c>
      <c r="Q2023" s="1" t="s">
        <v>99</v>
      </c>
      <c r="R2023" s="1" t="s">
        <v>37</v>
      </c>
      <c r="S2023" s="1" t="n">
        <v>1130101</v>
      </c>
      <c r="T2023" s="1" t="s">
        <v>38</v>
      </c>
      <c r="U2023" s="17" t="n">
        <v>261</v>
      </c>
      <c r="W2023" s="1" t="n">
        <v>261</v>
      </c>
      <c r="X2023" s="1" t="s">
        <v>2263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46244</v>
      </c>
      <c r="C2024" s="15" t="n">
        <v>46248</v>
      </c>
      <c r="D2024" s="1" t="n">
        <v>1286</v>
      </c>
      <c r="E2024" s="1" t="s">
        <v>319</v>
      </c>
      <c r="F2024" s="1" t="n">
        <v>24</v>
      </c>
      <c r="G2024" s="1" t="s">
        <v>32</v>
      </c>
      <c r="H2024" s="1" t="n">
        <v>2110405</v>
      </c>
      <c r="I2024" s="1" t="s">
        <v>83</v>
      </c>
      <c r="J2024" s="1" t="n">
        <v>1528779</v>
      </c>
      <c r="L2024" s="1" t="n">
        <v>10502</v>
      </c>
      <c r="M2024" s="1" t="s">
        <v>41</v>
      </c>
      <c r="N2024" s="1" t="s">
        <v>42</v>
      </c>
      <c r="P2024" s="1" t="n">
        <v>103</v>
      </c>
      <c r="Q2024" s="1" t="s">
        <v>36</v>
      </c>
      <c r="R2024" s="1" t="s">
        <v>37</v>
      </c>
      <c r="S2024" s="1" t="n">
        <v>1130101</v>
      </c>
      <c r="T2024" s="1" t="s">
        <v>38</v>
      </c>
      <c r="U2024" s="17" t="n">
        <v>1350</v>
      </c>
      <c r="W2024" s="1" t="n">
        <v>1350</v>
      </c>
      <c r="X2024" s="1" t="s">
        <v>2264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46242</v>
      </c>
      <c r="C2025" s="15" t="n">
        <v>46248</v>
      </c>
      <c r="D2025" s="1" t="n">
        <v>1683</v>
      </c>
      <c r="E2025" s="1" t="s">
        <v>591</v>
      </c>
      <c r="F2025" s="1" t="n">
        <v>34</v>
      </c>
      <c r="G2025" s="1" t="s">
        <v>71</v>
      </c>
      <c r="H2025" s="1" t="n">
        <v>2110101</v>
      </c>
      <c r="I2025" s="1" t="s">
        <v>33</v>
      </c>
      <c r="J2025" s="1" t="n">
        <v>1528788</v>
      </c>
      <c r="L2025" s="1" t="n">
        <v>1660616</v>
      </c>
      <c r="M2025" s="1" t="s">
        <v>41</v>
      </c>
      <c r="N2025" s="1" t="s">
        <v>35</v>
      </c>
      <c r="P2025" s="1" t="n">
        <v>104</v>
      </c>
      <c r="Q2025" s="1" t="s">
        <v>99</v>
      </c>
      <c r="R2025" s="1" t="s">
        <v>37</v>
      </c>
      <c r="S2025" s="1" t="n">
        <v>1130101</v>
      </c>
      <c r="T2025" s="1" t="s">
        <v>38</v>
      </c>
      <c r="U2025" s="17" t="n">
        <v>180</v>
      </c>
      <c r="W2025" s="1" t="n">
        <v>180</v>
      </c>
      <c r="X2025" s="1" t="s">
        <v>2265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46244</v>
      </c>
      <c r="C2026" s="15" t="n">
        <v>46248</v>
      </c>
      <c r="D2026" s="1" t="n">
        <v>581</v>
      </c>
      <c r="E2026" s="1" t="s">
        <v>278</v>
      </c>
      <c r="F2026" s="1" t="n">
        <v>24</v>
      </c>
      <c r="G2026" s="1" t="s">
        <v>32</v>
      </c>
      <c r="H2026" s="1" t="n">
        <v>2110405</v>
      </c>
      <c r="I2026" s="1" t="s">
        <v>83</v>
      </c>
      <c r="J2026" s="1" t="n">
        <v>1528794</v>
      </c>
      <c r="L2026" s="1" t="n">
        <v>31383</v>
      </c>
      <c r="M2026" s="1" t="s">
        <v>41</v>
      </c>
      <c r="N2026" s="1" t="s">
        <v>42</v>
      </c>
      <c r="P2026" s="1" t="n">
        <v>103</v>
      </c>
      <c r="Q2026" s="1" t="s">
        <v>36</v>
      </c>
      <c r="R2026" s="1" t="s">
        <v>37</v>
      </c>
      <c r="S2026" s="1" t="n">
        <v>1130101</v>
      </c>
      <c r="T2026" s="1" t="s">
        <v>38</v>
      </c>
      <c r="U2026" s="17" t="n">
        <v>363.5</v>
      </c>
      <c r="W2026" s="1" t="n">
        <v>363.5</v>
      </c>
      <c r="X2026" s="1" t="s">
        <v>2266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46244</v>
      </c>
      <c r="C2027" s="15" t="n">
        <v>46248</v>
      </c>
      <c r="D2027" s="1" t="n">
        <v>1819</v>
      </c>
      <c r="E2027" s="1" t="s">
        <v>217</v>
      </c>
      <c r="F2027" s="1" t="n">
        <v>24</v>
      </c>
      <c r="G2027" s="1" t="s">
        <v>32</v>
      </c>
      <c r="H2027" s="1" t="n">
        <v>2110405</v>
      </c>
      <c r="I2027" s="1" t="s">
        <v>83</v>
      </c>
      <c r="J2027" s="1" t="n">
        <v>1528823</v>
      </c>
      <c r="L2027" s="1" t="n">
        <v>17015</v>
      </c>
      <c r="M2027" s="1" t="s">
        <v>41</v>
      </c>
      <c r="N2027" s="1" t="s">
        <v>42</v>
      </c>
      <c r="P2027" s="1" t="n">
        <v>103</v>
      </c>
      <c r="Q2027" s="1" t="s">
        <v>36</v>
      </c>
      <c r="R2027" s="1" t="s">
        <v>37</v>
      </c>
      <c r="S2027" s="1" t="n">
        <v>1130101</v>
      </c>
      <c r="T2027" s="1" t="s">
        <v>38</v>
      </c>
      <c r="U2027" s="17" t="n">
        <v>250</v>
      </c>
      <c r="W2027" s="1" t="n">
        <v>250</v>
      </c>
      <c r="X2027" s="1" t="s">
        <v>2267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46244</v>
      </c>
      <c r="C2028" s="15" t="n">
        <v>46248</v>
      </c>
      <c r="D2028" s="1" t="n">
        <v>1642</v>
      </c>
      <c r="E2028" s="1" t="s">
        <v>159</v>
      </c>
      <c r="F2028" s="1" t="n">
        <v>24</v>
      </c>
      <c r="G2028" s="1" t="s">
        <v>32</v>
      </c>
      <c r="H2028" s="1" t="n">
        <v>2110405</v>
      </c>
      <c r="I2028" s="1" t="s">
        <v>83</v>
      </c>
      <c r="J2028" s="1" t="n">
        <v>1529365</v>
      </c>
      <c r="L2028" s="1" t="n">
        <v>1035724</v>
      </c>
      <c r="M2028" s="1" t="s">
        <v>41</v>
      </c>
      <c r="N2028" s="1" t="s">
        <v>42</v>
      </c>
      <c r="P2028" s="1" t="n">
        <v>103</v>
      </c>
      <c r="Q2028" s="1" t="s">
        <v>36</v>
      </c>
      <c r="R2028" s="1" t="s">
        <v>37</v>
      </c>
      <c r="S2028" s="1" t="n">
        <v>1130101</v>
      </c>
      <c r="T2028" s="1" t="s">
        <v>38</v>
      </c>
      <c r="U2028" s="17" t="n">
        <v>949.68</v>
      </c>
      <c r="W2028" s="1" t="n">
        <v>949.68</v>
      </c>
      <c r="X2028" s="1" t="s">
        <v>2268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46244</v>
      </c>
      <c r="C2029" s="15" t="n">
        <v>46248</v>
      </c>
      <c r="D2029" s="1" t="n">
        <v>1625</v>
      </c>
      <c r="E2029" s="1" t="s">
        <v>211</v>
      </c>
      <c r="F2029" s="1" t="n">
        <v>24</v>
      </c>
      <c r="G2029" s="1" t="s">
        <v>32</v>
      </c>
      <c r="H2029" s="1" t="n">
        <v>2110405</v>
      </c>
      <c r="I2029" s="1" t="s">
        <v>83</v>
      </c>
      <c r="J2029" s="1" t="n">
        <v>1529966</v>
      </c>
      <c r="L2029" s="1" t="n">
        <v>14969</v>
      </c>
      <c r="M2029" s="1" t="s">
        <v>41</v>
      </c>
      <c r="N2029" s="1" t="s">
        <v>42</v>
      </c>
      <c r="P2029" s="1" t="n">
        <v>103</v>
      </c>
      <c r="Q2029" s="1" t="s">
        <v>36</v>
      </c>
      <c r="R2029" s="1" t="s">
        <v>37</v>
      </c>
      <c r="S2029" s="1" t="n">
        <v>1130101</v>
      </c>
      <c r="T2029" s="1" t="s">
        <v>38</v>
      </c>
      <c r="U2029" s="17" t="n">
        <v>6688</v>
      </c>
      <c r="W2029" s="1" t="n">
        <v>6688</v>
      </c>
      <c r="X2029" s="1" t="s">
        <v>2269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46244</v>
      </c>
      <c r="C2030" s="15" t="n">
        <v>46248</v>
      </c>
      <c r="D2030" s="1" t="n">
        <v>1683</v>
      </c>
      <c r="E2030" s="1" t="s">
        <v>591</v>
      </c>
      <c r="F2030" s="1" t="n">
        <v>34</v>
      </c>
      <c r="G2030" s="1" t="s">
        <v>71</v>
      </c>
      <c r="H2030" s="1" t="n">
        <v>2110101</v>
      </c>
      <c r="I2030" s="1" t="s">
        <v>33</v>
      </c>
      <c r="J2030" s="1" t="n">
        <v>1530153</v>
      </c>
      <c r="L2030" s="1" t="n">
        <v>1661046</v>
      </c>
      <c r="M2030" s="1" t="s">
        <v>41</v>
      </c>
      <c r="N2030" s="1" t="s">
        <v>35</v>
      </c>
      <c r="P2030" s="1" t="n">
        <v>104</v>
      </c>
      <c r="Q2030" s="1" t="s">
        <v>99</v>
      </c>
      <c r="R2030" s="1" t="s">
        <v>37</v>
      </c>
      <c r="S2030" s="1" t="n">
        <v>1130101</v>
      </c>
      <c r="T2030" s="1" t="s">
        <v>38</v>
      </c>
      <c r="U2030" s="17" t="n">
        <v>210</v>
      </c>
      <c r="W2030" s="1" t="n">
        <v>210</v>
      </c>
      <c r="X2030" s="1" t="s">
        <v>2270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46245</v>
      </c>
      <c r="C2031" s="15" t="n">
        <v>46248</v>
      </c>
      <c r="D2031" s="1" t="n">
        <v>1899</v>
      </c>
      <c r="E2031" s="1" t="s">
        <v>74</v>
      </c>
      <c r="F2031" s="1" t="n">
        <v>24</v>
      </c>
      <c r="G2031" s="1" t="s">
        <v>32</v>
      </c>
      <c r="H2031" s="1" t="n">
        <v>2110405</v>
      </c>
      <c r="I2031" s="1" t="s">
        <v>83</v>
      </c>
      <c r="J2031" s="1" t="n">
        <v>1533257</v>
      </c>
      <c r="L2031" s="1" t="n">
        <v>756</v>
      </c>
      <c r="M2031" s="1" t="s">
        <v>41</v>
      </c>
      <c r="N2031" s="1" t="s">
        <v>42</v>
      </c>
      <c r="P2031" s="1" t="n">
        <v>103</v>
      </c>
      <c r="Q2031" s="1" t="s">
        <v>36</v>
      </c>
      <c r="R2031" s="1" t="s">
        <v>37</v>
      </c>
      <c r="S2031" s="1" t="n">
        <v>1130101</v>
      </c>
      <c r="T2031" s="1" t="s">
        <v>38</v>
      </c>
      <c r="U2031" s="17" t="n">
        <v>700</v>
      </c>
      <c r="W2031" s="1" t="n">
        <v>700</v>
      </c>
      <c r="X2031" s="1" t="s">
        <v>2271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956</v>
      </c>
      <c r="E2032" s="1" t="s">
        <v>289</v>
      </c>
      <c r="F2032" s="1" t="n">
        <v>34</v>
      </c>
      <c r="G2032" s="1" t="s">
        <v>71</v>
      </c>
      <c r="H2032" s="1" t="n">
        <v>2110405</v>
      </c>
      <c r="I2032" s="1" t="s">
        <v>83</v>
      </c>
      <c r="J2032" s="1" t="n">
        <v>1545667</v>
      </c>
      <c r="L2032" s="1" t="n">
        <v>631545</v>
      </c>
      <c r="M2032" s="1" t="s">
        <v>41</v>
      </c>
      <c r="N2032" s="1" t="s">
        <v>42</v>
      </c>
      <c r="P2032" s="1" t="n">
        <v>101</v>
      </c>
      <c r="Q2032" s="1" t="s">
        <v>84</v>
      </c>
      <c r="R2032" s="1" t="s">
        <v>290</v>
      </c>
      <c r="S2032" s="1" t="n">
        <v>4210111</v>
      </c>
      <c r="T2032" s="1" t="s">
        <v>291</v>
      </c>
      <c r="U2032" s="17" t="n">
        <v>500</v>
      </c>
      <c r="W2032" s="1" t="n">
        <v>500</v>
      </c>
      <c r="X2032" s="1" t="s">
        <v>2272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46246</v>
      </c>
      <c r="C2033" s="15" t="n">
        <v>46248</v>
      </c>
      <c r="D2033" s="1" t="n">
        <v>1683</v>
      </c>
      <c r="E2033" s="1" t="s">
        <v>591</v>
      </c>
      <c r="F2033" s="1" t="n">
        <v>34</v>
      </c>
      <c r="G2033" s="1" t="s">
        <v>71</v>
      </c>
      <c r="H2033" s="1" t="n">
        <v>2110101</v>
      </c>
      <c r="I2033" s="1" t="s">
        <v>33</v>
      </c>
      <c r="J2033" s="1" t="n">
        <v>1543738</v>
      </c>
      <c r="L2033" s="1" t="n">
        <v>1662615</v>
      </c>
      <c r="M2033" s="1" t="s">
        <v>41</v>
      </c>
      <c r="N2033" s="1" t="s">
        <v>35</v>
      </c>
      <c r="P2033" s="1" t="n">
        <v>104</v>
      </c>
      <c r="Q2033" s="1" t="s">
        <v>99</v>
      </c>
      <c r="R2033" s="1" t="s">
        <v>37</v>
      </c>
      <c r="S2033" s="1" t="n">
        <v>1130101</v>
      </c>
      <c r="T2033" s="1" t="s">
        <v>38</v>
      </c>
      <c r="U2033" s="17" t="n">
        <v>225</v>
      </c>
      <c r="W2033" s="1" t="n">
        <v>225</v>
      </c>
      <c r="X2033" s="1" t="s">
        <v>2273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33</v>
      </c>
      <c r="E2034" s="1" t="s">
        <v>70</v>
      </c>
      <c r="F2034" s="1" t="n">
        <v>34</v>
      </c>
      <c r="G2034" s="1" t="s">
        <v>71</v>
      </c>
      <c r="H2034" s="1" t="n">
        <v>2110101</v>
      </c>
      <c r="I2034" s="1" t="s">
        <v>33</v>
      </c>
      <c r="J2034" s="1" t="n">
        <v>1545728</v>
      </c>
      <c r="L2034" s="1" t="n">
        <v>5487</v>
      </c>
      <c r="M2034" s="1" t="s">
        <v>41</v>
      </c>
      <c r="N2034" s="1" t="s">
        <v>35</v>
      </c>
      <c r="P2034" s="1" t="n">
        <v>104</v>
      </c>
      <c r="Q2034" s="1" t="s">
        <v>99</v>
      </c>
      <c r="R2034" s="1" t="s">
        <v>37</v>
      </c>
      <c r="S2034" s="1" t="n">
        <v>1130101</v>
      </c>
      <c r="T2034" s="1" t="s">
        <v>38</v>
      </c>
      <c r="U2034" s="17" t="n">
        <v>690</v>
      </c>
      <c r="W2034" s="1" t="n">
        <v>690</v>
      </c>
      <c r="X2034" s="1" t="s">
        <v>2274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46248</v>
      </c>
      <c r="C2035" s="15" t="n">
        <v>46248</v>
      </c>
      <c r="D2035" s="1" t="n">
        <v>33</v>
      </c>
      <c r="E2035" s="1" t="s">
        <v>70</v>
      </c>
      <c r="F2035" s="1" t="n">
        <v>34</v>
      </c>
      <c r="G2035" s="1" t="s">
        <v>71</v>
      </c>
      <c r="H2035" s="1" t="n">
        <v>2110101</v>
      </c>
      <c r="I2035" s="1" t="s">
        <v>33</v>
      </c>
      <c r="J2035" s="1" t="n">
        <v>1546819</v>
      </c>
      <c r="L2035" s="1" t="n">
        <v>5488</v>
      </c>
      <c r="M2035" s="1" t="s">
        <v>41</v>
      </c>
      <c r="N2035" s="1" t="s">
        <v>35</v>
      </c>
      <c r="P2035" s="1" t="n">
        <v>104</v>
      </c>
      <c r="Q2035" s="1" t="s">
        <v>99</v>
      </c>
      <c r="R2035" s="1" t="s">
        <v>37</v>
      </c>
      <c r="S2035" s="1" t="n">
        <v>1130101</v>
      </c>
      <c r="T2035" s="1" t="s">
        <v>38</v>
      </c>
      <c r="U2035" s="17" t="n">
        <v>3247.75</v>
      </c>
      <c r="W2035" s="1" t="n">
        <v>3247.75</v>
      </c>
      <c r="X2035" s="1" t="s">
        <v>2275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46248</v>
      </c>
      <c r="C2036" s="15" t="n">
        <v>46248</v>
      </c>
      <c r="D2036" s="1" t="n">
        <v>33</v>
      </c>
      <c r="E2036" s="1" t="s">
        <v>70</v>
      </c>
      <c r="F2036" s="1" t="n">
        <v>34</v>
      </c>
      <c r="G2036" s="1" t="s">
        <v>71</v>
      </c>
      <c r="H2036" s="1" t="n">
        <v>2110101</v>
      </c>
      <c r="I2036" s="1" t="s">
        <v>33</v>
      </c>
      <c r="J2036" s="1" t="n">
        <v>1547189</v>
      </c>
      <c r="L2036" s="1" t="n">
        <v>5489</v>
      </c>
      <c r="M2036" s="1" t="s">
        <v>41</v>
      </c>
      <c r="N2036" s="1" t="s">
        <v>35</v>
      </c>
      <c r="P2036" s="1" t="n">
        <v>104</v>
      </c>
      <c r="Q2036" s="1" t="s">
        <v>99</v>
      </c>
      <c r="R2036" s="1" t="s">
        <v>37</v>
      </c>
      <c r="S2036" s="1" t="n">
        <v>1130101</v>
      </c>
      <c r="T2036" s="1" t="s">
        <v>38</v>
      </c>
      <c r="U2036" s="17" t="n">
        <v>3089</v>
      </c>
      <c r="W2036" s="1" t="n">
        <v>3089</v>
      </c>
      <c r="X2036" s="1" t="s">
        <v>220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46248</v>
      </c>
      <c r="C2037" s="15" t="n">
        <v>46248</v>
      </c>
      <c r="D2037" s="1" t="n">
        <v>33</v>
      </c>
      <c r="E2037" s="1" t="s">
        <v>70</v>
      </c>
      <c r="F2037" s="1" t="n">
        <v>34</v>
      </c>
      <c r="G2037" s="1" t="s">
        <v>71</v>
      </c>
      <c r="H2037" s="1" t="n">
        <v>2110405</v>
      </c>
      <c r="I2037" s="1" t="s">
        <v>83</v>
      </c>
      <c r="J2037" s="1" t="n">
        <v>1547232</v>
      </c>
      <c r="L2037" s="1" t="n">
        <v>632152</v>
      </c>
      <c r="M2037" s="1" t="s">
        <v>41</v>
      </c>
      <c r="N2037" s="1" t="s">
        <v>42</v>
      </c>
      <c r="P2037" s="1" t="n">
        <v>104</v>
      </c>
      <c r="Q2037" s="1" t="s">
        <v>99</v>
      </c>
      <c r="R2037" s="1" t="s">
        <v>37</v>
      </c>
      <c r="S2037" s="1" t="n">
        <v>1130101</v>
      </c>
      <c r="T2037" s="1" t="s">
        <v>38</v>
      </c>
      <c r="U2037" s="17" t="n">
        <v>140</v>
      </c>
      <c r="W2037" s="1" t="n">
        <v>140</v>
      </c>
      <c r="X2037" s="1" t="s">
        <v>2276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46248</v>
      </c>
      <c r="C2038" s="15" t="n">
        <v>46248</v>
      </c>
      <c r="D2038" s="1" t="n">
        <v>1137</v>
      </c>
      <c r="E2038" s="1" t="s">
        <v>82</v>
      </c>
      <c r="F2038" s="1" t="n">
        <v>34</v>
      </c>
      <c r="G2038" s="1" t="s">
        <v>71</v>
      </c>
      <c r="H2038" s="1" t="n">
        <v>2110405</v>
      </c>
      <c r="I2038" s="1" t="s">
        <v>83</v>
      </c>
      <c r="J2038" s="1" t="n">
        <v>1548271</v>
      </c>
      <c r="L2038" s="1" t="n">
        <v>632796</v>
      </c>
      <c r="M2038" s="1" t="s">
        <v>41</v>
      </c>
      <c r="N2038" s="1" t="s">
        <v>42</v>
      </c>
      <c r="P2038" s="1" t="n">
        <v>101</v>
      </c>
      <c r="Q2038" s="1" t="s">
        <v>84</v>
      </c>
      <c r="R2038" s="1" t="s">
        <v>85</v>
      </c>
      <c r="S2038" s="1" t="n">
        <v>4210301</v>
      </c>
      <c r="T2038" s="1" t="s">
        <v>295</v>
      </c>
      <c r="U2038" s="17" t="n">
        <v>2300</v>
      </c>
      <c r="W2038" s="1" t="n">
        <v>2300</v>
      </c>
      <c r="X2038" s="1" t="s">
        <v>2277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46248</v>
      </c>
      <c r="C2039" s="15" t="n">
        <v>46248</v>
      </c>
      <c r="D2039" s="1" t="n">
        <v>1137</v>
      </c>
      <c r="E2039" s="1" t="s">
        <v>82</v>
      </c>
      <c r="F2039" s="1" t="n">
        <v>34</v>
      </c>
      <c r="G2039" s="1" t="s">
        <v>71</v>
      </c>
      <c r="H2039" s="1" t="n">
        <v>2110405</v>
      </c>
      <c r="I2039" s="1" t="s">
        <v>83</v>
      </c>
      <c r="J2039" s="1" t="n">
        <v>1548279</v>
      </c>
      <c r="L2039" s="1" t="n">
        <v>632803</v>
      </c>
      <c r="M2039" s="1" t="s">
        <v>41</v>
      </c>
      <c r="N2039" s="1" t="s">
        <v>42</v>
      </c>
      <c r="P2039" s="1" t="n">
        <v>101</v>
      </c>
      <c r="Q2039" s="1" t="s">
        <v>84</v>
      </c>
      <c r="R2039" s="1" t="s">
        <v>85</v>
      </c>
      <c r="S2039" s="1" t="n">
        <v>4210301</v>
      </c>
      <c r="T2039" s="1" t="s">
        <v>295</v>
      </c>
      <c r="U2039" s="17" t="n">
        <v>7000</v>
      </c>
      <c r="W2039" s="1" t="n">
        <v>7000</v>
      </c>
      <c r="X2039" s="1" t="s">
        <v>2278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46248</v>
      </c>
      <c r="C2040" s="15" t="n">
        <v>46248</v>
      </c>
      <c r="D2040" s="1" t="n">
        <v>1615</v>
      </c>
      <c r="E2040" s="1" t="s">
        <v>221</v>
      </c>
      <c r="F2040" s="1" t="n">
        <v>34</v>
      </c>
      <c r="G2040" s="1" t="s">
        <v>71</v>
      </c>
      <c r="H2040" s="1" t="n">
        <v>2110101</v>
      </c>
      <c r="I2040" s="1" t="s">
        <v>33</v>
      </c>
      <c r="J2040" s="1" t="n">
        <v>1551275</v>
      </c>
      <c r="L2040" s="1" t="n">
        <v>15114</v>
      </c>
      <c r="M2040" s="1" t="s">
        <v>41</v>
      </c>
      <c r="N2040" s="1" t="s">
        <v>35</v>
      </c>
      <c r="P2040" s="1" t="n">
        <v>104</v>
      </c>
      <c r="Q2040" s="1" t="s">
        <v>99</v>
      </c>
      <c r="R2040" s="1" t="s">
        <v>37</v>
      </c>
      <c r="S2040" s="1" t="n">
        <v>1130101</v>
      </c>
      <c r="T2040" s="1" t="s">
        <v>38</v>
      </c>
      <c r="U2040" s="17" t="n">
        <v>1440</v>
      </c>
      <c r="W2040" s="1" t="n">
        <v>1440</v>
      </c>
      <c r="X2040" s="1" t="s">
        <v>2279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46248</v>
      </c>
      <c r="C2041" s="15" t="n">
        <v>46248</v>
      </c>
      <c r="D2041" s="1" t="n">
        <v>10096</v>
      </c>
      <c r="E2041" s="1" t="s">
        <v>1496</v>
      </c>
      <c r="F2041" s="1" t="n">
        <v>13</v>
      </c>
      <c r="G2041" s="1" t="s">
        <v>98</v>
      </c>
      <c r="H2041" s="1" t="n">
        <v>2110101</v>
      </c>
      <c r="I2041" s="1" t="s">
        <v>33</v>
      </c>
      <c r="J2041" s="1" t="n">
        <v>1551640</v>
      </c>
      <c r="L2041" s="1" t="n">
        <v>163</v>
      </c>
      <c r="M2041" s="1" t="s">
        <v>41</v>
      </c>
      <c r="N2041" s="1" t="s">
        <v>35</v>
      </c>
      <c r="P2041" s="1" t="n">
        <v>104</v>
      </c>
      <c r="Q2041" s="1" t="s">
        <v>99</v>
      </c>
      <c r="R2041" s="1" t="s">
        <v>37</v>
      </c>
      <c r="S2041" s="1" t="n">
        <v>1130101</v>
      </c>
      <c r="T2041" s="1" t="s">
        <v>38</v>
      </c>
      <c r="U2041" s="17" t="n">
        <v>408</v>
      </c>
      <c r="W2041" s="1" t="n">
        <v>0</v>
      </c>
      <c r="X2041" s="1" t="s">
        <v>2280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46248</v>
      </c>
      <c r="C2042" s="15" t="n">
        <v>46248</v>
      </c>
      <c r="D2042" s="1" t="n">
        <v>1683</v>
      </c>
      <c r="E2042" s="1" t="s">
        <v>591</v>
      </c>
      <c r="F2042" s="1" t="n">
        <v>34</v>
      </c>
      <c r="G2042" s="1" t="s">
        <v>71</v>
      </c>
      <c r="H2042" s="1" t="n">
        <v>2110101</v>
      </c>
      <c r="I2042" s="1" t="s">
        <v>33</v>
      </c>
      <c r="J2042" s="1" t="n">
        <v>1551760</v>
      </c>
      <c r="L2042" s="1" t="n">
        <v>1664299</v>
      </c>
      <c r="M2042" s="1" t="s">
        <v>41</v>
      </c>
      <c r="N2042" s="1" t="s">
        <v>35</v>
      </c>
      <c r="P2042" s="1" t="n">
        <v>104</v>
      </c>
      <c r="Q2042" s="1" t="s">
        <v>99</v>
      </c>
      <c r="R2042" s="1" t="s">
        <v>37</v>
      </c>
      <c r="S2042" s="1" t="n">
        <v>1130101</v>
      </c>
      <c r="T2042" s="1" t="s">
        <v>38</v>
      </c>
      <c r="U2042" s="17" t="n">
        <v>135</v>
      </c>
      <c r="W2042" s="1" t="n">
        <v>135</v>
      </c>
      <c r="X2042" s="1" t="s">
        <v>2281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46248</v>
      </c>
      <c r="C2043" s="15" t="n">
        <v>46248</v>
      </c>
      <c r="D2043" s="1" t="n">
        <v>10035</v>
      </c>
      <c r="E2043" s="1" t="s">
        <v>336</v>
      </c>
      <c r="F2043" s="1" t="n">
        <v>13</v>
      </c>
      <c r="G2043" s="1" t="s">
        <v>98</v>
      </c>
      <c r="H2043" s="1" t="n">
        <v>2110101</v>
      </c>
      <c r="I2043" s="1" t="s">
        <v>33</v>
      </c>
      <c r="J2043" s="1" t="n">
        <v>1567959</v>
      </c>
      <c r="L2043" s="1" t="n">
        <v>404</v>
      </c>
      <c r="M2043" s="1" t="s">
        <v>41</v>
      </c>
      <c r="N2043" s="1" t="s">
        <v>35</v>
      </c>
      <c r="P2043" s="1" t="n">
        <v>104</v>
      </c>
      <c r="Q2043" s="1" t="s">
        <v>99</v>
      </c>
      <c r="R2043" s="1" t="s">
        <v>37</v>
      </c>
      <c r="S2043" s="1" t="n">
        <v>1130101</v>
      </c>
      <c r="T2043" s="1" t="s">
        <v>38</v>
      </c>
      <c r="U2043" s="17" t="n">
        <v>614</v>
      </c>
      <c r="W2043" s="1" t="n">
        <v>0</v>
      </c>
      <c r="X2043" s="1" t="s">
        <v>2282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46097</v>
      </c>
      <c r="C2044" s="15" t="n">
        <v>46249</v>
      </c>
      <c r="D2044" s="1" t="n">
        <v>1867</v>
      </c>
      <c r="E2044" s="1" t="s">
        <v>579</v>
      </c>
      <c r="F2044" s="1" t="n">
        <v>24</v>
      </c>
      <c r="G2044" s="1" t="s">
        <v>32</v>
      </c>
      <c r="H2044" s="1" t="n">
        <v>2110405</v>
      </c>
      <c r="I2044" s="1" t="s">
        <v>83</v>
      </c>
      <c r="J2044" s="1" t="n">
        <v>809298</v>
      </c>
      <c r="L2044" s="1" t="n">
        <v>100914</v>
      </c>
      <c r="M2044" s="1" t="s">
        <v>391</v>
      </c>
      <c r="N2044" s="1" t="s">
        <v>42</v>
      </c>
      <c r="P2044" s="1" t="n">
        <v>101</v>
      </c>
      <c r="Q2044" s="1" t="s">
        <v>84</v>
      </c>
      <c r="R2044" s="1" t="s">
        <v>580</v>
      </c>
      <c r="S2044" s="1" t="n">
        <v>4210401</v>
      </c>
      <c r="T2044" s="1" t="s">
        <v>581</v>
      </c>
      <c r="U2044" s="17" t="n">
        <v>134.55</v>
      </c>
      <c r="W2044" s="1" t="n">
        <v>134.55</v>
      </c>
      <c r="X2044" s="1" t="s">
        <v>2283</v>
      </c>
      <c r="Z2044" s="1" t="str">
        <f aca="false">IF($T2044="","",IFERROR(INDEX('Resumo Grupos'!$AC$3:$AC$200,MATCH($T2044,'Resumo Grupos'!$AB$3:$AB$200,0)),"n/d"))</f>
        <v>Impostos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46097</v>
      </c>
      <c r="C2045" s="15" t="n">
        <v>46249</v>
      </c>
      <c r="D2045" s="1" t="n">
        <v>1867</v>
      </c>
      <c r="E2045" s="1" t="s">
        <v>579</v>
      </c>
      <c r="F2045" s="1" t="n">
        <v>24</v>
      </c>
      <c r="G2045" s="1" t="s">
        <v>32</v>
      </c>
      <c r="H2045" s="1" t="n">
        <v>2110405</v>
      </c>
      <c r="I2045" s="1" t="s">
        <v>83</v>
      </c>
      <c r="J2045" s="1" t="n">
        <v>809315</v>
      </c>
      <c r="L2045" s="1" t="n">
        <v>100910</v>
      </c>
      <c r="M2045" s="1" t="s">
        <v>391</v>
      </c>
      <c r="N2045" s="1" t="s">
        <v>42</v>
      </c>
      <c r="P2045" s="1" t="n">
        <v>101</v>
      </c>
      <c r="Q2045" s="1" t="s">
        <v>84</v>
      </c>
      <c r="R2045" s="1" t="s">
        <v>580</v>
      </c>
      <c r="S2045" s="1" t="n">
        <v>4210401</v>
      </c>
      <c r="T2045" s="1" t="s">
        <v>581</v>
      </c>
      <c r="U2045" s="17" t="n">
        <v>185.89</v>
      </c>
      <c r="W2045" s="1" t="n">
        <v>185.89</v>
      </c>
      <c r="X2045" s="1" t="s">
        <v>2284</v>
      </c>
      <c r="Z2045" s="1" t="str">
        <f aca="false">IF($T2045="","",IFERROR(INDEX('Resumo Grupos'!$AC$3:$AC$200,MATCH($T2045,'Resumo Grupos'!$AB$3:$AB$200,0)),"n/d"))</f>
        <v>Impostos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46097</v>
      </c>
      <c r="C2046" s="15" t="n">
        <v>46249</v>
      </c>
      <c r="D2046" s="1" t="n">
        <v>17</v>
      </c>
      <c r="E2046" s="1" t="s">
        <v>94</v>
      </c>
      <c r="F2046" s="1" t="n">
        <v>24</v>
      </c>
      <c r="G2046" s="1" t="s">
        <v>32</v>
      </c>
      <c r="H2046" s="1" t="n">
        <v>2110405</v>
      </c>
      <c r="I2046" s="1" t="s">
        <v>83</v>
      </c>
      <c r="J2046" s="1" t="n">
        <v>809413</v>
      </c>
      <c r="L2046" s="1" t="n">
        <v>2115476</v>
      </c>
      <c r="M2046" s="1" t="s">
        <v>391</v>
      </c>
      <c r="N2046" s="1" t="s">
        <v>42</v>
      </c>
      <c r="P2046" s="1" t="n">
        <v>101</v>
      </c>
      <c r="Q2046" s="1" t="s">
        <v>84</v>
      </c>
      <c r="R2046" s="1" t="s">
        <v>91</v>
      </c>
      <c r="S2046" s="1" t="n">
        <v>4220199</v>
      </c>
      <c r="T2046" s="1" t="s">
        <v>92</v>
      </c>
      <c r="U2046" s="17" t="n">
        <v>102.14</v>
      </c>
      <c r="W2046" s="1" t="n">
        <v>102.14</v>
      </c>
      <c r="X2046" s="1" t="s">
        <v>584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46142</v>
      </c>
      <c r="C2047" s="15" t="n">
        <v>46249</v>
      </c>
      <c r="D2047" s="1" t="n">
        <v>607</v>
      </c>
      <c r="E2047" s="1" t="s">
        <v>182</v>
      </c>
      <c r="F2047" s="1" t="n">
        <v>24</v>
      </c>
      <c r="G2047" s="1" t="s">
        <v>32</v>
      </c>
      <c r="H2047" s="1" t="n">
        <v>2110101</v>
      </c>
      <c r="I2047" s="1" t="s">
        <v>33</v>
      </c>
      <c r="J2047" s="1" t="n">
        <v>1028242</v>
      </c>
      <c r="L2047" s="1" t="n">
        <v>10262</v>
      </c>
      <c r="M2047" s="1" t="s">
        <v>558</v>
      </c>
      <c r="N2047" s="1" t="s">
        <v>35</v>
      </c>
      <c r="P2047" s="1" t="n">
        <v>103</v>
      </c>
      <c r="Q2047" s="1" t="s">
        <v>36</v>
      </c>
      <c r="R2047" s="1" t="s">
        <v>37</v>
      </c>
      <c r="S2047" s="1" t="n">
        <v>1130101</v>
      </c>
      <c r="T2047" s="1" t="s">
        <v>38</v>
      </c>
      <c r="U2047" s="17" t="n">
        <v>1488.41</v>
      </c>
      <c r="W2047" s="1" t="n">
        <v>1488.41</v>
      </c>
      <c r="X2047" s="1" t="s">
        <v>2285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46218</v>
      </c>
      <c r="C2048" s="15" t="n">
        <v>46249</v>
      </c>
      <c r="D2048" s="1" t="n">
        <v>957</v>
      </c>
      <c r="E2048" s="1" t="s">
        <v>132</v>
      </c>
      <c r="F2048" s="1" t="n">
        <v>24</v>
      </c>
      <c r="G2048" s="1" t="s">
        <v>32</v>
      </c>
      <c r="H2048" s="1" t="n">
        <v>2110405</v>
      </c>
      <c r="I2048" s="1" t="s">
        <v>83</v>
      </c>
      <c r="J2048" s="1" t="n">
        <v>1402587</v>
      </c>
      <c r="L2048" s="1" t="n">
        <v>21048</v>
      </c>
      <c r="M2048" s="1" t="s">
        <v>34</v>
      </c>
      <c r="N2048" s="1" t="s">
        <v>42</v>
      </c>
      <c r="P2048" s="1" t="n">
        <v>103</v>
      </c>
      <c r="Q2048" s="1" t="s">
        <v>36</v>
      </c>
      <c r="R2048" s="1" t="s">
        <v>37</v>
      </c>
      <c r="S2048" s="1" t="n">
        <v>1130101</v>
      </c>
      <c r="T2048" s="1" t="s">
        <v>38</v>
      </c>
      <c r="U2048" s="17" t="n">
        <v>1475.42</v>
      </c>
      <c r="W2048" s="1" t="n">
        <v>1475.42</v>
      </c>
      <c r="X2048" s="1" t="s">
        <v>2286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46234</v>
      </c>
      <c r="C2049" s="15" t="n">
        <v>46249</v>
      </c>
      <c r="D2049" s="1" t="n">
        <v>513</v>
      </c>
      <c r="E2049" s="1" t="s">
        <v>597</v>
      </c>
      <c r="F2049" s="1" t="n">
        <v>24</v>
      </c>
      <c r="G2049" s="1" t="s">
        <v>32</v>
      </c>
      <c r="H2049" s="1" t="n">
        <v>2110405</v>
      </c>
      <c r="I2049" s="1" t="s">
        <v>83</v>
      </c>
      <c r="J2049" s="1" t="n">
        <v>1478026</v>
      </c>
      <c r="L2049" s="1" t="n">
        <v>607111</v>
      </c>
      <c r="M2049" s="1" t="s">
        <v>41</v>
      </c>
      <c r="N2049" s="1" t="s">
        <v>42</v>
      </c>
      <c r="P2049" s="1" t="n">
        <v>101</v>
      </c>
      <c r="Q2049" s="1" t="s">
        <v>84</v>
      </c>
      <c r="R2049" s="1" t="s">
        <v>85</v>
      </c>
      <c r="S2049" s="1" t="n">
        <v>4210315</v>
      </c>
      <c r="T2049" s="1" t="s">
        <v>503</v>
      </c>
      <c r="U2049" s="17" t="n">
        <v>179.32</v>
      </c>
      <c r="W2049" s="1" t="n">
        <v>179.32</v>
      </c>
      <c r="X2049" s="1" t="s">
        <v>2287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46237</v>
      </c>
      <c r="C2050" s="15" t="n">
        <v>46249</v>
      </c>
      <c r="D2050" s="1" t="n">
        <v>1672</v>
      </c>
      <c r="E2050" s="1" t="s">
        <v>146</v>
      </c>
      <c r="F2050" s="1" t="n">
        <v>24</v>
      </c>
      <c r="G2050" s="1" t="s">
        <v>32</v>
      </c>
      <c r="H2050" s="1" t="n">
        <v>2110405</v>
      </c>
      <c r="I2050" s="1" t="s">
        <v>83</v>
      </c>
      <c r="J2050" s="1" t="n">
        <v>1495575</v>
      </c>
      <c r="L2050" s="1" t="n">
        <v>1408028</v>
      </c>
      <c r="M2050" s="1" t="s">
        <v>41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2781.8</v>
      </c>
      <c r="W2050" s="1" t="n">
        <v>2781.8</v>
      </c>
      <c r="X2050" s="1" t="s">
        <v>2288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46240</v>
      </c>
      <c r="C2051" s="15" t="n">
        <v>46249</v>
      </c>
      <c r="D2051" s="1" t="n">
        <v>1723</v>
      </c>
      <c r="E2051" s="1" t="s">
        <v>264</v>
      </c>
      <c r="F2051" s="1" t="n">
        <v>24</v>
      </c>
      <c r="G2051" s="1" t="s">
        <v>32</v>
      </c>
      <c r="H2051" s="1" t="n">
        <v>2110405</v>
      </c>
      <c r="I2051" s="1" t="s">
        <v>83</v>
      </c>
      <c r="J2051" s="1" t="n">
        <v>1509339</v>
      </c>
      <c r="L2051" s="1" t="n">
        <v>174356</v>
      </c>
      <c r="M2051" s="1" t="s">
        <v>41</v>
      </c>
      <c r="N2051" s="1" t="s">
        <v>42</v>
      </c>
      <c r="P2051" s="1" t="n">
        <v>103</v>
      </c>
      <c r="Q2051" s="1" t="s">
        <v>36</v>
      </c>
      <c r="R2051" s="1" t="s">
        <v>37</v>
      </c>
      <c r="S2051" s="1" t="n">
        <v>1130101</v>
      </c>
      <c r="T2051" s="1" t="s">
        <v>38</v>
      </c>
      <c r="U2051" s="17" t="n">
        <v>3322.1</v>
      </c>
      <c r="W2051" s="1" t="n">
        <v>3322.1</v>
      </c>
      <c r="X2051" s="1" t="s">
        <v>2289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46244</v>
      </c>
      <c r="C2052" s="15" t="n">
        <v>46249</v>
      </c>
      <c r="D2052" s="1" t="n">
        <v>1455</v>
      </c>
      <c r="E2052" s="1" t="s">
        <v>770</v>
      </c>
      <c r="F2052" s="1" t="n">
        <v>24</v>
      </c>
      <c r="G2052" s="1" t="s">
        <v>32</v>
      </c>
      <c r="H2052" s="1" t="n">
        <v>2110405</v>
      </c>
      <c r="I2052" s="1" t="s">
        <v>83</v>
      </c>
      <c r="J2052" s="1" t="n">
        <v>1528423</v>
      </c>
      <c r="L2052" s="1" t="n">
        <v>1300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1050</v>
      </c>
      <c r="W2052" s="1" t="n">
        <v>1050</v>
      </c>
      <c r="X2052" s="1" t="s">
        <v>2290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46244</v>
      </c>
      <c r="C2053" s="15" t="n">
        <v>46249</v>
      </c>
      <c r="D2053" s="1" t="n">
        <v>754</v>
      </c>
      <c r="E2053" s="1" t="s">
        <v>157</v>
      </c>
      <c r="F2053" s="1" t="n">
        <v>24</v>
      </c>
      <c r="G2053" s="1" t="s">
        <v>32</v>
      </c>
      <c r="H2053" s="1" t="n">
        <v>2110405</v>
      </c>
      <c r="I2053" s="1" t="s">
        <v>83</v>
      </c>
      <c r="J2053" s="1" t="n">
        <v>1529960</v>
      </c>
      <c r="L2053" s="1" t="n">
        <v>32338</v>
      </c>
      <c r="M2053" s="1" t="s">
        <v>41</v>
      </c>
      <c r="N2053" s="1" t="s">
        <v>42</v>
      </c>
      <c r="P2053" s="1" t="n">
        <v>103</v>
      </c>
      <c r="Q2053" s="1" t="s">
        <v>36</v>
      </c>
      <c r="R2053" s="1" t="s">
        <v>37</v>
      </c>
      <c r="S2053" s="1" t="n">
        <v>1130101</v>
      </c>
      <c r="T2053" s="1" t="s">
        <v>38</v>
      </c>
      <c r="U2053" s="17" t="n">
        <v>1760</v>
      </c>
      <c r="W2053" s="1" t="n">
        <v>1760</v>
      </c>
      <c r="X2053" s="1" t="s">
        <v>2291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46244</v>
      </c>
      <c r="C2054" s="15" t="n">
        <v>46249</v>
      </c>
      <c r="D2054" s="1" t="n">
        <v>1625</v>
      </c>
      <c r="E2054" s="1" t="s">
        <v>211</v>
      </c>
      <c r="F2054" s="1" t="n">
        <v>24</v>
      </c>
      <c r="G2054" s="1" t="s">
        <v>32</v>
      </c>
      <c r="H2054" s="1" t="n">
        <v>2110405</v>
      </c>
      <c r="I2054" s="1" t="s">
        <v>83</v>
      </c>
      <c r="J2054" s="1" t="n">
        <v>1530094</v>
      </c>
      <c r="L2054" s="1" t="n">
        <v>15000</v>
      </c>
      <c r="M2054" s="1" t="s">
        <v>41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2412.8</v>
      </c>
      <c r="W2054" s="1" t="n">
        <v>2412.8</v>
      </c>
      <c r="X2054" s="1" t="s">
        <v>2292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46244</v>
      </c>
      <c r="C2055" s="15" t="n">
        <v>46249</v>
      </c>
      <c r="D2055" s="1" t="n">
        <v>1625</v>
      </c>
      <c r="E2055" s="1" t="s">
        <v>211</v>
      </c>
      <c r="F2055" s="1" t="n">
        <v>24</v>
      </c>
      <c r="G2055" s="1" t="s">
        <v>32</v>
      </c>
      <c r="H2055" s="1" t="n">
        <v>2110405</v>
      </c>
      <c r="I2055" s="1" t="s">
        <v>83</v>
      </c>
      <c r="J2055" s="1" t="n">
        <v>1530156</v>
      </c>
      <c r="L2055" s="1" t="n">
        <v>14992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4403.2</v>
      </c>
      <c r="W2055" s="1" t="n">
        <v>4403.2</v>
      </c>
      <c r="X2055" s="1" t="s">
        <v>2293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46249</v>
      </c>
      <c r="C2056" s="15" t="n">
        <v>46249</v>
      </c>
      <c r="D2056" s="1" t="n">
        <v>862</v>
      </c>
      <c r="E2056" s="1" t="s">
        <v>430</v>
      </c>
      <c r="F2056" s="1" t="n">
        <v>34</v>
      </c>
      <c r="G2056" s="1" t="s">
        <v>71</v>
      </c>
      <c r="H2056" s="1" t="n">
        <v>2110405</v>
      </c>
      <c r="I2056" s="1" t="s">
        <v>83</v>
      </c>
      <c r="J2056" s="1" t="n">
        <v>1552264</v>
      </c>
      <c r="L2056" s="1" t="n">
        <v>634699</v>
      </c>
      <c r="M2056" s="1" t="s">
        <v>41</v>
      </c>
      <c r="N2056" s="1" t="s">
        <v>42</v>
      </c>
      <c r="P2056" s="1" t="n">
        <v>101</v>
      </c>
      <c r="Q2056" s="1" t="s">
        <v>84</v>
      </c>
      <c r="R2056" s="1" t="s">
        <v>60</v>
      </c>
      <c r="S2056" s="1" t="n">
        <v>4210232</v>
      </c>
      <c r="T2056" s="1" t="s">
        <v>431</v>
      </c>
      <c r="U2056" s="17" t="n">
        <v>800</v>
      </c>
      <c r="W2056" s="1" t="n">
        <v>800</v>
      </c>
      <c r="X2056" s="1" t="s">
        <v>2294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46249</v>
      </c>
      <c r="C2057" s="15" t="n">
        <v>46249</v>
      </c>
      <c r="D2057" s="1" t="n">
        <v>10096</v>
      </c>
      <c r="E2057" s="1" t="s">
        <v>1496</v>
      </c>
      <c r="F2057" s="1" t="n">
        <v>13</v>
      </c>
      <c r="G2057" s="1" t="s">
        <v>98</v>
      </c>
      <c r="H2057" s="1" t="n">
        <v>2110101</v>
      </c>
      <c r="I2057" s="1" t="s">
        <v>33</v>
      </c>
      <c r="J2057" s="1" t="n">
        <v>1560879</v>
      </c>
      <c r="L2057" s="1" t="n">
        <v>173</v>
      </c>
      <c r="M2057" s="1" t="s">
        <v>41</v>
      </c>
      <c r="N2057" s="1" t="s">
        <v>35</v>
      </c>
      <c r="P2057" s="1" t="n">
        <v>104</v>
      </c>
      <c r="Q2057" s="1" t="s">
        <v>99</v>
      </c>
      <c r="R2057" s="1" t="s">
        <v>37</v>
      </c>
      <c r="S2057" s="1" t="n">
        <v>1130101</v>
      </c>
      <c r="T2057" s="1" t="s">
        <v>38</v>
      </c>
      <c r="U2057" s="17" t="n">
        <v>680</v>
      </c>
      <c r="W2057" s="1" t="n">
        <v>0</v>
      </c>
      <c r="X2057" s="1" t="s">
        <v>2295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46249</v>
      </c>
      <c r="C2058" s="15" t="n">
        <v>46249</v>
      </c>
      <c r="D2058" s="1" t="n">
        <v>978</v>
      </c>
      <c r="E2058" s="1" t="s">
        <v>97</v>
      </c>
      <c r="F2058" s="1" t="n">
        <v>13</v>
      </c>
      <c r="G2058" s="1" t="s">
        <v>98</v>
      </c>
      <c r="H2058" s="1" t="n">
        <v>2110101</v>
      </c>
      <c r="I2058" s="1" t="s">
        <v>33</v>
      </c>
      <c r="J2058" s="1" t="n">
        <v>1560886</v>
      </c>
      <c r="L2058" s="1" t="n">
        <v>487</v>
      </c>
      <c r="M2058" s="1" t="s">
        <v>41</v>
      </c>
      <c r="N2058" s="1" t="s">
        <v>35</v>
      </c>
      <c r="P2058" s="1" t="n">
        <v>104</v>
      </c>
      <c r="Q2058" s="1" t="s">
        <v>99</v>
      </c>
      <c r="R2058" s="1" t="s">
        <v>37</v>
      </c>
      <c r="S2058" s="1" t="n">
        <v>1130101</v>
      </c>
      <c r="T2058" s="1" t="s">
        <v>38</v>
      </c>
      <c r="U2058" s="17" t="n">
        <v>359.5</v>
      </c>
      <c r="W2058" s="1" t="n">
        <v>0</v>
      </c>
      <c r="X2058" s="1" t="s">
        <v>2296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46196</v>
      </c>
      <c r="C2059" s="15" t="n">
        <v>46250</v>
      </c>
      <c r="D2059" s="1" t="n">
        <v>1611</v>
      </c>
      <c r="E2059" s="1" t="s">
        <v>206</v>
      </c>
      <c r="F2059" s="1" t="n">
        <v>24</v>
      </c>
      <c r="G2059" s="1" t="s">
        <v>32</v>
      </c>
      <c r="H2059" s="1" t="n">
        <v>2110101</v>
      </c>
      <c r="I2059" s="1" t="s">
        <v>33</v>
      </c>
      <c r="J2059" s="1" t="n">
        <v>1294640</v>
      </c>
      <c r="L2059" s="1" t="n">
        <v>536311</v>
      </c>
      <c r="M2059" s="1" t="s">
        <v>128</v>
      </c>
      <c r="N2059" s="1" t="s">
        <v>42</v>
      </c>
      <c r="P2059" s="1" t="n">
        <v>103</v>
      </c>
      <c r="Q2059" s="1" t="s">
        <v>36</v>
      </c>
      <c r="R2059" s="1" t="s">
        <v>37</v>
      </c>
      <c r="S2059" s="1" t="n">
        <v>1130101</v>
      </c>
      <c r="T2059" s="1" t="s">
        <v>38</v>
      </c>
      <c r="U2059" s="17" t="n">
        <v>3224.65</v>
      </c>
      <c r="W2059" s="1" t="n">
        <v>3224.65</v>
      </c>
      <c r="X2059" s="1" t="s">
        <v>2297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46226</v>
      </c>
      <c r="C2060" s="15" t="n">
        <v>46250</v>
      </c>
      <c r="D2060" s="1" t="n">
        <v>10011</v>
      </c>
      <c r="E2060" s="1" t="s">
        <v>189</v>
      </c>
      <c r="F2060" s="1" t="n">
        <v>24</v>
      </c>
      <c r="G2060" s="1" t="s">
        <v>32</v>
      </c>
      <c r="H2060" s="1" t="n">
        <v>2110405</v>
      </c>
      <c r="I2060" s="1" t="s">
        <v>83</v>
      </c>
      <c r="J2060" s="1" t="n">
        <v>1440273</v>
      </c>
      <c r="L2060" s="1" t="n">
        <v>592643</v>
      </c>
      <c r="M2060" s="1" t="s">
        <v>41</v>
      </c>
      <c r="N2060" s="1" t="s">
        <v>42</v>
      </c>
      <c r="P2060" s="1" t="n">
        <v>104</v>
      </c>
      <c r="Q2060" s="1" t="s">
        <v>99</v>
      </c>
      <c r="R2060" s="1" t="s">
        <v>37</v>
      </c>
      <c r="S2060" s="1" t="n">
        <v>1130101</v>
      </c>
      <c r="T2060" s="1" t="s">
        <v>38</v>
      </c>
      <c r="U2060" s="17" t="n">
        <v>562.94</v>
      </c>
      <c r="W2060" s="1" t="n">
        <v>562.94</v>
      </c>
      <c r="X2060" s="1" t="s">
        <v>2298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46230</v>
      </c>
      <c r="C2061" s="15" t="n">
        <v>46251</v>
      </c>
      <c r="D2061" s="1" t="n">
        <v>1634</v>
      </c>
      <c r="E2061" s="1" t="s">
        <v>2299</v>
      </c>
      <c r="F2061" s="1" t="n">
        <v>24</v>
      </c>
      <c r="G2061" s="1" t="s">
        <v>32</v>
      </c>
      <c r="H2061" s="1" t="n">
        <v>2110405</v>
      </c>
      <c r="I2061" s="1" t="s">
        <v>83</v>
      </c>
      <c r="J2061" s="1" t="n">
        <v>1460028</v>
      </c>
      <c r="L2061" s="1" t="n">
        <v>329028</v>
      </c>
      <c r="M2061" s="1" t="s">
        <v>41</v>
      </c>
      <c r="N2061" s="1" t="s">
        <v>42</v>
      </c>
      <c r="P2061" s="1" t="n">
        <v>103</v>
      </c>
      <c r="Q2061" s="1" t="s">
        <v>36</v>
      </c>
      <c r="R2061" s="1" t="s">
        <v>37</v>
      </c>
      <c r="S2061" s="1" t="n">
        <v>1130101</v>
      </c>
      <c r="T2061" s="1" t="s">
        <v>38</v>
      </c>
      <c r="U2061" s="17" t="n">
        <v>810.35</v>
      </c>
      <c r="W2061" s="1" t="n">
        <v>810.35</v>
      </c>
      <c r="X2061" s="1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46216</v>
      </c>
      <c r="C2062" s="15" t="n">
        <v>46251</v>
      </c>
      <c r="D2062" s="1" t="n">
        <v>16</v>
      </c>
      <c r="E2062" s="1" t="s">
        <v>90</v>
      </c>
      <c r="F2062" s="1" t="n">
        <v>34</v>
      </c>
      <c r="G2062" s="1" t="s">
        <v>71</v>
      </c>
      <c r="H2062" s="1" t="n">
        <v>2110405</v>
      </c>
      <c r="I2062" s="1" t="s">
        <v>83</v>
      </c>
      <c r="J2062" s="1" t="n">
        <v>784488</v>
      </c>
      <c r="L2062" s="1" t="n">
        <v>338625</v>
      </c>
      <c r="M2062" s="1" t="s">
        <v>394</v>
      </c>
      <c r="N2062" s="1" t="s">
        <v>42</v>
      </c>
      <c r="P2062" s="1" t="n">
        <v>102</v>
      </c>
      <c r="Q2062" s="1" t="s">
        <v>107</v>
      </c>
      <c r="R2062" s="1" t="s">
        <v>91</v>
      </c>
      <c r="S2062" s="1" t="n">
        <v>4220199</v>
      </c>
      <c r="T2062" s="1" t="s">
        <v>92</v>
      </c>
      <c r="U2062" s="17" t="n">
        <v>8000</v>
      </c>
      <c r="W2062" s="1" t="n">
        <v>8000</v>
      </c>
      <c r="X2062" s="1" t="s">
        <v>505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46218</v>
      </c>
      <c r="C2063" s="15" t="n">
        <v>46251</v>
      </c>
      <c r="D2063" s="1" t="n">
        <v>10011</v>
      </c>
      <c r="E2063" s="1" t="s">
        <v>189</v>
      </c>
      <c r="F2063" s="1" t="n">
        <v>24</v>
      </c>
      <c r="G2063" s="1" t="s">
        <v>32</v>
      </c>
      <c r="H2063" s="1" t="n">
        <v>2110405</v>
      </c>
      <c r="I2063" s="1" t="s">
        <v>83</v>
      </c>
      <c r="J2063" s="1" t="n">
        <v>1401989</v>
      </c>
      <c r="L2063" s="1" t="n">
        <v>34663</v>
      </c>
      <c r="M2063" s="1" t="s">
        <v>34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2006</v>
      </c>
      <c r="W2063" s="1" t="n">
        <v>2006</v>
      </c>
      <c r="X2063" s="1" t="s">
        <v>2301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46224</v>
      </c>
      <c r="C2064" s="15" t="n">
        <v>46251</v>
      </c>
      <c r="D2064" s="1" t="n">
        <v>607</v>
      </c>
      <c r="E2064" s="1" t="s">
        <v>182</v>
      </c>
      <c r="F2064" s="1" t="n">
        <v>24</v>
      </c>
      <c r="G2064" s="1" t="s">
        <v>32</v>
      </c>
      <c r="H2064" s="1" t="n">
        <v>2110405</v>
      </c>
      <c r="I2064" s="1" t="s">
        <v>83</v>
      </c>
      <c r="J2064" s="1" t="n">
        <v>1429152</v>
      </c>
      <c r="L2064" s="1" t="n">
        <v>11134</v>
      </c>
      <c r="M2064" s="1" t="s">
        <v>41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911.85</v>
      </c>
      <c r="W2064" s="1" t="n">
        <v>911.85</v>
      </c>
      <c r="X2064" s="1" t="s">
        <v>2302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46224</v>
      </c>
      <c r="C2065" s="15" t="n">
        <v>46251</v>
      </c>
      <c r="D2065" s="1" t="n">
        <v>1740</v>
      </c>
      <c r="E2065" s="1" t="s">
        <v>258</v>
      </c>
      <c r="F2065" s="1" t="n">
        <v>24</v>
      </c>
      <c r="G2065" s="1" t="s">
        <v>32</v>
      </c>
      <c r="H2065" s="1" t="n">
        <v>2110405</v>
      </c>
      <c r="I2065" s="1" t="s">
        <v>83</v>
      </c>
      <c r="J2065" s="1" t="n">
        <v>1431693</v>
      </c>
      <c r="L2065" s="1" t="n">
        <v>1249231</v>
      </c>
      <c r="M2065" s="1" t="s">
        <v>128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2044.89</v>
      </c>
      <c r="W2065" s="1" t="n">
        <v>2044.89</v>
      </c>
      <c r="X2065" s="1" t="s">
        <v>2303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46232</v>
      </c>
      <c r="C2066" s="15" t="n">
        <v>46251</v>
      </c>
      <c r="D2066" s="1" t="n">
        <v>1810</v>
      </c>
      <c r="E2066" s="1" t="s">
        <v>242</v>
      </c>
      <c r="F2066" s="1" t="n">
        <v>24</v>
      </c>
      <c r="G2066" s="1" t="s">
        <v>32</v>
      </c>
      <c r="H2066" s="1" t="n">
        <v>2110405</v>
      </c>
      <c r="I2066" s="1" t="s">
        <v>83</v>
      </c>
      <c r="J2066" s="1" t="n">
        <v>1469179</v>
      </c>
      <c r="L2066" s="1" t="n">
        <v>85346</v>
      </c>
      <c r="M2066" s="1" t="s">
        <v>34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1164.5</v>
      </c>
      <c r="W2066" s="1" t="n">
        <v>1164.5</v>
      </c>
      <c r="X2066" s="1" t="s">
        <v>2304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46234</v>
      </c>
      <c r="C2067" s="15" t="n">
        <v>46251</v>
      </c>
      <c r="D2067" s="1" t="n">
        <v>1699</v>
      </c>
      <c r="E2067" s="1" t="s">
        <v>371</v>
      </c>
      <c r="F2067" s="1" t="n">
        <v>24</v>
      </c>
      <c r="G2067" s="1" t="s">
        <v>32</v>
      </c>
      <c r="H2067" s="1" t="n">
        <v>2110405</v>
      </c>
      <c r="I2067" s="1" t="s">
        <v>83</v>
      </c>
      <c r="J2067" s="1" t="n">
        <v>1478171</v>
      </c>
      <c r="L2067" s="1" t="n">
        <v>309642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1633.1</v>
      </c>
      <c r="W2067" s="1" t="n">
        <v>1633.1</v>
      </c>
      <c r="X2067" s="1" t="s">
        <v>2305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46237</v>
      </c>
      <c r="C2068" s="15" t="n">
        <v>46251</v>
      </c>
      <c r="D2068" s="1" t="n">
        <v>815</v>
      </c>
      <c r="E2068" s="1" t="s">
        <v>652</v>
      </c>
      <c r="F2068" s="1" t="n">
        <v>34</v>
      </c>
      <c r="G2068" s="1" t="s">
        <v>71</v>
      </c>
      <c r="H2068" s="1" t="n">
        <v>2110405</v>
      </c>
      <c r="I2068" s="1" t="s">
        <v>83</v>
      </c>
      <c r="J2068" s="1" t="n">
        <v>1493520</v>
      </c>
      <c r="L2068" s="1" t="n">
        <v>612910</v>
      </c>
      <c r="M2068" s="1" t="s">
        <v>41</v>
      </c>
      <c r="N2068" s="1" t="s">
        <v>42</v>
      </c>
      <c r="P2068" s="1" t="n">
        <v>101</v>
      </c>
      <c r="Q2068" s="1" t="s">
        <v>84</v>
      </c>
      <c r="R2068" s="1" t="s">
        <v>2306</v>
      </c>
      <c r="S2068" s="1" t="n">
        <v>2210202</v>
      </c>
      <c r="T2068" s="1" t="s">
        <v>2306</v>
      </c>
      <c r="U2068" s="17" t="n">
        <v>6000</v>
      </c>
      <c r="W2068" s="1" t="n">
        <v>6000</v>
      </c>
      <c r="X2068" s="1" t="s">
        <v>653</v>
      </c>
      <c r="Z2068" s="1" t="str">
        <f aca="false">IF($T2068="","",IFERROR(INDEX('Resumo Grupos'!$AC$3:$AC$200,MATCH($T2068,'Resumo Grupos'!$AB$3:$AB$200,0)),"n/d"))</f>
        <v>Empréstimo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46237</v>
      </c>
      <c r="C2069" s="15" t="n">
        <v>46251</v>
      </c>
      <c r="D2069" s="1" t="n">
        <v>1699</v>
      </c>
      <c r="E2069" s="1" t="s">
        <v>371</v>
      </c>
      <c r="F2069" s="1" t="n">
        <v>24</v>
      </c>
      <c r="G2069" s="1" t="s">
        <v>32</v>
      </c>
      <c r="H2069" s="1" t="n">
        <v>2110405</v>
      </c>
      <c r="I2069" s="1" t="s">
        <v>83</v>
      </c>
      <c r="J2069" s="1" t="n">
        <v>1495640</v>
      </c>
      <c r="L2069" s="1" t="n">
        <v>309757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403.5</v>
      </c>
      <c r="W2069" s="1" t="n">
        <v>403.5</v>
      </c>
      <c r="X2069" s="1" t="s">
        <v>2307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46241</v>
      </c>
      <c r="C2070" s="15" t="n">
        <v>46251</v>
      </c>
      <c r="D2070" s="1" t="n">
        <v>513</v>
      </c>
      <c r="E2070" s="1" t="s">
        <v>597</v>
      </c>
      <c r="F2070" s="1" t="n">
        <v>24</v>
      </c>
      <c r="G2070" s="1" t="s">
        <v>32</v>
      </c>
      <c r="H2070" s="1" t="n">
        <v>2110405</v>
      </c>
      <c r="I2070" s="1" t="s">
        <v>83</v>
      </c>
      <c r="J2070" s="1" t="n">
        <v>1514449</v>
      </c>
      <c r="L2070" s="1" t="n">
        <v>620154</v>
      </c>
      <c r="M2070" s="1" t="s">
        <v>41</v>
      </c>
      <c r="N2070" s="1" t="s">
        <v>42</v>
      </c>
      <c r="P2070" s="1" t="n">
        <v>101</v>
      </c>
      <c r="Q2070" s="1" t="s">
        <v>84</v>
      </c>
      <c r="R2070" s="1" t="s">
        <v>60</v>
      </c>
      <c r="S2070" s="1" t="n">
        <v>4210206</v>
      </c>
      <c r="T2070" s="1" t="s">
        <v>232</v>
      </c>
      <c r="U2070" s="17" t="n">
        <v>28.09</v>
      </c>
      <c r="W2070" s="1" t="n">
        <v>28.09</v>
      </c>
      <c r="X2070" s="1" t="s">
        <v>2308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46242</v>
      </c>
      <c r="C2071" s="15" t="n">
        <v>46251</v>
      </c>
      <c r="D2071" s="1" t="n">
        <v>1621</v>
      </c>
      <c r="E2071" s="1" t="s">
        <v>311</v>
      </c>
      <c r="F2071" s="1" t="n">
        <v>24</v>
      </c>
      <c r="G2071" s="1" t="s">
        <v>32</v>
      </c>
      <c r="H2071" s="1" t="n">
        <v>2110405</v>
      </c>
      <c r="I2071" s="1" t="s">
        <v>83</v>
      </c>
      <c r="J2071" s="1" t="n">
        <v>1517510</v>
      </c>
      <c r="L2071" s="1" t="n">
        <v>942898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4870.45</v>
      </c>
      <c r="W2071" s="1" t="n">
        <v>4870.45</v>
      </c>
      <c r="X2071" s="1" t="s">
        <v>2309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46242</v>
      </c>
      <c r="C2072" s="15" t="n">
        <v>46251</v>
      </c>
      <c r="D2072" s="1" t="n">
        <v>1621</v>
      </c>
      <c r="E2072" s="1" t="s">
        <v>311</v>
      </c>
      <c r="F2072" s="1" t="n">
        <v>24</v>
      </c>
      <c r="G2072" s="1" t="s">
        <v>32</v>
      </c>
      <c r="H2072" s="1" t="n">
        <v>2110405</v>
      </c>
      <c r="I2072" s="1" t="s">
        <v>83</v>
      </c>
      <c r="J2072" s="1" t="n">
        <v>1517528</v>
      </c>
      <c r="L2072" s="1" t="n">
        <v>942899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424.55</v>
      </c>
      <c r="W2072" s="1" t="n">
        <v>424.55</v>
      </c>
      <c r="X2072" s="1" t="s">
        <v>2310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46244</v>
      </c>
      <c r="C2073" s="15" t="n">
        <v>46251</v>
      </c>
      <c r="D2073" s="1" t="n">
        <v>1614</v>
      </c>
      <c r="E2073" s="1" t="s">
        <v>66</v>
      </c>
      <c r="F2073" s="1" t="n">
        <v>24</v>
      </c>
      <c r="G2073" s="1" t="s">
        <v>32</v>
      </c>
      <c r="H2073" s="1" t="n">
        <v>2110405</v>
      </c>
      <c r="I2073" s="1" t="s">
        <v>83</v>
      </c>
      <c r="J2073" s="1" t="n">
        <v>1529852</v>
      </c>
      <c r="L2073" s="1" t="n">
        <v>11542</v>
      </c>
      <c r="M2073" s="1" t="s">
        <v>34</v>
      </c>
      <c r="N2073" s="1" t="s">
        <v>42</v>
      </c>
      <c r="P2073" s="1" t="n">
        <v>103</v>
      </c>
      <c r="Q2073" s="1" t="s">
        <v>36</v>
      </c>
      <c r="R2073" s="1" t="s">
        <v>37</v>
      </c>
      <c r="S2073" s="1" t="n">
        <v>1130101</v>
      </c>
      <c r="T2073" s="1" t="s">
        <v>38</v>
      </c>
      <c r="U2073" s="17" t="n">
        <v>472.45</v>
      </c>
      <c r="W2073" s="1" t="n">
        <v>472.45</v>
      </c>
      <c r="X2073" s="1" t="s">
        <v>2311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46244</v>
      </c>
      <c r="C2074" s="15" t="n">
        <v>46251</v>
      </c>
      <c r="D2074" s="1" t="n">
        <v>754</v>
      </c>
      <c r="E2074" s="1" t="s">
        <v>157</v>
      </c>
      <c r="F2074" s="1" t="n">
        <v>24</v>
      </c>
      <c r="G2074" s="1" t="s">
        <v>32</v>
      </c>
      <c r="H2074" s="1" t="n">
        <v>2110405</v>
      </c>
      <c r="I2074" s="1" t="s">
        <v>83</v>
      </c>
      <c r="J2074" s="1" t="n">
        <v>1530278</v>
      </c>
      <c r="L2074" s="1" t="n">
        <v>32360</v>
      </c>
      <c r="M2074" s="1" t="s">
        <v>41</v>
      </c>
      <c r="N2074" s="1" t="s">
        <v>42</v>
      </c>
      <c r="P2074" s="1" t="n">
        <v>103</v>
      </c>
      <c r="Q2074" s="1" t="s">
        <v>36</v>
      </c>
      <c r="R2074" s="1" t="s">
        <v>37</v>
      </c>
      <c r="S2074" s="1" t="n">
        <v>1130101</v>
      </c>
      <c r="T2074" s="1" t="s">
        <v>38</v>
      </c>
      <c r="U2074" s="17" t="n">
        <v>3325</v>
      </c>
      <c r="W2074" s="1" t="n">
        <v>3325</v>
      </c>
      <c r="X2074" s="1" t="s">
        <v>2312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46244</v>
      </c>
      <c r="C2075" s="15" t="n">
        <v>46251</v>
      </c>
      <c r="D2075" s="1" t="n">
        <v>1631</v>
      </c>
      <c r="E2075" s="1" t="s">
        <v>78</v>
      </c>
      <c r="F2075" s="1" t="n">
        <v>24</v>
      </c>
      <c r="G2075" s="1" t="s">
        <v>32</v>
      </c>
      <c r="H2075" s="1" t="n">
        <v>2110405</v>
      </c>
      <c r="I2075" s="1" t="s">
        <v>83</v>
      </c>
      <c r="J2075" s="1" t="n">
        <v>1530311</v>
      </c>
      <c r="L2075" s="1" t="n">
        <v>15235</v>
      </c>
      <c r="M2075" s="1" t="s">
        <v>41</v>
      </c>
      <c r="N2075" s="1" t="s">
        <v>42</v>
      </c>
      <c r="P2075" s="1" t="n">
        <v>103</v>
      </c>
      <c r="Q2075" s="1" t="s">
        <v>36</v>
      </c>
      <c r="R2075" s="1" t="s">
        <v>37</v>
      </c>
      <c r="S2075" s="1" t="n">
        <v>1130101</v>
      </c>
      <c r="T2075" s="1" t="s">
        <v>38</v>
      </c>
      <c r="U2075" s="17" t="n">
        <v>721.74</v>
      </c>
      <c r="W2075" s="1" t="n">
        <v>721.74</v>
      </c>
      <c r="X2075" s="1" t="s">
        <v>2313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46244</v>
      </c>
      <c r="C2076" s="15" t="n">
        <v>46251</v>
      </c>
      <c r="D2076" s="1" t="n">
        <v>1292</v>
      </c>
      <c r="E2076" s="1" t="s">
        <v>321</v>
      </c>
      <c r="F2076" s="1" t="n">
        <v>24</v>
      </c>
      <c r="G2076" s="1" t="s">
        <v>32</v>
      </c>
      <c r="H2076" s="1" t="n">
        <v>2110405</v>
      </c>
      <c r="I2076" s="1" t="s">
        <v>83</v>
      </c>
      <c r="J2076" s="1" t="n">
        <v>1530320</v>
      </c>
      <c r="L2076" s="1" t="n">
        <v>3798</v>
      </c>
      <c r="M2076" s="1" t="s">
        <v>41</v>
      </c>
      <c r="N2076" s="1" t="s">
        <v>42</v>
      </c>
      <c r="P2076" s="1" t="n">
        <v>103</v>
      </c>
      <c r="Q2076" s="1" t="s">
        <v>36</v>
      </c>
      <c r="R2076" s="1" t="s">
        <v>37</v>
      </c>
      <c r="S2076" s="1" t="n">
        <v>1130101</v>
      </c>
      <c r="T2076" s="1" t="s">
        <v>38</v>
      </c>
      <c r="U2076" s="17" t="n">
        <v>2313.5</v>
      </c>
      <c r="W2076" s="1" t="n">
        <v>2313.5</v>
      </c>
      <c r="X2076" s="1" t="s">
        <v>2314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46245</v>
      </c>
      <c r="C2077" s="15" t="n">
        <v>46251</v>
      </c>
      <c r="D2077" s="1" t="n">
        <v>1328</v>
      </c>
      <c r="E2077" s="1" t="s">
        <v>323</v>
      </c>
      <c r="F2077" s="1" t="n">
        <v>24</v>
      </c>
      <c r="G2077" s="1" t="s">
        <v>32</v>
      </c>
      <c r="H2077" s="1" t="n">
        <v>2110405</v>
      </c>
      <c r="I2077" s="1" t="s">
        <v>83</v>
      </c>
      <c r="J2077" s="1" t="n">
        <v>1533237</v>
      </c>
      <c r="L2077" s="1" t="n">
        <v>4335</v>
      </c>
      <c r="M2077" s="1" t="s">
        <v>41</v>
      </c>
      <c r="N2077" s="1" t="s">
        <v>42</v>
      </c>
      <c r="P2077" s="1" t="n">
        <v>103</v>
      </c>
      <c r="Q2077" s="1" t="s">
        <v>36</v>
      </c>
      <c r="R2077" s="1" t="s">
        <v>37</v>
      </c>
      <c r="S2077" s="1" t="n">
        <v>1130101</v>
      </c>
      <c r="T2077" s="1" t="s">
        <v>38</v>
      </c>
      <c r="U2077" s="17" t="n">
        <v>255</v>
      </c>
      <c r="W2077" s="1" t="n">
        <v>255</v>
      </c>
      <c r="X2077" s="1" t="s">
        <v>2315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46245</v>
      </c>
      <c r="C2078" s="15" t="n">
        <v>46251</v>
      </c>
      <c r="D2078" s="1" t="n">
        <v>1650</v>
      </c>
      <c r="E2078" s="1" t="s">
        <v>76</v>
      </c>
      <c r="F2078" s="1" t="n">
        <v>24</v>
      </c>
      <c r="G2078" s="1" t="s">
        <v>32</v>
      </c>
      <c r="H2078" s="1" t="n">
        <v>2110405</v>
      </c>
      <c r="I2078" s="1" t="s">
        <v>83</v>
      </c>
      <c r="J2078" s="1" t="n">
        <v>1533253</v>
      </c>
      <c r="L2078" s="1" t="n">
        <v>228288</v>
      </c>
      <c r="M2078" s="1" t="s">
        <v>41</v>
      </c>
      <c r="N2078" s="1" t="s">
        <v>42</v>
      </c>
      <c r="P2078" s="1" t="n">
        <v>103</v>
      </c>
      <c r="Q2078" s="1" t="s">
        <v>36</v>
      </c>
      <c r="R2078" s="1" t="s">
        <v>37</v>
      </c>
      <c r="S2078" s="1" t="n">
        <v>1130101</v>
      </c>
      <c r="T2078" s="1" t="s">
        <v>38</v>
      </c>
      <c r="U2078" s="17" t="n">
        <v>661.21</v>
      </c>
      <c r="W2078" s="1" t="n">
        <v>661.21</v>
      </c>
      <c r="X2078" s="1" t="s">
        <v>2316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46246</v>
      </c>
      <c r="C2079" s="15" t="n">
        <v>46251</v>
      </c>
      <c r="D2079" s="1" t="n">
        <v>1357</v>
      </c>
      <c r="E2079" s="1" t="s">
        <v>608</v>
      </c>
      <c r="F2079" s="1" t="n">
        <v>24</v>
      </c>
      <c r="G2079" s="1" t="s">
        <v>32</v>
      </c>
      <c r="H2079" s="1" t="n">
        <v>2110405</v>
      </c>
      <c r="I2079" s="1" t="s">
        <v>83</v>
      </c>
      <c r="J2079" s="1" t="n">
        <v>1537717</v>
      </c>
      <c r="L2079" s="1" t="n">
        <v>282949</v>
      </c>
      <c r="M2079" s="1" t="s">
        <v>41</v>
      </c>
      <c r="N2079" s="1" t="s">
        <v>42</v>
      </c>
      <c r="P2079" s="1" t="n">
        <v>103</v>
      </c>
      <c r="Q2079" s="1" t="s">
        <v>36</v>
      </c>
      <c r="R2079" s="1" t="s">
        <v>1805</v>
      </c>
      <c r="S2079" s="1" t="n">
        <v>4110102</v>
      </c>
      <c r="T2079" s="1" t="s">
        <v>2317</v>
      </c>
      <c r="U2079" s="17" t="n">
        <v>465.35</v>
      </c>
      <c r="W2079" s="1" t="n">
        <v>465.35</v>
      </c>
      <c r="X2079" s="1" t="s">
        <v>2318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46246</v>
      </c>
      <c r="C2080" s="15" t="n">
        <v>46251</v>
      </c>
      <c r="D2080" s="1" t="n">
        <v>1899</v>
      </c>
      <c r="E2080" s="1" t="s">
        <v>74</v>
      </c>
      <c r="F2080" s="1" t="n">
        <v>24</v>
      </c>
      <c r="G2080" s="1" t="s">
        <v>32</v>
      </c>
      <c r="H2080" s="1" t="n">
        <v>2110405</v>
      </c>
      <c r="I2080" s="1" t="s">
        <v>83</v>
      </c>
      <c r="J2080" s="1" t="n">
        <v>1537759</v>
      </c>
      <c r="L2080" s="1" t="n">
        <v>758</v>
      </c>
      <c r="M2080" s="1" t="s">
        <v>41</v>
      </c>
      <c r="N2080" s="1" t="s">
        <v>42</v>
      </c>
      <c r="P2080" s="1" t="n">
        <v>103</v>
      </c>
      <c r="Q2080" s="1" t="s">
        <v>36</v>
      </c>
      <c r="R2080" s="1" t="s">
        <v>37</v>
      </c>
      <c r="S2080" s="1" t="n">
        <v>1130101</v>
      </c>
      <c r="T2080" s="1" t="s">
        <v>38</v>
      </c>
      <c r="U2080" s="17" t="n">
        <v>452</v>
      </c>
      <c r="W2080" s="1" t="n">
        <v>452</v>
      </c>
      <c r="X2080" s="1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46248</v>
      </c>
      <c r="C2081" s="15" t="n">
        <v>46251</v>
      </c>
      <c r="D2081" s="1" t="n">
        <v>1899</v>
      </c>
      <c r="E2081" s="1" t="s">
        <v>74</v>
      </c>
      <c r="F2081" s="1" t="n">
        <v>24</v>
      </c>
      <c r="G2081" s="1" t="s">
        <v>32</v>
      </c>
      <c r="H2081" s="1" t="n">
        <v>2110405</v>
      </c>
      <c r="I2081" s="1" t="s">
        <v>83</v>
      </c>
      <c r="J2081" s="1" t="n">
        <v>1547106</v>
      </c>
      <c r="L2081" s="1" t="n">
        <v>759</v>
      </c>
      <c r="M2081" s="1" t="s">
        <v>41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840</v>
      </c>
      <c r="W2081" s="1" t="n">
        <v>840</v>
      </c>
      <c r="X2081" s="1" t="s">
        <v>2320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46251</v>
      </c>
      <c r="C2082" s="15" t="n">
        <v>46251</v>
      </c>
      <c r="D2082" s="1" t="n">
        <v>33</v>
      </c>
      <c r="E2082" s="1" t="s">
        <v>70</v>
      </c>
      <c r="F2082" s="1" t="n">
        <v>13</v>
      </c>
      <c r="G2082" s="1" t="s">
        <v>98</v>
      </c>
      <c r="H2082" s="1" t="n">
        <v>2110101</v>
      </c>
      <c r="I2082" s="1" t="s">
        <v>33</v>
      </c>
      <c r="J2082" s="1" t="n">
        <v>1560904</v>
      </c>
      <c r="L2082" s="1" t="n">
        <v>5498</v>
      </c>
      <c r="M2082" s="1" t="s">
        <v>41</v>
      </c>
      <c r="N2082" s="1" t="s">
        <v>35</v>
      </c>
      <c r="P2082" s="1" t="n">
        <v>104</v>
      </c>
      <c r="Q2082" s="1" t="s">
        <v>99</v>
      </c>
      <c r="R2082" s="1" t="s">
        <v>37</v>
      </c>
      <c r="S2082" s="1" t="n">
        <v>1130101</v>
      </c>
      <c r="T2082" s="1" t="s">
        <v>38</v>
      </c>
      <c r="U2082" s="17" t="n">
        <v>510</v>
      </c>
      <c r="W2082" s="1" t="n">
        <v>510</v>
      </c>
      <c r="X2082" s="1" t="s">
        <v>2321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46251</v>
      </c>
      <c r="C2083" s="15" t="n">
        <v>46251</v>
      </c>
      <c r="D2083" s="1" t="n">
        <v>514</v>
      </c>
      <c r="E2083" s="1" t="s">
        <v>643</v>
      </c>
      <c r="F2083" s="1" t="n">
        <v>34</v>
      </c>
      <c r="G2083" s="1" t="s">
        <v>71</v>
      </c>
      <c r="H2083" s="1" t="n">
        <v>2110405</v>
      </c>
      <c r="I2083" s="1" t="s">
        <v>83</v>
      </c>
      <c r="J2083" s="1" t="n">
        <v>1562164</v>
      </c>
      <c r="L2083" s="1" t="n">
        <v>638897</v>
      </c>
      <c r="M2083" s="1" t="s">
        <v>41</v>
      </c>
      <c r="N2083" s="1" t="s">
        <v>42</v>
      </c>
      <c r="P2083" s="1" t="n">
        <v>102</v>
      </c>
      <c r="Q2083" s="1" t="s">
        <v>107</v>
      </c>
      <c r="R2083" s="1" t="s">
        <v>60</v>
      </c>
      <c r="S2083" s="1" t="n">
        <v>4210210</v>
      </c>
      <c r="T2083" s="1" t="s">
        <v>644</v>
      </c>
      <c r="U2083" s="17" t="n">
        <v>709.67</v>
      </c>
      <c r="W2083" s="1" t="n">
        <v>0</v>
      </c>
      <c r="X2083" s="1" t="s">
        <v>2322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46251</v>
      </c>
      <c r="C2084" s="15" t="n">
        <v>46251</v>
      </c>
      <c r="D2084" s="1" t="n">
        <v>515</v>
      </c>
      <c r="E2084" s="1" t="s">
        <v>106</v>
      </c>
      <c r="F2084" s="1" t="n">
        <v>34</v>
      </c>
      <c r="G2084" s="1" t="s">
        <v>71</v>
      </c>
      <c r="H2084" s="1" t="n">
        <v>2110405</v>
      </c>
      <c r="I2084" s="1" t="s">
        <v>83</v>
      </c>
      <c r="J2084" s="1" t="n">
        <v>1562169</v>
      </c>
      <c r="L2084" s="1" t="n">
        <v>638899</v>
      </c>
      <c r="M2084" s="1" t="s">
        <v>41</v>
      </c>
      <c r="N2084" s="1" t="s">
        <v>42</v>
      </c>
      <c r="P2084" s="1" t="n">
        <v>102</v>
      </c>
      <c r="Q2084" s="1" t="s">
        <v>107</v>
      </c>
      <c r="R2084" s="1" t="s">
        <v>91</v>
      </c>
      <c r="S2084" s="1" t="n">
        <v>4220199</v>
      </c>
      <c r="T2084" s="1" t="s">
        <v>92</v>
      </c>
      <c r="U2084" s="17" t="n">
        <v>700</v>
      </c>
      <c r="W2084" s="1" t="n">
        <v>700</v>
      </c>
      <c r="X2084" s="1" t="s">
        <v>2323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46251</v>
      </c>
      <c r="C2085" s="15" t="n">
        <v>46251</v>
      </c>
      <c r="D2085" s="1" t="n">
        <v>17</v>
      </c>
      <c r="E2085" s="1" t="s">
        <v>94</v>
      </c>
      <c r="F2085" s="1" t="n">
        <v>34</v>
      </c>
      <c r="G2085" s="1" t="s">
        <v>71</v>
      </c>
      <c r="H2085" s="1" t="n">
        <v>2110405</v>
      </c>
      <c r="I2085" s="1" t="s">
        <v>83</v>
      </c>
      <c r="J2085" s="1" t="n">
        <v>1563284</v>
      </c>
      <c r="L2085" s="1" t="n">
        <v>639233</v>
      </c>
      <c r="M2085" s="1" t="s">
        <v>41</v>
      </c>
      <c r="N2085" s="1" t="s">
        <v>42</v>
      </c>
      <c r="P2085" s="1" t="n">
        <v>101</v>
      </c>
      <c r="Q2085" s="1" t="s">
        <v>84</v>
      </c>
      <c r="R2085" s="1" t="s">
        <v>91</v>
      </c>
      <c r="S2085" s="1" t="n">
        <v>4220199</v>
      </c>
      <c r="T2085" s="1" t="s">
        <v>92</v>
      </c>
      <c r="U2085" s="17" t="n">
        <v>10000</v>
      </c>
      <c r="W2085" s="1" t="n">
        <v>10000</v>
      </c>
      <c r="X2085" s="1" t="s">
        <v>2324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46251</v>
      </c>
      <c r="C2086" s="15" t="n">
        <v>46251</v>
      </c>
      <c r="D2086" s="1" t="n">
        <v>10104</v>
      </c>
      <c r="E2086" s="1" t="s">
        <v>2325</v>
      </c>
      <c r="F2086" s="1" t="n">
        <v>34</v>
      </c>
      <c r="G2086" s="1" t="s">
        <v>71</v>
      </c>
      <c r="H2086" s="1" t="n">
        <v>2110405</v>
      </c>
      <c r="I2086" s="1" t="s">
        <v>83</v>
      </c>
      <c r="J2086" s="1" t="n">
        <v>1563382</v>
      </c>
      <c r="L2086" s="1" t="n">
        <v>639271</v>
      </c>
      <c r="M2086" s="1" t="s">
        <v>41</v>
      </c>
      <c r="N2086" s="1" t="s">
        <v>42</v>
      </c>
      <c r="P2086" s="1" t="n">
        <v>101</v>
      </c>
      <c r="Q2086" s="1" t="s">
        <v>84</v>
      </c>
      <c r="R2086" s="1" t="s">
        <v>91</v>
      </c>
      <c r="S2086" s="1" t="n">
        <v>4220199</v>
      </c>
      <c r="T2086" s="1" t="s">
        <v>92</v>
      </c>
      <c r="U2086" s="17" t="n">
        <v>1000</v>
      </c>
      <c r="W2086" s="1" t="n">
        <v>1000</v>
      </c>
      <c r="X2086" s="1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46251</v>
      </c>
      <c r="C2087" s="15" t="n">
        <v>46251</v>
      </c>
      <c r="D2087" s="1" t="n">
        <v>1936</v>
      </c>
      <c r="E2087" s="1" t="s">
        <v>1075</v>
      </c>
      <c r="F2087" s="1" t="n">
        <v>24</v>
      </c>
      <c r="G2087" s="1" t="s">
        <v>32</v>
      </c>
      <c r="H2087" s="1" t="n">
        <v>2110405</v>
      </c>
      <c r="I2087" s="1" t="s">
        <v>83</v>
      </c>
      <c r="J2087" s="1" t="n">
        <v>1567434</v>
      </c>
      <c r="L2087" s="1" t="n">
        <v>640743</v>
      </c>
      <c r="M2087" s="1" t="s">
        <v>41</v>
      </c>
      <c r="N2087" s="1" t="s">
        <v>42</v>
      </c>
      <c r="P2087" s="1" t="n">
        <v>102</v>
      </c>
      <c r="Q2087" s="1" t="s">
        <v>107</v>
      </c>
      <c r="R2087" s="1" t="s">
        <v>37</v>
      </c>
      <c r="S2087" s="1" t="n">
        <v>1130101</v>
      </c>
      <c r="T2087" s="1" t="s">
        <v>38</v>
      </c>
      <c r="U2087" s="17" t="n">
        <v>1375.95</v>
      </c>
      <c r="W2087" s="1" t="n">
        <v>1375.95</v>
      </c>
      <c r="X2087" s="1" t="s">
        <v>2327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46251</v>
      </c>
      <c r="C2088" s="15" t="n">
        <v>46251</v>
      </c>
      <c r="D2088" s="1" t="n">
        <v>978</v>
      </c>
      <c r="E2088" s="1" t="s">
        <v>97</v>
      </c>
      <c r="F2088" s="1" t="n">
        <v>13</v>
      </c>
      <c r="G2088" s="1" t="s">
        <v>98</v>
      </c>
      <c r="H2088" s="1" t="n">
        <v>2110101</v>
      </c>
      <c r="I2088" s="1" t="s">
        <v>33</v>
      </c>
      <c r="J2088" s="1" t="n">
        <v>1573209</v>
      </c>
      <c r="L2088" s="1" t="n">
        <v>491</v>
      </c>
      <c r="M2088" s="1" t="s">
        <v>41</v>
      </c>
      <c r="N2088" s="1" t="s">
        <v>35</v>
      </c>
      <c r="P2088" s="1" t="n">
        <v>104</v>
      </c>
      <c r="Q2088" s="1" t="s">
        <v>99</v>
      </c>
      <c r="R2088" s="1" t="s">
        <v>37</v>
      </c>
      <c r="S2088" s="1" t="n">
        <v>1130101</v>
      </c>
      <c r="T2088" s="1" t="s">
        <v>38</v>
      </c>
      <c r="U2088" s="17" t="n">
        <v>324.5</v>
      </c>
      <c r="W2088" s="1" t="n">
        <v>0</v>
      </c>
      <c r="X2088" s="1" t="s">
        <v>2328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46251</v>
      </c>
      <c r="C2089" s="15" t="n">
        <v>46251</v>
      </c>
      <c r="D2089" s="1" t="n">
        <v>10096</v>
      </c>
      <c r="E2089" s="1" t="s">
        <v>1496</v>
      </c>
      <c r="F2089" s="1" t="n">
        <v>13</v>
      </c>
      <c r="G2089" s="1" t="s">
        <v>98</v>
      </c>
      <c r="H2089" s="1" t="n">
        <v>2110101</v>
      </c>
      <c r="I2089" s="1" t="s">
        <v>33</v>
      </c>
      <c r="J2089" s="1" t="n">
        <v>1573224</v>
      </c>
      <c r="L2089" s="1" t="n">
        <v>177</v>
      </c>
      <c r="M2089" s="1" t="s">
        <v>41</v>
      </c>
      <c r="N2089" s="1" t="s">
        <v>35</v>
      </c>
      <c r="P2089" s="1" t="n">
        <v>104</v>
      </c>
      <c r="Q2089" s="1" t="s">
        <v>99</v>
      </c>
      <c r="R2089" s="1" t="s">
        <v>37</v>
      </c>
      <c r="S2089" s="1" t="n">
        <v>1130101</v>
      </c>
      <c r="T2089" s="1" t="s">
        <v>38</v>
      </c>
      <c r="U2089" s="17" t="n">
        <v>240</v>
      </c>
      <c r="W2089" s="1" t="n">
        <v>0</v>
      </c>
      <c r="X2089" s="1" t="s">
        <v>2329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46191</v>
      </c>
      <c r="C2090" s="15" t="n">
        <v>46252</v>
      </c>
      <c r="D2090" s="1" t="n">
        <v>514</v>
      </c>
      <c r="E2090" s="1" t="s">
        <v>643</v>
      </c>
      <c r="F2090" s="1" t="n">
        <v>34</v>
      </c>
      <c r="G2090" s="1" t="s">
        <v>71</v>
      </c>
      <c r="H2090" s="1" t="n">
        <v>2110405</v>
      </c>
      <c r="I2090" s="1" t="s">
        <v>83</v>
      </c>
      <c r="J2090" s="1" t="n">
        <v>1309516</v>
      </c>
      <c r="L2090" s="1" t="n">
        <v>541968</v>
      </c>
      <c r="M2090" s="1" t="s">
        <v>128</v>
      </c>
      <c r="N2090" s="1" t="s">
        <v>42</v>
      </c>
      <c r="P2090" s="1" t="n">
        <v>101</v>
      </c>
      <c r="Q2090" s="1" t="s">
        <v>84</v>
      </c>
      <c r="R2090" s="1" t="s">
        <v>165</v>
      </c>
      <c r="S2090" s="1" t="n">
        <v>2110901</v>
      </c>
      <c r="T2090" s="1" t="s">
        <v>166</v>
      </c>
      <c r="U2090" s="17" t="n">
        <v>3370.37</v>
      </c>
      <c r="W2090" s="1" t="n">
        <v>3370.37</v>
      </c>
      <c r="X2090" s="1" t="s">
        <v>694</v>
      </c>
      <c r="Z2090" s="1" t="str">
        <f aca="false">IF($T2090="","",IFERROR(INDEX('Resumo Grupos'!$AC$3:$AC$200,MATCH($T2090,'Resumo Grupos'!$AB$3:$AB$200,0)),"n/d"))</f>
        <v>Empréstimo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46206</v>
      </c>
      <c r="C2091" s="15" t="n">
        <v>46252</v>
      </c>
      <c r="D2091" s="1" t="n">
        <v>804</v>
      </c>
      <c r="E2091" s="1" t="s">
        <v>1112</v>
      </c>
      <c r="F2091" s="1" t="n">
        <v>34</v>
      </c>
      <c r="G2091" s="1" t="s">
        <v>71</v>
      </c>
      <c r="H2091" s="1" t="n">
        <v>1110202</v>
      </c>
      <c r="I2091" s="1" t="s">
        <v>285</v>
      </c>
      <c r="J2091" s="1" t="n">
        <v>1345479</v>
      </c>
      <c r="L2091" s="1" t="n">
        <v>555726</v>
      </c>
      <c r="M2091" s="1" t="s">
        <v>34</v>
      </c>
      <c r="N2091" s="1" t="s">
        <v>42</v>
      </c>
      <c r="P2091" s="1" t="n">
        <v>101</v>
      </c>
      <c r="Q2091" s="1" t="s">
        <v>84</v>
      </c>
      <c r="R2091" s="1" t="s">
        <v>60</v>
      </c>
      <c r="S2091" s="1" t="n">
        <v>4210203</v>
      </c>
      <c r="T2091" s="1" t="s">
        <v>1114</v>
      </c>
      <c r="U2091" s="17" t="n">
        <v>764.43</v>
      </c>
      <c r="W2091" s="1" t="n">
        <v>0</v>
      </c>
      <c r="X2091" s="1" t="s">
        <v>1541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46206</v>
      </c>
      <c r="C2092" s="15" t="n">
        <v>46252</v>
      </c>
      <c r="D2092" s="1" t="n">
        <v>804</v>
      </c>
      <c r="E2092" s="1" t="s">
        <v>1112</v>
      </c>
      <c r="F2092" s="1" t="n">
        <v>34</v>
      </c>
      <c r="G2092" s="1" t="s">
        <v>71</v>
      </c>
      <c r="H2092" s="1" t="n">
        <v>1110202</v>
      </c>
      <c r="I2092" s="1" t="s">
        <v>285</v>
      </c>
      <c r="J2092" s="1" t="n">
        <v>1345494</v>
      </c>
      <c r="L2092" s="1" t="n">
        <v>555731</v>
      </c>
      <c r="M2092" s="1" t="s">
        <v>34</v>
      </c>
      <c r="N2092" s="1" t="s">
        <v>42</v>
      </c>
      <c r="P2092" s="1" t="n">
        <v>101</v>
      </c>
      <c r="Q2092" s="1" t="s">
        <v>84</v>
      </c>
      <c r="R2092" s="1" t="s">
        <v>91</v>
      </c>
      <c r="S2092" s="1" t="n">
        <v>4220199</v>
      </c>
      <c r="T2092" s="1" t="s">
        <v>92</v>
      </c>
      <c r="U2092" s="17" t="n">
        <v>1621</v>
      </c>
      <c r="W2092" s="1" t="n">
        <v>1621</v>
      </c>
      <c r="X2092" s="1" t="s">
        <v>1542</v>
      </c>
      <c r="Z2092" s="1" t="str">
        <f aca="false">IF($T2092="","",IFERROR(INDEX('Resumo Grupos'!$AC$3:$AC$200,MATCH($T2092,'Resumo Grupos'!$AB$3:$AB$200,0)),"n/d"))</f>
        <v>Pagamentos outros não operacionais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46216</v>
      </c>
      <c r="C2093" s="15" t="n">
        <v>46252</v>
      </c>
      <c r="D2093" s="1" t="n">
        <v>1624</v>
      </c>
      <c r="E2093" s="1" t="s">
        <v>244</v>
      </c>
      <c r="F2093" s="1" t="n">
        <v>24</v>
      </c>
      <c r="G2093" s="1" t="s">
        <v>32</v>
      </c>
      <c r="H2093" s="1" t="n">
        <v>2110405</v>
      </c>
      <c r="I2093" s="1" t="s">
        <v>83</v>
      </c>
      <c r="J2093" s="1" t="n">
        <v>1393007</v>
      </c>
      <c r="L2093" s="1" t="n">
        <v>662479</v>
      </c>
      <c r="M2093" s="1" t="s">
        <v>128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823.62</v>
      </c>
      <c r="W2093" s="1" t="n">
        <v>823.62</v>
      </c>
      <c r="X2093" s="1" t="s">
        <v>2330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46219</v>
      </c>
      <c r="C2094" s="15" t="n">
        <v>46252</v>
      </c>
      <c r="D2094" s="1" t="n">
        <v>1637</v>
      </c>
      <c r="E2094" s="1" t="s">
        <v>44</v>
      </c>
      <c r="F2094" s="1" t="n">
        <v>24</v>
      </c>
      <c r="G2094" s="1" t="s">
        <v>32</v>
      </c>
      <c r="H2094" s="1" t="n">
        <v>1110202</v>
      </c>
      <c r="I2094" s="1" t="s">
        <v>285</v>
      </c>
      <c r="J2094" s="1" t="n">
        <v>1406521</v>
      </c>
      <c r="L2094" s="1" t="n">
        <v>1905836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479.64</v>
      </c>
      <c r="W2094" s="1" t="n">
        <v>479.64</v>
      </c>
      <c r="X2094" s="1" t="s">
        <v>2331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46223</v>
      </c>
      <c r="C2095" s="15" t="n">
        <v>46252</v>
      </c>
      <c r="D2095" s="1" t="n">
        <v>1671</v>
      </c>
      <c r="E2095" s="1" t="s">
        <v>340</v>
      </c>
      <c r="F2095" s="1" t="n">
        <v>24</v>
      </c>
      <c r="G2095" s="1" t="s">
        <v>32</v>
      </c>
      <c r="H2095" s="1" t="n">
        <v>2110405</v>
      </c>
      <c r="I2095" s="1" t="s">
        <v>83</v>
      </c>
      <c r="J2095" s="1" t="n">
        <v>1424628</v>
      </c>
      <c r="L2095" s="1" t="n">
        <v>581015</v>
      </c>
      <c r="M2095" s="1" t="s">
        <v>34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614.72</v>
      </c>
      <c r="W2095" s="1" t="n">
        <v>614.72</v>
      </c>
      <c r="X2095" s="1" t="s">
        <v>2332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46225</v>
      </c>
      <c r="C2096" s="15" t="n">
        <v>46252</v>
      </c>
      <c r="D2096" s="1" t="n">
        <v>1671</v>
      </c>
      <c r="E2096" s="1" t="s">
        <v>340</v>
      </c>
      <c r="F2096" s="1" t="n">
        <v>24</v>
      </c>
      <c r="G2096" s="1" t="s">
        <v>32</v>
      </c>
      <c r="H2096" s="1" t="n">
        <v>2110405</v>
      </c>
      <c r="I2096" s="1" t="s">
        <v>83</v>
      </c>
      <c r="J2096" s="1" t="n">
        <v>1433691</v>
      </c>
      <c r="L2096" s="1" t="n">
        <v>581016</v>
      </c>
      <c r="M2096" s="1" t="s">
        <v>34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623.07</v>
      </c>
      <c r="W2096" s="1" t="n">
        <v>623.07</v>
      </c>
      <c r="X2096" s="1" t="s">
        <v>2333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46226</v>
      </c>
      <c r="C2097" s="15" t="n">
        <v>46252</v>
      </c>
      <c r="D2097" s="1" t="n">
        <v>1078</v>
      </c>
      <c r="E2097" s="1" t="s">
        <v>57</v>
      </c>
      <c r="F2097" s="1" t="n">
        <v>24</v>
      </c>
      <c r="G2097" s="1" t="s">
        <v>32</v>
      </c>
      <c r="H2097" s="1" t="n">
        <v>1110202</v>
      </c>
      <c r="I2097" s="1" t="s">
        <v>285</v>
      </c>
      <c r="J2097" s="1" t="n">
        <v>1439355</v>
      </c>
      <c r="L2097" s="1" t="n">
        <v>29536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425.94</v>
      </c>
      <c r="W2097" s="1" t="n">
        <v>425.94</v>
      </c>
      <c r="X2097" s="1" t="s">
        <v>2334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46226</v>
      </c>
      <c r="C2098" s="15" t="n">
        <v>46252</v>
      </c>
      <c r="D2098" s="1" t="n">
        <v>1608</v>
      </c>
      <c r="E2098" s="1" t="s">
        <v>51</v>
      </c>
      <c r="F2098" s="1" t="n">
        <v>24</v>
      </c>
      <c r="G2098" s="1" t="s">
        <v>32</v>
      </c>
      <c r="H2098" s="1" t="n">
        <v>1110202</v>
      </c>
      <c r="I2098" s="1" t="s">
        <v>285</v>
      </c>
      <c r="J2098" s="1" t="n">
        <v>1439646</v>
      </c>
      <c r="L2098" s="1" t="n">
        <v>592474</v>
      </c>
      <c r="M2098" s="1" t="s">
        <v>41</v>
      </c>
      <c r="N2098" s="1" t="s">
        <v>42</v>
      </c>
      <c r="P2098" s="1" t="n">
        <v>104</v>
      </c>
      <c r="Q2098" s="1" t="s">
        <v>99</v>
      </c>
      <c r="R2098" s="1" t="s">
        <v>37</v>
      </c>
      <c r="S2098" s="1" t="n">
        <v>1130101</v>
      </c>
      <c r="T2098" s="1" t="s">
        <v>38</v>
      </c>
      <c r="U2098" s="17" t="n">
        <v>1610.06</v>
      </c>
      <c r="W2098" s="1" t="n">
        <v>1610.06</v>
      </c>
      <c r="X2098" s="1" t="s">
        <v>2335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46226</v>
      </c>
      <c r="C2099" s="15" t="n">
        <v>46252</v>
      </c>
      <c r="D2099" s="1" t="n">
        <v>1668</v>
      </c>
      <c r="E2099" s="1" t="s">
        <v>57</v>
      </c>
      <c r="F2099" s="1" t="n">
        <v>24</v>
      </c>
      <c r="G2099" s="1" t="s">
        <v>32</v>
      </c>
      <c r="H2099" s="1" t="n">
        <v>1110202</v>
      </c>
      <c r="I2099" s="1" t="s">
        <v>285</v>
      </c>
      <c r="J2099" s="1" t="n">
        <v>1440125</v>
      </c>
      <c r="L2099" s="1" t="n">
        <v>740923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1437.93</v>
      </c>
      <c r="W2099" s="1" t="n">
        <v>1437.93</v>
      </c>
      <c r="X2099" s="1" t="s">
        <v>2336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46232</v>
      </c>
      <c r="C2100" s="15" t="n">
        <v>46252</v>
      </c>
      <c r="D2100" s="1" t="n">
        <v>1636</v>
      </c>
      <c r="E2100" s="1" t="s">
        <v>68</v>
      </c>
      <c r="F2100" s="1" t="n">
        <v>24</v>
      </c>
      <c r="G2100" s="1" t="s">
        <v>32</v>
      </c>
      <c r="H2100" s="1" t="n">
        <v>1110202</v>
      </c>
      <c r="I2100" s="1" t="s">
        <v>285</v>
      </c>
      <c r="J2100" s="1" t="n">
        <v>1469726</v>
      </c>
      <c r="L2100" s="1" t="n">
        <v>3226195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1399.98</v>
      </c>
      <c r="W2100" s="1" t="n">
        <v>1399.98</v>
      </c>
      <c r="X2100" s="1" t="s">
        <v>2337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46232</v>
      </c>
      <c r="C2101" s="15" t="n">
        <v>46252</v>
      </c>
      <c r="D2101" s="1" t="n">
        <v>1402</v>
      </c>
      <c r="E2101" s="1" t="s">
        <v>628</v>
      </c>
      <c r="F2101" s="1" t="n">
        <v>24</v>
      </c>
      <c r="G2101" s="1" t="s">
        <v>32</v>
      </c>
      <c r="H2101" s="1" t="n">
        <v>1110202</v>
      </c>
      <c r="I2101" s="1" t="s">
        <v>285</v>
      </c>
      <c r="J2101" s="1" t="n">
        <v>1470133</v>
      </c>
      <c r="L2101" s="1" t="n">
        <v>4014</v>
      </c>
      <c r="M2101" s="1" t="s">
        <v>41</v>
      </c>
      <c r="N2101" s="1" t="s">
        <v>42</v>
      </c>
      <c r="P2101" s="1" t="n">
        <v>103</v>
      </c>
      <c r="Q2101" s="1" t="s">
        <v>36</v>
      </c>
      <c r="R2101" s="1" t="s">
        <v>60</v>
      </c>
      <c r="S2101" s="1" t="n">
        <v>4210299</v>
      </c>
      <c r="T2101" s="1" t="s">
        <v>1946</v>
      </c>
      <c r="U2101" s="17" t="n">
        <v>1178.62</v>
      </c>
      <c r="W2101" s="1" t="n">
        <v>1178.62</v>
      </c>
      <c r="X2101" s="1" t="s">
        <v>2338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46237</v>
      </c>
      <c r="C2102" s="15" t="n">
        <v>46252</v>
      </c>
      <c r="D2102" s="1" t="n">
        <v>1705</v>
      </c>
      <c r="E2102" s="1" t="s">
        <v>148</v>
      </c>
      <c r="F2102" s="1" t="n">
        <v>24</v>
      </c>
      <c r="G2102" s="1" t="s">
        <v>32</v>
      </c>
      <c r="H2102" s="1" t="n">
        <v>1110202</v>
      </c>
      <c r="I2102" s="1" t="s">
        <v>285</v>
      </c>
      <c r="J2102" s="1" t="n">
        <v>1495590</v>
      </c>
      <c r="L2102" s="1" t="n">
        <v>1966628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4547.54</v>
      </c>
      <c r="W2102" s="1" t="n">
        <v>4547.54</v>
      </c>
      <c r="X2102" s="1" t="s">
        <v>2339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46237</v>
      </c>
      <c r="C2103" s="15" t="n">
        <v>46252</v>
      </c>
      <c r="D2103" s="1" t="n">
        <v>1705</v>
      </c>
      <c r="E2103" s="1" t="s">
        <v>148</v>
      </c>
      <c r="F2103" s="1" t="n">
        <v>24</v>
      </c>
      <c r="G2103" s="1" t="s">
        <v>32</v>
      </c>
      <c r="H2103" s="1" t="n">
        <v>1110202</v>
      </c>
      <c r="I2103" s="1" t="s">
        <v>285</v>
      </c>
      <c r="J2103" s="1" t="n">
        <v>1495603</v>
      </c>
      <c r="L2103" s="1" t="n">
        <v>1230481</v>
      </c>
      <c r="M2103" s="1" t="s">
        <v>41</v>
      </c>
      <c r="N2103" s="1" t="s">
        <v>42</v>
      </c>
      <c r="P2103" s="1" t="n">
        <v>103</v>
      </c>
      <c r="Q2103" s="1" t="s">
        <v>36</v>
      </c>
      <c r="R2103" s="1" t="s">
        <v>37</v>
      </c>
      <c r="S2103" s="1" t="n">
        <v>1130101</v>
      </c>
      <c r="T2103" s="1" t="s">
        <v>38</v>
      </c>
      <c r="U2103" s="17" t="n">
        <v>1763.36</v>
      </c>
      <c r="W2103" s="1" t="n">
        <v>1763.36</v>
      </c>
      <c r="X2103" s="1" t="s">
        <v>2340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46238</v>
      </c>
      <c r="C2104" s="15" t="n">
        <v>46252</v>
      </c>
      <c r="D2104" s="1" t="n">
        <v>1740</v>
      </c>
      <c r="E2104" s="1" t="s">
        <v>258</v>
      </c>
      <c r="F2104" s="1" t="n">
        <v>24</v>
      </c>
      <c r="G2104" s="1" t="s">
        <v>32</v>
      </c>
      <c r="H2104" s="1" t="n">
        <v>1110202</v>
      </c>
      <c r="I2104" s="1" t="s">
        <v>285</v>
      </c>
      <c r="J2104" s="1" t="n">
        <v>1500861</v>
      </c>
      <c r="L2104" s="1" t="n">
        <v>1254539</v>
      </c>
      <c r="M2104" s="1" t="s">
        <v>41</v>
      </c>
      <c r="N2104" s="1" t="s">
        <v>42</v>
      </c>
      <c r="P2104" s="1" t="n">
        <v>103</v>
      </c>
      <c r="Q2104" s="1" t="s">
        <v>36</v>
      </c>
      <c r="R2104" s="1" t="s">
        <v>37</v>
      </c>
      <c r="S2104" s="1" t="n">
        <v>1130101</v>
      </c>
      <c r="T2104" s="1" t="s">
        <v>38</v>
      </c>
      <c r="U2104" s="17" t="n">
        <v>1343.02</v>
      </c>
      <c r="W2104" s="1" t="n">
        <v>1343.02</v>
      </c>
      <c r="X2104" s="1" t="s">
        <v>2341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46238</v>
      </c>
      <c r="C2105" s="15" t="n">
        <v>46252</v>
      </c>
      <c r="D2105" s="1" t="n">
        <v>1114</v>
      </c>
      <c r="E2105" s="1" t="s">
        <v>144</v>
      </c>
      <c r="F2105" s="1" t="n">
        <v>24</v>
      </c>
      <c r="G2105" s="1" t="s">
        <v>32</v>
      </c>
      <c r="H2105" s="1" t="n">
        <v>1110202</v>
      </c>
      <c r="I2105" s="1" t="s">
        <v>285</v>
      </c>
      <c r="J2105" s="1" t="n">
        <v>1500914</v>
      </c>
      <c r="L2105" s="1" t="n">
        <v>42976</v>
      </c>
      <c r="M2105" s="1" t="s">
        <v>41</v>
      </c>
      <c r="N2105" s="1" t="s">
        <v>42</v>
      </c>
      <c r="P2105" s="1" t="n">
        <v>103</v>
      </c>
      <c r="Q2105" s="1" t="s">
        <v>36</v>
      </c>
      <c r="R2105" s="1" t="s">
        <v>37</v>
      </c>
      <c r="S2105" s="1" t="n">
        <v>1130101</v>
      </c>
      <c r="T2105" s="1" t="s">
        <v>38</v>
      </c>
      <c r="U2105" s="17" t="n">
        <v>3136.93</v>
      </c>
      <c r="W2105" s="1" t="n">
        <v>3136.93</v>
      </c>
      <c r="X2105" s="1" t="s">
        <v>2342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46242</v>
      </c>
      <c r="C2106" s="15" t="n">
        <v>46252</v>
      </c>
      <c r="D2106" s="1" t="n">
        <v>1621</v>
      </c>
      <c r="E2106" s="1" t="s">
        <v>311</v>
      </c>
      <c r="F2106" s="1" t="n">
        <v>24</v>
      </c>
      <c r="G2106" s="1" t="s">
        <v>32</v>
      </c>
      <c r="H2106" s="1" t="n">
        <v>2110405</v>
      </c>
      <c r="I2106" s="1" t="s">
        <v>83</v>
      </c>
      <c r="J2106" s="1" t="n">
        <v>1518657</v>
      </c>
      <c r="L2106" s="1" t="n">
        <v>946596</v>
      </c>
      <c r="M2106" s="1" t="s">
        <v>41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523.94</v>
      </c>
      <c r="W2106" s="1" t="n">
        <v>523.94</v>
      </c>
      <c r="X2106" s="1" t="s">
        <v>2343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46242</v>
      </c>
      <c r="C2107" s="15" t="n">
        <v>46252</v>
      </c>
      <c r="D2107" s="1" t="n">
        <v>1621</v>
      </c>
      <c r="E2107" s="1" t="s">
        <v>311</v>
      </c>
      <c r="F2107" s="1" t="n">
        <v>24</v>
      </c>
      <c r="G2107" s="1" t="s">
        <v>32</v>
      </c>
      <c r="H2107" s="1" t="n">
        <v>2110405</v>
      </c>
      <c r="I2107" s="1" t="s">
        <v>83</v>
      </c>
      <c r="J2107" s="1" t="n">
        <v>1518686</v>
      </c>
      <c r="L2107" s="1" t="n">
        <v>946595</v>
      </c>
      <c r="M2107" s="1" t="s">
        <v>41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599.4</v>
      </c>
      <c r="W2107" s="1" t="n">
        <v>599.4</v>
      </c>
      <c r="X2107" s="1" t="s">
        <v>2344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46245</v>
      </c>
      <c r="C2108" s="15" t="n">
        <v>46252</v>
      </c>
      <c r="D2108" s="1" t="n">
        <v>1642</v>
      </c>
      <c r="E2108" s="1" t="s">
        <v>159</v>
      </c>
      <c r="F2108" s="1" t="n">
        <v>24</v>
      </c>
      <c r="G2108" s="1" t="s">
        <v>32</v>
      </c>
      <c r="H2108" s="1" t="n">
        <v>2110405</v>
      </c>
      <c r="I2108" s="1" t="s">
        <v>83</v>
      </c>
      <c r="J2108" s="1" t="n">
        <v>1533264</v>
      </c>
      <c r="L2108" s="1" t="n">
        <v>1036253</v>
      </c>
      <c r="M2108" s="1" t="s">
        <v>41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524.6</v>
      </c>
      <c r="W2108" s="1" t="n">
        <v>524.6</v>
      </c>
      <c r="X2108" s="1" t="s">
        <v>2345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46246</v>
      </c>
      <c r="C2109" s="15" t="n">
        <v>46252</v>
      </c>
      <c r="D2109" s="1" t="n">
        <v>1286</v>
      </c>
      <c r="E2109" s="1" t="s">
        <v>319</v>
      </c>
      <c r="F2109" s="1" t="n">
        <v>24</v>
      </c>
      <c r="G2109" s="1" t="s">
        <v>32</v>
      </c>
      <c r="H2109" s="1" t="n">
        <v>2110405</v>
      </c>
      <c r="I2109" s="1" t="s">
        <v>83</v>
      </c>
      <c r="J2109" s="1" t="n">
        <v>1537726</v>
      </c>
      <c r="L2109" s="1" t="n">
        <v>10524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972</v>
      </c>
      <c r="W2109" s="1" t="n">
        <v>972</v>
      </c>
      <c r="X2109" s="1" t="s">
        <v>2346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46247</v>
      </c>
      <c r="C2110" s="15" t="n">
        <v>46252</v>
      </c>
      <c r="D2110" s="1" t="n">
        <v>218</v>
      </c>
      <c r="E2110" s="1" t="s">
        <v>1763</v>
      </c>
      <c r="F2110" s="1" t="n">
        <v>34</v>
      </c>
      <c r="G2110" s="1" t="s">
        <v>71</v>
      </c>
      <c r="H2110" s="1" t="n">
        <v>2110405</v>
      </c>
      <c r="I2110" s="1" t="s">
        <v>83</v>
      </c>
      <c r="J2110" s="1" t="n">
        <v>1459638</v>
      </c>
      <c r="L2110" s="1" t="n">
        <v>600419</v>
      </c>
      <c r="M2110" s="1" t="s">
        <v>34</v>
      </c>
      <c r="N2110" s="1" t="s">
        <v>42</v>
      </c>
      <c r="P2110" s="1" t="n">
        <v>101</v>
      </c>
      <c r="Q2110" s="1" t="s">
        <v>84</v>
      </c>
      <c r="R2110" s="1" t="s">
        <v>85</v>
      </c>
      <c r="S2110" s="1" t="n">
        <v>4210301</v>
      </c>
      <c r="T2110" s="1" t="s">
        <v>295</v>
      </c>
      <c r="U2110" s="17" t="n">
        <v>1774.05</v>
      </c>
      <c r="W2110" s="1" t="n">
        <v>1774.05</v>
      </c>
      <c r="X2110" s="1" t="s">
        <v>2347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46249</v>
      </c>
      <c r="C2111" s="15" t="n">
        <v>46252</v>
      </c>
      <c r="D2111" s="1" t="n">
        <v>642</v>
      </c>
      <c r="E2111" s="1" t="s">
        <v>161</v>
      </c>
      <c r="F2111" s="1" t="n">
        <v>24</v>
      </c>
      <c r="G2111" s="1" t="s">
        <v>32</v>
      </c>
      <c r="H2111" s="1" t="n">
        <v>2110405</v>
      </c>
      <c r="I2111" s="1" t="s">
        <v>83</v>
      </c>
      <c r="J2111" s="1" t="n">
        <v>1551698</v>
      </c>
      <c r="L2111" s="1" t="n">
        <v>599</v>
      </c>
      <c r="M2111" s="1" t="s">
        <v>41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648</v>
      </c>
      <c r="W2111" s="1" t="n">
        <v>648</v>
      </c>
      <c r="X2111" s="1" t="s">
        <v>2348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46252</v>
      </c>
      <c r="C2112" s="15" t="n">
        <v>46252</v>
      </c>
      <c r="D2112" s="1" t="n">
        <v>33</v>
      </c>
      <c r="E2112" s="1" t="s">
        <v>70</v>
      </c>
      <c r="F2112" s="1" t="n">
        <v>34</v>
      </c>
      <c r="G2112" s="1" t="s">
        <v>71</v>
      </c>
      <c r="H2112" s="1" t="n">
        <v>2110101</v>
      </c>
      <c r="I2112" s="1" t="s">
        <v>33</v>
      </c>
      <c r="J2112" s="1" t="n">
        <v>1566459</v>
      </c>
      <c r="L2112" s="1" t="n">
        <v>5505</v>
      </c>
      <c r="M2112" s="1" t="s">
        <v>41</v>
      </c>
      <c r="N2112" s="1" t="s">
        <v>35</v>
      </c>
      <c r="P2112" s="1" t="n">
        <v>104</v>
      </c>
      <c r="Q2112" s="1" t="s">
        <v>99</v>
      </c>
      <c r="R2112" s="1" t="s">
        <v>37</v>
      </c>
      <c r="S2112" s="1" t="n">
        <v>1130101</v>
      </c>
      <c r="T2112" s="1" t="s">
        <v>38</v>
      </c>
      <c r="U2112" s="17" t="n">
        <v>1175</v>
      </c>
      <c r="W2112" s="1" t="n">
        <v>1175</v>
      </c>
      <c r="X2112" s="1" t="s">
        <v>2349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46252</v>
      </c>
      <c r="C2113" s="15" t="n">
        <v>46252</v>
      </c>
      <c r="D2113" s="1" t="n">
        <v>33</v>
      </c>
      <c r="E2113" s="1" t="s">
        <v>70</v>
      </c>
      <c r="F2113" s="1" t="n">
        <v>34</v>
      </c>
      <c r="G2113" s="1" t="s">
        <v>71</v>
      </c>
      <c r="H2113" s="1" t="n">
        <v>2110101</v>
      </c>
      <c r="I2113" s="1" t="s">
        <v>33</v>
      </c>
      <c r="J2113" s="1" t="n">
        <v>1567398</v>
      </c>
      <c r="L2113" s="1" t="n">
        <v>5514</v>
      </c>
      <c r="M2113" s="1" t="s">
        <v>41</v>
      </c>
      <c r="N2113" s="1" t="s">
        <v>35</v>
      </c>
      <c r="P2113" s="1" t="n">
        <v>104</v>
      </c>
      <c r="Q2113" s="1" t="s">
        <v>99</v>
      </c>
      <c r="R2113" s="1" t="s">
        <v>37</v>
      </c>
      <c r="S2113" s="1" t="n">
        <v>1130101</v>
      </c>
      <c r="T2113" s="1" t="s">
        <v>38</v>
      </c>
      <c r="U2113" s="17" t="n">
        <v>3283</v>
      </c>
      <c r="W2113" s="1" t="n">
        <v>3283</v>
      </c>
      <c r="X2113" s="1" t="s">
        <v>172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46252</v>
      </c>
      <c r="C2114" s="15" t="n">
        <v>46252</v>
      </c>
      <c r="D2114" s="1" t="n">
        <v>33</v>
      </c>
      <c r="E2114" s="1" t="s">
        <v>70</v>
      </c>
      <c r="F2114" s="1" t="n">
        <v>13</v>
      </c>
      <c r="G2114" s="1" t="s">
        <v>98</v>
      </c>
      <c r="H2114" s="1" t="n">
        <v>2110101</v>
      </c>
      <c r="I2114" s="1" t="s">
        <v>33</v>
      </c>
      <c r="J2114" s="1" t="n">
        <v>1567876</v>
      </c>
      <c r="L2114" s="1" t="n">
        <v>5516</v>
      </c>
      <c r="M2114" s="1" t="s">
        <v>41</v>
      </c>
      <c r="N2114" s="1" t="s">
        <v>35</v>
      </c>
      <c r="P2114" s="1" t="n">
        <v>104</v>
      </c>
      <c r="Q2114" s="1" t="s">
        <v>99</v>
      </c>
      <c r="R2114" s="1" t="s">
        <v>37</v>
      </c>
      <c r="S2114" s="1" t="n">
        <v>1130101</v>
      </c>
      <c r="T2114" s="1" t="s">
        <v>38</v>
      </c>
      <c r="U2114" s="17" t="n">
        <v>375</v>
      </c>
      <c r="W2114" s="1" t="n">
        <v>375</v>
      </c>
      <c r="X2114" s="1" t="s">
        <v>2350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46252</v>
      </c>
      <c r="C2115" s="15" t="n">
        <v>46252</v>
      </c>
      <c r="D2115" s="1" t="n">
        <v>1757</v>
      </c>
      <c r="E2115" s="1" t="s">
        <v>811</v>
      </c>
      <c r="F2115" s="1" t="n">
        <v>34</v>
      </c>
      <c r="G2115" s="1" t="s">
        <v>71</v>
      </c>
      <c r="H2115" s="1" t="n">
        <v>2110405</v>
      </c>
      <c r="I2115" s="1" t="s">
        <v>83</v>
      </c>
      <c r="J2115" s="1" t="n">
        <v>1571098</v>
      </c>
      <c r="L2115" s="1" t="n">
        <v>642188</v>
      </c>
      <c r="M2115" s="1" t="s">
        <v>41</v>
      </c>
      <c r="N2115" s="1" t="s">
        <v>42</v>
      </c>
      <c r="P2115" s="1" t="n">
        <v>101</v>
      </c>
      <c r="Q2115" s="1" t="s">
        <v>84</v>
      </c>
      <c r="R2115" s="1" t="s">
        <v>60</v>
      </c>
      <c r="S2115" s="1" t="n">
        <v>4210223</v>
      </c>
      <c r="T2115" s="1" t="s">
        <v>116</v>
      </c>
      <c r="U2115" s="17" t="n">
        <v>615</v>
      </c>
      <c r="W2115" s="1" t="n">
        <v>615</v>
      </c>
      <c r="X2115" s="1" t="s">
        <v>2351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46253</v>
      </c>
      <c r="C2116" s="15" t="n">
        <v>46252</v>
      </c>
      <c r="D2116" s="1" t="n">
        <v>1391</v>
      </c>
      <c r="E2116" s="1" t="s">
        <v>388</v>
      </c>
      <c r="F2116" s="1" t="n">
        <v>13</v>
      </c>
      <c r="G2116" s="1" t="s">
        <v>98</v>
      </c>
      <c r="H2116" s="1" t="n">
        <v>2110101</v>
      </c>
      <c r="I2116" s="1" t="s">
        <v>33</v>
      </c>
      <c r="J2116" s="1" t="n">
        <v>1573302</v>
      </c>
      <c r="L2116" s="1" t="n">
        <v>416</v>
      </c>
      <c r="M2116" s="1" t="s">
        <v>41</v>
      </c>
      <c r="N2116" s="1" t="s">
        <v>35</v>
      </c>
      <c r="P2116" s="1" t="n">
        <v>104</v>
      </c>
      <c r="Q2116" s="1" t="s">
        <v>99</v>
      </c>
      <c r="R2116" s="1" t="s">
        <v>37</v>
      </c>
      <c r="S2116" s="1" t="n">
        <v>1130101</v>
      </c>
      <c r="T2116" s="1" t="s">
        <v>38</v>
      </c>
      <c r="U2116" s="17" t="n">
        <v>464</v>
      </c>
      <c r="W2116" s="1" t="n">
        <v>0</v>
      </c>
      <c r="X2116" s="1" t="s">
        <v>2352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46225</v>
      </c>
      <c r="C2117" s="15" t="n">
        <v>46253</v>
      </c>
      <c r="D2117" s="1" t="n">
        <v>1659</v>
      </c>
      <c r="E2117" s="1" t="s">
        <v>54</v>
      </c>
      <c r="F2117" s="1" t="n">
        <v>24</v>
      </c>
      <c r="G2117" s="1" t="s">
        <v>32</v>
      </c>
      <c r="H2117" s="1" t="n">
        <v>2110405</v>
      </c>
      <c r="I2117" s="1" t="s">
        <v>83</v>
      </c>
      <c r="J2117" s="1" t="n">
        <v>1435386</v>
      </c>
      <c r="L2117" s="1" t="n">
        <v>886068</v>
      </c>
      <c r="M2117" s="1" t="s">
        <v>128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1420.58</v>
      </c>
      <c r="W2117" s="1" t="n">
        <v>1420.58</v>
      </c>
      <c r="X2117" s="1" t="s">
        <v>2353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46226</v>
      </c>
      <c r="C2118" s="15" t="n">
        <v>46253</v>
      </c>
      <c r="D2118" s="1" t="n">
        <v>1671</v>
      </c>
      <c r="E2118" s="1" t="s">
        <v>340</v>
      </c>
      <c r="F2118" s="1" t="n">
        <v>24</v>
      </c>
      <c r="G2118" s="1" t="s">
        <v>32</v>
      </c>
      <c r="H2118" s="1" t="n">
        <v>2110405</v>
      </c>
      <c r="I2118" s="1" t="s">
        <v>83</v>
      </c>
      <c r="J2118" s="1" t="n">
        <v>1439103</v>
      </c>
      <c r="L2118" s="1" t="n">
        <v>592343</v>
      </c>
      <c r="M2118" s="1" t="s">
        <v>128</v>
      </c>
      <c r="N2118" s="1" t="s">
        <v>42</v>
      </c>
      <c r="P2118" s="1" t="n">
        <v>104</v>
      </c>
      <c r="Q2118" s="1" t="s">
        <v>99</v>
      </c>
      <c r="R2118" s="1" t="s">
        <v>37</v>
      </c>
      <c r="S2118" s="1" t="n">
        <v>1130101</v>
      </c>
      <c r="T2118" s="1" t="s">
        <v>38</v>
      </c>
      <c r="U2118" s="17" t="n">
        <v>1473.38</v>
      </c>
      <c r="W2118" s="1" t="n">
        <v>1473.38</v>
      </c>
      <c r="X2118" s="1" t="s">
        <v>2178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46253</v>
      </c>
      <c r="D2119" s="1" t="n">
        <v>1921</v>
      </c>
      <c r="E2119" s="1" t="s">
        <v>238</v>
      </c>
      <c r="F2119" s="1" t="n">
        <v>24</v>
      </c>
      <c r="G2119" s="1" t="s">
        <v>32</v>
      </c>
      <c r="H2119" s="1" t="n">
        <v>2110405</v>
      </c>
      <c r="I2119" s="1" t="s">
        <v>83</v>
      </c>
      <c r="J2119" s="1" t="n">
        <v>1439220</v>
      </c>
      <c r="L2119" s="1" t="n">
        <v>592373</v>
      </c>
      <c r="M2119" s="1" t="s">
        <v>41</v>
      </c>
      <c r="N2119" s="1" t="s">
        <v>42</v>
      </c>
      <c r="P2119" s="1" t="n">
        <v>104</v>
      </c>
      <c r="Q2119" s="1" t="s">
        <v>99</v>
      </c>
      <c r="R2119" s="1" t="s">
        <v>37</v>
      </c>
      <c r="S2119" s="1" t="n">
        <v>1130101</v>
      </c>
      <c r="T2119" s="1" t="s">
        <v>38</v>
      </c>
      <c r="U2119" s="17" t="n">
        <v>2021.39</v>
      </c>
      <c r="W2119" s="1" t="n">
        <v>2021.39</v>
      </c>
      <c r="X2119" s="1" t="s">
        <v>2354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46253</v>
      </c>
      <c r="D2120" s="1" t="n">
        <v>1659</v>
      </c>
      <c r="E2120" s="1" t="s">
        <v>54</v>
      </c>
      <c r="F2120" s="1" t="n">
        <v>24</v>
      </c>
      <c r="G2120" s="1" t="s">
        <v>32</v>
      </c>
      <c r="H2120" s="1" t="n">
        <v>2110405</v>
      </c>
      <c r="I2120" s="1" t="s">
        <v>83</v>
      </c>
      <c r="J2120" s="1" t="n">
        <v>1439267</v>
      </c>
      <c r="L2120" s="1" t="n">
        <v>592384</v>
      </c>
      <c r="M2120" s="1" t="s">
        <v>41</v>
      </c>
      <c r="N2120" s="1" t="s">
        <v>42</v>
      </c>
      <c r="P2120" s="1" t="n">
        <v>104</v>
      </c>
      <c r="Q2120" s="1" t="s">
        <v>99</v>
      </c>
      <c r="R2120" s="1" t="s">
        <v>37</v>
      </c>
      <c r="S2120" s="1" t="n">
        <v>1130101</v>
      </c>
      <c r="T2120" s="1" t="s">
        <v>38</v>
      </c>
      <c r="U2120" s="17" t="n">
        <v>1039.32</v>
      </c>
      <c r="W2120" s="1" t="n">
        <v>1039.32</v>
      </c>
      <c r="X2120" s="1" t="s">
        <v>2355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46253</v>
      </c>
      <c r="D2121" s="1" t="n">
        <v>1608</v>
      </c>
      <c r="E2121" s="1" t="s">
        <v>51</v>
      </c>
      <c r="F2121" s="1" t="n">
        <v>24</v>
      </c>
      <c r="G2121" s="1" t="s">
        <v>32</v>
      </c>
      <c r="H2121" s="1" t="n">
        <v>2110405</v>
      </c>
      <c r="I2121" s="1" t="s">
        <v>83</v>
      </c>
      <c r="J2121" s="1" t="n">
        <v>1439448</v>
      </c>
      <c r="L2121" s="1" t="n">
        <v>592413</v>
      </c>
      <c r="M2121" s="1" t="s">
        <v>128</v>
      </c>
      <c r="N2121" s="1" t="s">
        <v>42</v>
      </c>
      <c r="P2121" s="1" t="n">
        <v>104</v>
      </c>
      <c r="Q2121" s="1" t="s">
        <v>99</v>
      </c>
      <c r="R2121" s="1" t="s">
        <v>37</v>
      </c>
      <c r="S2121" s="1" t="n">
        <v>1130101</v>
      </c>
      <c r="T2121" s="1" t="s">
        <v>38</v>
      </c>
      <c r="U2121" s="17" t="n">
        <v>1790.11</v>
      </c>
      <c r="W2121" s="1" t="n">
        <v>1790.11</v>
      </c>
      <c r="X2121" s="1" t="s">
        <v>1982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46253</v>
      </c>
      <c r="D2122" s="1" t="n">
        <v>1745</v>
      </c>
      <c r="E2122" s="1" t="s">
        <v>246</v>
      </c>
      <c r="F2122" s="1" t="n">
        <v>24</v>
      </c>
      <c r="G2122" s="1" t="s">
        <v>32</v>
      </c>
      <c r="H2122" s="1" t="n">
        <v>2110405</v>
      </c>
      <c r="I2122" s="1" t="s">
        <v>83</v>
      </c>
      <c r="J2122" s="1" t="n">
        <v>1440158</v>
      </c>
      <c r="L2122" s="1" t="n">
        <v>353326</v>
      </c>
      <c r="M2122" s="1" t="s">
        <v>128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2063.47</v>
      </c>
      <c r="W2122" s="1" t="n">
        <v>2063.47</v>
      </c>
      <c r="X2122" s="1" t="s">
        <v>2356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46227</v>
      </c>
      <c r="C2123" s="15" t="n">
        <v>46253</v>
      </c>
      <c r="D2123" s="1" t="n">
        <v>1624</v>
      </c>
      <c r="E2123" s="1" t="s">
        <v>244</v>
      </c>
      <c r="F2123" s="1" t="n">
        <v>24</v>
      </c>
      <c r="G2123" s="1" t="s">
        <v>32</v>
      </c>
      <c r="H2123" s="1" t="n">
        <v>2110405</v>
      </c>
      <c r="I2123" s="1" t="s">
        <v>83</v>
      </c>
      <c r="J2123" s="1" t="n">
        <v>1443647</v>
      </c>
      <c r="L2123" s="1" t="n">
        <v>665164</v>
      </c>
      <c r="M2123" s="1" t="s">
        <v>34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853.9</v>
      </c>
      <c r="W2123" s="1" t="n">
        <v>853.9</v>
      </c>
      <c r="X2123" s="1" t="s">
        <v>2357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46228</v>
      </c>
      <c r="C2124" s="15" t="n">
        <v>46253</v>
      </c>
      <c r="D2124" s="1" t="n">
        <v>1636</v>
      </c>
      <c r="E2124" s="1" t="s">
        <v>68</v>
      </c>
      <c r="F2124" s="1" t="n">
        <v>24</v>
      </c>
      <c r="G2124" s="1" t="s">
        <v>32</v>
      </c>
      <c r="H2124" s="1" t="n">
        <v>2110405</v>
      </c>
      <c r="I2124" s="1" t="s">
        <v>83</v>
      </c>
      <c r="J2124" s="1" t="n">
        <v>1449938</v>
      </c>
      <c r="L2124" s="1" t="n">
        <v>3223292</v>
      </c>
      <c r="M2124" s="1" t="s">
        <v>34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1643.31</v>
      </c>
      <c r="W2124" s="1" t="n">
        <v>1643.31</v>
      </c>
      <c r="X2124" s="1" t="s">
        <v>2358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46235</v>
      </c>
      <c r="C2125" s="15" t="n">
        <v>46253</v>
      </c>
      <c r="D2125" s="1" t="n">
        <v>1613</v>
      </c>
      <c r="E2125" s="1" t="s">
        <v>208</v>
      </c>
      <c r="F2125" s="1" t="n">
        <v>24</v>
      </c>
      <c r="G2125" s="1" t="s">
        <v>32</v>
      </c>
      <c r="H2125" s="1" t="n">
        <v>2110405</v>
      </c>
      <c r="I2125" s="1" t="s">
        <v>83</v>
      </c>
      <c r="J2125" s="1" t="n">
        <v>1482290</v>
      </c>
      <c r="L2125" s="1" t="n">
        <v>1614419</v>
      </c>
      <c r="M2125" s="1" t="s">
        <v>34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1798.15</v>
      </c>
      <c r="W2125" s="1" t="n">
        <v>1798.15</v>
      </c>
      <c r="X2125" s="1" t="s">
        <v>2359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46239</v>
      </c>
      <c r="C2126" s="15" t="n">
        <v>46253</v>
      </c>
      <c r="D2126" s="1" t="n">
        <v>1643</v>
      </c>
      <c r="E2126" s="1" t="s">
        <v>1064</v>
      </c>
      <c r="F2126" s="1" t="n">
        <v>24</v>
      </c>
      <c r="G2126" s="1" t="s">
        <v>32</v>
      </c>
      <c r="H2126" s="1" t="n">
        <v>2110405</v>
      </c>
      <c r="I2126" s="1" t="s">
        <v>83</v>
      </c>
      <c r="J2126" s="1" t="n">
        <v>1503722</v>
      </c>
      <c r="L2126" s="1" t="n">
        <v>10800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228</v>
      </c>
      <c r="W2126" s="1" t="n">
        <v>228</v>
      </c>
      <c r="X2126" s="1" t="s">
        <v>2360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46240</v>
      </c>
      <c r="C2127" s="15" t="n">
        <v>46253</v>
      </c>
      <c r="D2127" s="1" t="n">
        <v>1670</v>
      </c>
      <c r="E2127" s="1" t="s">
        <v>661</v>
      </c>
      <c r="F2127" s="1" t="n">
        <v>24</v>
      </c>
      <c r="G2127" s="1" t="s">
        <v>32</v>
      </c>
      <c r="H2127" s="1" t="n">
        <v>2110405</v>
      </c>
      <c r="I2127" s="1" t="s">
        <v>83</v>
      </c>
      <c r="J2127" s="1" t="n">
        <v>1508591</v>
      </c>
      <c r="L2127" s="1" t="n">
        <v>271909</v>
      </c>
      <c r="M2127" s="1" t="s">
        <v>41</v>
      </c>
      <c r="N2127" s="1" t="s">
        <v>42</v>
      </c>
      <c r="P2127" s="1" t="n">
        <v>103</v>
      </c>
      <c r="Q2127" s="1" t="s">
        <v>36</v>
      </c>
      <c r="R2127" s="1" t="s">
        <v>37</v>
      </c>
      <c r="S2127" s="1" t="n">
        <v>1130101</v>
      </c>
      <c r="T2127" s="1" t="s">
        <v>38</v>
      </c>
      <c r="U2127" s="17" t="n">
        <v>758</v>
      </c>
      <c r="W2127" s="1" t="n">
        <v>758</v>
      </c>
      <c r="X2127" s="1" t="s">
        <v>2361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46241</v>
      </c>
      <c r="C2128" s="15" t="n">
        <v>46253</v>
      </c>
      <c r="D2128" s="1" t="n">
        <v>1613</v>
      </c>
      <c r="E2128" s="1" t="s">
        <v>208</v>
      </c>
      <c r="F2128" s="1" t="n">
        <v>24</v>
      </c>
      <c r="G2128" s="1" t="s">
        <v>32</v>
      </c>
      <c r="H2128" s="1" t="n">
        <v>2110405</v>
      </c>
      <c r="I2128" s="1" t="s">
        <v>83</v>
      </c>
      <c r="J2128" s="1" t="n">
        <v>1515520</v>
      </c>
      <c r="L2128" s="1" t="n">
        <v>1616799</v>
      </c>
      <c r="M2128" s="1" t="s">
        <v>41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3101.67</v>
      </c>
      <c r="W2128" s="1" t="n">
        <v>3101.67</v>
      </c>
      <c r="X2128" s="1" t="s">
        <v>2362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46241</v>
      </c>
      <c r="C2129" s="15" t="n">
        <v>46253</v>
      </c>
      <c r="D2129" s="1" t="n">
        <v>1613</v>
      </c>
      <c r="E2129" s="1" t="s">
        <v>208</v>
      </c>
      <c r="F2129" s="1" t="n">
        <v>24</v>
      </c>
      <c r="G2129" s="1" t="s">
        <v>32</v>
      </c>
      <c r="H2129" s="1" t="n">
        <v>2110405</v>
      </c>
      <c r="I2129" s="1" t="s">
        <v>83</v>
      </c>
      <c r="J2129" s="1" t="n">
        <v>1515617</v>
      </c>
      <c r="L2129" s="1" t="n">
        <v>1616568</v>
      </c>
      <c r="M2129" s="1" t="s">
        <v>41</v>
      </c>
      <c r="N2129" s="1" t="s">
        <v>42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634.73</v>
      </c>
      <c r="W2129" s="1" t="n">
        <v>634.73</v>
      </c>
      <c r="X2129" s="1" t="s">
        <v>2363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46248</v>
      </c>
      <c r="C2130" s="15" t="n">
        <v>46253</v>
      </c>
      <c r="D2130" s="1" t="n">
        <v>10018</v>
      </c>
      <c r="E2130" s="1" t="s">
        <v>328</v>
      </c>
      <c r="F2130" s="1" t="n">
        <v>34</v>
      </c>
      <c r="G2130" s="1" t="s">
        <v>71</v>
      </c>
      <c r="H2130" s="1" t="n">
        <v>2110405</v>
      </c>
      <c r="I2130" s="1" t="s">
        <v>83</v>
      </c>
      <c r="J2130" s="1" t="n">
        <v>1547026</v>
      </c>
      <c r="L2130" s="1" t="n">
        <v>359</v>
      </c>
      <c r="M2130" s="1" t="s">
        <v>41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899.5</v>
      </c>
      <c r="W2130" s="1" t="n">
        <v>899.5</v>
      </c>
      <c r="X2130" s="1" t="s">
        <v>2364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46252</v>
      </c>
      <c r="C2131" s="15" t="n">
        <v>46253</v>
      </c>
      <c r="D2131" s="1" t="n">
        <v>1363</v>
      </c>
      <c r="E2131" s="1" t="s">
        <v>155</v>
      </c>
      <c r="F2131" s="1" t="n">
        <v>24</v>
      </c>
      <c r="G2131" s="1" t="s">
        <v>32</v>
      </c>
      <c r="H2131" s="1" t="n">
        <v>2110405</v>
      </c>
      <c r="I2131" s="1" t="s">
        <v>83</v>
      </c>
      <c r="J2131" s="1" t="n">
        <v>1566839</v>
      </c>
      <c r="L2131" s="1" t="n">
        <v>3722</v>
      </c>
      <c r="M2131" s="1" t="s">
        <v>41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266</v>
      </c>
      <c r="W2131" s="1" t="n">
        <v>266</v>
      </c>
      <c r="X2131" s="1" t="s">
        <v>2365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46252</v>
      </c>
      <c r="C2132" s="15" t="n">
        <v>46253</v>
      </c>
      <c r="D2132" s="1" t="n">
        <v>33</v>
      </c>
      <c r="E2132" s="1" t="s">
        <v>70</v>
      </c>
      <c r="F2132" s="1" t="n">
        <v>34</v>
      </c>
      <c r="G2132" s="1" t="s">
        <v>71</v>
      </c>
      <c r="H2132" s="1" t="n">
        <v>2110101</v>
      </c>
      <c r="I2132" s="1" t="s">
        <v>33</v>
      </c>
      <c r="J2132" s="1" t="n">
        <v>1567624</v>
      </c>
      <c r="L2132" s="1" t="n">
        <v>5515</v>
      </c>
      <c r="M2132" s="1" t="s">
        <v>41</v>
      </c>
      <c r="N2132" s="1" t="s">
        <v>35</v>
      </c>
      <c r="P2132" s="1" t="n">
        <v>104</v>
      </c>
      <c r="Q2132" s="1" t="s">
        <v>99</v>
      </c>
      <c r="R2132" s="1" t="s">
        <v>37</v>
      </c>
      <c r="S2132" s="1" t="n">
        <v>1130101</v>
      </c>
      <c r="T2132" s="1" t="s">
        <v>38</v>
      </c>
      <c r="U2132" s="17" t="n">
        <v>1259</v>
      </c>
      <c r="W2132" s="1" t="n">
        <v>1259</v>
      </c>
      <c r="X2132" s="1" t="s">
        <v>220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46252</v>
      </c>
      <c r="C2133" s="15" t="n">
        <v>46253</v>
      </c>
      <c r="D2133" s="1" t="n">
        <v>1615</v>
      </c>
      <c r="E2133" s="1" t="s">
        <v>221</v>
      </c>
      <c r="F2133" s="1" t="n">
        <v>34</v>
      </c>
      <c r="G2133" s="1" t="s">
        <v>71</v>
      </c>
      <c r="H2133" s="1" t="n">
        <v>2110101</v>
      </c>
      <c r="I2133" s="1" t="s">
        <v>33</v>
      </c>
      <c r="J2133" s="1" t="n">
        <v>1567671</v>
      </c>
      <c r="L2133" s="1" t="n">
        <v>15133</v>
      </c>
      <c r="M2133" s="1" t="s">
        <v>41</v>
      </c>
      <c r="N2133" s="1" t="s">
        <v>35</v>
      </c>
      <c r="P2133" s="1" t="n">
        <v>104</v>
      </c>
      <c r="Q2133" s="1" t="s">
        <v>99</v>
      </c>
      <c r="R2133" s="1" t="s">
        <v>37</v>
      </c>
      <c r="S2133" s="1" t="n">
        <v>1130101</v>
      </c>
      <c r="T2133" s="1" t="s">
        <v>38</v>
      </c>
      <c r="U2133" s="17" t="n">
        <v>750</v>
      </c>
      <c r="W2133" s="1" t="n">
        <v>750</v>
      </c>
      <c r="X2133" s="1" t="s">
        <v>2366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46253</v>
      </c>
      <c r="C2134" s="15" t="n">
        <v>46253</v>
      </c>
      <c r="D2134" s="1" t="n">
        <v>578</v>
      </c>
      <c r="E2134" s="1" t="s">
        <v>647</v>
      </c>
      <c r="F2134" s="1" t="n">
        <v>24</v>
      </c>
      <c r="G2134" s="1" t="s">
        <v>32</v>
      </c>
      <c r="H2134" s="1" t="n">
        <v>2110405</v>
      </c>
      <c r="I2134" s="1" t="s">
        <v>83</v>
      </c>
      <c r="J2134" s="1" t="n">
        <v>1572830</v>
      </c>
      <c r="L2134" s="1" t="n">
        <v>642685</v>
      </c>
      <c r="M2134" s="1" t="s">
        <v>41</v>
      </c>
      <c r="N2134" s="1" t="s">
        <v>42</v>
      </c>
      <c r="P2134" s="1" t="n">
        <v>101</v>
      </c>
      <c r="Q2134" s="1" t="s">
        <v>84</v>
      </c>
      <c r="R2134" s="1" t="s">
        <v>225</v>
      </c>
      <c r="S2134" s="1" t="n">
        <v>1140101</v>
      </c>
      <c r="T2134" s="1" t="s">
        <v>650</v>
      </c>
      <c r="U2134" s="17" t="n">
        <v>169.69</v>
      </c>
      <c r="W2134" s="1" t="n">
        <v>0</v>
      </c>
      <c r="X2134" s="1" t="s">
        <v>2367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46253</v>
      </c>
      <c r="C2135" s="15" t="n">
        <v>46253</v>
      </c>
      <c r="D2135" s="1" t="n">
        <v>33</v>
      </c>
      <c r="E2135" s="1" t="s">
        <v>70</v>
      </c>
      <c r="F2135" s="1" t="n">
        <v>13</v>
      </c>
      <c r="G2135" s="1" t="s">
        <v>98</v>
      </c>
      <c r="H2135" s="1" t="n">
        <v>2110101</v>
      </c>
      <c r="I2135" s="1" t="s">
        <v>33</v>
      </c>
      <c r="J2135" s="1" t="n">
        <v>1572960</v>
      </c>
      <c r="L2135" s="1" t="n">
        <v>5518</v>
      </c>
      <c r="M2135" s="1" t="s">
        <v>41</v>
      </c>
      <c r="N2135" s="1" t="s">
        <v>35</v>
      </c>
      <c r="P2135" s="1" t="n">
        <v>104</v>
      </c>
      <c r="Q2135" s="1" t="s">
        <v>99</v>
      </c>
      <c r="R2135" s="1" t="s">
        <v>37</v>
      </c>
      <c r="S2135" s="1" t="n">
        <v>1130101</v>
      </c>
      <c r="T2135" s="1" t="s">
        <v>38</v>
      </c>
      <c r="U2135" s="17" t="n">
        <v>300</v>
      </c>
      <c r="W2135" s="1" t="n">
        <v>0</v>
      </c>
      <c r="X2135" s="1" t="s">
        <v>101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46253</v>
      </c>
      <c r="C2136" s="15" t="n">
        <v>46253</v>
      </c>
      <c r="D2136" s="1" t="n">
        <v>978</v>
      </c>
      <c r="E2136" s="1" t="s">
        <v>97</v>
      </c>
      <c r="F2136" s="1" t="n">
        <v>13</v>
      </c>
      <c r="G2136" s="1" t="s">
        <v>98</v>
      </c>
      <c r="H2136" s="1" t="n">
        <v>2110101</v>
      </c>
      <c r="I2136" s="1" t="s">
        <v>33</v>
      </c>
      <c r="J2136" s="1" t="n">
        <v>1573002</v>
      </c>
      <c r="L2136" s="1" t="n">
        <v>502</v>
      </c>
      <c r="M2136" s="1" t="s">
        <v>41</v>
      </c>
      <c r="N2136" s="1" t="s">
        <v>35</v>
      </c>
      <c r="P2136" s="1" t="n">
        <v>104</v>
      </c>
      <c r="Q2136" s="1" t="s">
        <v>99</v>
      </c>
      <c r="R2136" s="1" t="s">
        <v>37</v>
      </c>
      <c r="S2136" s="1" t="n">
        <v>1130101</v>
      </c>
      <c r="T2136" s="1" t="s">
        <v>38</v>
      </c>
      <c r="U2136" s="17" t="n">
        <v>359.5</v>
      </c>
      <c r="W2136" s="1" t="n">
        <v>0</v>
      </c>
      <c r="X2136" s="1" t="s">
        <v>2368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46253</v>
      </c>
      <c r="C2137" s="15" t="n">
        <v>46253</v>
      </c>
      <c r="D2137" s="1" t="n">
        <v>714</v>
      </c>
      <c r="E2137" s="1" t="s">
        <v>330</v>
      </c>
      <c r="F2137" s="1" t="n">
        <v>34</v>
      </c>
      <c r="G2137" s="1" t="s">
        <v>71</v>
      </c>
      <c r="H2137" s="1" t="n">
        <v>2110405</v>
      </c>
      <c r="I2137" s="1" t="s">
        <v>83</v>
      </c>
      <c r="J2137" s="1" t="n">
        <v>1576263</v>
      </c>
      <c r="L2137" s="1" t="n">
        <v>644021</v>
      </c>
      <c r="M2137" s="1" t="s">
        <v>41</v>
      </c>
      <c r="N2137" s="1" t="s">
        <v>42</v>
      </c>
      <c r="P2137" s="1" t="n">
        <v>101</v>
      </c>
      <c r="Q2137" s="1" t="s">
        <v>84</v>
      </c>
      <c r="R2137" s="1" t="s">
        <v>91</v>
      </c>
      <c r="S2137" s="1" t="n">
        <v>4220199</v>
      </c>
      <c r="T2137" s="1" t="s">
        <v>92</v>
      </c>
      <c r="U2137" s="17" t="n">
        <v>2000</v>
      </c>
      <c r="W2137" s="1" t="n">
        <v>2000</v>
      </c>
      <c r="X2137" s="1" t="s">
        <v>2369</v>
      </c>
      <c r="Z2137" s="1" t="str">
        <f aca="false">IF($T2137="","",IFERROR(INDEX('Resumo Grupos'!$AC$3:$AC$200,MATCH($T2137,'Resumo Grupos'!$AB$3:$AB$200,0)),"n/d"))</f>
        <v>Pagamentos outros não operacionais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46253</v>
      </c>
      <c r="C2138" s="15" t="n">
        <v>46253</v>
      </c>
      <c r="D2138" s="1" t="n">
        <v>578</v>
      </c>
      <c r="E2138" s="1" t="s">
        <v>647</v>
      </c>
      <c r="F2138" s="1" t="n">
        <v>24</v>
      </c>
      <c r="G2138" s="1" t="s">
        <v>32</v>
      </c>
      <c r="H2138" s="1" t="n">
        <v>2110405</v>
      </c>
      <c r="I2138" s="1" t="s">
        <v>83</v>
      </c>
      <c r="J2138" s="1" t="n">
        <v>1576375</v>
      </c>
      <c r="L2138" s="1" t="n">
        <v>644047</v>
      </c>
      <c r="M2138" s="1" t="s">
        <v>41</v>
      </c>
      <c r="N2138" s="1" t="s">
        <v>42</v>
      </c>
      <c r="P2138" s="1" t="n">
        <v>101</v>
      </c>
      <c r="Q2138" s="1" t="s">
        <v>84</v>
      </c>
      <c r="R2138" s="1" t="s">
        <v>91</v>
      </c>
      <c r="S2138" s="1" t="n">
        <v>4220199</v>
      </c>
      <c r="T2138" s="1" t="s">
        <v>92</v>
      </c>
      <c r="U2138" s="17" t="n">
        <v>500</v>
      </c>
      <c r="W2138" s="1" t="n">
        <v>500</v>
      </c>
      <c r="X2138" s="1" t="s">
        <v>2370</v>
      </c>
      <c r="Z2138" s="1" t="str">
        <f aca="false">IF($T2138="","",IFERROR(INDEX('Resumo Grupos'!$AC$3:$AC$200,MATCH($T2138,'Resumo Grupos'!$AB$3:$AB$200,0)),"n/d"))</f>
        <v>Pagamentos outros não operacionais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46220</v>
      </c>
      <c r="C2139" s="15" t="n">
        <v>46254</v>
      </c>
      <c r="D2139" s="1" t="n">
        <v>10012</v>
      </c>
      <c r="E2139" s="1" t="s">
        <v>204</v>
      </c>
      <c r="F2139" s="1" t="n">
        <v>24</v>
      </c>
      <c r="G2139" s="1" t="s">
        <v>32</v>
      </c>
      <c r="H2139" s="1" t="n">
        <v>2110405</v>
      </c>
      <c r="I2139" s="1" t="s">
        <v>83</v>
      </c>
      <c r="J2139" s="1" t="n">
        <v>1411310</v>
      </c>
      <c r="L2139" s="1" t="n">
        <v>1964147</v>
      </c>
      <c r="M2139" s="1" t="s">
        <v>34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1129.22</v>
      </c>
      <c r="W2139" s="1" t="n">
        <v>1129.22</v>
      </c>
      <c r="X2139" s="1" t="s">
        <v>2371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46221</v>
      </c>
      <c r="C2140" s="15" t="n">
        <v>46254</v>
      </c>
      <c r="D2140" s="1" t="n">
        <v>1675</v>
      </c>
      <c r="E2140" s="1" t="s">
        <v>80</v>
      </c>
      <c r="F2140" s="1" t="n">
        <v>24</v>
      </c>
      <c r="G2140" s="1" t="s">
        <v>32</v>
      </c>
      <c r="H2140" s="1" t="n">
        <v>2110405</v>
      </c>
      <c r="I2140" s="1" t="s">
        <v>83</v>
      </c>
      <c r="J2140" s="1" t="n">
        <v>1415719</v>
      </c>
      <c r="L2140" s="1" t="n">
        <v>502189</v>
      </c>
      <c r="M2140" s="1" t="s">
        <v>128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1181.96</v>
      </c>
      <c r="W2140" s="1" t="n">
        <v>1181.96</v>
      </c>
      <c r="X2140" s="1" t="s">
        <v>2372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46223</v>
      </c>
      <c r="C2141" s="15" t="n">
        <v>46254</v>
      </c>
      <c r="D2141" s="1" t="n">
        <v>542</v>
      </c>
      <c r="E2141" s="1" t="s">
        <v>738</v>
      </c>
      <c r="F2141" s="1" t="n">
        <v>34</v>
      </c>
      <c r="G2141" s="1" t="s">
        <v>71</v>
      </c>
      <c r="H2141" s="1" t="n">
        <v>2110405</v>
      </c>
      <c r="I2141" s="1" t="s">
        <v>83</v>
      </c>
      <c r="J2141" s="1" t="n">
        <v>1424234</v>
      </c>
      <c r="L2141" s="1" t="n">
        <v>587289</v>
      </c>
      <c r="M2141" s="1" t="s">
        <v>34</v>
      </c>
      <c r="N2141" s="1" t="s">
        <v>42</v>
      </c>
      <c r="P2141" s="1" t="n">
        <v>101</v>
      </c>
      <c r="Q2141" s="1" t="s">
        <v>84</v>
      </c>
      <c r="R2141" s="1" t="s">
        <v>290</v>
      </c>
      <c r="S2141" s="1" t="n">
        <v>4210107</v>
      </c>
      <c r="T2141" s="1" t="s">
        <v>739</v>
      </c>
      <c r="U2141" s="17" t="n">
        <v>464.96</v>
      </c>
      <c r="W2141" s="1" t="n">
        <v>0</v>
      </c>
      <c r="X2141" s="1" t="s">
        <v>2373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46223</v>
      </c>
      <c r="C2142" s="15" t="n">
        <v>46254</v>
      </c>
      <c r="D2142" s="1" t="n">
        <v>542</v>
      </c>
      <c r="E2142" s="1" t="s">
        <v>738</v>
      </c>
      <c r="F2142" s="1" t="n">
        <v>34</v>
      </c>
      <c r="G2142" s="1" t="s">
        <v>71</v>
      </c>
      <c r="H2142" s="1" t="n">
        <v>2110405</v>
      </c>
      <c r="I2142" s="1" t="s">
        <v>83</v>
      </c>
      <c r="J2142" s="1" t="n">
        <v>1424241</v>
      </c>
      <c r="L2142" s="1" t="n">
        <v>587291</v>
      </c>
      <c r="M2142" s="1" t="s">
        <v>34</v>
      </c>
      <c r="N2142" s="1" t="s">
        <v>42</v>
      </c>
      <c r="P2142" s="1" t="n">
        <v>101</v>
      </c>
      <c r="Q2142" s="1" t="s">
        <v>84</v>
      </c>
      <c r="R2142" s="1" t="s">
        <v>91</v>
      </c>
      <c r="S2142" s="1" t="n">
        <v>4220199</v>
      </c>
      <c r="T2142" s="1" t="s">
        <v>92</v>
      </c>
      <c r="U2142" s="17" t="n">
        <v>900</v>
      </c>
      <c r="W2142" s="1" t="n">
        <v>900</v>
      </c>
      <c r="X2142" s="1" t="s">
        <v>1585</v>
      </c>
      <c r="Z2142" s="1" t="str">
        <f aca="false">IF($T2142="","",IFERROR(INDEX('Resumo Grupos'!$AC$3:$AC$200,MATCH($T2142,'Resumo Grupos'!$AB$3:$AB$200,0)),"n/d"))</f>
        <v>Pagamentos outros não operacionais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46225</v>
      </c>
      <c r="C2143" s="15" t="n">
        <v>46254</v>
      </c>
      <c r="D2143" s="1" t="n">
        <v>794</v>
      </c>
      <c r="E2143" s="1" t="s">
        <v>325</v>
      </c>
      <c r="F2143" s="1" t="n">
        <v>24</v>
      </c>
      <c r="G2143" s="1" t="s">
        <v>32</v>
      </c>
      <c r="H2143" s="1" t="n">
        <v>2110405</v>
      </c>
      <c r="I2143" s="1" t="s">
        <v>83</v>
      </c>
      <c r="J2143" s="1" t="n">
        <v>1435872</v>
      </c>
      <c r="L2143" s="1" t="n">
        <v>8403</v>
      </c>
      <c r="M2143" s="1" t="s">
        <v>128</v>
      </c>
      <c r="N2143" s="1" t="s">
        <v>42</v>
      </c>
      <c r="P2143" s="1" t="n">
        <v>103</v>
      </c>
      <c r="Q2143" s="1" t="s">
        <v>36</v>
      </c>
      <c r="R2143" s="1" t="s">
        <v>37</v>
      </c>
      <c r="S2143" s="1" t="n">
        <v>1130101</v>
      </c>
      <c r="T2143" s="1" t="s">
        <v>38</v>
      </c>
      <c r="U2143" s="17" t="n">
        <v>2621.74</v>
      </c>
      <c r="W2143" s="1" t="n">
        <v>2621.74</v>
      </c>
      <c r="X2143" s="1" t="s">
        <v>2374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46226</v>
      </c>
      <c r="C2144" s="15" t="n">
        <v>46254</v>
      </c>
      <c r="D2144" s="1" t="n">
        <v>1608</v>
      </c>
      <c r="E2144" s="1" t="s">
        <v>51</v>
      </c>
      <c r="F2144" s="1" t="n">
        <v>24</v>
      </c>
      <c r="G2144" s="1" t="s">
        <v>32</v>
      </c>
      <c r="H2144" s="1" t="n">
        <v>2110405</v>
      </c>
      <c r="I2144" s="1" t="s">
        <v>83</v>
      </c>
      <c r="J2144" s="1" t="n">
        <v>1439702</v>
      </c>
      <c r="L2144" s="1" t="n">
        <v>592490</v>
      </c>
      <c r="M2144" s="1" t="s">
        <v>41</v>
      </c>
      <c r="N2144" s="1" t="s">
        <v>42</v>
      </c>
      <c r="P2144" s="1" t="n">
        <v>104</v>
      </c>
      <c r="Q2144" s="1" t="s">
        <v>99</v>
      </c>
      <c r="R2144" s="1" t="s">
        <v>37</v>
      </c>
      <c r="S2144" s="1" t="n">
        <v>1130101</v>
      </c>
      <c r="T2144" s="1" t="s">
        <v>38</v>
      </c>
      <c r="U2144" s="17" t="n">
        <v>1938.06</v>
      </c>
      <c r="W2144" s="1" t="n">
        <v>1938.06</v>
      </c>
      <c r="X2144" s="1" t="s">
        <v>2375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46226</v>
      </c>
      <c r="C2145" s="15" t="n">
        <v>46254</v>
      </c>
      <c r="D2145" s="1" t="n">
        <v>1616</v>
      </c>
      <c r="E2145" s="1" t="s">
        <v>517</v>
      </c>
      <c r="F2145" s="1" t="n">
        <v>24</v>
      </c>
      <c r="G2145" s="1" t="s">
        <v>32</v>
      </c>
      <c r="H2145" s="1" t="n">
        <v>2110405</v>
      </c>
      <c r="I2145" s="1" t="s">
        <v>83</v>
      </c>
      <c r="J2145" s="1" t="n">
        <v>1440106</v>
      </c>
      <c r="L2145" s="1" t="n">
        <v>592593</v>
      </c>
      <c r="M2145" s="1" t="s">
        <v>128</v>
      </c>
      <c r="N2145" s="1" t="s">
        <v>42</v>
      </c>
      <c r="P2145" s="1" t="n">
        <v>104</v>
      </c>
      <c r="Q2145" s="1" t="s">
        <v>99</v>
      </c>
      <c r="R2145" s="1" t="s">
        <v>37</v>
      </c>
      <c r="S2145" s="1" t="n">
        <v>1130101</v>
      </c>
      <c r="T2145" s="1" t="s">
        <v>38</v>
      </c>
      <c r="U2145" s="17" t="n">
        <v>605.93</v>
      </c>
      <c r="W2145" s="1" t="n">
        <v>605.93</v>
      </c>
      <c r="X2145" s="1" t="s">
        <v>2376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46226</v>
      </c>
      <c r="C2146" s="15" t="n">
        <v>46254</v>
      </c>
      <c r="D2146" s="1" t="n">
        <v>10021</v>
      </c>
      <c r="E2146" s="1" t="s">
        <v>2208</v>
      </c>
      <c r="F2146" s="1" t="n">
        <v>24</v>
      </c>
      <c r="G2146" s="1" t="s">
        <v>32</v>
      </c>
      <c r="H2146" s="1" t="n">
        <v>2110405</v>
      </c>
      <c r="I2146" s="1" t="s">
        <v>83</v>
      </c>
      <c r="J2146" s="1" t="n">
        <v>1440166</v>
      </c>
      <c r="L2146" s="1" t="n">
        <v>134703</v>
      </c>
      <c r="M2146" s="1" t="s">
        <v>34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774.48</v>
      </c>
      <c r="W2146" s="1" t="n">
        <v>774.48</v>
      </c>
      <c r="X2146" s="1" t="s">
        <v>2377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46226</v>
      </c>
      <c r="C2147" s="15" t="n">
        <v>46254</v>
      </c>
      <c r="D2147" s="1" t="n">
        <v>1616</v>
      </c>
      <c r="E2147" s="1" t="s">
        <v>517</v>
      </c>
      <c r="F2147" s="1" t="n">
        <v>24</v>
      </c>
      <c r="G2147" s="1" t="s">
        <v>32</v>
      </c>
      <c r="H2147" s="1" t="n">
        <v>2110405</v>
      </c>
      <c r="I2147" s="1" t="s">
        <v>83</v>
      </c>
      <c r="J2147" s="1" t="n">
        <v>1440186</v>
      </c>
      <c r="L2147" s="1" t="n">
        <v>592618</v>
      </c>
      <c r="M2147" s="1" t="s">
        <v>128</v>
      </c>
      <c r="N2147" s="1" t="s">
        <v>42</v>
      </c>
      <c r="P2147" s="1" t="n">
        <v>104</v>
      </c>
      <c r="Q2147" s="1" t="s">
        <v>99</v>
      </c>
      <c r="R2147" s="1" t="s">
        <v>37</v>
      </c>
      <c r="S2147" s="1" t="n">
        <v>1130101</v>
      </c>
      <c r="T2147" s="1" t="s">
        <v>38</v>
      </c>
      <c r="U2147" s="17" t="n">
        <v>434.06</v>
      </c>
      <c r="W2147" s="1" t="n">
        <v>434.06</v>
      </c>
      <c r="X2147" s="1" t="s">
        <v>2013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46228</v>
      </c>
      <c r="C2148" s="15" t="n">
        <v>46254</v>
      </c>
      <c r="D2148" s="1" t="n">
        <v>1637</v>
      </c>
      <c r="E2148" s="1" t="s">
        <v>44</v>
      </c>
      <c r="F2148" s="1" t="n">
        <v>24</v>
      </c>
      <c r="G2148" s="1" t="s">
        <v>32</v>
      </c>
      <c r="H2148" s="1" t="n">
        <v>2110405</v>
      </c>
      <c r="I2148" s="1" t="s">
        <v>83</v>
      </c>
      <c r="J2148" s="1" t="n">
        <v>1450066</v>
      </c>
      <c r="L2148" s="1" t="n">
        <v>1910466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1013.07</v>
      </c>
      <c r="W2148" s="1" t="n">
        <v>1013.07</v>
      </c>
      <c r="X2148" s="1" t="s">
        <v>2378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46233</v>
      </c>
      <c r="C2149" s="15" t="n">
        <v>46254</v>
      </c>
      <c r="D2149" s="1" t="n">
        <v>1608</v>
      </c>
      <c r="E2149" s="1" t="s">
        <v>51</v>
      </c>
      <c r="F2149" s="1" t="n">
        <v>24</v>
      </c>
      <c r="G2149" s="1" t="s">
        <v>32</v>
      </c>
      <c r="H2149" s="1" t="n">
        <v>2110405</v>
      </c>
      <c r="I2149" s="1" t="s">
        <v>83</v>
      </c>
      <c r="J2149" s="1" t="n">
        <v>1473434</v>
      </c>
      <c r="L2149" s="1" t="n">
        <v>1701960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944.96</v>
      </c>
      <c r="W2149" s="1" t="n">
        <v>944.96</v>
      </c>
      <c r="X2149" s="1" t="s">
        <v>2379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46233</v>
      </c>
      <c r="C2150" s="15" t="n">
        <v>46254</v>
      </c>
      <c r="D2150" s="1" t="n">
        <v>1740</v>
      </c>
      <c r="E2150" s="1" t="s">
        <v>258</v>
      </c>
      <c r="F2150" s="1" t="n">
        <v>24</v>
      </c>
      <c r="G2150" s="1" t="s">
        <v>32</v>
      </c>
      <c r="H2150" s="1" t="n">
        <v>2110405</v>
      </c>
      <c r="I2150" s="1" t="s">
        <v>83</v>
      </c>
      <c r="J2150" s="1" t="n">
        <v>1474666</v>
      </c>
      <c r="L2150" s="1" t="n">
        <v>1253285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989.77</v>
      </c>
      <c r="W2150" s="1" t="n">
        <v>989.77</v>
      </c>
      <c r="X2150" s="1" t="s">
        <v>2380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46233</v>
      </c>
      <c r="C2151" s="15" t="n">
        <v>46254</v>
      </c>
      <c r="D2151" s="1" t="n">
        <v>1608</v>
      </c>
      <c r="E2151" s="1" t="s">
        <v>51</v>
      </c>
      <c r="F2151" s="1" t="n">
        <v>24</v>
      </c>
      <c r="G2151" s="1" t="s">
        <v>32</v>
      </c>
      <c r="H2151" s="1" t="n">
        <v>2110405</v>
      </c>
      <c r="I2151" s="1" t="s">
        <v>83</v>
      </c>
      <c r="J2151" s="1" t="n">
        <v>1474699</v>
      </c>
      <c r="L2151" s="1" t="n">
        <v>1701839</v>
      </c>
      <c r="M2151" s="1" t="s">
        <v>41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2902.64</v>
      </c>
      <c r="W2151" s="1" t="n">
        <v>2902.64</v>
      </c>
      <c r="X2151" s="1" t="s">
        <v>2381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46234</v>
      </c>
      <c r="C2152" s="15" t="n">
        <v>46254</v>
      </c>
      <c r="D2152" s="1" t="n">
        <v>659</v>
      </c>
      <c r="E2152" s="1" t="s">
        <v>733</v>
      </c>
      <c r="F2152" s="1" t="n">
        <v>24</v>
      </c>
      <c r="G2152" s="1" t="s">
        <v>32</v>
      </c>
      <c r="H2152" s="1" t="n">
        <v>2110405</v>
      </c>
      <c r="I2152" s="1" t="s">
        <v>83</v>
      </c>
      <c r="J2152" s="1" t="n">
        <v>1478178</v>
      </c>
      <c r="L2152" s="1" t="n">
        <v>607145</v>
      </c>
      <c r="M2152" s="1" t="s">
        <v>41</v>
      </c>
      <c r="N2152" s="1" t="s">
        <v>42</v>
      </c>
      <c r="P2152" s="1" t="n">
        <v>101</v>
      </c>
      <c r="Q2152" s="1" t="s">
        <v>84</v>
      </c>
      <c r="R2152" s="1" t="s">
        <v>85</v>
      </c>
      <c r="S2152" s="1" t="n">
        <v>4210311</v>
      </c>
      <c r="T2152" s="1" t="s">
        <v>301</v>
      </c>
      <c r="U2152" s="17" t="n">
        <v>6193.08</v>
      </c>
      <c r="W2152" s="1" t="n">
        <v>6193.08</v>
      </c>
      <c r="X2152" s="1" t="s">
        <v>1570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46240</v>
      </c>
      <c r="C2153" s="15" t="n">
        <v>46254</v>
      </c>
      <c r="D2153" s="1" t="n">
        <v>1612</v>
      </c>
      <c r="E2153" s="1" t="s">
        <v>193</v>
      </c>
      <c r="F2153" s="1" t="n">
        <v>24</v>
      </c>
      <c r="G2153" s="1" t="s">
        <v>32</v>
      </c>
      <c r="H2153" s="1" t="n">
        <v>2110405</v>
      </c>
      <c r="I2153" s="1" t="s">
        <v>83</v>
      </c>
      <c r="J2153" s="1" t="n">
        <v>1508279</v>
      </c>
      <c r="L2153" s="1" t="n">
        <v>2307727</v>
      </c>
      <c r="M2153" s="1" t="s">
        <v>41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1167.16</v>
      </c>
      <c r="W2153" s="1" t="n">
        <v>1167.16</v>
      </c>
      <c r="X2153" s="1" t="s">
        <v>2382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46240</v>
      </c>
      <c r="C2154" s="15" t="n">
        <v>46254</v>
      </c>
      <c r="D2154" s="1" t="n">
        <v>1608</v>
      </c>
      <c r="E2154" s="1" t="s">
        <v>51</v>
      </c>
      <c r="F2154" s="1" t="n">
        <v>24</v>
      </c>
      <c r="G2154" s="1" t="s">
        <v>32</v>
      </c>
      <c r="H2154" s="1" t="n">
        <v>2110405</v>
      </c>
      <c r="I2154" s="1" t="s">
        <v>83</v>
      </c>
      <c r="J2154" s="1" t="n">
        <v>1508347</v>
      </c>
      <c r="L2154" s="1" t="n">
        <v>1706774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1141.89</v>
      </c>
      <c r="W2154" s="1" t="n">
        <v>1141.89</v>
      </c>
      <c r="X2154" s="1" t="s">
        <v>2383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46240</v>
      </c>
      <c r="C2155" s="15" t="n">
        <v>46254</v>
      </c>
      <c r="D2155" s="1" t="n">
        <v>1601</v>
      </c>
      <c r="E2155" s="1" t="s">
        <v>195</v>
      </c>
      <c r="F2155" s="1" t="n">
        <v>24</v>
      </c>
      <c r="G2155" s="1" t="s">
        <v>32</v>
      </c>
      <c r="H2155" s="1" t="n">
        <v>2110405</v>
      </c>
      <c r="I2155" s="1" t="s">
        <v>83</v>
      </c>
      <c r="J2155" s="1" t="n">
        <v>1508387</v>
      </c>
      <c r="L2155" s="1" t="n">
        <v>860853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545.87</v>
      </c>
      <c r="W2155" s="1" t="n">
        <v>545.87</v>
      </c>
      <c r="X2155" s="1" t="s">
        <v>2384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46240</v>
      </c>
      <c r="C2156" s="15" t="n">
        <v>46254</v>
      </c>
      <c r="D2156" s="1" t="n">
        <v>10017</v>
      </c>
      <c r="E2156" s="1" t="s">
        <v>753</v>
      </c>
      <c r="F2156" s="1" t="n">
        <v>24</v>
      </c>
      <c r="G2156" s="1" t="s">
        <v>32</v>
      </c>
      <c r="H2156" s="1" t="n">
        <v>2110405</v>
      </c>
      <c r="I2156" s="1" t="s">
        <v>83</v>
      </c>
      <c r="J2156" s="1" t="n">
        <v>1508414</v>
      </c>
      <c r="L2156" s="1" t="n">
        <v>195281</v>
      </c>
      <c r="M2156" s="1" t="s">
        <v>41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1164.1</v>
      </c>
      <c r="W2156" s="1" t="n">
        <v>1164.1</v>
      </c>
      <c r="X2156" s="1" t="s">
        <v>2385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46240</v>
      </c>
      <c r="C2157" s="15" t="n">
        <v>46254</v>
      </c>
      <c r="D2157" s="1" t="n">
        <v>1114</v>
      </c>
      <c r="E2157" s="1" t="s">
        <v>144</v>
      </c>
      <c r="F2157" s="1" t="n">
        <v>24</v>
      </c>
      <c r="G2157" s="1" t="s">
        <v>32</v>
      </c>
      <c r="H2157" s="1" t="n">
        <v>2110405</v>
      </c>
      <c r="I2157" s="1" t="s">
        <v>83</v>
      </c>
      <c r="J2157" s="1" t="n">
        <v>1508869</v>
      </c>
      <c r="L2157" s="1" t="n">
        <v>144460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353.4</v>
      </c>
      <c r="W2157" s="1" t="n">
        <v>353.4</v>
      </c>
      <c r="X2157" s="1" t="s">
        <v>2386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46240</v>
      </c>
      <c r="C2158" s="15" t="n">
        <v>46254</v>
      </c>
      <c r="D2158" s="1" t="n">
        <v>1114</v>
      </c>
      <c r="E2158" s="1" t="s">
        <v>144</v>
      </c>
      <c r="F2158" s="1" t="n">
        <v>24</v>
      </c>
      <c r="G2158" s="1" t="s">
        <v>32</v>
      </c>
      <c r="H2158" s="1" t="n">
        <v>2110405</v>
      </c>
      <c r="I2158" s="1" t="s">
        <v>83</v>
      </c>
      <c r="J2158" s="1" t="n">
        <v>1508887</v>
      </c>
      <c r="L2158" s="1" t="n">
        <v>43208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367.29</v>
      </c>
      <c r="W2158" s="1" t="n">
        <v>367.29</v>
      </c>
      <c r="X2158" s="1" t="s">
        <v>2387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46241</v>
      </c>
      <c r="C2159" s="15" t="n">
        <v>46254</v>
      </c>
      <c r="D2159" s="1" t="n">
        <v>1626</v>
      </c>
      <c r="E2159" s="1" t="s">
        <v>40</v>
      </c>
      <c r="F2159" s="1" t="n">
        <v>24</v>
      </c>
      <c r="G2159" s="1" t="s">
        <v>32</v>
      </c>
      <c r="H2159" s="1" t="n">
        <v>2110405</v>
      </c>
      <c r="I2159" s="1" t="s">
        <v>83</v>
      </c>
      <c r="J2159" s="1" t="n">
        <v>1513163</v>
      </c>
      <c r="L2159" s="1" t="n">
        <v>316329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1276.95</v>
      </c>
      <c r="W2159" s="1" t="n">
        <v>1276.95</v>
      </c>
      <c r="X2159" s="1" t="s">
        <v>2388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46241</v>
      </c>
      <c r="C2160" s="15" t="n">
        <v>46254</v>
      </c>
      <c r="D2160" s="1" t="n">
        <v>17</v>
      </c>
      <c r="E2160" s="1" t="s">
        <v>94</v>
      </c>
      <c r="F2160" s="1" t="n">
        <v>24</v>
      </c>
      <c r="G2160" s="1" t="s">
        <v>32</v>
      </c>
      <c r="H2160" s="1" t="n">
        <v>2110405</v>
      </c>
      <c r="I2160" s="1" t="s">
        <v>83</v>
      </c>
      <c r="J2160" s="1" t="n">
        <v>1514421</v>
      </c>
      <c r="L2160" s="1" t="n">
        <v>620148</v>
      </c>
      <c r="M2160" s="1" t="s">
        <v>41</v>
      </c>
      <c r="N2160" s="1" t="s">
        <v>42</v>
      </c>
      <c r="P2160" s="1" t="n">
        <v>101</v>
      </c>
      <c r="Q2160" s="1" t="s">
        <v>84</v>
      </c>
      <c r="R2160" s="1" t="s">
        <v>91</v>
      </c>
      <c r="S2160" s="1" t="n">
        <v>4220199</v>
      </c>
      <c r="T2160" s="1" t="s">
        <v>92</v>
      </c>
      <c r="U2160" s="17" t="n">
        <v>621.17</v>
      </c>
      <c r="W2160" s="1" t="n">
        <v>621.17</v>
      </c>
      <c r="X2160" s="1" t="s">
        <v>2389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46241</v>
      </c>
      <c r="C2161" s="15" t="n">
        <v>46254</v>
      </c>
      <c r="D2161" s="1" t="n">
        <v>10028</v>
      </c>
      <c r="E2161" s="1" t="s">
        <v>742</v>
      </c>
      <c r="F2161" s="1" t="n">
        <v>24</v>
      </c>
      <c r="G2161" s="1" t="s">
        <v>32</v>
      </c>
      <c r="H2161" s="1" t="n">
        <v>2110405</v>
      </c>
      <c r="I2161" s="1" t="s">
        <v>83</v>
      </c>
      <c r="J2161" s="1" t="n">
        <v>1370662</v>
      </c>
      <c r="L2161" s="1" t="n">
        <v>565739</v>
      </c>
      <c r="M2161" s="1" t="s">
        <v>34</v>
      </c>
      <c r="N2161" s="1" t="s">
        <v>42</v>
      </c>
      <c r="P2161" s="1" t="n">
        <v>101</v>
      </c>
      <c r="Q2161" s="1" t="s">
        <v>84</v>
      </c>
      <c r="R2161" s="1" t="s">
        <v>85</v>
      </c>
      <c r="S2161" s="1" t="n">
        <v>4210315</v>
      </c>
      <c r="T2161" s="1" t="s">
        <v>503</v>
      </c>
      <c r="U2161" s="17" t="n">
        <v>595.9</v>
      </c>
      <c r="W2161" s="1" t="n">
        <v>595.9</v>
      </c>
      <c r="X2161" s="1" t="s">
        <v>1566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46242</v>
      </c>
      <c r="C2162" s="15" t="n">
        <v>46254</v>
      </c>
      <c r="D2162" s="1" t="n">
        <v>10019</v>
      </c>
      <c r="E2162" s="1" t="s">
        <v>250</v>
      </c>
      <c r="F2162" s="1" t="n">
        <v>24</v>
      </c>
      <c r="G2162" s="1" t="s">
        <v>32</v>
      </c>
      <c r="H2162" s="1" t="n">
        <v>2110405</v>
      </c>
      <c r="I2162" s="1" t="s">
        <v>83</v>
      </c>
      <c r="J2162" s="1" t="n">
        <v>1517889</v>
      </c>
      <c r="L2162" s="1" t="n">
        <v>32287</v>
      </c>
      <c r="M2162" s="1" t="s">
        <v>34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4154.08</v>
      </c>
      <c r="W2162" s="1" t="n">
        <v>4154.08</v>
      </c>
      <c r="X2162" s="1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46242</v>
      </c>
      <c r="C2163" s="15" t="n">
        <v>46254</v>
      </c>
      <c r="D2163" s="1" t="n">
        <v>1675</v>
      </c>
      <c r="E2163" s="1" t="s">
        <v>80</v>
      </c>
      <c r="F2163" s="1" t="n">
        <v>24</v>
      </c>
      <c r="G2163" s="1" t="s">
        <v>32</v>
      </c>
      <c r="H2163" s="1" t="n">
        <v>2110405</v>
      </c>
      <c r="I2163" s="1" t="s">
        <v>83</v>
      </c>
      <c r="J2163" s="1" t="n">
        <v>1518493</v>
      </c>
      <c r="L2163" s="1" t="n">
        <v>506570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729.66</v>
      </c>
      <c r="W2163" s="1" t="n">
        <v>729.66</v>
      </c>
      <c r="X2163" s="1" t="s">
        <v>2391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46242</v>
      </c>
      <c r="C2164" s="15" t="n">
        <v>46254</v>
      </c>
      <c r="D2164" s="1" t="n">
        <v>10002</v>
      </c>
      <c r="E2164" s="1" t="s">
        <v>253</v>
      </c>
      <c r="F2164" s="1" t="n">
        <v>24</v>
      </c>
      <c r="G2164" s="1" t="s">
        <v>32</v>
      </c>
      <c r="H2164" s="1" t="n">
        <v>2110405</v>
      </c>
      <c r="I2164" s="1" t="s">
        <v>83</v>
      </c>
      <c r="J2164" s="1" t="n">
        <v>1518747</v>
      </c>
      <c r="L2164" s="1" t="n">
        <v>197290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925.09</v>
      </c>
      <c r="W2164" s="1" t="n">
        <v>925.09</v>
      </c>
      <c r="X2164" s="1" t="s">
        <v>2392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46254</v>
      </c>
      <c r="D2165" s="1" t="n">
        <v>1932</v>
      </c>
      <c r="E2165" s="1" t="s">
        <v>747</v>
      </c>
      <c r="F2165" s="1" t="n">
        <v>24</v>
      </c>
      <c r="G2165" s="1" t="s">
        <v>32</v>
      </c>
      <c r="H2165" s="1" t="n">
        <v>2110405</v>
      </c>
      <c r="I2165" s="1" t="s">
        <v>83</v>
      </c>
      <c r="J2165" s="1" t="n">
        <v>1370654</v>
      </c>
      <c r="L2165" s="1" t="n">
        <v>565734</v>
      </c>
      <c r="M2165" s="1" t="s">
        <v>34</v>
      </c>
      <c r="N2165" s="1" t="s">
        <v>42</v>
      </c>
      <c r="P2165" s="1" t="n">
        <v>101</v>
      </c>
      <c r="Q2165" s="1" t="s">
        <v>84</v>
      </c>
      <c r="R2165" s="1" t="s">
        <v>85</v>
      </c>
      <c r="S2165" s="1" t="n">
        <v>4210315</v>
      </c>
      <c r="T2165" s="1" t="s">
        <v>503</v>
      </c>
      <c r="U2165" s="17" t="n">
        <v>139.97</v>
      </c>
      <c r="W2165" s="1" t="n">
        <v>139.97</v>
      </c>
      <c r="X2165" s="1" t="s">
        <v>743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46254</v>
      </c>
      <c r="D2166" s="1" t="n">
        <v>10009</v>
      </c>
      <c r="E2166" s="1" t="s">
        <v>201</v>
      </c>
      <c r="F2166" s="1" t="n">
        <v>24</v>
      </c>
      <c r="G2166" s="1" t="s">
        <v>32</v>
      </c>
      <c r="H2166" s="1" t="n">
        <v>2110405</v>
      </c>
      <c r="I2166" s="1" t="s">
        <v>83</v>
      </c>
      <c r="J2166" s="1" t="n">
        <v>1537273</v>
      </c>
      <c r="L2166" s="1" t="n">
        <v>1436399</v>
      </c>
      <c r="M2166" s="1" t="s">
        <v>34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1001.88</v>
      </c>
      <c r="W2166" s="1" t="n">
        <v>1001.88</v>
      </c>
      <c r="X2166" s="1" t="s">
        <v>2393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46248</v>
      </c>
      <c r="C2167" s="15" t="n">
        <v>46254</v>
      </c>
      <c r="D2167" s="1" t="n">
        <v>1024</v>
      </c>
      <c r="E2167" s="1" t="s">
        <v>688</v>
      </c>
      <c r="F2167" s="1" t="n">
        <v>24</v>
      </c>
      <c r="G2167" s="1" t="s">
        <v>32</v>
      </c>
      <c r="H2167" s="1" t="n">
        <v>2110405</v>
      </c>
      <c r="I2167" s="1" t="s">
        <v>83</v>
      </c>
      <c r="J2167" s="1" t="n">
        <v>1547324</v>
      </c>
      <c r="L2167" s="1" t="n">
        <v>621791</v>
      </c>
      <c r="M2167" s="1" t="s">
        <v>41</v>
      </c>
      <c r="N2167" s="1" t="s">
        <v>42</v>
      </c>
      <c r="P2167" s="1" t="n">
        <v>103</v>
      </c>
      <c r="Q2167" s="1" t="s">
        <v>36</v>
      </c>
      <c r="R2167" s="1" t="s">
        <v>37</v>
      </c>
      <c r="S2167" s="1" t="n">
        <v>1130101</v>
      </c>
      <c r="T2167" s="1" t="s">
        <v>38</v>
      </c>
      <c r="U2167" s="17" t="n">
        <v>370</v>
      </c>
      <c r="W2167" s="1" t="n">
        <v>370</v>
      </c>
      <c r="X2167" s="1" t="s">
        <v>2394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46254</v>
      </c>
      <c r="D2168" s="1" t="n">
        <v>1276</v>
      </c>
      <c r="E2168" s="1" t="s">
        <v>383</v>
      </c>
      <c r="F2168" s="1" t="n">
        <v>24</v>
      </c>
      <c r="G2168" s="1" t="s">
        <v>32</v>
      </c>
      <c r="H2168" s="1" t="n">
        <v>2110405</v>
      </c>
      <c r="I2168" s="1" t="s">
        <v>83</v>
      </c>
      <c r="J2168" s="1" t="n">
        <v>1551978</v>
      </c>
      <c r="L2168" s="1" t="n">
        <v>3181</v>
      </c>
      <c r="M2168" s="1" t="s">
        <v>41</v>
      </c>
      <c r="N2168" s="1" t="s">
        <v>42</v>
      </c>
      <c r="P2168" s="1" t="n">
        <v>103</v>
      </c>
      <c r="Q2168" s="1" t="s">
        <v>36</v>
      </c>
      <c r="R2168" s="1" t="s">
        <v>37</v>
      </c>
      <c r="S2168" s="1" t="n">
        <v>1130101</v>
      </c>
      <c r="T2168" s="1" t="s">
        <v>38</v>
      </c>
      <c r="U2168" s="17" t="n">
        <v>1783.5</v>
      </c>
      <c r="W2168" s="1" t="n">
        <v>1783.5</v>
      </c>
      <c r="X2168" s="1" t="s">
        <v>2395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46251</v>
      </c>
      <c r="C2169" s="15" t="n">
        <v>46254</v>
      </c>
      <c r="D2169" s="1" t="n">
        <v>1899</v>
      </c>
      <c r="E2169" s="1" t="s">
        <v>74</v>
      </c>
      <c r="F2169" s="1" t="n">
        <v>24</v>
      </c>
      <c r="G2169" s="1" t="s">
        <v>32</v>
      </c>
      <c r="H2169" s="1" t="n">
        <v>2110405</v>
      </c>
      <c r="I2169" s="1" t="s">
        <v>83</v>
      </c>
      <c r="J2169" s="1" t="n">
        <v>1561154</v>
      </c>
      <c r="L2169" s="1" t="n">
        <v>762</v>
      </c>
      <c r="M2169" s="1" t="s">
        <v>41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1008.7</v>
      </c>
      <c r="W2169" s="1" t="n">
        <v>1008.7</v>
      </c>
      <c r="X2169" s="1" t="s">
        <v>2396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46251</v>
      </c>
      <c r="C2170" s="15" t="n">
        <v>46254</v>
      </c>
      <c r="D2170" s="1" t="n">
        <v>1947</v>
      </c>
      <c r="E2170" s="1" t="s">
        <v>716</v>
      </c>
      <c r="F2170" s="1" t="n">
        <v>34</v>
      </c>
      <c r="G2170" s="1" t="s">
        <v>71</v>
      </c>
      <c r="H2170" s="1" t="n">
        <v>2110405</v>
      </c>
      <c r="I2170" s="1" t="s">
        <v>83</v>
      </c>
      <c r="J2170" s="1" t="n">
        <v>1561636</v>
      </c>
      <c r="L2170" s="1" t="n">
        <v>7</v>
      </c>
      <c r="M2170" s="1" t="s">
        <v>41</v>
      </c>
      <c r="N2170" s="1" t="s">
        <v>42</v>
      </c>
      <c r="P2170" s="1" t="n">
        <v>101</v>
      </c>
      <c r="Q2170" s="1" t="s">
        <v>84</v>
      </c>
      <c r="R2170" s="1" t="s">
        <v>775</v>
      </c>
      <c r="S2170" s="1" t="n">
        <v>2110707</v>
      </c>
      <c r="T2170" s="1" t="s">
        <v>776</v>
      </c>
      <c r="U2170" s="17" t="n">
        <v>5899.7</v>
      </c>
      <c r="W2170" s="1" t="n">
        <v>5899.7</v>
      </c>
      <c r="X2170" s="1" t="s">
        <v>2397</v>
      </c>
      <c r="Z2170" s="1" t="str">
        <f aca="false">IF($T2170="","",IFERROR(INDEX('Resumo Grupos'!$AC$3:$AC$200,MATCH($T2170,'Resumo Grupos'!$AB$3:$AB$200,0)),"n/d"))</f>
        <v>Impostos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46251</v>
      </c>
      <c r="C2171" s="15" t="n">
        <v>46254</v>
      </c>
      <c r="D2171" s="1" t="n">
        <v>947</v>
      </c>
      <c r="E2171" s="1" t="s">
        <v>764</v>
      </c>
      <c r="F2171" s="1" t="n">
        <v>24</v>
      </c>
      <c r="G2171" s="1" t="s">
        <v>32</v>
      </c>
      <c r="H2171" s="1" t="n">
        <v>2110405</v>
      </c>
      <c r="I2171" s="1" t="s">
        <v>83</v>
      </c>
      <c r="J2171" s="1" t="n">
        <v>1561689</v>
      </c>
      <c r="L2171" s="1" t="n">
        <v>29104746</v>
      </c>
      <c r="M2171" s="1" t="s">
        <v>41</v>
      </c>
      <c r="N2171" s="1" t="s">
        <v>42</v>
      </c>
      <c r="P2171" s="1" t="n">
        <v>101</v>
      </c>
      <c r="Q2171" s="1" t="s">
        <v>84</v>
      </c>
      <c r="R2171" s="1" t="s">
        <v>765</v>
      </c>
      <c r="S2171" s="1" t="n">
        <v>1240105</v>
      </c>
      <c r="T2171" s="1" t="s">
        <v>766</v>
      </c>
      <c r="U2171" s="17" t="n">
        <v>129</v>
      </c>
      <c r="W2171" s="1" t="n">
        <v>129</v>
      </c>
      <c r="X2171" s="1" t="s">
        <v>2398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46251</v>
      </c>
      <c r="C2172" s="15" t="n">
        <v>46254</v>
      </c>
      <c r="D2172" s="1" t="n">
        <v>1276</v>
      </c>
      <c r="E2172" s="1" t="s">
        <v>383</v>
      </c>
      <c r="F2172" s="1" t="n">
        <v>24</v>
      </c>
      <c r="G2172" s="1" t="s">
        <v>32</v>
      </c>
      <c r="H2172" s="1" t="n">
        <v>2110405</v>
      </c>
      <c r="I2172" s="1" t="s">
        <v>83</v>
      </c>
      <c r="J2172" s="1" t="n">
        <v>1562382</v>
      </c>
      <c r="L2172" s="1" t="n">
        <v>3182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1805</v>
      </c>
      <c r="S2172" s="1" t="n">
        <v>4110102</v>
      </c>
      <c r="T2172" s="1" t="s">
        <v>2317</v>
      </c>
      <c r="U2172" s="17" t="n">
        <v>742.5</v>
      </c>
      <c r="W2172" s="1" t="n">
        <v>742.5</v>
      </c>
      <c r="X2172" s="1" t="s">
        <v>2399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46252</v>
      </c>
      <c r="C2173" s="15" t="n">
        <v>46254</v>
      </c>
      <c r="D2173" s="1" t="n">
        <v>1614</v>
      </c>
      <c r="E2173" s="1" t="s">
        <v>66</v>
      </c>
      <c r="F2173" s="1" t="n">
        <v>24</v>
      </c>
      <c r="G2173" s="1" t="s">
        <v>32</v>
      </c>
      <c r="H2173" s="1" t="n">
        <v>2110405</v>
      </c>
      <c r="I2173" s="1" t="s">
        <v>83</v>
      </c>
      <c r="J2173" s="1" t="n">
        <v>1565827</v>
      </c>
      <c r="L2173" s="1" t="n">
        <v>11564</v>
      </c>
      <c r="M2173" s="1" t="s">
        <v>41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495.56</v>
      </c>
      <c r="W2173" s="1" t="n">
        <v>495.56</v>
      </c>
      <c r="X2173" s="1" t="s">
        <v>2400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46253</v>
      </c>
      <c r="C2174" s="15" t="n">
        <v>46254</v>
      </c>
      <c r="D2174" s="1" t="n">
        <v>642</v>
      </c>
      <c r="E2174" s="1" t="s">
        <v>161</v>
      </c>
      <c r="F2174" s="1" t="n">
        <v>24</v>
      </c>
      <c r="G2174" s="1" t="s">
        <v>32</v>
      </c>
      <c r="H2174" s="1" t="n">
        <v>2110405</v>
      </c>
      <c r="I2174" s="1" t="s">
        <v>83</v>
      </c>
      <c r="J2174" s="1" t="n">
        <v>1572024</v>
      </c>
      <c r="L2174" s="1" t="n">
        <v>604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600</v>
      </c>
      <c r="W2174" s="1" t="n">
        <v>600</v>
      </c>
      <c r="X2174" s="1" t="s">
        <v>2401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46253</v>
      </c>
      <c r="C2175" s="15" t="n">
        <v>46254</v>
      </c>
      <c r="D2175" s="1" t="n">
        <v>1807</v>
      </c>
      <c r="E2175" s="1" t="s">
        <v>224</v>
      </c>
      <c r="F2175" s="1" t="n">
        <v>24</v>
      </c>
      <c r="G2175" s="1" t="s">
        <v>32</v>
      </c>
      <c r="H2175" s="1" t="n">
        <v>2110405</v>
      </c>
      <c r="I2175" s="1" t="s">
        <v>83</v>
      </c>
      <c r="J2175" s="1" t="n">
        <v>1572080</v>
      </c>
      <c r="L2175" s="1" t="n">
        <v>642483</v>
      </c>
      <c r="M2175" s="1" t="s">
        <v>41</v>
      </c>
      <c r="N2175" s="1" t="s">
        <v>42</v>
      </c>
      <c r="P2175" s="1" t="n">
        <v>101</v>
      </c>
      <c r="Q2175" s="1" t="s">
        <v>84</v>
      </c>
      <c r="R2175" s="1" t="s">
        <v>775</v>
      </c>
      <c r="S2175" s="1" t="n">
        <v>2110701</v>
      </c>
      <c r="T2175" s="1" t="s">
        <v>778</v>
      </c>
      <c r="U2175" s="17" t="n">
        <v>5521.86</v>
      </c>
      <c r="W2175" s="1" t="n">
        <v>5521.86</v>
      </c>
      <c r="X2175" s="1" t="s">
        <v>2402</v>
      </c>
      <c r="Z2175" s="1" t="str">
        <f aca="false">IF($T2175="","",IFERROR(INDEX('Resumo Grupos'!$AC$3:$AC$200,MATCH($T2175,'Resumo Grupos'!$AB$3:$AB$200,0)),"n/d"))</f>
        <v>Impostos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46253</v>
      </c>
      <c r="C2176" s="15" t="n">
        <v>46254</v>
      </c>
      <c r="D2176" s="1" t="n">
        <v>1947</v>
      </c>
      <c r="E2176" s="1" t="s">
        <v>716</v>
      </c>
      <c r="F2176" s="1" t="n">
        <v>34</v>
      </c>
      <c r="G2176" s="1" t="s">
        <v>71</v>
      </c>
      <c r="H2176" s="1" t="n">
        <v>2110405</v>
      </c>
      <c r="I2176" s="1" t="s">
        <v>83</v>
      </c>
      <c r="J2176" s="1" t="n">
        <v>1572571</v>
      </c>
      <c r="L2176" s="1" t="n">
        <v>642608</v>
      </c>
      <c r="M2176" s="1" t="s">
        <v>41</v>
      </c>
      <c r="N2176" s="1" t="s">
        <v>42</v>
      </c>
      <c r="P2176" s="1" t="n">
        <v>101</v>
      </c>
      <c r="Q2176" s="1" t="s">
        <v>84</v>
      </c>
      <c r="R2176" s="1" t="s">
        <v>85</v>
      </c>
      <c r="S2176" s="1" t="n">
        <v>4210303</v>
      </c>
      <c r="T2176" s="1" t="s">
        <v>717</v>
      </c>
      <c r="U2176" s="17" t="n">
        <v>3709.82</v>
      </c>
      <c r="W2176" s="1" t="n">
        <v>3709.82</v>
      </c>
      <c r="X2176" s="1" t="s">
        <v>2403</v>
      </c>
      <c r="Z2176" s="1" t="str">
        <f aca="false">IF($T2176="","",IFERROR(INDEX('Resumo Grupos'!$AC$3:$AC$200,MATCH($T2176,'Resumo Grupos'!$AB$3:$AB$200,0)),"n/d"))</f>
        <v>Impostos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46253</v>
      </c>
      <c r="C2177" s="15" t="n">
        <v>46254</v>
      </c>
      <c r="D2177" s="1" t="n">
        <v>1947</v>
      </c>
      <c r="E2177" s="1" t="s">
        <v>716</v>
      </c>
      <c r="F2177" s="1" t="n">
        <v>34</v>
      </c>
      <c r="G2177" s="1" t="s">
        <v>71</v>
      </c>
      <c r="H2177" s="1" t="n">
        <v>2110405</v>
      </c>
      <c r="I2177" s="1" t="s">
        <v>83</v>
      </c>
      <c r="J2177" s="1" t="n">
        <v>1572646</v>
      </c>
      <c r="L2177" s="1" t="n">
        <v>642634</v>
      </c>
      <c r="M2177" s="1" t="s">
        <v>41</v>
      </c>
      <c r="N2177" s="1" t="s">
        <v>42</v>
      </c>
      <c r="P2177" s="1" t="n">
        <v>101</v>
      </c>
      <c r="Q2177" s="1" t="s">
        <v>84</v>
      </c>
      <c r="R2177" s="1" t="s">
        <v>85</v>
      </c>
      <c r="S2177" s="1" t="n">
        <v>4210302</v>
      </c>
      <c r="T2177" s="1" t="s">
        <v>719</v>
      </c>
      <c r="U2177" s="17" t="n">
        <v>7932.1</v>
      </c>
      <c r="W2177" s="1" t="n">
        <v>7932.1</v>
      </c>
      <c r="X2177" s="1" t="s">
        <v>2404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46253</v>
      </c>
      <c r="C2178" s="15" t="n">
        <v>46254</v>
      </c>
      <c r="D2178" s="1" t="n">
        <v>33</v>
      </c>
      <c r="E2178" s="1" t="s">
        <v>70</v>
      </c>
      <c r="F2178" s="1" t="n">
        <v>34</v>
      </c>
      <c r="G2178" s="1" t="s">
        <v>71</v>
      </c>
      <c r="H2178" s="1" t="n">
        <v>2110101</v>
      </c>
      <c r="I2178" s="1" t="s">
        <v>33</v>
      </c>
      <c r="J2178" s="1" t="n">
        <v>1572770</v>
      </c>
      <c r="L2178" s="1" t="n">
        <v>5517</v>
      </c>
      <c r="M2178" s="1" t="s">
        <v>41</v>
      </c>
      <c r="N2178" s="1" t="s">
        <v>35</v>
      </c>
      <c r="P2178" s="1" t="n">
        <v>104</v>
      </c>
      <c r="Q2178" s="1" t="s">
        <v>99</v>
      </c>
      <c r="R2178" s="1" t="s">
        <v>37</v>
      </c>
      <c r="S2178" s="1" t="n">
        <v>1130101</v>
      </c>
      <c r="T2178" s="1" t="s">
        <v>38</v>
      </c>
      <c r="U2178" s="17" t="n">
        <v>429</v>
      </c>
      <c r="W2178" s="1" t="n">
        <v>429</v>
      </c>
      <c r="X2178" s="1" t="s">
        <v>2405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46254</v>
      </c>
      <c r="C2179" s="15" t="n">
        <v>46254</v>
      </c>
      <c r="D2179" s="1" t="n">
        <v>1391</v>
      </c>
      <c r="E2179" s="1" t="s">
        <v>388</v>
      </c>
      <c r="F2179" s="1" t="n">
        <v>13</v>
      </c>
      <c r="G2179" s="1" t="s">
        <v>98</v>
      </c>
      <c r="H2179" s="1" t="n">
        <v>2110101</v>
      </c>
      <c r="I2179" s="1" t="s">
        <v>33</v>
      </c>
      <c r="J2179" s="1" t="n">
        <v>1580613</v>
      </c>
      <c r="L2179" s="1" t="n">
        <v>417</v>
      </c>
      <c r="M2179" s="1" t="s">
        <v>41</v>
      </c>
      <c r="N2179" s="1" t="s">
        <v>35</v>
      </c>
      <c r="P2179" s="1" t="n">
        <v>104</v>
      </c>
      <c r="Q2179" s="1" t="s">
        <v>99</v>
      </c>
      <c r="R2179" s="1" t="s">
        <v>37</v>
      </c>
      <c r="S2179" s="1" t="n">
        <v>1130101</v>
      </c>
      <c r="T2179" s="1" t="s">
        <v>38</v>
      </c>
      <c r="U2179" s="17" t="n">
        <v>90</v>
      </c>
      <c r="W2179" s="1" t="n">
        <v>90</v>
      </c>
      <c r="X2179" s="1" t="s">
        <v>2406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46254</v>
      </c>
      <c r="C2180" s="15" t="n">
        <v>46254</v>
      </c>
      <c r="D2180" s="1" t="n">
        <v>1936</v>
      </c>
      <c r="E2180" s="1" t="s">
        <v>1075</v>
      </c>
      <c r="F2180" s="1" t="n">
        <v>24</v>
      </c>
      <c r="G2180" s="1" t="s">
        <v>32</v>
      </c>
      <c r="H2180" s="1" t="n">
        <v>2110405</v>
      </c>
      <c r="I2180" s="1" t="s">
        <v>83</v>
      </c>
      <c r="J2180" s="1" t="n">
        <v>1582430</v>
      </c>
      <c r="L2180" s="1" t="n">
        <v>646184</v>
      </c>
      <c r="M2180" s="1" t="s">
        <v>41</v>
      </c>
      <c r="N2180" s="1" t="s">
        <v>42</v>
      </c>
      <c r="P2180" s="1" t="n">
        <v>102</v>
      </c>
      <c r="Q2180" s="1" t="s">
        <v>107</v>
      </c>
      <c r="R2180" s="1" t="s">
        <v>37</v>
      </c>
      <c r="S2180" s="1" t="n">
        <v>1130101</v>
      </c>
      <c r="T2180" s="1" t="s">
        <v>38</v>
      </c>
      <c r="U2180" s="17" t="n">
        <v>95.55</v>
      </c>
      <c r="W2180" s="1" t="n">
        <v>95.55</v>
      </c>
      <c r="X2180" s="1" t="s">
        <v>2030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46254</v>
      </c>
      <c r="C2181" s="15" t="n">
        <v>46254</v>
      </c>
      <c r="D2181" s="1" t="n">
        <v>1000001</v>
      </c>
      <c r="E2181" s="1" t="s">
        <v>782</v>
      </c>
      <c r="F2181" s="1" t="n">
        <v>24</v>
      </c>
      <c r="G2181" s="1" t="s">
        <v>32</v>
      </c>
      <c r="H2181" s="1" t="n">
        <v>2110405</v>
      </c>
      <c r="I2181" s="1" t="s">
        <v>83</v>
      </c>
      <c r="J2181" s="1" t="n">
        <v>1582498</v>
      </c>
      <c r="L2181" s="1" t="n">
        <v>646206</v>
      </c>
      <c r="M2181" s="1" t="s">
        <v>41</v>
      </c>
      <c r="N2181" s="1" t="s">
        <v>42</v>
      </c>
      <c r="P2181" s="1" t="n">
        <v>102</v>
      </c>
      <c r="Q2181" s="1" t="s">
        <v>107</v>
      </c>
      <c r="R2181" s="1" t="s">
        <v>91</v>
      </c>
      <c r="S2181" s="1" t="n">
        <v>4220199</v>
      </c>
      <c r="T2181" s="1" t="s">
        <v>92</v>
      </c>
      <c r="U2181" s="17" t="n">
        <v>589.29</v>
      </c>
      <c r="W2181" s="1" t="n">
        <v>589.29</v>
      </c>
      <c r="X2181" s="1" t="s">
        <v>1250</v>
      </c>
      <c r="Z2181" s="1" t="str">
        <f aca="false">IF($T2181="","",IFERROR(INDEX('Resumo Grupos'!$AC$3:$AC$200,MATCH($T2181,'Resumo Grupos'!$AB$3:$AB$200,0)),"n/d"))</f>
        <v>Pagamentos outros não operacionais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46254</v>
      </c>
      <c r="C2182" s="15" t="n">
        <v>46254</v>
      </c>
      <c r="D2182" s="1" t="n">
        <v>1000001</v>
      </c>
      <c r="E2182" s="1" t="s">
        <v>782</v>
      </c>
      <c r="F2182" s="1" t="n">
        <v>24</v>
      </c>
      <c r="G2182" s="1" t="s">
        <v>32</v>
      </c>
      <c r="H2182" s="1" t="n">
        <v>2110405</v>
      </c>
      <c r="I2182" s="1" t="s">
        <v>83</v>
      </c>
      <c r="J2182" s="1" t="n">
        <v>1582528</v>
      </c>
      <c r="L2182" s="1" t="n">
        <v>646221</v>
      </c>
      <c r="M2182" s="1" t="s">
        <v>41</v>
      </c>
      <c r="N2182" s="1" t="s">
        <v>42</v>
      </c>
      <c r="P2182" s="1" t="n">
        <v>102</v>
      </c>
      <c r="Q2182" s="1" t="s">
        <v>107</v>
      </c>
      <c r="R2182" s="1" t="s">
        <v>91</v>
      </c>
      <c r="S2182" s="1" t="n">
        <v>4220199</v>
      </c>
      <c r="T2182" s="1" t="s">
        <v>92</v>
      </c>
      <c r="U2182" s="17" t="n">
        <v>1342.68</v>
      </c>
      <c r="W2182" s="1" t="n">
        <v>1342.68</v>
      </c>
      <c r="X2182" s="1" t="s">
        <v>903</v>
      </c>
      <c r="Z2182" s="1" t="str">
        <f aca="false">IF($T2182="","",IFERROR(INDEX('Resumo Grupos'!$AC$3:$AC$200,MATCH($T2182,'Resumo Grupos'!$AB$3:$AB$200,0)),"n/d"))</f>
        <v>Pagamentos outros não operacionais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46254</v>
      </c>
      <c r="C2183" s="15" t="n">
        <v>46254</v>
      </c>
      <c r="D2183" s="1" t="n">
        <v>1000001</v>
      </c>
      <c r="E2183" s="1" t="s">
        <v>782</v>
      </c>
      <c r="F2183" s="1" t="n">
        <v>24</v>
      </c>
      <c r="G2183" s="1" t="s">
        <v>32</v>
      </c>
      <c r="H2183" s="1" t="n">
        <v>2110405</v>
      </c>
      <c r="I2183" s="1" t="s">
        <v>83</v>
      </c>
      <c r="J2183" s="1" t="n">
        <v>1582595</v>
      </c>
      <c r="L2183" s="1" t="n">
        <v>646230</v>
      </c>
      <c r="M2183" s="1" t="s">
        <v>41</v>
      </c>
      <c r="N2183" s="1" t="s">
        <v>42</v>
      </c>
      <c r="P2183" s="1" t="n">
        <v>102</v>
      </c>
      <c r="Q2183" s="1" t="s">
        <v>107</v>
      </c>
      <c r="R2183" s="1" t="s">
        <v>91</v>
      </c>
      <c r="S2183" s="1" t="n">
        <v>4220199</v>
      </c>
      <c r="T2183" s="1" t="s">
        <v>92</v>
      </c>
      <c r="U2183" s="17" t="n">
        <v>142.9</v>
      </c>
      <c r="W2183" s="1" t="n">
        <v>142.9</v>
      </c>
      <c r="X2183" s="1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46255</v>
      </c>
      <c r="D2184" s="1" t="n">
        <v>10017</v>
      </c>
      <c r="E2184" s="1" t="s">
        <v>753</v>
      </c>
      <c r="F2184" s="1" t="n">
        <v>24</v>
      </c>
      <c r="G2184" s="1" t="s">
        <v>32</v>
      </c>
      <c r="H2184" s="1" t="n">
        <v>2110405</v>
      </c>
      <c r="I2184" s="1" t="s">
        <v>83</v>
      </c>
      <c r="J2184" s="1" t="n">
        <v>1440211</v>
      </c>
      <c r="L2184" s="1" t="n">
        <v>592622</v>
      </c>
      <c r="M2184" s="1" t="s">
        <v>128</v>
      </c>
      <c r="N2184" s="1" t="s">
        <v>42</v>
      </c>
      <c r="P2184" s="1" t="n">
        <v>104</v>
      </c>
      <c r="Q2184" s="1" t="s">
        <v>99</v>
      </c>
      <c r="R2184" s="1" t="s">
        <v>37</v>
      </c>
      <c r="S2184" s="1" t="n">
        <v>1130101</v>
      </c>
      <c r="T2184" s="1" t="s">
        <v>38</v>
      </c>
      <c r="U2184" s="17" t="n">
        <v>868.36</v>
      </c>
      <c r="W2184" s="1" t="n">
        <v>0</v>
      </c>
      <c r="X2184" s="1" t="s">
        <v>2043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46255</v>
      </c>
      <c r="D2185" s="1" t="n">
        <v>1608</v>
      </c>
      <c r="E2185" s="1" t="s">
        <v>51</v>
      </c>
      <c r="F2185" s="1" t="n">
        <v>24</v>
      </c>
      <c r="G2185" s="1" t="s">
        <v>32</v>
      </c>
      <c r="H2185" s="1" t="n">
        <v>1110202</v>
      </c>
      <c r="I2185" s="1" t="s">
        <v>285</v>
      </c>
      <c r="J2185" s="1" t="n">
        <v>1449982</v>
      </c>
      <c r="L2185" s="1" t="n">
        <v>1698394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1365.55</v>
      </c>
      <c r="W2185" s="1" t="n">
        <v>0</v>
      </c>
      <c r="X2185" s="1" t="s">
        <v>2407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46228</v>
      </c>
      <c r="C2186" s="15" t="n">
        <v>46255</v>
      </c>
      <c r="D2186" s="1" t="n">
        <v>1657</v>
      </c>
      <c r="E2186" s="1" t="s">
        <v>1062</v>
      </c>
      <c r="F2186" s="1" t="n">
        <v>24</v>
      </c>
      <c r="G2186" s="1" t="s">
        <v>32</v>
      </c>
      <c r="H2186" s="1" t="n">
        <v>2110405</v>
      </c>
      <c r="I2186" s="1" t="s">
        <v>83</v>
      </c>
      <c r="J2186" s="1" t="n">
        <v>1450043</v>
      </c>
      <c r="L2186" s="1" t="n">
        <v>296100</v>
      </c>
      <c r="M2186" s="1" t="s">
        <v>128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925.98</v>
      </c>
      <c r="W2186" s="1" t="n">
        <v>0</v>
      </c>
      <c r="X2186" s="1" t="s">
        <v>2408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46235</v>
      </c>
      <c r="C2187" s="15" t="n">
        <v>46255</v>
      </c>
      <c r="D2187" s="1" t="n">
        <v>1815</v>
      </c>
      <c r="E2187" s="1" t="s">
        <v>551</v>
      </c>
      <c r="F2187" s="1" t="n">
        <v>24</v>
      </c>
      <c r="G2187" s="1" t="s">
        <v>32</v>
      </c>
      <c r="H2187" s="1" t="n">
        <v>2110405</v>
      </c>
      <c r="I2187" s="1" t="s">
        <v>83</v>
      </c>
      <c r="J2187" s="1" t="n">
        <v>1482383</v>
      </c>
      <c r="L2187" s="1" t="n">
        <v>395526</v>
      </c>
      <c r="M2187" s="1" t="s">
        <v>34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1143.82</v>
      </c>
      <c r="W2187" s="1" t="n">
        <v>0</v>
      </c>
      <c r="X2187" s="1" t="s">
        <v>2409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46241</v>
      </c>
      <c r="C2188" s="15" t="n">
        <v>46255</v>
      </c>
      <c r="D2188" s="1" t="n">
        <v>1366</v>
      </c>
      <c r="E2188" s="1" t="s">
        <v>2410</v>
      </c>
      <c r="F2188" s="1" t="n">
        <v>24</v>
      </c>
      <c r="G2188" s="1" t="s">
        <v>32</v>
      </c>
      <c r="H2188" s="1" t="n">
        <v>2110405</v>
      </c>
      <c r="I2188" s="1" t="s">
        <v>83</v>
      </c>
      <c r="J2188" s="1" t="n">
        <v>1514427</v>
      </c>
      <c r="L2188" s="1" t="n">
        <v>249</v>
      </c>
      <c r="M2188" s="1" t="s">
        <v>41</v>
      </c>
      <c r="N2188" s="1" t="s">
        <v>42</v>
      </c>
      <c r="P2188" s="1" t="n">
        <v>103</v>
      </c>
      <c r="Q2188" s="1" t="s">
        <v>36</v>
      </c>
      <c r="R2188" s="1" t="s">
        <v>37</v>
      </c>
      <c r="S2188" s="1" t="n">
        <v>1130101</v>
      </c>
      <c r="T2188" s="1" t="s">
        <v>38</v>
      </c>
      <c r="U2188" s="17" t="n">
        <v>435.4</v>
      </c>
      <c r="W2188" s="1" t="n">
        <v>0</v>
      </c>
      <c r="X2188" s="1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46241</v>
      </c>
      <c r="C2189" s="15" t="n">
        <v>46255</v>
      </c>
      <c r="D2189" s="1" t="n">
        <v>1608</v>
      </c>
      <c r="E2189" s="1" t="s">
        <v>51</v>
      </c>
      <c r="F2189" s="1" t="n">
        <v>24</v>
      </c>
      <c r="G2189" s="1" t="s">
        <v>32</v>
      </c>
      <c r="H2189" s="1" t="n">
        <v>2110405</v>
      </c>
      <c r="I2189" s="1" t="s">
        <v>83</v>
      </c>
      <c r="J2189" s="1" t="n">
        <v>1514839</v>
      </c>
      <c r="L2189" s="1" t="n">
        <v>1707352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953.13</v>
      </c>
      <c r="W2189" s="1" t="n">
        <v>0</v>
      </c>
      <c r="X2189" s="1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46242</v>
      </c>
      <c r="C2190" s="15" t="n">
        <v>46255</v>
      </c>
      <c r="D2190" s="1" t="n">
        <v>1815</v>
      </c>
      <c r="E2190" s="1" t="s">
        <v>551</v>
      </c>
      <c r="F2190" s="1" t="n">
        <v>24</v>
      </c>
      <c r="G2190" s="1" t="s">
        <v>32</v>
      </c>
      <c r="H2190" s="1" t="n">
        <v>2110405</v>
      </c>
      <c r="I2190" s="1" t="s">
        <v>83</v>
      </c>
      <c r="J2190" s="1" t="n">
        <v>1517855</v>
      </c>
      <c r="L2190" s="1" t="n">
        <v>396666</v>
      </c>
      <c r="M2190" s="1" t="s">
        <v>34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1052.37</v>
      </c>
      <c r="W2190" s="1" t="n">
        <v>0</v>
      </c>
      <c r="X2190" s="1" t="s">
        <v>2413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46242</v>
      </c>
      <c r="C2191" s="15" t="n">
        <v>46255</v>
      </c>
      <c r="D2191" s="1" t="n">
        <v>1700</v>
      </c>
      <c r="E2191" s="1" t="s">
        <v>2414</v>
      </c>
      <c r="F2191" s="1" t="n">
        <v>24</v>
      </c>
      <c r="G2191" s="1" t="s">
        <v>32</v>
      </c>
      <c r="H2191" s="1" t="n">
        <v>2110405</v>
      </c>
      <c r="I2191" s="1" t="s">
        <v>83</v>
      </c>
      <c r="J2191" s="1" t="n">
        <v>1518180</v>
      </c>
      <c r="L2191" s="1" t="n">
        <v>295194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687.96</v>
      </c>
      <c r="W2191" s="1" t="n">
        <v>0</v>
      </c>
      <c r="X2191" s="1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46255</v>
      </c>
      <c r="D2192" s="1" t="n">
        <v>1196</v>
      </c>
      <c r="E2192" s="1" t="s">
        <v>373</v>
      </c>
      <c r="F2192" s="1" t="n">
        <v>24</v>
      </c>
      <c r="G2192" s="1" t="s">
        <v>32</v>
      </c>
      <c r="H2192" s="1" t="n">
        <v>2110405</v>
      </c>
      <c r="I2192" s="1" t="s">
        <v>83</v>
      </c>
      <c r="J2192" s="1" t="n">
        <v>1518443</v>
      </c>
      <c r="L2192" s="1" t="n">
        <v>12716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1287.53</v>
      </c>
      <c r="W2192" s="1" t="n">
        <v>0</v>
      </c>
      <c r="X2192" s="1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46242</v>
      </c>
      <c r="C2193" s="15" t="n">
        <v>46255</v>
      </c>
      <c r="D2193" s="1" t="n">
        <v>1665</v>
      </c>
      <c r="E2193" s="1" t="s">
        <v>240</v>
      </c>
      <c r="F2193" s="1" t="n">
        <v>24</v>
      </c>
      <c r="G2193" s="1" t="s">
        <v>32</v>
      </c>
      <c r="H2193" s="1" t="n">
        <v>2110405</v>
      </c>
      <c r="I2193" s="1" t="s">
        <v>83</v>
      </c>
      <c r="J2193" s="1" t="n">
        <v>1518725</v>
      </c>
      <c r="L2193" s="1" t="n">
        <v>135970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291.6</v>
      </c>
      <c r="W2193" s="1" t="n">
        <v>0</v>
      </c>
      <c r="X2193" s="1" t="s">
        <v>2417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46244</v>
      </c>
      <c r="C2194" s="15" t="n">
        <v>46255</v>
      </c>
      <c r="D2194" s="1" t="n">
        <v>1612</v>
      </c>
      <c r="E2194" s="1" t="s">
        <v>193</v>
      </c>
      <c r="F2194" s="1" t="n">
        <v>24</v>
      </c>
      <c r="G2194" s="1" t="s">
        <v>32</v>
      </c>
      <c r="H2194" s="1" t="n">
        <v>2110405</v>
      </c>
      <c r="I2194" s="1" t="s">
        <v>83</v>
      </c>
      <c r="J2194" s="1" t="n">
        <v>1528938</v>
      </c>
      <c r="L2194" s="1" t="n">
        <v>2308194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625.82</v>
      </c>
      <c r="W2194" s="1" t="n">
        <v>0</v>
      </c>
      <c r="X2194" s="1" t="s">
        <v>2418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46244</v>
      </c>
      <c r="C2195" s="15" t="n">
        <v>46255</v>
      </c>
      <c r="D2195" s="1" t="n">
        <v>1114</v>
      </c>
      <c r="E2195" s="1" t="s">
        <v>144</v>
      </c>
      <c r="F2195" s="1" t="n">
        <v>24</v>
      </c>
      <c r="G2195" s="1" t="s">
        <v>32</v>
      </c>
      <c r="H2195" s="1" t="n">
        <v>2110405</v>
      </c>
      <c r="I2195" s="1" t="s">
        <v>83</v>
      </c>
      <c r="J2195" s="1" t="n">
        <v>1529283</v>
      </c>
      <c r="L2195" s="1" t="n">
        <v>43222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6638.54</v>
      </c>
      <c r="W2195" s="1" t="n">
        <v>0</v>
      </c>
      <c r="X2195" s="1" t="s">
        <v>2419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46244</v>
      </c>
      <c r="C2196" s="15" t="n">
        <v>46255</v>
      </c>
      <c r="D2196" s="1" t="n">
        <v>1270</v>
      </c>
      <c r="E2196" s="1" t="s">
        <v>309</v>
      </c>
      <c r="F2196" s="1" t="n">
        <v>24</v>
      </c>
      <c r="G2196" s="1" t="s">
        <v>32</v>
      </c>
      <c r="H2196" s="1" t="n">
        <v>2110405</v>
      </c>
      <c r="I2196" s="1" t="s">
        <v>83</v>
      </c>
      <c r="J2196" s="1" t="n">
        <v>1529299</v>
      </c>
      <c r="L2196" s="1" t="n">
        <v>2764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523</v>
      </c>
      <c r="W2196" s="1" t="n">
        <v>0</v>
      </c>
      <c r="X2196" s="1" t="s">
        <v>2420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46244</v>
      </c>
      <c r="C2197" s="15" t="n">
        <v>46255</v>
      </c>
      <c r="D2197" s="1" t="n">
        <v>1705</v>
      </c>
      <c r="E2197" s="1" t="s">
        <v>148</v>
      </c>
      <c r="F2197" s="1" t="n">
        <v>24</v>
      </c>
      <c r="G2197" s="1" t="s">
        <v>32</v>
      </c>
      <c r="H2197" s="1" t="n">
        <v>2110405</v>
      </c>
      <c r="I2197" s="1" t="s">
        <v>83</v>
      </c>
      <c r="J2197" s="1" t="n">
        <v>1529799</v>
      </c>
      <c r="L2197" s="1" t="n">
        <v>1237154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2339.45</v>
      </c>
      <c r="W2197" s="1" t="n">
        <v>0</v>
      </c>
      <c r="X2197" s="1" t="s">
        <v>2421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46244</v>
      </c>
      <c r="C2198" s="15" t="n">
        <v>46255</v>
      </c>
      <c r="D2198" s="1" t="n">
        <v>1705</v>
      </c>
      <c r="E2198" s="1" t="s">
        <v>148</v>
      </c>
      <c r="F2198" s="1" t="n">
        <v>24</v>
      </c>
      <c r="G2198" s="1" t="s">
        <v>32</v>
      </c>
      <c r="H2198" s="1" t="n">
        <v>2110405</v>
      </c>
      <c r="I2198" s="1" t="s">
        <v>83</v>
      </c>
      <c r="J2198" s="1" t="n">
        <v>1529841</v>
      </c>
      <c r="L2198" s="1" t="n">
        <v>1974455</v>
      </c>
      <c r="M2198" s="1" t="s">
        <v>41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6742.71</v>
      </c>
      <c r="W2198" s="1" t="n">
        <v>0</v>
      </c>
      <c r="X2198" s="1" t="s">
        <v>2422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46244</v>
      </c>
      <c r="C2199" s="15" t="n">
        <v>46255</v>
      </c>
      <c r="D2199" s="1" t="n">
        <v>1666</v>
      </c>
      <c r="E2199" s="1" t="s">
        <v>31</v>
      </c>
      <c r="F2199" s="1" t="n">
        <v>24</v>
      </c>
      <c r="G2199" s="1" t="s">
        <v>32</v>
      </c>
      <c r="H2199" s="1" t="n">
        <v>2110405</v>
      </c>
      <c r="I2199" s="1" t="s">
        <v>83</v>
      </c>
      <c r="J2199" s="1" t="n">
        <v>1529882</v>
      </c>
      <c r="L2199" s="1" t="n">
        <v>569302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15215.99</v>
      </c>
      <c r="W2199" s="1" t="n">
        <v>0</v>
      </c>
      <c r="X2199" s="1" t="s">
        <v>2423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46255</v>
      </c>
      <c r="D2200" s="1" t="n">
        <v>1779</v>
      </c>
      <c r="E2200" s="1" t="s">
        <v>864</v>
      </c>
      <c r="F2200" s="1" t="n">
        <v>34</v>
      </c>
      <c r="G2200" s="1" t="s">
        <v>71</v>
      </c>
      <c r="H2200" s="1" t="n">
        <v>2110405</v>
      </c>
      <c r="I2200" s="1" t="s">
        <v>83</v>
      </c>
      <c r="J2200" s="1" t="n">
        <v>1535132</v>
      </c>
      <c r="L2200" s="1" t="n">
        <v>627189</v>
      </c>
      <c r="M2200" s="1" t="s">
        <v>41</v>
      </c>
      <c r="N2200" s="1" t="s">
        <v>42</v>
      </c>
      <c r="P2200" s="1" t="n">
        <v>101</v>
      </c>
      <c r="Q2200" s="1" t="s">
        <v>84</v>
      </c>
      <c r="R2200" s="1" t="s">
        <v>165</v>
      </c>
      <c r="S2200" s="1" t="n">
        <v>2110901</v>
      </c>
      <c r="T2200" s="1" t="s">
        <v>166</v>
      </c>
      <c r="U2200" s="17" t="n">
        <v>38689.04</v>
      </c>
      <c r="W2200" s="1" t="n">
        <v>0</v>
      </c>
      <c r="X2200" s="1" t="s">
        <v>2424</v>
      </c>
      <c r="Z2200" s="1" t="str">
        <f aca="false">IF($T2200="","",IFERROR(INDEX('Resumo Grupos'!$AC$3:$AC$200,MATCH($T2200,'Resumo Grupos'!$AB$3:$AB$200,0)),"n/d"))</f>
        <v>Empréstimo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46249</v>
      </c>
      <c r="C2201" s="15" t="n">
        <v>46255</v>
      </c>
      <c r="D2201" s="1" t="n">
        <v>1152</v>
      </c>
      <c r="E2201" s="1" t="s">
        <v>1227</v>
      </c>
      <c r="F2201" s="1" t="n">
        <v>24</v>
      </c>
      <c r="G2201" s="1" t="s">
        <v>32</v>
      </c>
      <c r="H2201" s="1" t="n">
        <v>2110405</v>
      </c>
      <c r="I2201" s="1" t="s">
        <v>83</v>
      </c>
      <c r="J2201" s="1" t="n">
        <v>1551348</v>
      </c>
      <c r="L2201" s="1" t="n">
        <v>268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1575</v>
      </c>
      <c r="W2201" s="1" t="n">
        <v>0</v>
      </c>
      <c r="X2201" s="1" t="s">
        <v>2425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46249</v>
      </c>
      <c r="C2202" s="15" t="n">
        <v>46255</v>
      </c>
      <c r="D2202" s="1" t="n">
        <v>1123</v>
      </c>
      <c r="E2202" s="1" t="s">
        <v>215</v>
      </c>
      <c r="F2202" s="1" t="n">
        <v>24</v>
      </c>
      <c r="G2202" s="1" t="s">
        <v>32</v>
      </c>
      <c r="H2202" s="1" t="n">
        <v>2110405</v>
      </c>
      <c r="I2202" s="1" t="s">
        <v>83</v>
      </c>
      <c r="J2202" s="1" t="n">
        <v>1551913</v>
      </c>
      <c r="L2202" s="1" t="n">
        <v>46104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920</v>
      </c>
      <c r="W2202" s="1" t="n">
        <v>0</v>
      </c>
      <c r="X2202" s="1" t="s">
        <v>2426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46249</v>
      </c>
      <c r="C2203" s="15" t="n">
        <v>46255</v>
      </c>
      <c r="D2203" s="1" t="n">
        <v>1286</v>
      </c>
      <c r="E2203" s="1" t="s">
        <v>319</v>
      </c>
      <c r="F2203" s="1" t="n">
        <v>24</v>
      </c>
      <c r="G2203" s="1" t="s">
        <v>32</v>
      </c>
      <c r="H2203" s="1" t="n">
        <v>2110405</v>
      </c>
      <c r="I2203" s="1" t="s">
        <v>83</v>
      </c>
      <c r="J2203" s="1" t="n">
        <v>1551934</v>
      </c>
      <c r="L2203" s="1" t="n">
        <v>10554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864</v>
      </c>
      <c r="W2203" s="1" t="n">
        <v>0</v>
      </c>
      <c r="X2203" s="1" t="s">
        <v>2427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46249</v>
      </c>
      <c r="C2204" s="15" t="n">
        <v>46255</v>
      </c>
      <c r="D2204" s="1" t="n">
        <v>1815</v>
      </c>
      <c r="E2204" s="1" t="s">
        <v>551</v>
      </c>
      <c r="F2204" s="1" t="n">
        <v>24</v>
      </c>
      <c r="G2204" s="1" t="s">
        <v>32</v>
      </c>
      <c r="H2204" s="1" t="n">
        <v>2110405</v>
      </c>
      <c r="I2204" s="1" t="s">
        <v>83</v>
      </c>
      <c r="J2204" s="1" t="n">
        <v>1552021</v>
      </c>
      <c r="L2204" s="1" t="n">
        <v>397850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466</v>
      </c>
      <c r="W2204" s="1" t="n">
        <v>0</v>
      </c>
      <c r="X2204" s="1" t="s">
        <v>2428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46249</v>
      </c>
      <c r="C2205" s="15" t="n">
        <v>46255</v>
      </c>
      <c r="D2205" s="1" t="n">
        <v>1642</v>
      </c>
      <c r="E2205" s="1" t="s">
        <v>159</v>
      </c>
      <c r="F2205" s="1" t="n">
        <v>24</v>
      </c>
      <c r="G2205" s="1" t="s">
        <v>32</v>
      </c>
      <c r="H2205" s="1" t="n">
        <v>2110405</v>
      </c>
      <c r="I2205" s="1" t="s">
        <v>83</v>
      </c>
      <c r="J2205" s="1" t="n">
        <v>1552103</v>
      </c>
      <c r="L2205" s="1" t="n">
        <v>1036865</v>
      </c>
      <c r="M2205" s="1" t="s">
        <v>41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461.8</v>
      </c>
      <c r="W2205" s="1" t="n">
        <v>0</v>
      </c>
      <c r="X2205" s="1" t="s">
        <v>2429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46249</v>
      </c>
      <c r="C2206" s="15" t="n">
        <v>46255</v>
      </c>
      <c r="D2206" s="1" t="n">
        <v>1024</v>
      </c>
      <c r="E2206" s="1" t="s">
        <v>688</v>
      </c>
      <c r="F2206" s="1" t="n">
        <v>24</v>
      </c>
      <c r="G2206" s="1" t="s">
        <v>32</v>
      </c>
      <c r="H2206" s="1" t="n">
        <v>2110405</v>
      </c>
      <c r="I2206" s="1" t="s">
        <v>83</v>
      </c>
      <c r="J2206" s="1" t="n">
        <v>1552231</v>
      </c>
      <c r="L2206" s="1" t="n">
        <v>622535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120</v>
      </c>
      <c r="W2206" s="1" t="n">
        <v>0</v>
      </c>
      <c r="X2206" s="1" t="s">
        <v>2430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46251</v>
      </c>
      <c r="C2207" s="15" t="n">
        <v>46255</v>
      </c>
      <c r="D2207" s="1" t="n">
        <v>33</v>
      </c>
      <c r="E2207" s="1" t="s">
        <v>70</v>
      </c>
      <c r="F2207" s="1" t="n">
        <v>34</v>
      </c>
      <c r="G2207" s="1" t="s">
        <v>71</v>
      </c>
      <c r="H2207" s="1" t="n">
        <v>2110101</v>
      </c>
      <c r="I2207" s="1" t="s">
        <v>33</v>
      </c>
      <c r="J2207" s="1" t="n">
        <v>1560861</v>
      </c>
      <c r="L2207" s="1" t="n">
        <v>5497</v>
      </c>
      <c r="M2207" s="1" t="s">
        <v>41</v>
      </c>
      <c r="N2207" s="1" t="s">
        <v>35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1349</v>
      </c>
      <c r="W2207" s="1" t="n">
        <v>0</v>
      </c>
      <c r="X2207" s="1" t="s">
        <v>2431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46251</v>
      </c>
      <c r="C2208" s="15" t="n">
        <v>46255</v>
      </c>
      <c r="D2208" s="1" t="n">
        <v>1328</v>
      </c>
      <c r="E2208" s="1" t="s">
        <v>323</v>
      </c>
      <c r="F2208" s="1" t="n">
        <v>24</v>
      </c>
      <c r="G2208" s="1" t="s">
        <v>32</v>
      </c>
      <c r="H2208" s="1" t="n">
        <v>2110405</v>
      </c>
      <c r="I2208" s="1" t="s">
        <v>83</v>
      </c>
      <c r="J2208" s="1" t="n">
        <v>1561067</v>
      </c>
      <c r="L2208" s="1" t="n">
        <v>4384</v>
      </c>
      <c r="M2208" s="1" t="s">
        <v>41</v>
      </c>
      <c r="N2208" s="1" t="s">
        <v>42</v>
      </c>
      <c r="P2208" s="1" t="n">
        <v>103</v>
      </c>
      <c r="Q2208" s="1" t="s">
        <v>36</v>
      </c>
      <c r="R2208" s="1" t="s">
        <v>37</v>
      </c>
      <c r="S2208" s="1" t="n">
        <v>1130101</v>
      </c>
      <c r="T2208" s="1" t="s">
        <v>38</v>
      </c>
      <c r="U2208" s="17" t="n">
        <v>271.25</v>
      </c>
      <c r="W2208" s="1" t="n">
        <v>0</v>
      </c>
      <c r="X2208" s="1" t="s">
        <v>2432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46252</v>
      </c>
      <c r="C2209" s="15" t="n">
        <v>46255</v>
      </c>
      <c r="D2209" s="1" t="n">
        <v>1899</v>
      </c>
      <c r="E2209" s="1" t="s">
        <v>74</v>
      </c>
      <c r="F2209" s="1" t="n">
        <v>24</v>
      </c>
      <c r="G2209" s="1" t="s">
        <v>32</v>
      </c>
      <c r="H2209" s="1" t="n">
        <v>2110405</v>
      </c>
      <c r="I2209" s="1" t="s">
        <v>83</v>
      </c>
      <c r="J2209" s="1" t="n">
        <v>1565864</v>
      </c>
      <c r="L2209" s="1" t="n">
        <v>764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1190</v>
      </c>
      <c r="W2209" s="1" t="n">
        <v>0</v>
      </c>
      <c r="X2209" s="1" t="s">
        <v>2433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46255</v>
      </c>
      <c r="C2210" s="15" t="n">
        <v>46255</v>
      </c>
      <c r="D2210" s="1" t="n">
        <v>10035</v>
      </c>
      <c r="E2210" s="1" t="s">
        <v>336</v>
      </c>
      <c r="F2210" s="1" t="n">
        <v>13</v>
      </c>
      <c r="G2210" s="1" t="s">
        <v>98</v>
      </c>
      <c r="H2210" s="1" t="n">
        <v>2110101</v>
      </c>
      <c r="I2210" s="1" t="s">
        <v>33</v>
      </c>
      <c r="J2210" s="1" t="n">
        <v>1580678</v>
      </c>
      <c r="L2210" s="1" t="n">
        <v>411</v>
      </c>
      <c r="M2210" s="1" t="s">
        <v>41</v>
      </c>
      <c r="N2210" s="1" t="s">
        <v>35</v>
      </c>
      <c r="P2210" s="1" t="n">
        <v>104</v>
      </c>
      <c r="Q2210" s="1" t="s">
        <v>99</v>
      </c>
      <c r="R2210" s="1" t="s">
        <v>37</v>
      </c>
      <c r="S2210" s="1" t="n">
        <v>1130101</v>
      </c>
      <c r="T2210" s="1" t="s">
        <v>38</v>
      </c>
      <c r="U2210" s="17" t="n">
        <v>440</v>
      </c>
      <c r="W2210" s="1" t="n">
        <v>0</v>
      </c>
      <c r="X2210" s="1" t="s">
        <v>2434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46255</v>
      </c>
      <c r="C2211" s="15" t="n">
        <v>46255</v>
      </c>
      <c r="D2211" s="1" t="n">
        <v>1779</v>
      </c>
      <c r="E2211" s="1" t="s">
        <v>864</v>
      </c>
      <c r="F2211" s="1" t="n">
        <v>34</v>
      </c>
      <c r="G2211" s="1" t="s">
        <v>71</v>
      </c>
      <c r="H2211" s="1" t="n">
        <v>2110405</v>
      </c>
      <c r="I2211" s="1" t="s">
        <v>83</v>
      </c>
      <c r="J2211" s="1" t="n">
        <v>1535132</v>
      </c>
      <c r="L2211" s="1" t="n">
        <v>627189</v>
      </c>
      <c r="M2211" s="1" t="s">
        <v>34</v>
      </c>
      <c r="N2211" s="1" t="s">
        <v>42</v>
      </c>
      <c r="P2211" s="1" t="n">
        <v>102</v>
      </c>
      <c r="Q2211" s="1" t="s">
        <v>107</v>
      </c>
      <c r="R2211" s="1" t="s">
        <v>165</v>
      </c>
      <c r="S2211" s="1" t="n">
        <v>2110901</v>
      </c>
      <c r="T2211" s="1" t="s">
        <v>166</v>
      </c>
      <c r="U2211" s="17" t="n">
        <v>2700.12</v>
      </c>
      <c r="W2211" s="1" t="n">
        <v>0</v>
      </c>
      <c r="X2211" s="1" t="s">
        <v>2424</v>
      </c>
      <c r="Z2211" s="1" t="str">
        <f aca="false">IF($T2211="","",IFERROR(INDEX('Resumo Grupos'!$AC$3:$AC$200,MATCH($T2211,'Resumo Grupos'!$AB$3:$AB$200,0)),"n/d"))</f>
        <v>Empréstimo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46255</v>
      </c>
      <c r="C2212" s="15" t="n">
        <v>46255</v>
      </c>
      <c r="D2212" s="1" t="n">
        <v>1741</v>
      </c>
      <c r="E2212" s="1" t="s">
        <v>728</v>
      </c>
      <c r="F2212" s="1" t="n">
        <v>34</v>
      </c>
      <c r="G2212" s="1" t="s">
        <v>71</v>
      </c>
      <c r="H2212" s="1" t="n">
        <v>2110405</v>
      </c>
      <c r="I2212" s="1" t="s">
        <v>83</v>
      </c>
      <c r="J2212" s="1" t="n">
        <v>1580882</v>
      </c>
      <c r="L2212" s="1" t="n">
        <v>25200</v>
      </c>
      <c r="M2212" s="1" t="s">
        <v>41</v>
      </c>
      <c r="N2212" s="1" t="s">
        <v>42</v>
      </c>
      <c r="P2212" s="1" t="n">
        <v>101</v>
      </c>
      <c r="Q2212" s="1" t="s">
        <v>84</v>
      </c>
      <c r="R2212" s="1" t="s">
        <v>60</v>
      </c>
      <c r="S2212" s="1" t="n">
        <v>4210232</v>
      </c>
      <c r="T2212" s="1" t="s">
        <v>431</v>
      </c>
      <c r="U2212" s="17" t="n">
        <v>504.62</v>
      </c>
      <c r="W2212" s="1" t="n">
        <v>0</v>
      </c>
      <c r="X2212" s="1" t="s">
        <v>2435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46255</v>
      </c>
      <c r="C2213" s="15" t="n">
        <v>46255</v>
      </c>
      <c r="D2213" s="1" t="n">
        <v>33</v>
      </c>
      <c r="E2213" s="1" t="s">
        <v>70</v>
      </c>
      <c r="F2213" s="1" t="n">
        <v>34</v>
      </c>
      <c r="G2213" s="1" t="s">
        <v>71</v>
      </c>
      <c r="H2213" s="1" t="n">
        <v>2110101</v>
      </c>
      <c r="I2213" s="1" t="s">
        <v>33</v>
      </c>
      <c r="J2213" s="1" t="n">
        <v>1581648</v>
      </c>
      <c r="L2213" s="1" t="n">
        <v>5533</v>
      </c>
      <c r="M2213" s="1" t="s">
        <v>41</v>
      </c>
      <c r="N2213" s="1" t="s">
        <v>35</v>
      </c>
      <c r="P2213" s="1" t="n">
        <v>104</v>
      </c>
      <c r="Q2213" s="1" t="s">
        <v>99</v>
      </c>
      <c r="R2213" s="1" t="s">
        <v>37</v>
      </c>
      <c r="S2213" s="1" t="n">
        <v>1130101</v>
      </c>
      <c r="T2213" s="1" t="s">
        <v>38</v>
      </c>
      <c r="U2213" s="17" t="n">
        <v>2449</v>
      </c>
      <c r="W2213" s="1" t="n">
        <v>0</v>
      </c>
      <c r="X2213" s="1" t="s">
        <v>220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46255</v>
      </c>
      <c r="C2214" s="15" t="n">
        <v>46255</v>
      </c>
      <c r="D2214" s="1" t="n">
        <v>33</v>
      </c>
      <c r="E2214" s="1" t="s">
        <v>70</v>
      </c>
      <c r="F2214" s="1" t="n">
        <v>34</v>
      </c>
      <c r="G2214" s="1" t="s">
        <v>71</v>
      </c>
      <c r="H2214" s="1" t="n">
        <v>2110405</v>
      </c>
      <c r="I2214" s="1" t="s">
        <v>83</v>
      </c>
      <c r="J2214" s="1" t="n">
        <v>1581656</v>
      </c>
      <c r="L2214" s="1" t="n">
        <v>645964</v>
      </c>
      <c r="M2214" s="1" t="s">
        <v>41</v>
      </c>
      <c r="N2214" s="1" t="s">
        <v>42</v>
      </c>
      <c r="P2214" s="1" t="n">
        <v>104</v>
      </c>
      <c r="Q2214" s="1" t="s">
        <v>99</v>
      </c>
      <c r="R2214" s="1" t="s">
        <v>37</v>
      </c>
      <c r="S2214" s="1" t="n">
        <v>1130101</v>
      </c>
      <c r="T2214" s="1" t="s">
        <v>38</v>
      </c>
      <c r="U2214" s="17" t="n">
        <v>165</v>
      </c>
      <c r="W2214" s="1" t="n">
        <v>0</v>
      </c>
      <c r="X2214" s="1" t="s">
        <v>1717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46255</v>
      </c>
      <c r="C2215" s="15" t="n">
        <v>46255</v>
      </c>
      <c r="D2215" s="1" t="n">
        <v>1615</v>
      </c>
      <c r="E2215" s="1" t="s">
        <v>221</v>
      </c>
      <c r="F2215" s="1" t="n">
        <v>34</v>
      </c>
      <c r="G2215" s="1" t="s">
        <v>71</v>
      </c>
      <c r="H2215" s="1" t="n">
        <v>2110101</v>
      </c>
      <c r="I2215" s="1" t="s">
        <v>33</v>
      </c>
      <c r="J2215" s="1" t="n">
        <v>1581669</v>
      </c>
      <c r="L2215" s="1" t="n">
        <v>15158</v>
      </c>
      <c r="M2215" s="1" t="s">
        <v>41</v>
      </c>
      <c r="N2215" s="1" t="s">
        <v>35</v>
      </c>
      <c r="P2215" s="1" t="n">
        <v>104</v>
      </c>
      <c r="Q2215" s="1" t="s">
        <v>99</v>
      </c>
      <c r="R2215" s="1" t="s">
        <v>37</v>
      </c>
      <c r="S2215" s="1" t="n">
        <v>1130101</v>
      </c>
      <c r="T2215" s="1" t="s">
        <v>38</v>
      </c>
      <c r="U2215" s="17" t="n">
        <v>1330</v>
      </c>
      <c r="W2215" s="1" t="n">
        <v>0</v>
      </c>
      <c r="X2215" s="1" t="s">
        <v>2436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46255</v>
      </c>
      <c r="C2216" s="15" t="n">
        <v>46255</v>
      </c>
      <c r="D2216" s="1" t="n">
        <v>33</v>
      </c>
      <c r="E2216" s="1" t="s">
        <v>70</v>
      </c>
      <c r="F2216" s="1" t="n">
        <v>34</v>
      </c>
      <c r="G2216" s="1" t="s">
        <v>71</v>
      </c>
      <c r="H2216" s="1" t="n">
        <v>2110101</v>
      </c>
      <c r="I2216" s="1" t="s">
        <v>33</v>
      </c>
      <c r="J2216" s="1" t="n">
        <v>1582700</v>
      </c>
      <c r="L2216" s="1" t="n">
        <v>5544</v>
      </c>
      <c r="M2216" s="1" t="s">
        <v>41</v>
      </c>
      <c r="N2216" s="1" t="s">
        <v>35</v>
      </c>
      <c r="P2216" s="1" t="n">
        <v>104</v>
      </c>
      <c r="Q2216" s="1" t="s">
        <v>99</v>
      </c>
      <c r="R2216" s="1" t="s">
        <v>37</v>
      </c>
      <c r="S2216" s="1" t="n">
        <v>1130101</v>
      </c>
      <c r="T2216" s="1" t="s">
        <v>38</v>
      </c>
      <c r="U2216" s="17" t="n">
        <v>745</v>
      </c>
      <c r="W2216" s="1" t="n">
        <v>0</v>
      </c>
      <c r="X2216" s="1" t="s">
        <v>2437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46255</v>
      </c>
      <c r="C2217" s="15" t="n">
        <v>46255</v>
      </c>
      <c r="D2217" s="1" t="n">
        <v>10096</v>
      </c>
      <c r="E2217" s="1" t="s">
        <v>1496</v>
      </c>
      <c r="F2217" s="1" t="n">
        <v>13</v>
      </c>
      <c r="G2217" s="1" t="s">
        <v>98</v>
      </c>
      <c r="H2217" s="1" t="n">
        <v>2110101</v>
      </c>
      <c r="I2217" s="1" t="s">
        <v>33</v>
      </c>
      <c r="J2217" s="1" t="n">
        <v>1585109</v>
      </c>
      <c r="L2217" s="1" t="n">
        <v>197</v>
      </c>
      <c r="M2217" s="1" t="s">
        <v>41</v>
      </c>
      <c r="N2217" s="1" t="s">
        <v>35</v>
      </c>
      <c r="P2217" s="1" t="n">
        <v>104</v>
      </c>
      <c r="Q2217" s="1" t="s">
        <v>99</v>
      </c>
      <c r="R2217" s="1" t="s">
        <v>37</v>
      </c>
      <c r="S2217" s="1" t="n">
        <v>1130101</v>
      </c>
      <c r="T2217" s="1" t="s">
        <v>38</v>
      </c>
      <c r="U2217" s="17" t="n">
        <v>360</v>
      </c>
      <c r="W2217" s="1" t="n">
        <v>360</v>
      </c>
      <c r="X2217" s="1" t="s">
        <v>2438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46255</v>
      </c>
      <c r="C2218" s="15" t="n">
        <v>46255</v>
      </c>
      <c r="D2218" s="1" t="n">
        <v>10096</v>
      </c>
      <c r="E2218" s="1" t="s">
        <v>1496</v>
      </c>
      <c r="F2218" s="1" t="n">
        <v>13</v>
      </c>
      <c r="G2218" s="1" t="s">
        <v>98</v>
      </c>
      <c r="H2218" s="1" t="n">
        <v>2110101</v>
      </c>
      <c r="I2218" s="1" t="s">
        <v>33</v>
      </c>
      <c r="J2218" s="1" t="n">
        <v>1585137</v>
      </c>
      <c r="L2218" s="1" t="n">
        <v>198</v>
      </c>
      <c r="M2218" s="1" t="s">
        <v>41</v>
      </c>
      <c r="N2218" s="1" t="s">
        <v>35</v>
      </c>
      <c r="P2218" s="1" t="n">
        <v>104</v>
      </c>
      <c r="Q2218" s="1" t="s">
        <v>99</v>
      </c>
      <c r="R2218" s="1" t="s">
        <v>37</v>
      </c>
      <c r="S2218" s="1" t="n">
        <v>1130101</v>
      </c>
      <c r="T2218" s="1" t="s">
        <v>38</v>
      </c>
      <c r="U2218" s="17" t="n">
        <v>280</v>
      </c>
      <c r="W2218" s="1" t="n">
        <v>0</v>
      </c>
      <c r="X2218" s="1" t="s">
        <v>2439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46225</v>
      </c>
      <c r="C2219" s="15" t="n">
        <v>46256</v>
      </c>
      <c r="D2219" s="1" t="n">
        <v>10011</v>
      </c>
      <c r="E2219" s="1" t="s">
        <v>189</v>
      </c>
      <c r="F2219" s="1" t="n">
        <v>24</v>
      </c>
      <c r="G2219" s="1" t="s">
        <v>32</v>
      </c>
      <c r="H2219" s="1" t="n">
        <v>2110405</v>
      </c>
      <c r="I2219" s="1" t="s">
        <v>83</v>
      </c>
      <c r="J2219" s="1" t="n">
        <v>1435119</v>
      </c>
      <c r="L2219" s="1" t="n">
        <v>34737</v>
      </c>
      <c r="M2219" s="1" t="s">
        <v>34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807.05</v>
      </c>
      <c r="W2219" s="1" t="n">
        <v>0</v>
      </c>
      <c r="X2219" s="1" t="s">
        <v>2440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46226</v>
      </c>
      <c r="C2220" s="15" t="n">
        <v>46256</v>
      </c>
      <c r="D2220" s="1" t="n">
        <v>957</v>
      </c>
      <c r="E2220" s="1" t="s">
        <v>132</v>
      </c>
      <c r="F2220" s="1" t="n">
        <v>24</v>
      </c>
      <c r="G2220" s="1" t="s">
        <v>32</v>
      </c>
      <c r="H2220" s="1" t="n">
        <v>2110405</v>
      </c>
      <c r="I2220" s="1" t="s">
        <v>83</v>
      </c>
      <c r="J2220" s="1" t="n">
        <v>1439137</v>
      </c>
      <c r="L2220" s="1" t="n">
        <v>21188</v>
      </c>
      <c r="M2220" s="1" t="s">
        <v>34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3458.9</v>
      </c>
      <c r="W2220" s="1" t="n">
        <v>0</v>
      </c>
      <c r="X2220" s="1" t="s">
        <v>2441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46256</v>
      </c>
      <c r="D2221" s="1" t="n">
        <v>1659</v>
      </c>
      <c r="E2221" s="1" t="s">
        <v>54</v>
      </c>
      <c r="F2221" s="1" t="n">
        <v>24</v>
      </c>
      <c r="G2221" s="1" t="s">
        <v>32</v>
      </c>
      <c r="H2221" s="1" t="n">
        <v>2110405</v>
      </c>
      <c r="I2221" s="1" t="s">
        <v>83</v>
      </c>
      <c r="J2221" s="1" t="n">
        <v>1508900</v>
      </c>
      <c r="L2221" s="1" t="n">
        <v>889410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1452.45</v>
      </c>
      <c r="W2221" s="1" t="n">
        <v>0</v>
      </c>
      <c r="X2221" s="1" t="s">
        <v>2442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46242</v>
      </c>
      <c r="C2222" s="15" t="n">
        <v>46256</v>
      </c>
      <c r="D2222" s="1" t="n">
        <v>1708</v>
      </c>
      <c r="E2222" s="1" t="s">
        <v>153</v>
      </c>
      <c r="F2222" s="1" t="n">
        <v>24</v>
      </c>
      <c r="G2222" s="1" t="s">
        <v>32</v>
      </c>
      <c r="H2222" s="1" t="n">
        <v>2110405</v>
      </c>
      <c r="I2222" s="1" t="s">
        <v>83</v>
      </c>
      <c r="J2222" s="1" t="n">
        <v>1518534</v>
      </c>
      <c r="L2222" s="1" t="n">
        <v>264963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721.52</v>
      </c>
      <c r="W2222" s="1" t="n">
        <v>0</v>
      </c>
      <c r="X2222" s="1" t="s">
        <v>2443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46256</v>
      </c>
      <c r="D2223" s="1" t="n">
        <v>1723</v>
      </c>
      <c r="E2223" s="1" t="s">
        <v>264</v>
      </c>
      <c r="F2223" s="1" t="n">
        <v>24</v>
      </c>
      <c r="G2223" s="1" t="s">
        <v>32</v>
      </c>
      <c r="H2223" s="1" t="n">
        <v>2110405</v>
      </c>
      <c r="I2223" s="1" t="s">
        <v>83</v>
      </c>
      <c r="J2223" s="1" t="n">
        <v>1537350</v>
      </c>
      <c r="L2223" s="1" t="n">
        <v>174746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5918.6</v>
      </c>
      <c r="W2223" s="1" t="n">
        <v>0</v>
      </c>
      <c r="X2223" s="1" t="s">
        <v>2444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46256</v>
      </c>
      <c r="D2224" s="1" t="n">
        <v>1672</v>
      </c>
      <c r="E2224" s="1" t="s">
        <v>146</v>
      </c>
      <c r="F2224" s="1" t="n">
        <v>24</v>
      </c>
      <c r="G2224" s="1" t="s">
        <v>32</v>
      </c>
      <c r="H2224" s="1" t="n">
        <v>2110405</v>
      </c>
      <c r="I2224" s="1" t="s">
        <v>83</v>
      </c>
      <c r="J2224" s="1" t="n">
        <v>1537368</v>
      </c>
      <c r="L2224" s="1" t="n">
        <v>1414621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1518.6</v>
      </c>
      <c r="W2224" s="1" t="n">
        <v>0</v>
      </c>
      <c r="X2224" s="1" t="s">
        <v>2445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46251</v>
      </c>
      <c r="C2225" s="15" t="n">
        <v>46256</v>
      </c>
      <c r="D2225" s="1" t="n">
        <v>1798</v>
      </c>
      <c r="E2225" s="1" t="s">
        <v>315</v>
      </c>
      <c r="F2225" s="1" t="n">
        <v>24</v>
      </c>
      <c r="G2225" s="1" t="s">
        <v>32</v>
      </c>
      <c r="H2225" s="1" t="n">
        <v>2110405</v>
      </c>
      <c r="I2225" s="1" t="s">
        <v>83</v>
      </c>
      <c r="J2225" s="1" t="n">
        <v>1562609</v>
      </c>
      <c r="L2225" s="1" t="n">
        <v>831858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1440</v>
      </c>
      <c r="W2225" s="1" t="n">
        <v>0</v>
      </c>
      <c r="X2225" s="1" t="s">
        <v>2446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46256</v>
      </c>
      <c r="D2226" s="1" t="n">
        <v>1625</v>
      </c>
      <c r="E2226" s="1" t="s">
        <v>211</v>
      </c>
      <c r="F2226" s="1" t="n">
        <v>24</v>
      </c>
      <c r="G2226" s="1" t="s">
        <v>32</v>
      </c>
      <c r="H2226" s="1" t="n">
        <v>2110405</v>
      </c>
      <c r="I2226" s="1" t="s">
        <v>83</v>
      </c>
      <c r="J2226" s="1" t="n">
        <v>1562750</v>
      </c>
      <c r="L2226" s="1" t="n">
        <v>15059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7881</v>
      </c>
      <c r="W2226" s="1" t="n">
        <v>0</v>
      </c>
      <c r="X2226" s="1" t="s">
        <v>2447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46256</v>
      </c>
      <c r="C2227" s="15" t="n">
        <v>46256</v>
      </c>
      <c r="D2227" s="1" t="n">
        <v>33</v>
      </c>
      <c r="E2227" s="1" t="s">
        <v>70</v>
      </c>
      <c r="F2227" s="1" t="n">
        <v>13</v>
      </c>
      <c r="G2227" s="1" t="s">
        <v>98</v>
      </c>
      <c r="H2227" s="1" t="n">
        <v>2110101</v>
      </c>
      <c r="I2227" s="1" t="s">
        <v>33</v>
      </c>
      <c r="J2227" s="1" t="n">
        <v>1585148</v>
      </c>
      <c r="L2227" s="1" t="n">
        <v>5545</v>
      </c>
      <c r="M2227" s="1" t="s">
        <v>41</v>
      </c>
      <c r="N2227" s="1" t="s">
        <v>35</v>
      </c>
      <c r="P2227" s="1" t="n">
        <v>104</v>
      </c>
      <c r="Q2227" s="1" t="s">
        <v>99</v>
      </c>
      <c r="R2227" s="1" t="s">
        <v>37</v>
      </c>
      <c r="S2227" s="1" t="n">
        <v>1130101</v>
      </c>
      <c r="T2227" s="1" t="s">
        <v>38</v>
      </c>
      <c r="U2227" s="17" t="n">
        <v>300</v>
      </c>
      <c r="W2227" s="1" t="n">
        <v>300</v>
      </c>
      <c r="X2227" s="1" t="s">
        <v>2448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46126</v>
      </c>
      <c r="C2228" s="15" t="n">
        <v>46257</v>
      </c>
      <c r="D2228" s="1" t="n">
        <v>17</v>
      </c>
      <c r="E2228" s="1" t="s">
        <v>94</v>
      </c>
      <c r="F2228" s="1" t="n">
        <v>24</v>
      </c>
      <c r="G2228" s="1" t="s">
        <v>32</v>
      </c>
      <c r="H2228" s="1" t="n">
        <v>2110405</v>
      </c>
      <c r="I2228" s="1" t="s">
        <v>83</v>
      </c>
      <c r="J2228" s="1" t="n">
        <v>950724</v>
      </c>
      <c r="L2228" s="1" t="n">
        <v>403362</v>
      </c>
      <c r="M2228" s="1" t="s">
        <v>234</v>
      </c>
      <c r="N2228" s="1" t="s">
        <v>42</v>
      </c>
      <c r="P2228" s="1" t="n">
        <v>101</v>
      </c>
      <c r="Q2228" s="1" t="s">
        <v>84</v>
      </c>
      <c r="R2228" s="1" t="s">
        <v>91</v>
      </c>
      <c r="S2228" s="1" t="n">
        <v>4220199</v>
      </c>
      <c r="T2228" s="1" t="s">
        <v>92</v>
      </c>
      <c r="U2228" s="17" t="n">
        <v>2720.81</v>
      </c>
      <c r="W2228" s="1" t="n">
        <v>0</v>
      </c>
      <c r="X2228" s="1" t="s">
        <v>2449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46247</v>
      </c>
      <c r="C2229" s="15" t="n">
        <v>46257</v>
      </c>
      <c r="D2229" s="1" t="n">
        <v>1723</v>
      </c>
      <c r="E2229" s="1" t="s">
        <v>264</v>
      </c>
      <c r="F2229" s="1" t="n">
        <v>24</v>
      </c>
      <c r="G2229" s="1" t="s">
        <v>32</v>
      </c>
      <c r="H2229" s="1" t="n">
        <v>2110405</v>
      </c>
      <c r="I2229" s="1" t="s">
        <v>83</v>
      </c>
      <c r="J2229" s="1" t="n">
        <v>1543879</v>
      </c>
      <c r="L2229" s="1" t="n">
        <v>174798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5788.75</v>
      </c>
      <c r="W2229" s="1" t="n">
        <v>0</v>
      </c>
      <c r="X2229" s="1" t="s">
        <v>2450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46230</v>
      </c>
      <c r="C2230" s="15" t="n">
        <v>46258</v>
      </c>
      <c r="D2230" s="1" t="n">
        <v>1634</v>
      </c>
      <c r="E2230" s="1" t="s">
        <v>2299</v>
      </c>
      <c r="F2230" s="1" t="n">
        <v>24</v>
      </c>
      <c r="G2230" s="1" t="s">
        <v>32</v>
      </c>
      <c r="H2230" s="1" t="n">
        <v>2110405</v>
      </c>
      <c r="I2230" s="1" t="s">
        <v>83</v>
      </c>
      <c r="J2230" s="1" t="n">
        <v>1460028</v>
      </c>
      <c r="L2230" s="1" t="n">
        <v>329028</v>
      </c>
      <c r="M2230" s="1" t="s">
        <v>34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810.36</v>
      </c>
      <c r="W2230" s="1" t="n">
        <v>0</v>
      </c>
      <c r="X2230" s="1" t="s">
        <v>2451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46183</v>
      </c>
      <c r="C2231" s="15" t="n">
        <v>46258</v>
      </c>
      <c r="D2231" s="1" t="n">
        <v>49</v>
      </c>
      <c r="E2231" s="1" t="s">
        <v>164</v>
      </c>
      <c r="F2231" s="1" t="n">
        <v>34</v>
      </c>
      <c r="G2231" s="1" t="s">
        <v>71</v>
      </c>
      <c r="H2231" s="1" t="n">
        <v>2110405</v>
      </c>
      <c r="I2231" s="1" t="s">
        <v>83</v>
      </c>
      <c r="J2231" s="1" t="n">
        <v>1232017</v>
      </c>
      <c r="L2231" s="1" t="n">
        <v>511836</v>
      </c>
      <c r="M2231" s="1" t="s">
        <v>41</v>
      </c>
      <c r="N2231" s="1" t="s">
        <v>42</v>
      </c>
      <c r="P2231" s="1" t="n">
        <v>101</v>
      </c>
      <c r="Q2231" s="1" t="s">
        <v>84</v>
      </c>
      <c r="R2231" s="1" t="s">
        <v>2306</v>
      </c>
      <c r="S2231" s="1" t="n">
        <v>2210202</v>
      </c>
      <c r="T2231" s="1" t="s">
        <v>2306</v>
      </c>
      <c r="U2231" s="17" t="n">
        <v>100000</v>
      </c>
      <c r="W2231" s="1" t="n">
        <v>0</v>
      </c>
      <c r="X2231" s="1" t="s">
        <v>2452</v>
      </c>
      <c r="Z2231" s="1" t="str">
        <f aca="false">IF($T2231="","",IFERROR(INDEX('Resumo Grupos'!$AC$3:$AC$200,MATCH($T2231,'Resumo Grupos'!$AB$3:$AB$200,0)),"n/d"))</f>
        <v>Empréstimo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46248</v>
      </c>
      <c r="C2232" s="15" t="n">
        <v>46258</v>
      </c>
      <c r="D2232" s="1" t="n">
        <v>1637</v>
      </c>
      <c r="E2232" s="1" t="s">
        <v>44</v>
      </c>
      <c r="F2232" s="1" t="n">
        <v>24</v>
      </c>
      <c r="G2232" s="1" t="s">
        <v>32</v>
      </c>
      <c r="H2232" s="1" t="n">
        <v>2110405</v>
      </c>
      <c r="I2232" s="1" t="s">
        <v>83</v>
      </c>
      <c r="J2232" s="1" t="n">
        <v>1545480</v>
      </c>
      <c r="L2232" s="1" t="n">
        <v>1917921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948.22</v>
      </c>
      <c r="W2232" s="1" t="n">
        <v>0</v>
      </c>
      <c r="X2232" s="1" t="s">
        <v>2453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46198</v>
      </c>
      <c r="C2233" s="15" t="n">
        <v>46258</v>
      </c>
      <c r="D2233" s="1" t="n">
        <v>536</v>
      </c>
      <c r="E2233" s="1" t="s">
        <v>832</v>
      </c>
      <c r="F2233" s="1" t="n">
        <v>24</v>
      </c>
      <c r="G2233" s="1" t="s">
        <v>32</v>
      </c>
      <c r="H2233" s="1" t="n">
        <v>2110405</v>
      </c>
      <c r="I2233" s="1" t="s">
        <v>83</v>
      </c>
      <c r="J2233" s="1" t="n">
        <v>847424</v>
      </c>
      <c r="L2233" s="1" t="n">
        <v>363545</v>
      </c>
      <c r="M2233" s="1" t="s">
        <v>391</v>
      </c>
      <c r="N2233" s="1" t="s">
        <v>42</v>
      </c>
      <c r="P2233" s="1" t="n">
        <v>102</v>
      </c>
      <c r="Q2233" s="1" t="s">
        <v>107</v>
      </c>
      <c r="R2233" s="1" t="s">
        <v>60</v>
      </c>
      <c r="S2233" s="1" t="n">
        <v>4210227</v>
      </c>
      <c r="T2233" s="1" t="s">
        <v>418</v>
      </c>
      <c r="U2233" s="17" t="n">
        <v>1001.34</v>
      </c>
      <c r="W2233" s="1" t="n">
        <v>0</v>
      </c>
      <c r="X2233" s="1" t="s">
        <v>833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46203</v>
      </c>
      <c r="C2234" s="15" t="n">
        <v>46258</v>
      </c>
      <c r="D2234" s="1" t="n">
        <v>10011</v>
      </c>
      <c r="E2234" s="1" t="s">
        <v>189</v>
      </c>
      <c r="F2234" s="1" t="n">
        <v>24</v>
      </c>
      <c r="G2234" s="1" t="s">
        <v>32</v>
      </c>
      <c r="H2234" s="1" t="n">
        <v>2110101</v>
      </c>
      <c r="I2234" s="1" t="s">
        <v>33</v>
      </c>
      <c r="J2234" s="1" t="n">
        <v>1330475</v>
      </c>
      <c r="L2234" s="1" t="n">
        <v>34300</v>
      </c>
      <c r="M2234" s="1" t="s">
        <v>394</v>
      </c>
      <c r="N2234" s="1" t="s">
        <v>35</v>
      </c>
      <c r="P2234" s="1" t="n">
        <v>103</v>
      </c>
      <c r="Q2234" s="1" t="s">
        <v>36</v>
      </c>
      <c r="R2234" s="1" t="s">
        <v>37</v>
      </c>
      <c r="S2234" s="1" t="n">
        <v>1130101</v>
      </c>
      <c r="T2234" s="1" t="s">
        <v>38</v>
      </c>
      <c r="U2234" s="17" t="n">
        <v>3377.6</v>
      </c>
      <c r="W2234" s="1" t="n">
        <v>0</v>
      </c>
      <c r="X2234" s="1" t="s">
        <v>2454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46204</v>
      </c>
      <c r="C2235" s="15" t="n">
        <v>46258</v>
      </c>
      <c r="D2235" s="1" t="n">
        <v>607</v>
      </c>
      <c r="E2235" s="1" t="s">
        <v>182</v>
      </c>
      <c r="F2235" s="1" t="n">
        <v>24</v>
      </c>
      <c r="G2235" s="1" t="s">
        <v>32</v>
      </c>
      <c r="H2235" s="1" t="n">
        <v>2110101</v>
      </c>
      <c r="I2235" s="1" t="s">
        <v>33</v>
      </c>
      <c r="J2235" s="1" t="n">
        <v>1335231</v>
      </c>
      <c r="L2235" s="1" t="n">
        <v>11002</v>
      </c>
      <c r="M2235" s="1" t="s">
        <v>394</v>
      </c>
      <c r="N2235" s="1" t="s">
        <v>35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1849.57</v>
      </c>
      <c r="W2235" s="1" t="n">
        <v>0</v>
      </c>
      <c r="X2235" s="1" t="s">
        <v>2455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46228</v>
      </c>
      <c r="C2236" s="15" t="n">
        <v>46258</v>
      </c>
      <c r="D2236" s="1" t="n">
        <v>1409</v>
      </c>
      <c r="E2236" s="1" t="s">
        <v>2456</v>
      </c>
      <c r="F2236" s="1" t="n">
        <v>24</v>
      </c>
      <c r="G2236" s="1" t="s">
        <v>32</v>
      </c>
      <c r="H2236" s="1" t="n">
        <v>1110202</v>
      </c>
      <c r="I2236" s="1" t="s">
        <v>285</v>
      </c>
      <c r="J2236" s="1" t="n">
        <v>1450142</v>
      </c>
      <c r="L2236" s="1" t="n">
        <v>105914</v>
      </c>
      <c r="M2236" s="1" t="s">
        <v>41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306</v>
      </c>
      <c r="W2236" s="1" t="n">
        <v>0</v>
      </c>
      <c r="X2236" s="1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46232</v>
      </c>
      <c r="C2237" s="15" t="n">
        <v>46258</v>
      </c>
      <c r="D2237" s="1" t="n">
        <v>1637</v>
      </c>
      <c r="E2237" s="1" t="s">
        <v>44</v>
      </c>
      <c r="F2237" s="1" t="n">
        <v>24</v>
      </c>
      <c r="G2237" s="1" t="s">
        <v>32</v>
      </c>
      <c r="H2237" s="1" t="n">
        <v>1110202</v>
      </c>
      <c r="I2237" s="1" t="s">
        <v>285</v>
      </c>
      <c r="J2237" s="1" t="n">
        <v>1468984</v>
      </c>
      <c r="L2237" s="1" t="n">
        <v>1911152</v>
      </c>
      <c r="M2237" s="1" t="s">
        <v>41</v>
      </c>
      <c r="N2237" s="1" t="s">
        <v>42</v>
      </c>
      <c r="P2237" s="1" t="n">
        <v>103</v>
      </c>
      <c r="Q2237" s="1" t="s">
        <v>36</v>
      </c>
      <c r="R2237" s="1" t="s">
        <v>37</v>
      </c>
      <c r="S2237" s="1" t="n">
        <v>1130101</v>
      </c>
      <c r="T2237" s="1" t="s">
        <v>38</v>
      </c>
      <c r="U2237" s="17" t="n">
        <v>330.75</v>
      </c>
      <c r="W2237" s="1" t="n">
        <v>0</v>
      </c>
      <c r="X2237" s="1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46234</v>
      </c>
      <c r="C2238" s="15" t="n">
        <v>46258</v>
      </c>
      <c r="D2238" s="1" t="n">
        <v>1699</v>
      </c>
      <c r="E2238" s="1" t="s">
        <v>371</v>
      </c>
      <c r="F2238" s="1" t="n">
        <v>24</v>
      </c>
      <c r="G2238" s="1" t="s">
        <v>32</v>
      </c>
      <c r="H2238" s="1" t="n">
        <v>2110405</v>
      </c>
      <c r="I2238" s="1" t="s">
        <v>83</v>
      </c>
      <c r="J2238" s="1" t="n">
        <v>1478171</v>
      </c>
      <c r="L2238" s="1" t="n">
        <v>309642</v>
      </c>
      <c r="M2238" s="1" t="s">
        <v>34</v>
      </c>
      <c r="N2238" s="1" t="s">
        <v>42</v>
      </c>
      <c r="P2238" s="1" t="n">
        <v>103</v>
      </c>
      <c r="Q2238" s="1" t="s">
        <v>36</v>
      </c>
      <c r="R2238" s="1" t="s">
        <v>37</v>
      </c>
      <c r="S2238" s="1" t="n">
        <v>1130101</v>
      </c>
      <c r="T2238" s="1" t="s">
        <v>38</v>
      </c>
      <c r="U2238" s="17" t="n">
        <v>1633.1</v>
      </c>
      <c r="W2238" s="1" t="n">
        <v>0</v>
      </c>
      <c r="X2238" s="1" t="s">
        <v>2459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46237</v>
      </c>
      <c r="C2239" s="15" t="n">
        <v>46258</v>
      </c>
      <c r="D2239" s="1" t="n">
        <v>1699</v>
      </c>
      <c r="E2239" s="1" t="s">
        <v>371</v>
      </c>
      <c r="F2239" s="1" t="n">
        <v>24</v>
      </c>
      <c r="G2239" s="1" t="s">
        <v>32</v>
      </c>
      <c r="H2239" s="1" t="n">
        <v>2110405</v>
      </c>
      <c r="I2239" s="1" t="s">
        <v>83</v>
      </c>
      <c r="J2239" s="1" t="n">
        <v>1495640</v>
      </c>
      <c r="L2239" s="1" t="n">
        <v>309757</v>
      </c>
      <c r="M2239" s="1" t="s">
        <v>34</v>
      </c>
      <c r="N2239" s="1" t="s">
        <v>42</v>
      </c>
      <c r="P2239" s="1" t="n">
        <v>103</v>
      </c>
      <c r="Q2239" s="1" t="s">
        <v>36</v>
      </c>
      <c r="R2239" s="1" t="s">
        <v>37</v>
      </c>
      <c r="S2239" s="1" t="n">
        <v>1130101</v>
      </c>
      <c r="T2239" s="1" t="s">
        <v>38</v>
      </c>
      <c r="U2239" s="17" t="n">
        <v>403.5</v>
      </c>
      <c r="W2239" s="1" t="n">
        <v>0</v>
      </c>
      <c r="X2239" s="1" t="s">
        <v>2460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46238</v>
      </c>
      <c r="C2240" s="15" t="n">
        <v>46258</v>
      </c>
      <c r="D2240" s="1" t="n">
        <v>1668</v>
      </c>
      <c r="E2240" s="1" t="s">
        <v>57</v>
      </c>
      <c r="F2240" s="1" t="n">
        <v>24</v>
      </c>
      <c r="G2240" s="1" t="s">
        <v>32</v>
      </c>
      <c r="H2240" s="1" t="n">
        <v>1110202</v>
      </c>
      <c r="I2240" s="1" t="s">
        <v>285</v>
      </c>
      <c r="J2240" s="1" t="n">
        <v>1500935</v>
      </c>
      <c r="L2240" s="1" t="n">
        <v>745268</v>
      </c>
      <c r="M2240" s="1" t="s">
        <v>41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998.67</v>
      </c>
      <c r="W2240" s="1" t="n">
        <v>0</v>
      </c>
      <c r="X2240" s="1" t="s">
        <v>2461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46239</v>
      </c>
      <c r="C2241" s="15" t="n">
        <v>46258</v>
      </c>
      <c r="D2241" s="1" t="n">
        <v>1668</v>
      </c>
      <c r="E2241" s="1" t="s">
        <v>57</v>
      </c>
      <c r="F2241" s="1" t="n">
        <v>24</v>
      </c>
      <c r="G2241" s="1" t="s">
        <v>32</v>
      </c>
      <c r="H2241" s="1" t="n">
        <v>1110202</v>
      </c>
      <c r="I2241" s="1" t="s">
        <v>285</v>
      </c>
      <c r="J2241" s="1" t="n">
        <v>1503711</v>
      </c>
      <c r="L2241" s="1" t="n">
        <v>745264</v>
      </c>
      <c r="M2241" s="1" t="s">
        <v>41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1047.59</v>
      </c>
      <c r="W2241" s="1" t="n">
        <v>0</v>
      </c>
      <c r="X2241" s="1" t="s">
        <v>2462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46240</v>
      </c>
      <c r="C2242" s="15" t="n">
        <v>46258</v>
      </c>
      <c r="D2242" s="1" t="n">
        <v>1671</v>
      </c>
      <c r="E2242" s="1" t="s">
        <v>340</v>
      </c>
      <c r="F2242" s="1" t="n">
        <v>24</v>
      </c>
      <c r="G2242" s="1" t="s">
        <v>32</v>
      </c>
      <c r="H2242" s="1" t="n">
        <v>2110405</v>
      </c>
      <c r="I2242" s="1" t="s">
        <v>83</v>
      </c>
      <c r="J2242" s="1" t="n">
        <v>1508432</v>
      </c>
      <c r="L2242" s="1" t="n">
        <v>582245</v>
      </c>
      <c r="M2242" s="1" t="s">
        <v>41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1020.15</v>
      </c>
      <c r="W2242" s="1" t="n">
        <v>0</v>
      </c>
      <c r="X2242" s="1" t="s">
        <v>2463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46240</v>
      </c>
      <c r="C2243" s="15" t="n">
        <v>46258</v>
      </c>
      <c r="D2243" s="1" t="n">
        <v>1637</v>
      </c>
      <c r="E2243" s="1" t="s">
        <v>44</v>
      </c>
      <c r="F2243" s="1" t="n">
        <v>24</v>
      </c>
      <c r="G2243" s="1" t="s">
        <v>32</v>
      </c>
      <c r="H2243" s="1" t="n">
        <v>2110405</v>
      </c>
      <c r="I2243" s="1" t="s">
        <v>83</v>
      </c>
      <c r="J2243" s="1" t="n">
        <v>1509648</v>
      </c>
      <c r="L2243" s="1" t="n">
        <v>1915887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2048.4</v>
      </c>
      <c r="W2243" s="1" t="n">
        <v>0</v>
      </c>
      <c r="X2243" s="1" t="s">
        <v>2464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46240</v>
      </c>
      <c r="C2244" s="15" t="n">
        <v>46258</v>
      </c>
      <c r="D2244" s="1" t="n">
        <v>1637</v>
      </c>
      <c r="E2244" s="1" t="s">
        <v>44</v>
      </c>
      <c r="F2244" s="1" t="n">
        <v>24</v>
      </c>
      <c r="G2244" s="1" t="s">
        <v>32</v>
      </c>
      <c r="H2244" s="1" t="n">
        <v>2110405</v>
      </c>
      <c r="I2244" s="1" t="s">
        <v>83</v>
      </c>
      <c r="J2244" s="1" t="n">
        <v>1509717</v>
      </c>
      <c r="L2244" s="1" t="n">
        <v>1915884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1795</v>
      </c>
      <c r="W2244" s="1" t="n">
        <v>0</v>
      </c>
      <c r="X2244" s="1" t="s">
        <v>2465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46258</v>
      </c>
      <c r="D2245" s="1" t="n">
        <v>1636</v>
      </c>
      <c r="E2245" s="1" t="s">
        <v>68</v>
      </c>
      <c r="F2245" s="1" t="n">
        <v>24</v>
      </c>
      <c r="G2245" s="1" t="s">
        <v>32</v>
      </c>
      <c r="H2245" s="1" t="n">
        <v>2110405</v>
      </c>
      <c r="I2245" s="1" t="s">
        <v>83</v>
      </c>
      <c r="J2245" s="1" t="n">
        <v>1536369</v>
      </c>
      <c r="L2245" s="1" t="n">
        <v>3234290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726.08</v>
      </c>
      <c r="W2245" s="1" t="n">
        <v>0</v>
      </c>
      <c r="X2245" s="1" t="s">
        <v>2466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46246</v>
      </c>
      <c r="C2246" s="15" t="n">
        <v>46258</v>
      </c>
      <c r="D2246" s="1" t="n">
        <v>10103</v>
      </c>
      <c r="E2246" s="1" t="s">
        <v>2467</v>
      </c>
      <c r="F2246" s="1" t="n">
        <v>24</v>
      </c>
      <c r="G2246" s="1" t="s">
        <v>32</v>
      </c>
      <c r="H2246" s="1" t="n">
        <v>2110405</v>
      </c>
      <c r="I2246" s="1" t="s">
        <v>83</v>
      </c>
      <c r="J2246" s="1" t="n">
        <v>1537587</v>
      </c>
      <c r="L2246" s="1" t="n">
        <v>381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300</v>
      </c>
      <c r="W2246" s="1" t="n">
        <v>0</v>
      </c>
      <c r="X2246" s="1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46246</v>
      </c>
      <c r="C2247" s="15" t="n">
        <v>46258</v>
      </c>
      <c r="D2247" s="1" t="n">
        <v>1357</v>
      </c>
      <c r="E2247" s="1" t="s">
        <v>608</v>
      </c>
      <c r="F2247" s="1" t="n">
        <v>24</v>
      </c>
      <c r="G2247" s="1" t="s">
        <v>32</v>
      </c>
      <c r="H2247" s="1" t="n">
        <v>2110405</v>
      </c>
      <c r="I2247" s="1" t="s">
        <v>83</v>
      </c>
      <c r="J2247" s="1" t="n">
        <v>1537717</v>
      </c>
      <c r="L2247" s="1" t="n">
        <v>282949</v>
      </c>
      <c r="M2247" s="1" t="s">
        <v>34</v>
      </c>
      <c r="N2247" s="1" t="s">
        <v>42</v>
      </c>
      <c r="P2247" s="1" t="n">
        <v>103</v>
      </c>
      <c r="Q2247" s="1" t="s">
        <v>36</v>
      </c>
      <c r="R2247" s="1" t="s">
        <v>1805</v>
      </c>
      <c r="S2247" s="1" t="n">
        <v>4110102</v>
      </c>
      <c r="T2247" s="1" t="s">
        <v>2317</v>
      </c>
      <c r="U2247" s="17" t="n">
        <v>465.35</v>
      </c>
      <c r="W2247" s="1" t="n">
        <v>0</v>
      </c>
      <c r="X2247" s="1" t="s">
        <v>2469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46248</v>
      </c>
      <c r="C2248" s="15" t="n">
        <v>46258</v>
      </c>
      <c r="D2248" s="1" t="n">
        <v>1723</v>
      </c>
      <c r="E2248" s="1" t="s">
        <v>264</v>
      </c>
      <c r="F2248" s="1" t="n">
        <v>24</v>
      </c>
      <c r="G2248" s="1" t="s">
        <v>32</v>
      </c>
      <c r="H2248" s="1" t="n">
        <v>2110405</v>
      </c>
      <c r="I2248" s="1" t="s">
        <v>83</v>
      </c>
      <c r="J2248" s="1" t="n">
        <v>1546986</v>
      </c>
      <c r="L2248" s="1" t="n">
        <v>174869</v>
      </c>
      <c r="M2248" s="1" t="s">
        <v>41</v>
      </c>
      <c r="N2248" s="1" t="s">
        <v>42</v>
      </c>
      <c r="P2248" s="1" t="n">
        <v>103</v>
      </c>
      <c r="Q2248" s="1" t="s">
        <v>36</v>
      </c>
      <c r="R2248" s="1" t="s">
        <v>37</v>
      </c>
      <c r="S2248" s="1" t="n">
        <v>1130101</v>
      </c>
      <c r="T2248" s="1" t="s">
        <v>38</v>
      </c>
      <c r="U2248" s="17" t="n">
        <v>6734.75</v>
      </c>
      <c r="W2248" s="1" t="n">
        <v>0</v>
      </c>
      <c r="X2248" s="1" t="s">
        <v>2470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46249</v>
      </c>
      <c r="C2249" s="15" t="n">
        <v>46258</v>
      </c>
      <c r="D2249" s="1" t="n">
        <v>1658</v>
      </c>
      <c r="E2249" s="1" t="s">
        <v>381</v>
      </c>
      <c r="F2249" s="1" t="n">
        <v>24</v>
      </c>
      <c r="G2249" s="1" t="s">
        <v>32</v>
      </c>
      <c r="H2249" s="1" t="n">
        <v>2110405</v>
      </c>
      <c r="I2249" s="1" t="s">
        <v>83</v>
      </c>
      <c r="J2249" s="1" t="n">
        <v>1551951</v>
      </c>
      <c r="L2249" s="1" t="n">
        <v>147863</v>
      </c>
      <c r="M2249" s="1" t="s">
        <v>41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674.5</v>
      </c>
      <c r="W2249" s="1" t="n">
        <v>0</v>
      </c>
      <c r="X2249" s="1" t="s">
        <v>2471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46251</v>
      </c>
      <c r="C2250" s="15" t="n">
        <v>46258</v>
      </c>
      <c r="D2250" s="1" t="n">
        <v>10018</v>
      </c>
      <c r="E2250" s="1" t="s">
        <v>328</v>
      </c>
      <c r="F2250" s="1" t="n">
        <v>34</v>
      </c>
      <c r="G2250" s="1" t="s">
        <v>71</v>
      </c>
      <c r="H2250" s="1" t="n">
        <v>2110405</v>
      </c>
      <c r="I2250" s="1" t="s">
        <v>83</v>
      </c>
      <c r="J2250" s="1" t="n">
        <v>1561191</v>
      </c>
      <c r="L2250" s="1" t="n">
        <v>364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37</v>
      </c>
      <c r="S2250" s="1" t="n">
        <v>1130101</v>
      </c>
      <c r="T2250" s="1" t="s">
        <v>38</v>
      </c>
      <c r="U2250" s="17" t="n">
        <v>2178.8</v>
      </c>
      <c r="W2250" s="1" t="n">
        <v>0</v>
      </c>
      <c r="X2250" s="1" t="s">
        <v>2472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46252</v>
      </c>
      <c r="C2251" s="15" t="n">
        <v>46258</v>
      </c>
      <c r="D2251" s="1" t="n">
        <v>1614</v>
      </c>
      <c r="E2251" s="1" t="s">
        <v>66</v>
      </c>
      <c r="F2251" s="1" t="n">
        <v>24</v>
      </c>
      <c r="G2251" s="1" t="s">
        <v>32</v>
      </c>
      <c r="H2251" s="1" t="n">
        <v>2110405</v>
      </c>
      <c r="I2251" s="1" t="s">
        <v>83</v>
      </c>
      <c r="J2251" s="1" t="n">
        <v>1565827</v>
      </c>
      <c r="L2251" s="1" t="n">
        <v>11564</v>
      </c>
      <c r="M2251" s="1" t="s">
        <v>34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495.55</v>
      </c>
      <c r="W2251" s="1" t="n">
        <v>0</v>
      </c>
      <c r="X2251" s="1" t="s">
        <v>2473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46252</v>
      </c>
      <c r="C2252" s="15" t="n">
        <v>46258</v>
      </c>
      <c r="D2252" s="1" t="n">
        <v>1625</v>
      </c>
      <c r="E2252" s="1" t="s">
        <v>211</v>
      </c>
      <c r="F2252" s="1" t="n">
        <v>24</v>
      </c>
      <c r="G2252" s="1" t="s">
        <v>32</v>
      </c>
      <c r="H2252" s="1" t="n">
        <v>2110405</v>
      </c>
      <c r="I2252" s="1" t="s">
        <v>83</v>
      </c>
      <c r="J2252" s="1" t="n">
        <v>1567258</v>
      </c>
      <c r="L2252" s="1" t="n">
        <v>15071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3207</v>
      </c>
      <c r="W2252" s="1" t="n">
        <v>0</v>
      </c>
      <c r="X2252" s="1" t="s">
        <v>2474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46252</v>
      </c>
      <c r="C2253" s="15" t="n">
        <v>46258</v>
      </c>
      <c r="D2253" s="1" t="n">
        <v>1666</v>
      </c>
      <c r="E2253" s="1" t="s">
        <v>31</v>
      </c>
      <c r="F2253" s="1" t="n">
        <v>24</v>
      </c>
      <c r="G2253" s="1" t="s">
        <v>32</v>
      </c>
      <c r="H2253" s="1" t="n">
        <v>2110405</v>
      </c>
      <c r="I2253" s="1" t="s">
        <v>83</v>
      </c>
      <c r="J2253" s="1" t="n">
        <v>1567634</v>
      </c>
      <c r="L2253" s="1" t="n">
        <v>570378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6804.6</v>
      </c>
      <c r="W2253" s="1" t="n">
        <v>0</v>
      </c>
      <c r="X2253" s="1" t="s">
        <v>2475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46254</v>
      </c>
      <c r="C2254" s="15" t="n">
        <v>46258</v>
      </c>
      <c r="D2254" s="1" t="n">
        <v>1899</v>
      </c>
      <c r="E2254" s="1" t="s">
        <v>74</v>
      </c>
      <c r="F2254" s="1" t="n">
        <v>24</v>
      </c>
      <c r="G2254" s="1" t="s">
        <v>32</v>
      </c>
      <c r="H2254" s="1" t="n">
        <v>2110405</v>
      </c>
      <c r="I2254" s="1" t="s">
        <v>83</v>
      </c>
      <c r="J2254" s="1" t="n">
        <v>1575722</v>
      </c>
      <c r="L2254" s="1" t="n">
        <v>768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307.2</v>
      </c>
      <c r="W2254" s="1" t="n">
        <v>0</v>
      </c>
      <c r="X2254" s="1" t="s">
        <v>2476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46254</v>
      </c>
      <c r="C2255" s="15" t="n">
        <v>46258</v>
      </c>
      <c r="D2255" s="1" t="n">
        <v>1631</v>
      </c>
      <c r="E2255" s="1" t="s">
        <v>78</v>
      </c>
      <c r="F2255" s="1" t="n">
        <v>24</v>
      </c>
      <c r="G2255" s="1" t="s">
        <v>32</v>
      </c>
      <c r="H2255" s="1" t="n">
        <v>2110405</v>
      </c>
      <c r="I2255" s="1" t="s">
        <v>83</v>
      </c>
      <c r="J2255" s="1" t="n">
        <v>1575749</v>
      </c>
      <c r="L2255" s="1" t="n">
        <v>15263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688.65</v>
      </c>
      <c r="W2255" s="1" t="n">
        <v>0</v>
      </c>
      <c r="X2255" s="1" t="s">
        <v>2477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46254</v>
      </c>
      <c r="C2256" s="15" t="n">
        <v>46258</v>
      </c>
      <c r="D2256" s="1" t="n">
        <v>1650</v>
      </c>
      <c r="E2256" s="1" t="s">
        <v>76</v>
      </c>
      <c r="F2256" s="1" t="n">
        <v>24</v>
      </c>
      <c r="G2256" s="1" t="s">
        <v>32</v>
      </c>
      <c r="H2256" s="1" t="n">
        <v>2110405</v>
      </c>
      <c r="I2256" s="1" t="s">
        <v>83</v>
      </c>
      <c r="J2256" s="1" t="n">
        <v>1575764</v>
      </c>
      <c r="L2256" s="1" t="n">
        <v>228913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614.84</v>
      </c>
      <c r="W2256" s="1" t="n">
        <v>0</v>
      </c>
      <c r="X2256" s="1" t="s">
        <v>2478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46255</v>
      </c>
      <c r="C2257" s="15" t="n">
        <v>46258</v>
      </c>
      <c r="D2257" s="1" t="n">
        <v>33</v>
      </c>
      <c r="E2257" s="1" t="s">
        <v>70</v>
      </c>
      <c r="F2257" s="1" t="n">
        <v>34</v>
      </c>
      <c r="G2257" s="1" t="s">
        <v>71</v>
      </c>
      <c r="H2257" s="1" t="n">
        <v>2110101</v>
      </c>
      <c r="I2257" s="1" t="s">
        <v>33</v>
      </c>
      <c r="J2257" s="1" t="n">
        <v>1582464</v>
      </c>
      <c r="L2257" s="1" t="n">
        <v>5543</v>
      </c>
      <c r="M2257" s="1" t="s">
        <v>41</v>
      </c>
      <c r="N2257" s="1" t="s">
        <v>35</v>
      </c>
      <c r="P2257" s="1" t="n">
        <v>104</v>
      </c>
      <c r="Q2257" s="1" t="s">
        <v>99</v>
      </c>
      <c r="R2257" s="1" t="s">
        <v>37</v>
      </c>
      <c r="S2257" s="1" t="n">
        <v>1130101</v>
      </c>
      <c r="T2257" s="1" t="s">
        <v>38</v>
      </c>
      <c r="U2257" s="17" t="n">
        <v>2695</v>
      </c>
      <c r="W2257" s="1" t="n">
        <v>0</v>
      </c>
      <c r="X2257" s="1" t="s">
        <v>2479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46256</v>
      </c>
      <c r="C2258" s="15" t="n">
        <v>46258</v>
      </c>
      <c r="D2258" s="1" t="n">
        <v>1899</v>
      </c>
      <c r="E2258" s="1" t="s">
        <v>74</v>
      </c>
      <c r="F2258" s="1" t="n">
        <v>24</v>
      </c>
      <c r="G2258" s="1" t="s">
        <v>32</v>
      </c>
      <c r="H2258" s="1" t="n">
        <v>2110405</v>
      </c>
      <c r="I2258" s="1" t="s">
        <v>83</v>
      </c>
      <c r="J2258" s="1" t="n">
        <v>1585619</v>
      </c>
      <c r="L2258" s="1" t="n">
        <v>770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840</v>
      </c>
      <c r="W2258" s="1" t="n">
        <v>0</v>
      </c>
      <c r="X2258" s="1" t="s">
        <v>2480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46038</v>
      </c>
      <c r="C2259" s="15" t="n">
        <v>46259</v>
      </c>
      <c r="D2259" s="1" t="n">
        <v>10039</v>
      </c>
      <c r="E2259" s="1" t="s">
        <v>835</v>
      </c>
      <c r="F2259" s="1" t="n">
        <v>36</v>
      </c>
      <c r="G2259" s="1" t="s">
        <v>445</v>
      </c>
      <c r="H2259" s="1" t="n">
        <v>2110102</v>
      </c>
      <c r="I2259" s="1" t="s">
        <v>59</v>
      </c>
      <c r="J2259" s="1" t="n">
        <v>532309</v>
      </c>
      <c r="L2259" s="1" t="n">
        <v>2543</v>
      </c>
      <c r="M2259" s="1" t="s">
        <v>183</v>
      </c>
      <c r="N2259" s="1" t="s">
        <v>35</v>
      </c>
      <c r="P2259" s="1" t="n">
        <v>101</v>
      </c>
      <c r="Q2259" s="1" t="s">
        <v>84</v>
      </c>
      <c r="R2259" s="1" t="s">
        <v>60</v>
      </c>
      <c r="S2259" s="1" t="n">
        <v>4210204</v>
      </c>
      <c r="T2259" s="1" t="s">
        <v>61</v>
      </c>
      <c r="U2259" s="17" t="n">
        <v>285.77</v>
      </c>
      <c r="W2259" s="1" t="n">
        <v>0</v>
      </c>
      <c r="X2259" s="1" t="s">
        <v>2481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46085</v>
      </c>
      <c r="C2260" s="15" t="n">
        <v>46259</v>
      </c>
      <c r="D2260" s="1" t="n">
        <v>500</v>
      </c>
      <c r="E2260" s="1" t="s">
        <v>444</v>
      </c>
      <c r="F2260" s="1" t="n">
        <v>36</v>
      </c>
      <c r="G2260" s="1" t="s">
        <v>445</v>
      </c>
      <c r="H2260" s="1" t="n">
        <v>2110101</v>
      </c>
      <c r="I2260" s="1" t="s">
        <v>33</v>
      </c>
      <c r="J2260" s="1" t="n">
        <v>808801</v>
      </c>
      <c r="L2260" s="1" t="n">
        <v>349045</v>
      </c>
      <c r="M2260" s="1" t="s">
        <v>391</v>
      </c>
      <c r="N2260" s="1" t="s">
        <v>42</v>
      </c>
      <c r="P2260" s="1" t="n">
        <v>103</v>
      </c>
      <c r="Q2260" s="1" t="s">
        <v>36</v>
      </c>
      <c r="R2260" s="1" t="s">
        <v>83</v>
      </c>
      <c r="S2260" s="1" t="n">
        <v>2110405</v>
      </c>
      <c r="T2260" s="1" t="s">
        <v>83</v>
      </c>
      <c r="U2260" s="17" t="n">
        <v>399.1</v>
      </c>
      <c r="W2260" s="1" t="n">
        <v>0</v>
      </c>
      <c r="X2260" s="1" t="s">
        <v>2482</v>
      </c>
      <c r="Z2260" s="1" t="str">
        <f aca="false">IF($T2260="","",IFERROR(INDEX('Resumo Grupos'!$AC$3:$AC$200,MATCH($T2260,'Resumo Grupos'!$AB$3:$AB$200,0)),"n/d"))</f>
        <v>Cobertura de conta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46248</v>
      </c>
      <c r="C2261" s="15" t="n">
        <v>46259</v>
      </c>
      <c r="D2261" s="1" t="n">
        <v>10098</v>
      </c>
      <c r="E2261" s="1" t="s">
        <v>1202</v>
      </c>
      <c r="F2261" s="1" t="n">
        <v>36</v>
      </c>
      <c r="G2261" s="1" t="s">
        <v>445</v>
      </c>
      <c r="H2261" s="1" t="n">
        <v>2110405</v>
      </c>
      <c r="I2261" s="1" t="s">
        <v>83</v>
      </c>
      <c r="J2261" s="1" t="n">
        <v>1545256</v>
      </c>
      <c r="L2261" s="1" t="n">
        <v>1203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144.25</v>
      </c>
      <c r="W2261" s="1" t="n">
        <v>0</v>
      </c>
      <c r="X2261" s="1" t="s">
        <v>2483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46098</v>
      </c>
      <c r="C2262" s="15" t="n">
        <v>46259</v>
      </c>
      <c r="D2262" s="1" t="n">
        <v>468</v>
      </c>
      <c r="E2262" s="1" t="s">
        <v>842</v>
      </c>
      <c r="F2262" s="1" t="n">
        <v>36</v>
      </c>
      <c r="G2262" s="1" t="s">
        <v>445</v>
      </c>
      <c r="H2262" s="1" t="n">
        <v>2110101</v>
      </c>
      <c r="I2262" s="1" t="s">
        <v>33</v>
      </c>
      <c r="J2262" s="1" t="n">
        <v>826843</v>
      </c>
      <c r="L2262" s="1" t="n">
        <v>355659</v>
      </c>
      <c r="M2262" s="1" t="s">
        <v>234</v>
      </c>
      <c r="N2262" s="1" t="s">
        <v>42</v>
      </c>
      <c r="P2262" s="1" t="n">
        <v>103</v>
      </c>
      <c r="Q2262" s="1" t="s">
        <v>36</v>
      </c>
      <c r="R2262" s="1" t="s">
        <v>37</v>
      </c>
      <c r="S2262" s="1" t="n">
        <v>1130101</v>
      </c>
      <c r="T2262" s="1" t="s">
        <v>38</v>
      </c>
      <c r="U2262" s="17" t="n">
        <v>233.33</v>
      </c>
      <c r="W2262" s="1" t="n">
        <v>0</v>
      </c>
      <c r="X2262" s="1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46120</v>
      </c>
      <c r="C2263" s="15" t="n">
        <v>46259</v>
      </c>
      <c r="D2263" s="1" t="n">
        <v>500</v>
      </c>
      <c r="E2263" s="1" t="s">
        <v>444</v>
      </c>
      <c r="F2263" s="1" t="n">
        <v>36</v>
      </c>
      <c r="G2263" s="1" t="s">
        <v>445</v>
      </c>
      <c r="H2263" s="1" t="n">
        <v>2110405</v>
      </c>
      <c r="I2263" s="1" t="s">
        <v>83</v>
      </c>
      <c r="J2263" s="1" t="n">
        <v>920498</v>
      </c>
      <c r="L2263" s="1" t="n">
        <v>391987</v>
      </c>
      <c r="M2263" s="1" t="s">
        <v>234</v>
      </c>
      <c r="N2263" s="1" t="s">
        <v>42</v>
      </c>
      <c r="P2263" s="1" t="n">
        <v>103</v>
      </c>
      <c r="Q2263" s="1" t="s">
        <v>36</v>
      </c>
      <c r="R2263" s="1" t="s">
        <v>765</v>
      </c>
      <c r="S2263" s="1" t="n">
        <v>1240103</v>
      </c>
      <c r="T2263" s="1" t="s">
        <v>839</v>
      </c>
      <c r="U2263" s="17" t="n">
        <v>4934.34</v>
      </c>
      <c r="W2263" s="1" t="n">
        <v>0</v>
      </c>
      <c r="X2263" s="1" t="s">
        <v>2485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46094</v>
      </c>
      <c r="C2264" s="15" t="n">
        <v>46259</v>
      </c>
      <c r="D2264" s="1" t="n">
        <v>468</v>
      </c>
      <c r="E2264" s="1" t="s">
        <v>842</v>
      </c>
      <c r="F2264" s="1" t="n">
        <v>36</v>
      </c>
      <c r="G2264" s="1" t="s">
        <v>445</v>
      </c>
      <c r="H2264" s="1" t="n">
        <v>2110405</v>
      </c>
      <c r="I2264" s="1" t="s">
        <v>83</v>
      </c>
      <c r="J2264" s="1" t="n">
        <v>1024118</v>
      </c>
      <c r="L2264" s="1" t="n">
        <v>14289</v>
      </c>
      <c r="M2264" s="1" t="s">
        <v>234</v>
      </c>
      <c r="N2264" s="1" t="s">
        <v>42</v>
      </c>
      <c r="P2264" s="1" t="n">
        <v>101</v>
      </c>
      <c r="Q2264" s="1" t="s">
        <v>84</v>
      </c>
      <c r="R2264" s="1" t="s">
        <v>765</v>
      </c>
      <c r="S2264" s="1" t="n">
        <v>1240103</v>
      </c>
      <c r="T2264" s="1" t="s">
        <v>839</v>
      </c>
      <c r="U2264" s="17" t="n">
        <v>1197</v>
      </c>
      <c r="W2264" s="1" t="n">
        <v>0</v>
      </c>
      <c r="X2264" s="1" t="s">
        <v>845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46198</v>
      </c>
      <c r="C2265" s="15" t="n">
        <v>46259</v>
      </c>
      <c r="D2265" s="1" t="n">
        <v>875</v>
      </c>
      <c r="E2265" s="1" t="s">
        <v>860</v>
      </c>
      <c r="F2265" s="1" t="n">
        <v>36</v>
      </c>
      <c r="G2265" s="1" t="s">
        <v>445</v>
      </c>
      <c r="H2265" s="1" t="n">
        <v>2110101</v>
      </c>
      <c r="I2265" s="1" t="s">
        <v>33</v>
      </c>
      <c r="J2265" s="1" t="n">
        <v>1305944</v>
      </c>
      <c r="L2265" s="1" t="n">
        <v>540382</v>
      </c>
      <c r="M2265" s="1" t="s">
        <v>128</v>
      </c>
      <c r="N2265" s="1" t="s">
        <v>42</v>
      </c>
      <c r="P2265" s="1" t="n">
        <v>102</v>
      </c>
      <c r="Q2265" s="1" t="s">
        <v>107</v>
      </c>
      <c r="R2265" s="1" t="s">
        <v>37</v>
      </c>
      <c r="S2265" s="1" t="n">
        <v>1130101</v>
      </c>
      <c r="T2265" s="1" t="s">
        <v>38</v>
      </c>
      <c r="U2265" s="17" t="n">
        <v>2564.18</v>
      </c>
      <c r="W2265" s="1" t="n">
        <v>0</v>
      </c>
      <c r="X2265" s="1" t="s">
        <v>861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46216</v>
      </c>
      <c r="C2266" s="15" t="n">
        <v>46259</v>
      </c>
      <c r="D2266" s="1" t="n">
        <v>1624</v>
      </c>
      <c r="E2266" s="1" t="s">
        <v>244</v>
      </c>
      <c r="F2266" s="1" t="n">
        <v>24</v>
      </c>
      <c r="G2266" s="1" t="s">
        <v>32</v>
      </c>
      <c r="H2266" s="1" t="n">
        <v>2110405</v>
      </c>
      <c r="I2266" s="1" t="s">
        <v>83</v>
      </c>
      <c r="J2266" s="1" t="n">
        <v>1393007</v>
      </c>
      <c r="L2266" s="1" t="n">
        <v>662479</v>
      </c>
      <c r="M2266" s="1" t="s">
        <v>394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823.62</v>
      </c>
      <c r="W2266" s="1" t="n">
        <v>0</v>
      </c>
      <c r="X2266" s="1" t="s">
        <v>2486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46218</v>
      </c>
      <c r="C2267" s="15" t="n">
        <v>46259</v>
      </c>
      <c r="D2267" s="1" t="n">
        <v>957</v>
      </c>
      <c r="E2267" s="1" t="s">
        <v>132</v>
      </c>
      <c r="F2267" s="1" t="n">
        <v>24</v>
      </c>
      <c r="G2267" s="1" t="s">
        <v>32</v>
      </c>
      <c r="H2267" s="1" t="n">
        <v>2110405</v>
      </c>
      <c r="I2267" s="1" t="s">
        <v>83</v>
      </c>
      <c r="J2267" s="1" t="n">
        <v>1402047</v>
      </c>
      <c r="L2267" s="1" t="n">
        <v>21047</v>
      </c>
      <c r="M2267" s="1" t="s">
        <v>34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2186.19</v>
      </c>
      <c r="W2267" s="1" t="n">
        <v>0</v>
      </c>
      <c r="X2267" s="1" t="s">
        <v>2487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46218</v>
      </c>
      <c r="C2268" s="15" t="n">
        <v>46259</v>
      </c>
      <c r="D2268" s="1" t="n">
        <v>957</v>
      </c>
      <c r="E2268" s="1" t="s">
        <v>132</v>
      </c>
      <c r="F2268" s="1" t="n">
        <v>24</v>
      </c>
      <c r="G2268" s="1" t="s">
        <v>32</v>
      </c>
      <c r="H2268" s="1" t="n">
        <v>2110405</v>
      </c>
      <c r="I2268" s="1" t="s">
        <v>83</v>
      </c>
      <c r="J2268" s="1" t="n">
        <v>1402587</v>
      </c>
      <c r="L2268" s="1" t="n">
        <v>21048</v>
      </c>
      <c r="M2268" s="1" t="s">
        <v>128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1475.42</v>
      </c>
      <c r="W2268" s="1" t="n">
        <v>0</v>
      </c>
      <c r="X2268" s="1" t="s">
        <v>2488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46231</v>
      </c>
      <c r="C2269" s="15" t="n">
        <v>46259</v>
      </c>
      <c r="D2269" s="1" t="n">
        <v>10098</v>
      </c>
      <c r="E2269" s="1" t="s">
        <v>1202</v>
      </c>
      <c r="F2269" s="1" t="n">
        <v>36</v>
      </c>
      <c r="G2269" s="1" t="s">
        <v>445</v>
      </c>
      <c r="H2269" s="1" t="n">
        <v>1110202</v>
      </c>
      <c r="I2269" s="1" t="s">
        <v>285</v>
      </c>
      <c r="J2269" s="1" t="n">
        <v>1463756</v>
      </c>
      <c r="L2269" s="1" t="n">
        <v>1141</v>
      </c>
      <c r="M2269" s="1" t="s">
        <v>41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164.7</v>
      </c>
      <c r="W2269" s="1" t="n">
        <v>0</v>
      </c>
      <c r="X2269" s="1" t="s">
        <v>2489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46231</v>
      </c>
      <c r="C2270" s="15" t="n">
        <v>46259</v>
      </c>
      <c r="D2270" s="1" t="n">
        <v>10098</v>
      </c>
      <c r="E2270" s="1" t="s">
        <v>1202</v>
      </c>
      <c r="F2270" s="1" t="n">
        <v>36</v>
      </c>
      <c r="G2270" s="1" t="s">
        <v>445</v>
      </c>
      <c r="H2270" s="1" t="n">
        <v>1110202</v>
      </c>
      <c r="I2270" s="1" t="s">
        <v>285</v>
      </c>
      <c r="J2270" s="1" t="n">
        <v>1463886</v>
      </c>
      <c r="L2270" s="1" t="n">
        <v>1146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75.68</v>
      </c>
      <c r="W2270" s="1" t="n">
        <v>0</v>
      </c>
      <c r="X2270" s="1" t="s">
        <v>2490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46231</v>
      </c>
      <c r="C2271" s="15" t="n">
        <v>46259</v>
      </c>
      <c r="D2271" s="1" t="n">
        <v>1148</v>
      </c>
      <c r="E2271" s="1" t="s">
        <v>2491</v>
      </c>
      <c r="F2271" s="1" t="n">
        <v>36</v>
      </c>
      <c r="G2271" s="1" t="s">
        <v>445</v>
      </c>
      <c r="H2271" s="1" t="n">
        <v>1110202</v>
      </c>
      <c r="I2271" s="1" t="s">
        <v>285</v>
      </c>
      <c r="J2271" s="1" t="n">
        <v>1464132</v>
      </c>
      <c r="L2271" s="1" t="n">
        <v>1148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82.35</v>
      </c>
      <c r="W2271" s="1" t="n">
        <v>0</v>
      </c>
      <c r="X2271" s="1" t="s">
        <v>2492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46231</v>
      </c>
      <c r="C2272" s="15" t="n">
        <v>46259</v>
      </c>
      <c r="D2272" s="1" t="n">
        <v>10098</v>
      </c>
      <c r="E2272" s="1" t="s">
        <v>1202</v>
      </c>
      <c r="F2272" s="1" t="n">
        <v>36</v>
      </c>
      <c r="G2272" s="1" t="s">
        <v>445</v>
      </c>
      <c r="H2272" s="1" t="n">
        <v>1110202</v>
      </c>
      <c r="I2272" s="1" t="s">
        <v>285</v>
      </c>
      <c r="J2272" s="1" t="n">
        <v>1464140</v>
      </c>
      <c r="L2272" s="1" t="n">
        <v>1154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233.6</v>
      </c>
      <c r="W2272" s="1" t="n">
        <v>0</v>
      </c>
      <c r="X2272" s="1" t="s">
        <v>2493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46231</v>
      </c>
      <c r="C2273" s="15" t="n">
        <v>46259</v>
      </c>
      <c r="D2273" s="1" t="n">
        <v>10098</v>
      </c>
      <c r="E2273" s="1" t="s">
        <v>1202</v>
      </c>
      <c r="F2273" s="1" t="n">
        <v>36</v>
      </c>
      <c r="G2273" s="1" t="s">
        <v>445</v>
      </c>
      <c r="H2273" s="1" t="n">
        <v>1110202</v>
      </c>
      <c r="I2273" s="1" t="s">
        <v>285</v>
      </c>
      <c r="J2273" s="1" t="n">
        <v>1464155</v>
      </c>
      <c r="L2273" s="1" t="n">
        <v>1155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178.7</v>
      </c>
      <c r="W2273" s="1" t="n">
        <v>0</v>
      </c>
      <c r="X2273" s="1" t="s">
        <v>2494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46232</v>
      </c>
      <c r="C2274" s="15" t="n">
        <v>46259</v>
      </c>
      <c r="D2274" s="1" t="n">
        <v>1064</v>
      </c>
      <c r="E2274" s="1" t="s">
        <v>871</v>
      </c>
      <c r="F2274" s="1" t="n">
        <v>36</v>
      </c>
      <c r="G2274" s="1" t="s">
        <v>445</v>
      </c>
      <c r="H2274" s="1" t="n">
        <v>1110202</v>
      </c>
      <c r="I2274" s="1" t="s">
        <v>285</v>
      </c>
      <c r="J2274" s="1" t="n">
        <v>1469530</v>
      </c>
      <c r="L2274" s="1" t="n">
        <v>603893</v>
      </c>
      <c r="M2274" s="1" t="s">
        <v>394</v>
      </c>
      <c r="N2274" s="1" t="s">
        <v>42</v>
      </c>
      <c r="P2274" s="1" t="n">
        <v>102</v>
      </c>
      <c r="Q2274" s="1" t="s">
        <v>107</v>
      </c>
      <c r="R2274" s="1" t="s">
        <v>60</v>
      </c>
      <c r="S2274" s="1" t="n">
        <v>4210227</v>
      </c>
      <c r="T2274" s="1" t="s">
        <v>418</v>
      </c>
      <c r="U2274" s="17" t="n">
        <v>256.58</v>
      </c>
      <c r="W2274" s="1" t="n">
        <v>0</v>
      </c>
      <c r="X2274" s="1" t="s">
        <v>872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46238</v>
      </c>
      <c r="C2275" s="15" t="n">
        <v>46259</v>
      </c>
      <c r="D2275" s="1" t="n">
        <v>1740</v>
      </c>
      <c r="E2275" s="1" t="s">
        <v>258</v>
      </c>
      <c r="F2275" s="1" t="n">
        <v>24</v>
      </c>
      <c r="G2275" s="1" t="s">
        <v>32</v>
      </c>
      <c r="H2275" s="1" t="n">
        <v>1110202</v>
      </c>
      <c r="I2275" s="1" t="s">
        <v>285</v>
      </c>
      <c r="J2275" s="1" t="n">
        <v>1500861</v>
      </c>
      <c r="L2275" s="1" t="n">
        <v>1254539</v>
      </c>
      <c r="M2275" s="1" t="s">
        <v>34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1343.03</v>
      </c>
      <c r="W2275" s="1" t="n">
        <v>0</v>
      </c>
      <c r="X2275" s="1" t="s">
        <v>2495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46239</v>
      </c>
      <c r="C2276" s="15" t="n">
        <v>46259</v>
      </c>
      <c r="D2276" s="1" t="n">
        <v>1402</v>
      </c>
      <c r="E2276" s="1" t="s">
        <v>628</v>
      </c>
      <c r="F2276" s="1" t="n">
        <v>24</v>
      </c>
      <c r="G2276" s="1" t="s">
        <v>32</v>
      </c>
      <c r="H2276" s="1" t="n">
        <v>1110202</v>
      </c>
      <c r="I2276" s="1" t="s">
        <v>285</v>
      </c>
      <c r="J2276" s="1" t="n">
        <v>1503571</v>
      </c>
      <c r="L2276" s="1" t="n">
        <v>4166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60</v>
      </c>
      <c r="S2276" s="1" t="n">
        <v>4210299</v>
      </c>
      <c r="T2276" s="1" t="s">
        <v>1946</v>
      </c>
      <c r="U2276" s="17" t="n">
        <v>1109.15</v>
      </c>
      <c r="W2276" s="1" t="n">
        <v>0</v>
      </c>
      <c r="X2276" s="1" t="s">
        <v>2496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46244</v>
      </c>
      <c r="C2277" s="15" t="n">
        <v>46259</v>
      </c>
      <c r="D2277" s="1" t="n">
        <v>10098</v>
      </c>
      <c r="E2277" s="1" t="s">
        <v>1202</v>
      </c>
      <c r="F2277" s="1" t="n">
        <v>36</v>
      </c>
      <c r="G2277" s="1" t="s">
        <v>445</v>
      </c>
      <c r="H2277" s="1" t="n">
        <v>2110405</v>
      </c>
      <c r="I2277" s="1" t="s">
        <v>83</v>
      </c>
      <c r="J2277" s="1" t="n">
        <v>1529587</v>
      </c>
      <c r="L2277" s="1" t="n">
        <v>1197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288.5</v>
      </c>
      <c r="W2277" s="1" t="n">
        <v>0</v>
      </c>
      <c r="X2277" s="1" t="s">
        <v>2497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46245</v>
      </c>
      <c r="C2278" s="15" t="n">
        <v>46259</v>
      </c>
      <c r="D2278" s="1" t="n">
        <v>10098</v>
      </c>
      <c r="E2278" s="1" t="s">
        <v>1202</v>
      </c>
      <c r="F2278" s="1" t="n">
        <v>36</v>
      </c>
      <c r="G2278" s="1" t="s">
        <v>445</v>
      </c>
      <c r="H2278" s="1" t="n">
        <v>2110405</v>
      </c>
      <c r="I2278" s="1" t="s">
        <v>83</v>
      </c>
      <c r="J2278" s="1" t="n">
        <v>1531896</v>
      </c>
      <c r="L2278" s="1" t="n">
        <v>1199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144.25</v>
      </c>
      <c r="W2278" s="1" t="n">
        <v>0</v>
      </c>
      <c r="X2278" s="1" t="s">
        <v>2498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46245</v>
      </c>
      <c r="C2279" s="15" t="n">
        <v>46259</v>
      </c>
      <c r="D2279" s="1" t="n">
        <v>1718</v>
      </c>
      <c r="E2279" s="1" t="s">
        <v>134</v>
      </c>
      <c r="F2279" s="1" t="n">
        <v>24</v>
      </c>
      <c r="G2279" s="1" t="s">
        <v>32</v>
      </c>
      <c r="H2279" s="1" t="n">
        <v>2110405</v>
      </c>
      <c r="I2279" s="1" t="s">
        <v>83</v>
      </c>
      <c r="J2279" s="1" t="n">
        <v>1531933</v>
      </c>
      <c r="L2279" s="1" t="n">
        <v>688332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436.77</v>
      </c>
      <c r="W2279" s="1" t="n">
        <v>0</v>
      </c>
      <c r="X2279" s="1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46245</v>
      </c>
      <c r="C2280" s="15" t="n">
        <v>46259</v>
      </c>
      <c r="D2280" s="1" t="n">
        <v>1114</v>
      </c>
      <c r="E2280" s="1" t="s">
        <v>144</v>
      </c>
      <c r="F2280" s="1" t="n">
        <v>24</v>
      </c>
      <c r="G2280" s="1" t="s">
        <v>32</v>
      </c>
      <c r="H2280" s="1" t="n">
        <v>2110405</v>
      </c>
      <c r="I2280" s="1" t="s">
        <v>83</v>
      </c>
      <c r="J2280" s="1" t="n">
        <v>1533228</v>
      </c>
      <c r="L2280" s="1" t="n">
        <v>43493</v>
      </c>
      <c r="M2280" s="1" t="s">
        <v>41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2823.08</v>
      </c>
      <c r="W2280" s="1" t="n">
        <v>0</v>
      </c>
      <c r="X2280" s="1" t="s">
        <v>2500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46246</v>
      </c>
      <c r="C2281" s="15" t="n">
        <v>46259</v>
      </c>
      <c r="D2281" s="1" t="n">
        <v>794</v>
      </c>
      <c r="E2281" s="1" t="s">
        <v>325</v>
      </c>
      <c r="F2281" s="1" t="n">
        <v>24</v>
      </c>
      <c r="G2281" s="1" t="s">
        <v>32</v>
      </c>
      <c r="H2281" s="1" t="n">
        <v>2110405</v>
      </c>
      <c r="I2281" s="1" t="s">
        <v>83</v>
      </c>
      <c r="J2281" s="1" t="n">
        <v>1536581</v>
      </c>
      <c r="L2281" s="1" t="n">
        <v>8609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530</v>
      </c>
      <c r="W2281" s="1" t="n">
        <v>0</v>
      </c>
      <c r="X2281" s="1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46249</v>
      </c>
      <c r="C2282" s="15" t="n">
        <v>46259</v>
      </c>
      <c r="D2282" s="1" t="n">
        <v>10098</v>
      </c>
      <c r="E2282" s="1" t="s">
        <v>1202</v>
      </c>
      <c r="F2282" s="1" t="n">
        <v>36</v>
      </c>
      <c r="G2282" s="1" t="s">
        <v>445</v>
      </c>
      <c r="H2282" s="1" t="n">
        <v>2110405</v>
      </c>
      <c r="I2282" s="1" t="s">
        <v>83</v>
      </c>
      <c r="J2282" s="1" t="n">
        <v>1551387</v>
      </c>
      <c r="L2282" s="1" t="n">
        <v>1210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288.5</v>
      </c>
      <c r="W2282" s="1" t="n">
        <v>0</v>
      </c>
      <c r="X2282" s="1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46251</v>
      </c>
      <c r="C2283" s="15" t="n">
        <v>46259</v>
      </c>
      <c r="D2283" s="1" t="n">
        <v>10098</v>
      </c>
      <c r="E2283" s="1" t="s">
        <v>1202</v>
      </c>
      <c r="F2283" s="1" t="n">
        <v>36</v>
      </c>
      <c r="G2283" s="1" t="s">
        <v>445</v>
      </c>
      <c r="H2283" s="1" t="n">
        <v>2110405</v>
      </c>
      <c r="I2283" s="1" t="s">
        <v>83</v>
      </c>
      <c r="J2283" s="1" t="n">
        <v>1560897</v>
      </c>
      <c r="L2283" s="1" t="n">
        <v>1211</v>
      </c>
      <c r="M2283" s="1" t="s">
        <v>41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187.15</v>
      </c>
      <c r="W2283" s="1" t="n">
        <v>0</v>
      </c>
      <c r="X2283" s="1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46251</v>
      </c>
      <c r="C2284" s="15" t="n">
        <v>46259</v>
      </c>
      <c r="D2284" s="1" t="n">
        <v>1621</v>
      </c>
      <c r="E2284" s="1" t="s">
        <v>311</v>
      </c>
      <c r="F2284" s="1" t="n">
        <v>24</v>
      </c>
      <c r="G2284" s="1" t="s">
        <v>32</v>
      </c>
      <c r="H2284" s="1" t="n">
        <v>2110405</v>
      </c>
      <c r="I2284" s="1" t="s">
        <v>83</v>
      </c>
      <c r="J2284" s="1" t="n">
        <v>1561095</v>
      </c>
      <c r="L2284" s="1" t="n">
        <v>959004</v>
      </c>
      <c r="M2284" s="1" t="s">
        <v>41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3057.85</v>
      </c>
      <c r="W2284" s="1" t="n">
        <v>0</v>
      </c>
      <c r="X2284" s="1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46252</v>
      </c>
      <c r="C2285" s="15" t="n">
        <v>46259</v>
      </c>
      <c r="D2285" s="1" t="n">
        <v>10098</v>
      </c>
      <c r="E2285" s="1" t="s">
        <v>1202</v>
      </c>
      <c r="F2285" s="1" t="n">
        <v>36</v>
      </c>
      <c r="G2285" s="1" t="s">
        <v>445</v>
      </c>
      <c r="H2285" s="1" t="n">
        <v>2110405</v>
      </c>
      <c r="I2285" s="1" t="s">
        <v>83</v>
      </c>
      <c r="J2285" s="1" t="n">
        <v>1567142</v>
      </c>
      <c r="L2285" s="1" t="n">
        <v>1213</v>
      </c>
      <c r="M2285" s="1" t="s">
        <v>41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144.25</v>
      </c>
      <c r="W2285" s="1" t="n">
        <v>0</v>
      </c>
      <c r="X2285" s="1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46253</v>
      </c>
      <c r="C2286" s="15" t="n">
        <v>46259</v>
      </c>
      <c r="D2286" s="1" t="n">
        <v>10098</v>
      </c>
      <c r="E2286" s="1" t="s">
        <v>1202</v>
      </c>
      <c r="F2286" s="1" t="n">
        <v>36</v>
      </c>
      <c r="G2286" s="1" t="s">
        <v>445</v>
      </c>
      <c r="H2286" s="1" t="n">
        <v>2110405</v>
      </c>
      <c r="I2286" s="1" t="s">
        <v>83</v>
      </c>
      <c r="J2286" s="1" t="n">
        <v>1571389</v>
      </c>
      <c r="L2286" s="1" t="n">
        <v>1214</v>
      </c>
      <c r="M2286" s="1" t="s">
        <v>41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132.71</v>
      </c>
      <c r="W2286" s="1" t="n">
        <v>0</v>
      </c>
      <c r="X2286" s="1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46254</v>
      </c>
      <c r="C2287" s="15" t="n">
        <v>46259</v>
      </c>
      <c r="D2287" s="1" t="n">
        <v>1642</v>
      </c>
      <c r="E2287" s="1" t="s">
        <v>159</v>
      </c>
      <c r="F2287" s="1" t="n">
        <v>24</v>
      </c>
      <c r="G2287" s="1" t="s">
        <v>32</v>
      </c>
      <c r="H2287" s="1" t="n">
        <v>2110405</v>
      </c>
      <c r="I2287" s="1" t="s">
        <v>83</v>
      </c>
      <c r="J2287" s="1" t="n">
        <v>1575792</v>
      </c>
      <c r="L2287" s="1" t="n">
        <v>1037267</v>
      </c>
      <c r="M2287" s="1" t="s">
        <v>41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470.94</v>
      </c>
      <c r="W2287" s="1" t="n">
        <v>0</v>
      </c>
      <c r="X2287" s="1" t="s">
        <v>2507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46256</v>
      </c>
      <c r="C2288" s="15" t="n">
        <v>46259</v>
      </c>
      <c r="D2288" s="1" t="n">
        <v>1614</v>
      </c>
      <c r="E2288" s="1" t="s">
        <v>66</v>
      </c>
      <c r="F2288" s="1" t="n">
        <v>24</v>
      </c>
      <c r="G2288" s="1" t="s">
        <v>32</v>
      </c>
      <c r="H2288" s="1" t="n">
        <v>2110405</v>
      </c>
      <c r="I2288" s="1" t="s">
        <v>83</v>
      </c>
      <c r="J2288" s="1" t="n">
        <v>1585500</v>
      </c>
      <c r="L2288" s="1" t="n">
        <v>11586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402.23</v>
      </c>
      <c r="W2288" s="1" t="n">
        <v>0</v>
      </c>
      <c r="X2288" s="1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46256</v>
      </c>
      <c r="C2289" s="15" t="n">
        <v>46259</v>
      </c>
      <c r="D2289" s="1" t="n">
        <v>642</v>
      </c>
      <c r="E2289" s="1" t="s">
        <v>161</v>
      </c>
      <c r="F2289" s="1" t="n">
        <v>24</v>
      </c>
      <c r="G2289" s="1" t="s">
        <v>32</v>
      </c>
      <c r="H2289" s="1" t="n">
        <v>2110405</v>
      </c>
      <c r="I2289" s="1" t="s">
        <v>83</v>
      </c>
      <c r="J2289" s="1" t="n">
        <v>1585544</v>
      </c>
      <c r="L2289" s="1" t="n">
        <v>612</v>
      </c>
      <c r="M2289" s="1" t="s">
        <v>41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660</v>
      </c>
      <c r="W2289" s="1" t="n">
        <v>0</v>
      </c>
      <c r="X2289" s="1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46230</v>
      </c>
      <c r="C2290" s="15" t="n">
        <v>46260</v>
      </c>
      <c r="D2290" s="1" t="n">
        <v>639</v>
      </c>
      <c r="E2290" s="1" t="s">
        <v>185</v>
      </c>
      <c r="F2290" s="1" t="n">
        <v>24</v>
      </c>
      <c r="G2290" s="1" t="s">
        <v>32</v>
      </c>
      <c r="H2290" s="1" t="n">
        <v>1110202</v>
      </c>
      <c r="I2290" s="1" t="s">
        <v>285</v>
      </c>
      <c r="J2290" s="1" t="n">
        <v>1459262</v>
      </c>
      <c r="L2290" s="1" t="n">
        <v>45551</v>
      </c>
      <c r="M2290" s="1" t="s">
        <v>41</v>
      </c>
      <c r="N2290" s="1" t="s">
        <v>42</v>
      </c>
      <c r="P2290" s="1" t="n">
        <v>101</v>
      </c>
      <c r="Q2290" s="1" t="s">
        <v>84</v>
      </c>
      <c r="R2290" s="1" t="s">
        <v>60</v>
      </c>
      <c r="S2290" s="1" t="n">
        <v>4210216</v>
      </c>
      <c r="T2290" s="1" t="s">
        <v>186</v>
      </c>
      <c r="U2290" s="17" t="n">
        <v>420</v>
      </c>
      <c r="W2290" s="1" t="n">
        <v>0</v>
      </c>
      <c r="X2290" s="1" t="s">
        <v>2510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46226</v>
      </c>
      <c r="C2291" s="15" t="n">
        <v>46260</v>
      </c>
      <c r="D2291" s="1" t="n">
        <v>1671</v>
      </c>
      <c r="E2291" s="1" t="s">
        <v>340</v>
      </c>
      <c r="F2291" s="1" t="n">
        <v>24</v>
      </c>
      <c r="G2291" s="1" t="s">
        <v>32</v>
      </c>
      <c r="H2291" s="1" t="n">
        <v>2110405</v>
      </c>
      <c r="I2291" s="1" t="s">
        <v>83</v>
      </c>
      <c r="J2291" s="1" t="n">
        <v>1439103</v>
      </c>
      <c r="L2291" s="1" t="n">
        <v>592343</v>
      </c>
      <c r="M2291" s="1" t="s">
        <v>394</v>
      </c>
      <c r="N2291" s="1" t="s">
        <v>42</v>
      </c>
      <c r="P2291" s="1" t="n">
        <v>104</v>
      </c>
      <c r="Q2291" s="1" t="s">
        <v>99</v>
      </c>
      <c r="R2291" s="1" t="s">
        <v>37</v>
      </c>
      <c r="S2291" s="1" t="n">
        <v>1130101</v>
      </c>
      <c r="T2291" s="1" t="s">
        <v>38</v>
      </c>
      <c r="U2291" s="17" t="n">
        <v>1473.38</v>
      </c>
      <c r="W2291" s="1" t="n">
        <v>0</v>
      </c>
      <c r="X2291" s="1" t="s">
        <v>2178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46226</v>
      </c>
      <c r="C2292" s="15" t="n">
        <v>46260</v>
      </c>
      <c r="D2292" s="1" t="n">
        <v>10011</v>
      </c>
      <c r="E2292" s="1" t="s">
        <v>189</v>
      </c>
      <c r="F2292" s="1" t="n">
        <v>24</v>
      </c>
      <c r="G2292" s="1" t="s">
        <v>32</v>
      </c>
      <c r="H2292" s="1" t="n">
        <v>2110405</v>
      </c>
      <c r="I2292" s="1" t="s">
        <v>83</v>
      </c>
      <c r="J2292" s="1" t="n">
        <v>1440273</v>
      </c>
      <c r="L2292" s="1" t="n">
        <v>592643</v>
      </c>
      <c r="M2292" s="1" t="s">
        <v>34</v>
      </c>
      <c r="N2292" s="1" t="s">
        <v>42</v>
      </c>
      <c r="P2292" s="1" t="n">
        <v>104</v>
      </c>
      <c r="Q2292" s="1" t="s">
        <v>99</v>
      </c>
      <c r="R2292" s="1" t="s">
        <v>37</v>
      </c>
      <c r="S2292" s="1" t="n">
        <v>1130101</v>
      </c>
      <c r="T2292" s="1" t="s">
        <v>38</v>
      </c>
      <c r="U2292" s="17" t="n">
        <v>562.93</v>
      </c>
      <c r="W2292" s="1" t="n">
        <v>0</v>
      </c>
      <c r="X2292" s="1" t="s">
        <v>2298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46227</v>
      </c>
      <c r="C2293" s="15" t="n">
        <v>46260</v>
      </c>
      <c r="D2293" s="1" t="n">
        <v>1624</v>
      </c>
      <c r="E2293" s="1" t="s">
        <v>244</v>
      </c>
      <c r="F2293" s="1" t="n">
        <v>24</v>
      </c>
      <c r="G2293" s="1" t="s">
        <v>32</v>
      </c>
      <c r="H2293" s="1" t="n">
        <v>2110405</v>
      </c>
      <c r="I2293" s="1" t="s">
        <v>83</v>
      </c>
      <c r="J2293" s="1" t="n">
        <v>1443647</v>
      </c>
      <c r="L2293" s="1" t="n">
        <v>665164</v>
      </c>
      <c r="M2293" s="1" t="s">
        <v>128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853.9</v>
      </c>
      <c r="W2293" s="1" t="n">
        <v>0</v>
      </c>
      <c r="X2293" s="1" t="s">
        <v>2511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46232</v>
      </c>
      <c r="C2294" s="15" t="n">
        <v>46260</v>
      </c>
      <c r="D2294" s="1" t="n">
        <v>1842</v>
      </c>
      <c r="E2294" s="1" t="s">
        <v>630</v>
      </c>
      <c r="F2294" s="1" t="n">
        <v>24</v>
      </c>
      <c r="G2294" s="1" t="s">
        <v>32</v>
      </c>
      <c r="H2294" s="1" t="n">
        <v>1110202</v>
      </c>
      <c r="I2294" s="1" t="s">
        <v>285</v>
      </c>
      <c r="J2294" s="1" t="n">
        <v>1469815</v>
      </c>
      <c r="L2294" s="1" t="n">
        <v>7730</v>
      </c>
      <c r="M2294" s="1" t="s">
        <v>41</v>
      </c>
      <c r="N2294" s="1" t="s">
        <v>42</v>
      </c>
      <c r="P2294" s="1" t="n">
        <v>103</v>
      </c>
      <c r="Q2294" s="1" t="s">
        <v>36</v>
      </c>
      <c r="R2294" s="1" t="s">
        <v>60</v>
      </c>
      <c r="S2294" s="1" t="n">
        <v>4210229</v>
      </c>
      <c r="T2294" s="1" t="s">
        <v>2512</v>
      </c>
      <c r="U2294" s="17" t="n">
        <v>350</v>
      </c>
      <c r="W2294" s="1" t="n">
        <v>0</v>
      </c>
      <c r="X2294" s="1" t="s">
        <v>2513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46241</v>
      </c>
      <c r="C2295" s="15" t="n">
        <v>46260</v>
      </c>
      <c r="D2295" s="1" t="n">
        <v>1624</v>
      </c>
      <c r="E2295" s="1" t="s">
        <v>244</v>
      </c>
      <c r="F2295" s="1" t="n">
        <v>24</v>
      </c>
      <c r="G2295" s="1" t="s">
        <v>32</v>
      </c>
      <c r="H2295" s="1" t="n">
        <v>2110405</v>
      </c>
      <c r="I2295" s="1" t="s">
        <v>83</v>
      </c>
      <c r="J2295" s="1" t="n">
        <v>1513655</v>
      </c>
      <c r="L2295" s="1" t="n">
        <v>667391</v>
      </c>
      <c r="M2295" s="1" t="s">
        <v>41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939.08</v>
      </c>
      <c r="W2295" s="1" t="n">
        <v>0</v>
      </c>
      <c r="X2295" s="1" t="s">
        <v>2514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46241</v>
      </c>
      <c r="C2296" s="15" t="n">
        <v>46260</v>
      </c>
      <c r="D2296" s="1" t="n">
        <v>1613</v>
      </c>
      <c r="E2296" s="1" t="s">
        <v>208</v>
      </c>
      <c r="F2296" s="1" t="n">
        <v>24</v>
      </c>
      <c r="G2296" s="1" t="s">
        <v>32</v>
      </c>
      <c r="H2296" s="1" t="n">
        <v>2110405</v>
      </c>
      <c r="I2296" s="1" t="s">
        <v>83</v>
      </c>
      <c r="J2296" s="1" t="n">
        <v>1515520</v>
      </c>
      <c r="L2296" s="1" t="n">
        <v>1616799</v>
      </c>
      <c r="M2296" s="1" t="s">
        <v>34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3101.66</v>
      </c>
      <c r="W2296" s="1" t="n">
        <v>0</v>
      </c>
      <c r="X2296" s="1" t="s">
        <v>2515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46241</v>
      </c>
      <c r="C2297" s="15" t="n">
        <v>46260</v>
      </c>
      <c r="D2297" s="1" t="n">
        <v>1613</v>
      </c>
      <c r="E2297" s="1" t="s">
        <v>208</v>
      </c>
      <c r="F2297" s="1" t="n">
        <v>24</v>
      </c>
      <c r="G2297" s="1" t="s">
        <v>32</v>
      </c>
      <c r="H2297" s="1" t="n">
        <v>2110405</v>
      </c>
      <c r="I2297" s="1" t="s">
        <v>83</v>
      </c>
      <c r="J2297" s="1" t="n">
        <v>1515617</v>
      </c>
      <c r="L2297" s="1" t="n">
        <v>1616568</v>
      </c>
      <c r="M2297" s="1" t="s">
        <v>34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634.72</v>
      </c>
      <c r="W2297" s="1" t="n">
        <v>0</v>
      </c>
      <c r="X2297" s="1" t="s">
        <v>2516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46242</v>
      </c>
      <c r="C2298" s="15" t="n">
        <v>46260</v>
      </c>
      <c r="D2298" s="1" t="n">
        <v>1637</v>
      </c>
      <c r="E2298" s="1" t="s">
        <v>44</v>
      </c>
      <c r="F2298" s="1" t="n">
        <v>24</v>
      </c>
      <c r="G2298" s="1" t="s">
        <v>32</v>
      </c>
      <c r="H2298" s="1" t="n">
        <v>2110405</v>
      </c>
      <c r="I2298" s="1" t="s">
        <v>83</v>
      </c>
      <c r="J2298" s="1" t="n">
        <v>1517336</v>
      </c>
      <c r="L2298" s="1" t="n">
        <v>1916562</v>
      </c>
      <c r="M2298" s="1" t="s">
        <v>41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1993.17</v>
      </c>
      <c r="W2298" s="1" t="n">
        <v>0</v>
      </c>
      <c r="X2298" s="1" t="s">
        <v>2517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46242</v>
      </c>
      <c r="C2299" s="15" t="n">
        <v>46260</v>
      </c>
      <c r="D2299" s="1" t="n">
        <v>1667</v>
      </c>
      <c r="E2299" s="1" t="s">
        <v>40</v>
      </c>
      <c r="F2299" s="1" t="n">
        <v>24</v>
      </c>
      <c r="G2299" s="1" t="s">
        <v>32</v>
      </c>
      <c r="H2299" s="1" t="n">
        <v>2110405</v>
      </c>
      <c r="I2299" s="1" t="s">
        <v>83</v>
      </c>
      <c r="J2299" s="1" t="n">
        <v>1517980</v>
      </c>
      <c r="L2299" s="1" t="n">
        <v>397841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611.73</v>
      </c>
      <c r="W2299" s="1" t="n">
        <v>0</v>
      </c>
      <c r="X2299" s="1" t="s">
        <v>2518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46242</v>
      </c>
      <c r="C2300" s="15" t="n">
        <v>46260</v>
      </c>
      <c r="D2300" s="1" t="n">
        <v>1745</v>
      </c>
      <c r="E2300" s="1" t="s">
        <v>246</v>
      </c>
      <c r="F2300" s="1" t="n">
        <v>24</v>
      </c>
      <c r="G2300" s="1" t="s">
        <v>32</v>
      </c>
      <c r="H2300" s="1" t="n">
        <v>2110405</v>
      </c>
      <c r="I2300" s="1" t="s">
        <v>83</v>
      </c>
      <c r="J2300" s="1" t="n">
        <v>1518168</v>
      </c>
      <c r="L2300" s="1" t="n">
        <v>356122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793.41</v>
      </c>
      <c r="W2300" s="1" t="n">
        <v>0</v>
      </c>
      <c r="X2300" s="1" t="s">
        <v>2519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46242</v>
      </c>
      <c r="C2301" s="15" t="n">
        <v>46260</v>
      </c>
      <c r="D2301" s="1" t="n">
        <v>967</v>
      </c>
      <c r="E2301" s="1" t="s">
        <v>1028</v>
      </c>
      <c r="F2301" s="1" t="n">
        <v>24</v>
      </c>
      <c r="G2301" s="1" t="s">
        <v>32</v>
      </c>
      <c r="H2301" s="1" t="n">
        <v>2110405</v>
      </c>
      <c r="I2301" s="1" t="s">
        <v>83</v>
      </c>
      <c r="J2301" s="1" t="n">
        <v>1518232</v>
      </c>
      <c r="L2301" s="1" t="n">
        <v>36539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2402.15</v>
      </c>
      <c r="W2301" s="1" t="n">
        <v>0</v>
      </c>
      <c r="X2301" s="1" t="s">
        <v>2520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46244</v>
      </c>
      <c r="C2302" s="15" t="n">
        <v>46260</v>
      </c>
      <c r="D2302" s="1" t="n">
        <v>1668</v>
      </c>
      <c r="E2302" s="1" t="s">
        <v>57</v>
      </c>
      <c r="F2302" s="1" t="n">
        <v>24</v>
      </c>
      <c r="G2302" s="1" t="s">
        <v>32</v>
      </c>
      <c r="H2302" s="1" t="n">
        <v>2110405</v>
      </c>
      <c r="I2302" s="1" t="s">
        <v>83</v>
      </c>
      <c r="J2302" s="1" t="n">
        <v>1528863</v>
      </c>
      <c r="L2302" s="1" t="n">
        <v>746378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60</v>
      </c>
      <c r="S2302" s="1" t="n">
        <v>4210299</v>
      </c>
      <c r="T2302" s="1" t="s">
        <v>1946</v>
      </c>
      <c r="U2302" s="17" t="n">
        <v>871.19</v>
      </c>
      <c r="W2302" s="1" t="n">
        <v>0</v>
      </c>
      <c r="X2302" s="1" t="s">
        <v>2521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46246</v>
      </c>
      <c r="C2303" s="15" t="n">
        <v>46260</v>
      </c>
      <c r="D2303" s="1" t="n">
        <v>1601</v>
      </c>
      <c r="E2303" s="1" t="s">
        <v>195</v>
      </c>
      <c r="F2303" s="1" t="n">
        <v>24</v>
      </c>
      <c r="G2303" s="1" t="s">
        <v>32</v>
      </c>
      <c r="H2303" s="1" t="n">
        <v>2110405</v>
      </c>
      <c r="I2303" s="1" t="s">
        <v>83</v>
      </c>
      <c r="J2303" s="1" t="n">
        <v>1537246</v>
      </c>
      <c r="L2303" s="1" t="n">
        <v>862283</v>
      </c>
      <c r="M2303" s="1" t="s">
        <v>41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947.55</v>
      </c>
      <c r="W2303" s="1" t="n">
        <v>0</v>
      </c>
      <c r="X2303" s="1" t="s">
        <v>2522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46247</v>
      </c>
      <c r="C2304" s="15" t="n">
        <v>46260</v>
      </c>
      <c r="D2304" s="1" t="n">
        <v>1608</v>
      </c>
      <c r="E2304" s="1" t="s">
        <v>51</v>
      </c>
      <c r="F2304" s="1" t="n">
        <v>24</v>
      </c>
      <c r="G2304" s="1" t="s">
        <v>32</v>
      </c>
      <c r="H2304" s="1" t="n">
        <v>2110405</v>
      </c>
      <c r="I2304" s="1" t="s">
        <v>83</v>
      </c>
      <c r="J2304" s="1" t="n">
        <v>1540511</v>
      </c>
      <c r="L2304" s="1" t="n">
        <v>1709723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684.24</v>
      </c>
      <c r="W2304" s="1" t="n">
        <v>0</v>
      </c>
      <c r="X2304" s="1" t="s">
        <v>2523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46247</v>
      </c>
      <c r="C2305" s="15" t="n">
        <v>46260</v>
      </c>
      <c r="D2305" s="1" t="n">
        <v>1636</v>
      </c>
      <c r="E2305" s="1" t="s">
        <v>68</v>
      </c>
      <c r="F2305" s="1" t="n">
        <v>24</v>
      </c>
      <c r="G2305" s="1" t="s">
        <v>32</v>
      </c>
      <c r="H2305" s="1" t="n">
        <v>2110405</v>
      </c>
      <c r="I2305" s="1" t="s">
        <v>83</v>
      </c>
      <c r="J2305" s="1" t="n">
        <v>1541185</v>
      </c>
      <c r="L2305" s="1" t="n">
        <v>3235765</v>
      </c>
      <c r="M2305" s="1" t="s">
        <v>41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1262.69</v>
      </c>
      <c r="W2305" s="1" t="n">
        <v>0</v>
      </c>
      <c r="X2305" s="1" t="s">
        <v>2524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46247</v>
      </c>
      <c r="C2306" s="15" t="n">
        <v>46260</v>
      </c>
      <c r="D2306" s="1" t="n">
        <v>1749</v>
      </c>
      <c r="E2306" s="1" t="s">
        <v>703</v>
      </c>
      <c r="F2306" s="1" t="n">
        <v>24</v>
      </c>
      <c r="G2306" s="1" t="s">
        <v>32</v>
      </c>
      <c r="H2306" s="1" t="n">
        <v>2110405</v>
      </c>
      <c r="I2306" s="1" t="s">
        <v>83</v>
      </c>
      <c r="J2306" s="1" t="n">
        <v>1542706</v>
      </c>
      <c r="L2306" s="1" t="n">
        <v>3389</v>
      </c>
      <c r="M2306" s="1" t="s">
        <v>41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815.45</v>
      </c>
      <c r="W2306" s="1" t="n">
        <v>0</v>
      </c>
      <c r="X2306" s="1" t="s">
        <v>2525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46249</v>
      </c>
      <c r="C2307" s="15" t="n">
        <v>46260</v>
      </c>
      <c r="D2307" s="1" t="n">
        <v>1613</v>
      </c>
      <c r="E2307" s="1" t="s">
        <v>208</v>
      </c>
      <c r="F2307" s="1" t="n">
        <v>24</v>
      </c>
      <c r="G2307" s="1" t="s">
        <v>32</v>
      </c>
      <c r="H2307" s="1" t="n">
        <v>2110405</v>
      </c>
      <c r="I2307" s="1" t="s">
        <v>83</v>
      </c>
      <c r="J2307" s="1" t="n">
        <v>1551828</v>
      </c>
      <c r="L2307" s="1" t="n">
        <v>1619134</v>
      </c>
      <c r="M2307" s="1" t="s">
        <v>41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3149.23</v>
      </c>
      <c r="W2307" s="1" t="n">
        <v>0</v>
      </c>
      <c r="X2307" s="1" t="s">
        <v>2526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46253</v>
      </c>
      <c r="C2308" s="15" t="n">
        <v>46260</v>
      </c>
      <c r="D2308" s="1" t="n">
        <v>928</v>
      </c>
      <c r="E2308" s="1" t="s">
        <v>893</v>
      </c>
      <c r="F2308" s="1" t="n">
        <v>24</v>
      </c>
      <c r="G2308" s="1" t="s">
        <v>32</v>
      </c>
      <c r="H2308" s="1" t="n">
        <v>2110405</v>
      </c>
      <c r="I2308" s="1" t="s">
        <v>83</v>
      </c>
      <c r="J2308" s="1" t="n">
        <v>1573202</v>
      </c>
      <c r="L2308" s="1" t="n">
        <v>193548447</v>
      </c>
      <c r="M2308" s="1" t="s">
        <v>41</v>
      </c>
      <c r="N2308" s="1" t="s">
        <v>42</v>
      </c>
      <c r="P2308" s="1" t="n">
        <v>101</v>
      </c>
      <c r="Q2308" s="1" t="s">
        <v>84</v>
      </c>
      <c r="R2308" s="1" t="s">
        <v>85</v>
      </c>
      <c r="S2308" s="1" t="n">
        <v>421033</v>
      </c>
      <c r="T2308" s="1" t="s">
        <v>894</v>
      </c>
      <c r="U2308" s="17" t="n">
        <v>299.9</v>
      </c>
      <c r="W2308" s="1" t="n">
        <v>0</v>
      </c>
      <c r="X2308" s="1" t="s">
        <v>2527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46254</v>
      </c>
      <c r="C2309" s="15" t="n">
        <v>46260</v>
      </c>
      <c r="D2309" s="1" t="n">
        <v>1286</v>
      </c>
      <c r="E2309" s="1" t="s">
        <v>319</v>
      </c>
      <c r="F2309" s="1" t="n">
        <v>24</v>
      </c>
      <c r="G2309" s="1" t="s">
        <v>32</v>
      </c>
      <c r="H2309" s="1" t="n">
        <v>2110405</v>
      </c>
      <c r="I2309" s="1" t="s">
        <v>83</v>
      </c>
      <c r="J2309" s="1" t="n">
        <v>1575810</v>
      </c>
      <c r="L2309" s="1" t="n">
        <v>10588</v>
      </c>
      <c r="M2309" s="1" t="s">
        <v>41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756</v>
      </c>
      <c r="W2309" s="1" t="n">
        <v>0</v>
      </c>
      <c r="X2309" s="1" t="s">
        <v>2528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46254</v>
      </c>
      <c r="C2310" s="15" t="n">
        <v>46260</v>
      </c>
      <c r="D2310" s="1" t="n">
        <v>33</v>
      </c>
      <c r="E2310" s="1" t="s">
        <v>70</v>
      </c>
      <c r="F2310" s="1" t="n">
        <v>24</v>
      </c>
      <c r="G2310" s="1" t="s">
        <v>32</v>
      </c>
      <c r="H2310" s="1" t="n">
        <v>2110101</v>
      </c>
      <c r="I2310" s="1" t="s">
        <v>33</v>
      </c>
      <c r="J2310" s="1" t="n">
        <v>1577716</v>
      </c>
      <c r="L2310" s="1" t="n">
        <v>5528</v>
      </c>
      <c r="M2310" s="1" t="s">
        <v>41</v>
      </c>
      <c r="N2310" s="1" t="s">
        <v>35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300</v>
      </c>
      <c r="W2310" s="1" t="n">
        <v>0</v>
      </c>
      <c r="X2310" s="1" t="s">
        <v>2529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46256</v>
      </c>
      <c r="C2311" s="15" t="n">
        <v>46260</v>
      </c>
      <c r="D2311" s="1" t="n">
        <v>1899</v>
      </c>
      <c r="E2311" s="1" t="s">
        <v>74</v>
      </c>
      <c r="F2311" s="1" t="n">
        <v>24</v>
      </c>
      <c r="G2311" s="1" t="s">
        <v>32</v>
      </c>
      <c r="H2311" s="1" t="n">
        <v>2110405</v>
      </c>
      <c r="I2311" s="1" t="s">
        <v>83</v>
      </c>
      <c r="J2311" s="1" t="n">
        <v>1585630</v>
      </c>
      <c r="L2311" s="1" t="n">
        <v>771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422.15</v>
      </c>
      <c r="W2311" s="1" t="n">
        <v>0</v>
      </c>
      <c r="X2311" s="1" t="s">
        <v>2530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46248</v>
      </c>
      <c r="C2312" s="15" t="n">
        <v>46261</v>
      </c>
      <c r="D2312" s="1" t="n">
        <v>1270</v>
      </c>
      <c r="E2312" s="1" t="s">
        <v>309</v>
      </c>
      <c r="F2312" s="1" t="n">
        <v>24</v>
      </c>
      <c r="G2312" s="1" t="s">
        <v>32</v>
      </c>
      <c r="H2312" s="1" t="n">
        <v>2110405</v>
      </c>
      <c r="I2312" s="1" t="s">
        <v>83</v>
      </c>
      <c r="J2312" s="1" t="n">
        <v>1545352</v>
      </c>
      <c r="L2312" s="1" t="n">
        <v>2788</v>
      </c>
      <c r="M2312" s="1" t="s">
        <v>41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409.5</v>
      </c>
      <c r="W2312" s="1" t="n">
        <v>0</v>
      </c>
      <c r="X2312" s="1" t="s">
        <v>2531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46218</v>
      </c>
      <c r="C2313" s="15" t="n">
        <v>46261</v>
      </c>
      <c r="D2313" s="1" t="n">
        <v>10011</v>
      </c>
      <c r="E2313" s="1" t="s">
        <v>189</v>
      </c>
      <c r="F2313" s="1" t="n">
        <v>24</v>
      </c>
      <c r="G2313" s="1" t="s">
        <v>32</v>
      </c>
      <c r="H2313" s="1" t="n">
        <v>2110405</v>
      </c>
      <c r="I2313" s="1" t="s">
        <v>83</v>
      </c>
      <c r="J2313" s="1" t="n">
        <v>1401989</v>
      </c>
      <c r="L2313" s="1" t="n">
        <v>34663</v>
      </c>
      <c r="M2313" s="1" t="s">
        <v>128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2006</v>
      </c>
      <c r="W2313" s="1" t="n">
        <v>0</v>
      </c>
      <c r="X2313" s="1" t="s">
        <v>2532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46220</v>
      </c>
      <c r="C2314" s="15" t="n">
        <v>46261</v>
      </c>
      <c r="D2314" s="1" t="n">
        <v>10012</v>
      </c>
      <c r="E2314" s="1" t="s">
        <v>204</v>
      </c>
      <c r="F2314" s="1" t="n">
        <v>24</v>
      </c>
      <c r="G2314" s="1" t="s">
        <v>32</v>
      </c>
      <c r="H2314" s="1" t="n">
        <v>2110405</v>
      </c>
      <c r="I2314" s="1" t="s">
        <v>83</v>
      </c>
      <c r="J2314" s="1" t="n">
        <v>1411310</v>
      </c>
      <c r="L2314" s="1" t="n">
        <v>1964147</v>
      </c>
      <c r="M2314" s="1" t="s">
        <v>128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1129.56</v>
      </c>
      <c r="W2314" s="1" t="n">
        <v>0</v>
      </c>
      <c r="X2314" s="1" t="s">
        <v>2533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46224</v>
      </c>
      <c r="C2315" s="15" t="n">
        <v>46261</v>
      </c>
      <c r="D2315" s="1" t="n">
        <v>607</v>
      </c>
      <c r="E2315" s="1" t="s">
        <v>182</v>
      </c>
      <c r="F2315" s="1" t="n">
        <v>24</v>
      </c>
      <c r="G2315" s="1" t="s">
        <v>32</v>
      </c>
      <c r="H2315" s="1" t="n">
        <v>2110405</v>
      </c>
      <c r="I2315" s="1" t="s">
        <v>83</v>
      </c>
      <c r="J2315" s="1" t="n">
        <v>1429152</v>
      </c>
      <c r="L2315" s="1" t="n">
        <v>11134</v>
      </c>
      <c r="M2315" s="1" t="s">
        <v>34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911.85</v>
      </c>
      <c r="W2315" s="1" t="n">
        <v>0</v>
      </c>
      <c r="X2315" s="1" t="s">
        <v>2534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46225</v>
      </c>
      <c r="C2316" s="15" t="n">
        <v>46261</v>
      </c>
      <c r="D2316" s="1" t="n">
        <v>794</v>
      </c>
      <c r="E2316" s="1" t="s">
        <v>325</v>
      </c>
      <c r="F2316" s="1" t="n">
        <v>24</v>
      </c>
      <c r="G2316" s="1" t="s">
        <v>32</v>
      </c>
      <c r="H2316" s="1" t="n">
        <v>2110405</v>
      </c>
      <c r="I2316" s="1" t="s">
        <v>83</v>
      </c>
      <c r="J2316" s="1" t="n">
        <v>1435872</v>
      </c>
      <c r="L2316" s="1" t="n">
        <v>8403</v>
      </c>
      <c r="M2316" s="1" t="s">
        <v>394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2621.73</v>
      </c>
      <c r="W2316" s="1" t="n">
        <v>0</v>
      </c>
      <c r="X2316" s="1" t="s">
        <v>2535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46226</v>
      </c>
      <c r="C2317" s="15" t="n">
        <v>46261</v>
      </c>
      <c r="D2317" s="1" t="n">
        <v>10021</v>
      </c>
      <c r="E2317" s="1" t="s">
        <v>2208</v>
      </c>
      <c r="F2317" s="1" t="n">
        <v>24</v>
      </c>
      <c r="G2317" s="1" t="s">
        <v>32</v>
      </c>
      <c r="H2317" s="1" t="n">
        <v>2110405</v>
      </c>
      <c r="I2317" s="1" t="s">
        <v>83</v>
      </c>
      <c r="J2317" s="1" t="n">
        <v>1440166</v>
      </c>
      <c r="L2317" s="1" t="n">
        <v>134703</v>
      </c>
      <c r="M2317" s="1" t="s">
        <v>128</v>
      </c>
      <c r="N2317" s="1" t="s">
        <v>42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774.48</v>
      </c>
      <c r="W2317" s="1" t="n">
        <v>0</v>
      </c>
      <c r="X2317" s="1" t="s">
        <v>2536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46228</v>
      </c>
      <c r="C2318" s="15" t="n">
        <v>46261</v>
      </c>
      <c r="D2318" s="1" t="n">
        <v>1637</v>
      </c>
      <c r="E2318" s="1" t="s">
        <v>44</v>
      </c>
      <c r="F2318" s="1" t="n">
        <v>24</v>
      </c>
      <c r="G2318" s="1" t="s">
        <v>32</v>
      </c>
      <c r="H2318" s="1" t="n">
        <v>1110202</v>
      </c>
      <c r="I2318" s="1" t="s">
        <v>285</v>
      </c>
      <c r="J2318" s="1" t="n">
        <v>1450083</v>
      </c>
      <c r="L2318" s="1" t="n">
        <v>1910467</v>
      </c>
      <c r="M2318" s="1" t="s">
        <v>41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998.14</v>
      </c>
      <c r="W2318" s="1" t="n">
        <v>0</v>
      </c>
      <c r="X2318" s="1" t="s">
        <v>2537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46233</v>
      </c>
      <c r="C2319" s="15" t="n">
        <v>46261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83</v>
      </c>
      <c r="J2319" s="1" t="n">
        <v>1473434</v>
      </c>
      <c r="L2319" s="1" t="n">
        <v>1701960</v>
      </c>
      <c r="M2319" s="1" t="s">
        <v>34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944.98</v>
      </c>
      <c r="W2319" s="1" t="n">
        <v>0</v>
      </c>
      <c r="X2319" s="1" t="s">
        <v>2538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46261</v>
      </c>
      <c r="D2320" s="1" t="n">
        <v>1612</v>
      </c>
      <c r="E2320" s="1" t="s">
        <v>193</v>
      </c>
      <c r="F2320" s="1" t="n">
        <v>24</v>
      </c>
      <c r="G2320" s="1" t="s">
        <v>32</v>
      </c>
      <c r="H2320" s="1" t="n">
        <v>2110405</v>
      </c>
      <c r="I2320" s="1" t="s">
        <v>83</v>
      </c>
      <c r="J2320" s="1" t="n">
        <v>1508279</v>
      </c>
      <c r="L2320" s="1" t="n">
        <v>2307727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1167.15</v>
      </c>
      <c r="W2320" s="1" t="n">
        <v>0</v>
      </c>
      <c r="X2320" s="1" t="s">
        <v>2539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46240</v>
      </c>
      <c r="C2321" s="15" t="n">
        <v>46261</v>
      </c>
      <c r="D2321" s="1" t="n">
        <v>1608</v>
      </c>
      <c r="E2321" s="1" t="s">
        <v>51</v>
      </c>
      <c r="F2321" s="1" t="n">
        <v>24</v>
      </c>
      <c r="G2321" s="1" t="s">
        <v>32</v>
      </c>
      <c r="H2321" s="1" t="n">
        <v>2110405</v>
      </c>
      <c r="I2321" s="1" t="s">
        <v>83</v>
      </c>
      <c r="J2321" s="1" t="n">
        <v>1508347</v>
      </c>
      <c r="L2321" s="1" t="n">
        <v>1706774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1141.92</v>
      </c>
      <c r="W2321" s="1" t="n">
        <v>0</v>
      </c>
      <c r="X2321" s="1" t="s">
        <v>2540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46240</v>
      </c>
      <c r="C2322" s="15" t="n">
        <v>46261</v>
      </c>
      <c r="D2322" s="1" t="n">
        <v>1601</v>
      </c>
      <c r="E2322" s="1" t="s">
        <v>195</v>
      </c>
      <c r="F2322" s="1" t="n">
        <v>24</v>
      </c>
      <c r="G2322" s="1" t="s">
        <v>32</v>
      </c>
      <c r="H2322" s="1" t="n">
        <v>2110405</v>
      </c>
      <c r="I2322" s="1" t="s">
        <v>83</v>
      </c>
      <c r="J2322" s="1" t="n">
        <v>1508387</v>
      </c>
      <c r="L2322" s="1" t="n">
        <v>860853</v>
      </c>
      <c r="M2322" s="1" t="s">
        <v>34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545.86</v>
      </c>
      <c r="W2322" s="1" t="n">
        <v>0</v>
      </c>
      <c r="X2322" s="1" t="s">
        <v>2541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46240</v>
      </c>
      <c r="C2323" s="15" t="n">
        <v>46261</v>
      </c>
      <c r="D2323" s="1" t="n">
        <v>10017</v>
      </c>
      <c r="E2323" s="1" t="s">
        <v>753</v>
      </c>
      <c r="F2323" s="1" t="n">
        <v>24</v>
      </c>
      <c r="G2323" s="1" t="s">
        <v>32</v>
      </c>
      <c r="H2323" s="1" t="n">
        <v>2110405</v>
      </c>
      <c r="I2323" s="1" t="s">
        <v>83</v>
      </c>
      <c r="J2323" s="1" t="n">
        <v>1508414</v>
      </c>
      <c r="L2323" s="1" t="n">
        <v>195281</v>
      </c>
      <c r="M2323" s="1" t="s">
        <v>34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1164.11</v>
      </c>
      <c r="W2323" s="1" t="n">
        <v>0</v>
      </c>
      <c r="X2323" s="1" t="s">
        <v>2542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46241</v>
      </c>
      <c r="C2324" s="15" t="n">
        <v>46261</v>
      </c>
      <c r="D2324" s="1" t="n">
        <v>1626</v>
      </c>
      <c r="E2324" s="1" t="s">
        <v>40</v>
      </c>
      <c r="F2324" s="1" t="n">
        <v>24</v>
      </c>
      <c r="G2324" s="1" t="s">
        <v>32</v>
      </c>
      <c r="H2324" s="1" t="n">
        <v>2110405</v>
      </c>
      <c r="I2324" s="1" t="s">
        <v>83</v>
      </c>
      <c r="J2324" s="1" t="n">
        <v>1513163</v>
      </c>
      <c r="L2324" s="1" t="n">
        <v>316329</v>
      </c>
      <c r="M2324" s="1" t="s">
        <v>34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1276.95</v>
      </c>
      <c r="W2324" s="1" t="n">
        <v>0</v>
      </c>
      <c r="X2324" s="1" t="s">
        <v>2543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46242</v>
      </c>
      <c r="C2325" s="15" t="n">
        <v>46261</v>
      </c>
      <c r="D2325" s="1" t="n">
        <v>1675</v>
      </c>
      <c r="E2325" s="1" t="s">
        <v>80</v>
      </c>
      <c r="F2325" s="1" t="n">
        <v>24</v>
      </c>
      <c r="G2325" s="1" t="s">
        <v>32</v>
      </c>
      <c r="H2325" s="1" t="n">
        <v>2110405</v>
      </c>
      <c r="I2325" s="1" t="s">
        <v>83</v>
      </c>
      <c r="J2325" s="1" t="n">
        <v>1518493</v>
      </c>
      <c r="L2325" s="1" t="n">
        <v>506570</v>
      </c>
      <c r="M2325" s="1" t="s">
        <v>34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729.65</v>
      </c>
      <c r="W2325" s="1" t="n">
        <v>0</v>
      </c>
      <c r="X2325" s="1" t="s">
        <v>2544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46244</v>
      </c>
      <c r="C2326" s="15" t="n">
        <v>46261</v>
      </c>
      <c r="D2326" s="1" t="n">
        <v>1740</v>
      </c>
      <c r="E2326" s="1" t="s">
        <v>258</v>
      </c>
      <c r="F2326" s="1" t="n">
        <v>24</v>
      </c>
      <c r="G2326" s="1" t="s">
        <v>32</v>
      </c>
      <c r="H2326" s="1" t="n">
        <v>2110405</v>
      </c>
      <c r="I2326" s="1" t="s">
        <v>83</v>
      </c>
      <c r="J2326" s="1" t="n">
        <v>1528885</v>
      </c>
      <c r="L2326" s="1" t="n">
        <v>1256046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922.97</v>
      </c>
      <c r="W2326" s="1" t="n">
        <v>0</v>
      </c>
      <c r="X2326" s="1" t="s">
        <v>2545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46246</v>
      </c>
      <c r="C2327" s="15" t="n">
        <v>46261</v>
      </c>
      <c r="D2327" s="1" t="n">
        <v>1659</v>
      </c>
      <c r="E2327" s="1" t="s">
        <v>54</v>
      </c>
      <c r="F2327" s="1" t="n">
        <v>24</v>
      </c>
      <c r="G2327" s="1" t="s">
        <v>32</v>
      </c>
      <c r="H2327" s="1" t="n">
        <v>2110405</v>
      </c>
      <c r="I2327" s="1" t="s">
        <v>83</v>
      </c>
      <c r="J2327" s="1" t="n">
        <v>1535642</v>
      </c>
      <c r="L2327" s="1" t="n">
        <v>889987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345.95</v>
      </c>
      <c r="W2327" s="1" t="n">
        <v>0</v>
      </c>
      <c r="X2327" s="1" t="s">
        <v>2546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46246</v>
      </c>
      <c r="C2328" s="15" t="n">
        <v>46261</v>
      </c>
      <c r="D2328" s="1" t="n">
        <v>10009</v>
      </c>
      <c r="E2328" s="1" t="s">
        <v>201</v>
      </c>
      <c r="F2328" s="1" t="n">
        <v>24</v>
      </c>
      <c r="G2328" s="1" t="s">
        <v>32</v>
      </c>
      <c r="H2328" s="1" t="n">
        <v>2110405</v>
      </c>
      <c r="I2328" s="1" t="s">
        <v>83</v>
      </c>
      <c r="J2328" s="1" t="n">
        <v>1537273</v>
      </c>
      <c r="L2328" s="1" t="n">
        <v>1436399</v>
      </c>
      <c r="M2328" s="1" t="s">
        <v>128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1001.87</v>
      </c>
      <c r="W2328" s="1" t="n">
        <v>0</v>
      </c>
      <c r="X2328" s="1" t="s">
        <v>2547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46248</v>
      </c>
      <c r="C2329" s="15" t="n">
        <v>46261</v>
      </c>
      <c r="D2329" s="1" t="n">
        <v>10020</v>
      </c>
      <c r="E2329" s="1" t="s">
        <v>260</v>
      </c>
      <c r="F2329" s="1" t="n">
        <v>24</v>
      </c>
      <c r="G2329" s="1" t="s">
        <v>32</v>
      </c>
      <c r="H2329" s="1" t="n">
        <v>2110405</v>
      </c>
      <c r="I2329" s="1" t="s">
        <v>83</v>
      </c>
      <c r="J2329" s="1" t="n">
        <v>1546108</v>
      </c>
      <c r="L2329" s="1" t="n">
        <v>799</v>
      </c>
      <c r="M2329" s="1" t="s">
        <v>41</v>
      </c>
      <c r="N2329" s="1" t="s">
        <v>42</v>
      </c>
      <c r="P2329" s="1" t="n">
        <v>103</v>
      </c>
      <c r="Q2329" s="1" t="s">
        <v>36</v>
      </c>
      <c r="R2329" s="1" t="s">
        <v>37</v>
      </c>
      <c r="S2329" s="1" t="n">
        <v>1130101</v>
      </c>
      <c r="T2329" s="1" t="s">
        <v>38</v>
      </c>
      <c r="U2329" s="17" t="n">
        <v>507.3</v>
      </c>
      <c r="W2329" s="1" t="n">
        <v>0</v>
      </c>
      <c r="X2329" s="1" t="s">
        <v>2548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46248</v>
      </c>
      <c r="C2330" s="15" t="n">
        <v>46261</v>
      </c>
      <c r="D2330" s="1" t="n">
        <v>1609</v>
      </c>
      <c r="E2330" s="1" t="s">
        <v>64</v>
      </c>
      <c r="F2330" s="1" t="n">
        <v>24</v>
      </c>
      <c r="G2330" s="1" t="s">
        <v>32</v>
      </c>
      <c r="H2330" s="1" t="n">
        <v>2110405</v>
      </c>
      <c r="I2330" s="1" t="s">
        <v>83</v>
      </c>
      <c r="J2330" s="1" t="n">
        <v>1547225</v>
      </c>
      <c r="L2330" s="1" t="n">
        <v>5964</v>
      </c>
      <c r="M2330" s="1" t="s">
        <v>41</v>
      </c>
      <c r="N2330" s="1" t="s">
        <v>42</v>
      </c>
      <c r="P2330" s="1" t="n">
        <v>103</v>
      </c>
      <c r="Q2330" s="1" t="s">
        <v>36</v>
      </c>
      <c r="R2330" s="1" t="s">
        <v>37</v>
      </c>
      <c r="S2330" s="1" t="n">
        <v>1130101</v>
      </c>
      <c r="T2330" s="1" t="s">
        <v>38</v>
      </c>
      <c r="U2330" s="17" t="n">
        <v>1547.95</v>
      </c>
      <c r="W2330" s="1" t="n">
        <v>0</v>
      </c>
      <c r="X2330" s="1" t="s">
        <v>2549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46251</v>
      </c>
      <c r="C2331" s="15" t="n">
        <v>46261</v>
      </c>
      <c r="D2331" s="1" t="n">
        <v>1671</v>
      </c>
      <c r="E2331" s="1" t="s">
        <v>340</v>
      </c>
      <c r="F2331" s="1" t="n">
        <v>24</v>
      </c>
      <c r="G2331" s="1" t="s">
        <v>32</v>
      </c>
      <c r="H2331" s="1" t="n">
        <v>2110405</v>
      </c>
      <c r="I2331" s="1" t="s">
        <v>83</v>
      </c>
      <c r="J2331" s="1" t="n">
        <v>1562446</v>
      </c>
      <c r="L2331" s="1" t="n">
        <v>586417</v>
      </c>
      <c r="M2331" s="1" t="s">
        <v>41</v>
      </c>
      <c r="N2331" s="1" t="s">
        <v>42</v>
      </c>
      <c r="P2331" s="1" t="n">
        <v>103</v>
      </c>
      <c r="Q2331" s="1" t="s">
        <v>36</v>
      </c>
      <c r="R2331" s="1" t="s">
        <v>37</v>
      </c>
      <c r="S2331" s="1" t="n">
        <v>1130101</v>
      </c>
      <c r="T2331" s="1" t="s">
        <v>38</v>
      </c>
      <c r="U2331" s="17" t="n">
        <v>1584.82</v>
      </c>
      <c r="W2331" s="1" t="n">
        <v>0</v>
      </c>
      <c r="X2331" s="1" t="s">
        <v>2550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46254</v>
      </c>
      <c r="C2332" s="15" t="n">
        <v>46261</v>
      </c>
      <c r="D2332" s="1" t="n">
        <v>560</v>
      </c>
      <c r="E2332" s="1" t="s">
        <v>853</v>
      </c>
      <c r="F2332" s="1" t="n">
        <v>24</v>
      </c>
      <c r="G2332" s="1" t="s">
        <v>32</v>
      </c>
      <c r="H2332" s="1" t="n">
        <v>2110405</v>
      </c>
      <c r="I2332" s="1" t="s">
        <v>83</v>
      </c>
      <c r="J2332" s="1" t="n">
        <v>1575849</v>
      </c>
      <c r="L2332" s="1" t="n">
        <v>2056</v>
      </c>
      <c r="M2332" s="1" t="s">
        <v>41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500</v>
      </c>
      <c r="W2332" s="1" t="n">
        <v>0</v>
      </c>
      <c r="X2332" s="1" t="s">
        <v>2551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46254</v>
      </c>
      <c r="C2333" s="15" t="n">
        <v>46261</v>
      </c>
      <c r="D2333" s="1" t="n">
        <v>10105</v>
      </c>
      <c r="E2333" s="1" t="s">
        <v>2552</v>
      </c>
      <c r="F2333" s="1" t="n">
        <v>34</v>
      </c>
      <c r="G2333" s="1" t="s">
        <v>71</v>
      </c>
      <c r="H2333" s="1" t="n">
        <v>2110405</v>
      </c>
      <c r="I2333" s="1" t="s">
        <v>83</v>
      </c>
      <c r="J2333" s="1" t="n">
        <v>1577108</v>
      </c>
      <c r="L2333" s="1" t="n">
        <v>63</v>
      </c>
      <c r="M2333" s="1" t="s">
        <v>41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299.5</v>
      </c>
      <c r="W2333" s="1" t="n">
        <v>0</v>
      </c>
      <c r="X2333" s="1" t="s">
        <v>2553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46254</v>
      </c>
      <c r="C2334" s="15" t="n">
        <v>46261</v>
      </c>
      <c r="D2334" s="1" t="n">
        <v>1625</v>
      </c>
      <c r="E2334" s="1" t="s">
        <v>211</v>
      </c>
      <c r="F2334" s="1" t="n">
        <v>24</v>
      </c>
      <c r="G2334" s="1" t="s">
        <v>32</v>
      </c>
      <c r="H2334" s="1" t="n">
        <v>2110405</v>
      </c>
      <c r="I2334" s="1" t="s">
        <v>83</v>
      </c>
      <c r="J2334" s="1" t="n">
        <v>1577856</v>
      </c>
      <c r="L2334" s="1" t="n">
        <v>15103</v>
      </c>
      <c r="M2334" s="1" t="s">
        <v>41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2817.75</v>
      </c>
      <c r="W2334" s="1" t="n">
        <v>0</v>
      </c>
      <c r="X2334" s="1" t="s">
        <v>2554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46255</v>
      </c>
      <c r="C2335" s="15" t="n">
        <v>46261</v>
      </c>
      <c r="D2335" s="1" t="n">
        <v>10018</v>
      </c>
      <c r="E2335" s="1" t="s">
        <v>328</v>
      </c>
      <c r="F2335" s="1" t="n">
        <v>24</v>
      </c>
      <c r="G2335" s="1" t="s">
        <v>32</v>
      </c>
      <c r="H2335" s="1" t="n">
        <v>2110405</v>
      </c>
      <c r="I2335" s="1" t="s">
        <v>83</v>
      </c>
      <c r="J2335" s="1" t="n">
        <v>1581215</v>
      </c>
      <c r="L2335" s="1" t="n">
        <v>370</v>
      </c>
      <c r="M2335" s="1" t="s">
        <v>41</v>
      </c>
      <c r="N2335" s="1" t="s">
        <v>42</v>
      </c>
      <c r="P2335" s="1" t="n">
        <v>103</v>
      </c>
      <c r="Q2335" s="1" t="s">
        <v>36</v>
      </c>
      <c r="R2335" s="1" t="s">
        <v>37</v>
      </c>
      <c r="S2335" s="1" t="n">
        <v>1130101</v>
      </c>
      <c r="T2335" s="1" t="s">
        <v>38</v>
      </c>
      <c r="U2335" s="17" t="n">
        <v>2709.8</v>
      </c>
      <c r="W2335" s="1" t="n">
        <v>0</v>
      </c>
      <c r="X2335" s="1" t="s">
        <v>2555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46228</v>
      </c>
      <c r="C2336" s="15" t="n">
        <v>46262</v>
      </c>
      <c r="D2336" s="1" t="n">
        <v>515</v>
      </c>
      <c r="E2336" s="1" t="s">
        <v>106</v>
      </c>
      <c r="F2336" s="1" t="n">
        <v>34</v>
      </c>
      <c r="G2336" s="1" t="s">
        <v>71</v>
      </c>
      <c r="H2336" s="1" t="n">
        <v>1110202</v>
      </c>
      <c r="I2336" s="1" t="s">
        <v>285</v>
      </c>
      <c r="J2336" s="1" t="n">
        <v>1449535</v>
      </c>
      <c r="L2336" s="1" t="n">
        <v>596258</v>
      </c>
      <c r="M2336" s="1" t="s">
        <v>34</v>
      </c>
      <c r="N2336" s="1" t="s">
        <v>42</v>
      </c>
      <c r="P2336" s="1" t="n">
        <v>101</v>
      </c>
      <c r="Q2336" s="1" t="s">
        <v>84</v>
      </c>
      <c r="R2336" s="1" t="s">
        <v>91</v>
      </c>
      <c r="S2336" s="1" t="n">
        <v>4220199</v>
      </c>
      <c r="T2336" s="1" t="s">
        <v>92</v>
      </c>
      <c r="U2336" s="17" t="n">
        <v>3853.23</v>
      </c>
      <c r="W2336" s="1" t="n">
        <v>0</v>
      </c>
      <c r="X2336" s="1" t="s">
        <v>2556</v>
      </c>
      <c r="Z2336" s="1" t="str">
        <f aca="false">IF($T2336="","",IFERROR(INDEX('Resumo Grupos'!$AC$3:$AC$200,MATCH($T2336,'Resumo Grupos'!$AB$3:$AB$200,0)),"n/d"))</f>
        <v>Pagamentos outros não operacionais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46233</v>
      </c>
      <c r="C2337" s="15" t="n">
        <v>46262</v>
      </c>
      <c r="D2337" s="1" t="n">
        <v>10011</v>
      </c>
      <c r="E2337" s="1" t="s">
        <v>189</v>
      </c>
      <c r="F2337" s="1" t="n">
        <v>24</v>
      </c>
      <c r="G2337" s="1" t="s">
        <v>32</v>
      </c>
      <c r="H2337" s="1" t="n">
        <v>1110202</v>
      </c>
      <c r="I2337" s="1" t="s">
        <v>285</v>
      </c>
      <c r="J2337" s="1" t="n">
        <v>1474652</v>
      </c>
      <c r="L2337" s="1" t="n">
        <v>34855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629.55</v>
      </c>
      <c r="W2337" s="1" t="n">
        <v>0</v>
      </c>
      <c r="X2337" s="1" t="s">
        <v>2557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46262</v>
      </c>
      <c r="D2338" s="1" t="n">
        <v>1608</v>
      </c>
      <c r="E2338" s="1" t="s">
        <v>51</v>
      </c>
      <c r="F2338" s="1" t="n">
        <v>24</v>
      </c>
      <c r="G2338" s="1" t="s">
        <v>32</v>
      </c>
      <c r="H2338" s="1" t="n">
        <v>2110405</v>
      </c>
      <c r="I2338" s="1" t="s">
        <v>83</v>
      </c>
      <c r="J2338" s="1" t="n">
        <v>1514839</v>
      </c>
      <c r="L2338" s="1" t="n">
        <v>1707352</v>
      </c>
      <c r="M2338" s="1" t="s">
        <v>34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953.13</v>
      </c>
      <c r="W2338" s="1" t="n">
        <v>0</v>
      </c>
      <c r="X2338" s="1" t="s">
        <v>2558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46262</v>
      </c>
      <c r="D2339" s="1" t="n">
        <v>1815</v>
      </c>
      <c r="E2339" s="1" t="s">
        <v>551</v>
      </c>
      <c r="F2339" s="1" t="n">
        <v>24</v>
      </c>
      <c r="G2339" s="1" t="s">
        <v>32</v>
      </c>
      <c r="H2339" s="1" t="n">
        <v>2110405</v>
      </c>
      <c r="I2339" s="1" t="s">
        <v>83</v>
      </c>
      <c r="J2339" s="1" t="n">
        <v>1517855</v>
      </c>
      <c r="L2339" s="1" t="n">
        <v>396666</v>
      </c>
      <c r="M2339" s="1" t="s">
        <v>128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1052.36</v>
      </c>
      <c r="W2339" s="1" t="n">
        <v>0</v>
      </c>
      <c r="X2339" s="1" t="s">
        <v>2559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46262</v>
      </c>
      <c r="D2340" s="1" t="n">
        <v>1700</v>
      </c>
      <c r="E2340" s="1" t="s">
        <v>2414</v>
      </c>
      <c r="F2340" s="1" t="n">
        <v>24</v>
      </c>
      <c r="G2340" s="1" t="s">
        <v>32</v>
      </c>
      <c r="H2340" s="1" t="n">
        <v>2110405</v>
      </c>
      <c r="I2340" s="1" t="s">
        <v>83</v>
      </c>
      <c r="J2340" s="1" t="n">
        <v>1518180</v>
      </c>
      <c r="L2340" s="1" t="n">
        <v>295194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687.96</v>
      </c>
      <c r="W2340" s="1" t="n">
        <v>0</v>
      </c>
      <c r="X2340" s="1" t="s">
        <v>2560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46242</v>
      </c>
      <c r="C2341" s="15" t="n">
        <v>46262</v>
      </c>
      <c r="D2341" s="1" t="n">
        <v>1107</v>
      </c>
      <c r="E2341" s="1" t="s">
        <v>130</v>
      </c>
      <c r="F2341" s="1" t="n">
        <v>24</v>
      </c>
      <c r="G2341" s="1" t="s">
        <v>32</v>
      </c>
      <c r="H2341" s="1" t="n">
        <v>2110405</v>
      </c>
      <c r="I2341" s="1" t="s">
        <v>83</v>
      </c>
      <c r="J2341" s="1" t="n">
        <v>1518289</v>
      </c>
      <c r="L2341" s="1" t="n">
        <v>439388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1099.42</v>
      </c>
      <c r="W2341" s="1" t="n">
        <v>0</v>
      </c>
      <c r="X2341" s="1" t="s">
        <v>2561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46242</v>
      </c>
      <c r="C2342" s="15" t="n">
        <v>46262</v>
      </c>
      <c r="D2342" s="1" t="n">
        <v>1196</v>
      </c>
      <c r="E2342" s="1" t="s">
        <v>373</v>
      </c>
      <c r="F2342" s="1" t="n">
        <v>24</v>
      </c>
      <c r="G2342" s="1" t="s">
        <v>32</v>
      </c>
      <c r="H2342" s="1" t="n">
        <v>2110405</v>
      </c>
      <c r="I2342" s="1" t="s">
        <v>83</v>
      </c>
      <c r="J2342" s="1" t="n">
        <v>1518443</v>
      </c>
      <c r="L2342" s="1" t="n">
        <v>12716</v>
      </c>
      <c r="M2342" s="1" t="s">
        <v>34</v>
      </c>
      <c r="N2342" s="1" t="s">
        <v>42</v>
      </c>
      <c r="P2342" s="1" t="n">
        <v>103</v>
      </c>
      <c r="Q2342" s="1" t="s">
        <v>36</v>
      </c>
      <c r="R2342" s="1" t="s">
        <v>37</v>
      </c>
      <c r="S2342" s="1" t="n">
        <v>1130101</v>
      </c>
      <c r="T2342" s="1" t="s">
        <v>38</v>
      </c>
      <c r="U2342" s="17" t="n">
        <v>1287.52</v>
      </c>
      <c r="W2342" s="1" t="n">
        <v>0</v>
      </c>
      <c r="X2342" s="1" t="s">
        <v>2562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46244</v>
      </c>
      <c r="C2343" s="15" t="n">
        <v>46262</v>
      </c>
      <c r="D2343" s="1" t="n">
        <v>1612</v>
      </c>
      <c r="E2343" s="1" t="s">
        <v>193</v>
      </c>
      <c r="F2343" s="1" t="n">
        <v>24</v>
      </c>
      <c r="G2343" s="1" t="s">
        <v>32</v>
      </c>
      <c r="H2343" s="1" t="n">
        <v>2110405</v>
      </c>
      <c r="I2343" s="1" t="s">
        <v>83</v>
      </c>
      <c r="J2343" s="1" t="n">
        <v>1528938</v>
      </c>
      <c r="L2343" s="1" t="n">
        <v>2308194</v>
      </c>
      <c r="M2343" s="1" t="s">
        <v>34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625.83</v>
      </c>
      <c r="W2343" s="1" t="n">
        <v>0</v>
      </c>
      <c r="X2343" s="1" t="s">
        <v>2563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46249</v>
      </c>
      <c r="C2344" s="15" t="n">
        <v>46262</v>
      </c>
      <c r="D2344" s="1" t="n">
        <v>1114</v>
      </c>
      <c r="E2344" s="1" t="s">
        <v>144</v>
      </c>
      <c r="F2344" s="1" t="n">
        <v>24</v>
      </c>
      <c r="G2344" s="1" t="s">
        <v>32</v>
      </c>
      <c r="H2344" s="1" t="n">
        <v>2110405</v>
      </c>
      <c r="I2344" s="1" t="s">
        <v>83</v>
      </c>
      <c r="J2344" s="1" t="n">
        <v>1551898</v>
      </c>
      <c r="L2344" s="1" t="n">
        <v>43852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5216.27</v>
      </c>
      <c r="W2344" s="1" t="n">
        <v>0</v>
      </c>
      <c r="X2344" s="1" t="s">
        <v>2564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46249</v>
      </c>
      <c r="C2345" s="15" t="n">
        <v>46262</v>
      </c>
      <c r="D2345" s="1" t="n">
        <v>1815</v>
      </c>
      <c r="E2345" s="1" t="s">
        <v>551</v>
      </c>
      <c r="F2345" s="1" t="n">
        <v>24</v>
      </c>
      <c r="G2345" s="1" t="s">
        <v>32</v>
      </c>
      <c r="H2345" s="1" t="n">
        <v>2110405</v>
      </c>
      <c r="I2345" s="1" t="s">
        <v>83</v>
      </c>
      <c r="J2345" s="1" t="n">
        <v>1552021</v>
      </c>
      <c r="L2345" s="1" t="n">
        <v>397850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466</v>
      </c>
      <c r="W2345" s="1" t="n">
        <v>0</v>
      </c>
      <c r="X2345" s="1" t="s">
        <v>2565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46262</v>
      </c>
      <c r="D2346" s="1" t="n">
        <v>10011</v>
      </c>
      <c r="E2346" s="1" t="s">
        <v>189</v>
      </c>
      <c r="F2346" s="1" t="n">
        <v>24</v>
      </c>
      <c r="G2346" s="1" t="s">
        <v>32</v>
      </c>
      <c r="H2346" s="1" t="n">
        <v>2110405</v>
      </c>
      <c r="I2346" s="1" t="s">
        <v>83</v>
      </c>
      <c r="J2346" s="1" t="n">
        <v>1552267</v>
      </c>
      <c r="L2346" s="1" t="n">
        <v>35160</v>
      </c>
      <c r="M2346" s="1" t="s">
        <v>41</v>
      </c>
      <c r="N2346" s="1" t="s">
        <v>42</v>
      </c>
      <c r="P2346" s="1" t="n">
        <v>103</v>
      </c>
      <c r="Q2346" s="1" t="s">
        <v>36</v>
      </c>
      <c r="R2346" s="1" t="s">
        <v>37</v>
      </c>
      <c r="S2346" s="1" t="n">
        <v>1130101</v>
      </c>
      <c r="T2346" s="1" t="s">
        <v>38</v>
      </c>
      <c r="U2346" s="17" t="n">
        <v>2836.78</v>
      </c>
      <c r="W2346" s="1" t="n">
        <v>0</v>
      </c>
      <c r="X2346" s="1" t="s">
        <v>2566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46251</v>
      </c>
      <c r="C2347" s="15" t="n">
        <v>46262</v>
      </c>
      <c r="D2347" s="1" t="n">
        <v>1636</v>
      </c>
      <c r="E2347" s="1" t="s">
        <v>68</v>
      </c>
      <c r="F2347" s="1" t="n">
        <v>24</v>
      </c>
      <c r="G2347" s="1" t="s">
        <v>32</v>
      </c>
      <c r="H2347" s="1" t="n">
        <v>2110405</v>
      </c>
      <c r="I2347" s="1" t="s">
        <v>83</v>
      </c>
      <c r="J2347" s="1" t="n">
        <v>1561641</v>
      </c>
      <c r="L2347" s="1" t="n">
        <v>3237031</v>
      </c>
      <c r="M2347" s="1" t="s">
        <v>41</v>
      </c>
      <c r="N2347" s="1" t="s">
        <v>42</v>
      </c>
      <c r="P2347" s="1" t="n">
        <v>103</v>
      </c>
      <c r="Q2347" s="1" t="s">
        <v>36</v>
      </c>
      <c r="R2347" s="1" t="s">
        <v>37</v>
      </c>
      <c r="S2347" s="1" t="n">
        <v>1130101</v>
      </c>
      <c r="T2347" s="1" t="s">
        <v>38</v>
      </c>
      <c r="U2347" s="17" t="n">
        <v>698.08</v>
      </c>
      <c r="W2347" s="1" t="n">
        <v>0</v>
      </c>
      <c r="X2347" s="1" t="s">
        <v>2567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46252</v>
      </c>
      <c r="C2348" s="15" t="n">
        <v>46262</v>
      </c>
      <c r="D2348" s="1" t="n">
        <v>1723</v>
      </c>
      <c r="E2348" s="1" t="s">
        <v>264</v>
      </c>
      <c r="F2348" s="1" t="n">
        <v>24</v>
      </c>
      <c r="G2348" s="1" t="s">
        <v>32</v>
      </c>
      <c r="H2348" s="1" t="n">
        <v>2110405</v>
      </c>
      <c r="I2348" s="1" t="s">
        <v>83</v>
      </c>
      <c r="J2348" s="1" t="n">
        <v>1567350</v>
      </c>
      <c r="L2348" s="1" t="n">
        <v>175037</v>
      </c>
      <c r="M2348" s="1" t="s">
        <v>41</v>
      </c>
      <c r="N2348" s="1" t="s">
        <v>42</v>
      </c>
      <c r="P2348" s="1" t="n">
        <v>103</v>
      </c>
      <c r="Q2348" s="1" t="s">
        <v>36</v>
      </c>
      <c r="R2348" s="1" t="s">
        <v>37</v>
      </c>
      <c r="S2348" s="1" t="n">
        <v>1130101</v>
      </c>
      <c r="T2348" s="1" t="s">
        <v>38</v>
      </c>
      <c r="U2348" s="17" t="n">
        <v>3422.6</v>
      </c>
      <c r="W2348" s="1" t="n">
        <v>0</v>
      </c>
      <c r="X2348" s="1" t="s">
        <v>2568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46253</v>
      </c>
      <c r="C2349" s="15" t="n">
        <v>46262</v>
      </c>
      <c r="D2349" s="1" t="n">
        <v>10017</v>
      </c>
      <c r="E2349" s="1" t="s">
        <v>753</v>
      </c>
      <c r="F2349" s="1" t="n">
        <v>24</v>
      </c>
      <c r="G2349" s="1" t="s">
        <v>32</v>
      </c>
      <c r="H2349" s="1" t="n">
        <v>2110405</v>
      </c>
      <c r="I2349" s="1" t="s">
        <v>83</v>
      </c>
      <c r="J2349" s="1" t="n">
        <v>1571575</v>
      </c>
      <c r="L2349" s="1" t="n">
        <v>195456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792.21</v>
      </c>
      <c r="W2349" s="1" t="n">
        <v>0</v>
      </c>
      <c r="X2349" s="1" t="s">
        <v>2569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46253</v>
      </c>
      <c r="C2350" s="15" t="n">
        <v>46262</v>
      </c>
      <c r="D2350" s="1" t="n">
        <v>53</v>
      </c>
      <c r="E2350" s="1" t="s">
        <v>2570</v>
      </c>
      <c r="F2350" s="1" t="n">
        <v>34</v>
      </c>
      <c r="G2350" s="1" t="s">
        <v>71</v>
      </c>
      <c r="H2350" s="1" t="n">
        <v>2110405</v>
      </c>
      <c r="I2350" s="1" t="s">
        <v>83</v>
      </c>
      <c r="J2350" s="1" t="n">
        <v>1573405</v>
      </c>
      <c r="L2350" s="1" t="n">
        <v>20252026</v>
      </c>
      <c r="M2350" s="1" t="s">
        <v>41</v>
      </c>
      <c r="N2350" s="1" t="s">
        <v>42</v>
      </c>
      <c r="P2350" s="1" t="n">
        <v>101</v>
      </c>
      <c r="Q2350" s="1" t="s">
        <v>84</v>
      </c>
      <c r="R2350" s="1" t="s">
        <v>85</v>
      </c>
      <c r="S2350" s="1" t="n">
        <v>4210304</v>
      </c>
      <c r="T2350" s="1" t="s">
        <v>1861</v>
      </c>
      <c r="U2350" s="17" t="n">
        <v>2000</v>
      </c>
      <c r="W2350" s="1" t="n">
        <v>0</v>
      </c>
      <c r="X2350" s="1" t="s">
        <v>2571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46253</v>
      </c>
      <c r="C2351" s="15" t="n">
        <v>46262</v>
      </c>
      <c r="D2351" s="1" t="n">
        <v>393</v>
      </c>
      <c r="E2351" s="1" t="s">
        <v>2572</v>
      </c>
      <c r="F2351" s="1" t="n">
        <v>34</v>
      </c>
      <c r="G2351" s="1" t="s">
        <v>71</v>
      </c>
      <c r="H2351" s="1" t="n">
        <v>2110405</v>
      </c>
      <c r="I2351" s="1" t="s">
        <v>83</v>
      </c>
      <c r="J2351" s="1" t="n">
        <v>1573410</v>
      </c>
      <c r="L2351" s="1" t="n">
        <v>202520266</v>
      </c>
      <c r="M2351" s="1" t="s">
        <v>41</v>
      </c>
      <c r="N2351" s="1" t="s">
        <v>42</v>
      </c>
      <c r="P2351" s="1" t="n">
        <v>101</v>
      </c>
      <c r="Q2351" s="1" t="s">
        <v>84</v>
      </c>
      <c r="R2351" s="1" t="s">
        <v>85</v>
      </c>
      <c r="S2351" s="1" t="n">
        <v>4210304</v>
      </c>
      <c r="T2351" s="1" t="s">
        <v>1861</v>
      </c>
      <c r="U2351" s="17" t="n">
        <v>2000</v>
      </c>
      <c r="W2351" s="1" t="n">
        <v>0</v>
      </c>
      <c r="X2351" s="1" t="s">
        <v>2571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46254</v>
      </c>
      <c r="C2352" s="15" t="n">
        <v>46262</v>
      </c>
      <c r="D2352" s="1" t="n">
        <v>1608</v>
      </c>
      <c r="E2352" s="1" t="s">
        <v>51</v>
      </c>
      <c r="F2352" s="1" t="n">
        <v>24</v>
      </c>
      <c r="G2352" s="1" t="s">
        <v>32</v>
      </c>
      <c r="H2352" s="1" t="n">
        <v>2110405</v>
      </c>
      <c r="I2352" s="1" t="s">
        <v>83</v>
      </c>
      <c r="J2352" s="1" t="n">
        <v>1575885</v>
      </c>
      <c r="L2352" s="1" t="n">
        <v>1711227</v>
      </c>
      <c r="M2352" s="1" t="s">
        <v>41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753.3</v>
      </c>
      <c r="W2352" s="1" t="n">
        <v>0</v>
      </c>
      <c r="X2352" s="1" t="s">
        <v>2573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46255</v>
      </c>
      <c r="C2353" s="15" t="n">
        <v>46262</v>
      </c>
      <c r="D2353" s="1" t="n">
        <v>1625</v>
      </c>
      <c r="E2353" s="1" t="s">
        <v>211</v>
      </c>
      <c r="F2353" s="1" t="n">
        <v>24</v>
      </c>
      <c r="G2353" s="1" t="s">
        <v>32</v>
      </c>
      <c r="H2353" s="1" t="n">
        <v>2110405</v>
      </c>
      <c r="I2353" s="1" t="s">
        <v>83</v>
      </c>
      <c r="J2353" s="1" t="n">
        <v>1581764</v>
      </c>
      <c r="L2353" s="1" t="n">
        <v>15112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4110.24</v>
      </c>
      <c r="W2353" s="1" t="n">
        <v>0</v>
      </c>
      <c r="X2353" s="1" t="s">
        <v>2574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46256</v>
      </c>
      <c r="C2354" s="15" t="n">
        <v>46262</v>
      </c>
      <c r="D2354" s="1" t="n">
        <v>1642</v>
      </c>
      <c r="E2354" s="1" t="s">
        <v>159</v>
      </c>
      <c r="F2354" s="1" t="n">
        <v>24</v>
      </c>
      <c r="G2354" s="1" t="s">
        <v>32</v>
      </c>
      <c r="H2354" s="1" t="n">
        <v>2110405</v>
      </c>
      <c r="I2354" s="1" t="s">
        <v>83</v>
      </c>
      <c r="J2354" s="1" t="n">
        <v>1585644</v>
      </c>
      <c r="L2354" s="1" t="n">
        <v>1037996</v>
      </c>
      <c r="M2354" s="1" t="s">
        <v>41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696.6</v>
      </c>
      <c r="W2354" s="1" t="n">
        <v>0</v>
      </c>
      <c r="X2354" s="1" t="s">
        <v>2575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46256</v>
      </c>
      <c r="C2355" s="15" t="n">
        <v>46262</v>
      </c>
      <c r="D2355" s="1" t="n">
        <v>1292</v>
      </c>
      <c r="E2355" s="1" t="s">
        <v>321</v>
      </c>
      <c r="F2355" s="1" t="n">
        <v>24</v>
      </c>
      <c r="G2355" s="1" t="s">
        <v>32</v>
      </c>
      <c r="H2355" s="1" t="n">
        <v>2110405</v>
      </c>
      <c r="I2355" s="1" t="s">
        <v>83</v>
      </c>
      <c r="J2355" s="1" t="n">
        <v>1585667</v>
      </c>
      <c r="L2355" s="1" t="n">
        <v>3876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2061.5</v>
      </c>
      <c r="W2355" s="1" t="n">
        <v>0</v>
      </c>
      <c r="X2355" s="1" t="s">
        <v>2576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46256</v>
      </c>
      <c r="C2356" s="15" t="n">
        <v>46262</v>
      </c>
      <c r="D2356" s="1" t="n">
        <v>581</v>
      </c>
      <c r="E2356" s="1" t="s">
        <v>278</v>
      </c>
      <c r="F2356" s="1" t="n">
        <v>24</v>
      </c>
      <c r="G2356" s="1" t="s">
        <v>32</v>
      </c>
      <c r="H2356" s="1" t="n">
        <v>2110405</v>
      </c>
      <c r="I2356" s="1" t="s">
        <v>83</v>
      </c>
      <c r="J2356" s="1" t="n">
        <v>1585693</v>
      </c>
      <c r="L2356" s="1" t="n">
        <v>32059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233.5</v>
      </c>
      <c r="W2356" s="1" t="n">
        <v>0</v>
      </c>
      <c r="X2356" s="1" t="s">
        <v>2577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46240</v>
      </c>
      <c r="C2357" s="15" t="n">
        <v>46263</v>
      </c>
      <c r="D2357" s="1" t="n">
        <v>1659</v>
      </c>
      <c r="E2357" s="1" t="s">
        <v>54</v>
      </c>
      <c r="F2357" s="1" t="n">
        <v>24</v>
      </c>
      <c r="G2357" s="1" t="s">
        <v>32</v>
      </c>
      <c r="H2357" s="1" t="n">
        <v>2110405</v>
      </c>
      <c r="I2357" s="1" t="s">
        <v>83</v>
      </c>
      <c r="J2357" s="1" t="n">
        <v>1508900</v>
      </c>
      <c r="L2357" s="1" t="n">
        <v>889410</v>
      </c>
      <c r="M2357" s="1" t="s">
        <v>34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1452.44</v>
      </c>
      <c r="W2357" s="1" t="n">
        <v>0</v>
      </c>
      <c r="X2357" s="1" t="s">
        <v>2578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46242</v>
      </c>
      <c r="C2358" s="15" t="n">
        <v>46263</v>
      </c>
      <c r="D2358" s="1" t="n">
        <v>1708</v>
      </c>
      <c r="E2358" s="1" t="s">
        <v>153</v>
      </c>
      <c r="F2358" s="1" t="n">
        <v>24</v>
      </c>
      <c r="G2358" s="1" t="s">
        <v>32</v>
      </c>
      <c r="H2358" s="1" t="n">
        <v>2110405</v>
      </c>
      <c r="I2358" s="1" t="s">
        <v>83</v>
      </c>
      <c r="J2358" s="1" t="n">
        <v>1518534</v>
      </c>
      <c r="L2358" s="1" t="n">
        <v>264963</v>
      </c>
      <c r="M2358" s="1" t="s">
        <v>34</v>
      </c>
      <c r="N2358" s="1" t="s">
        <v>42</v>
      </c>
      <c r="P2358" s="1" t="n">
        <v>103</v>
      </c>
      <c r="Q2358" s="1" t="s">
        <v>36</v>
      </c>
      <c r="R2358" s="1" t="s">
        <v>37</v>
      </c>
      <c r="S2358" s="1" t="n">
        <v>1130101</v>
      </c>
      <c r="T2358" s="1" t="s">
        <v>38</v>
      </c>
      <c r="U2358" s="17" t="n">
        <v>721.52</v>
      </c>
      <c r="W2358" s="1" t="n">
        <v>0</v>
      </c>
      <c r="X2358" s="1" t="s">
        <v>2579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46252</v>
      </c>
      <c r="C2359" s="15" t="n">
        <v>46263</v>
      </c>
      <c r="D2359" s="1" t="n">
        <v>1705</v>
      </c>
      <c r="E2359" s="1" t="s">
        <v>148</v>
      </c>
      <c r="F2359" s="1" t="n">
        <v>24</v>
      </c>
      <c r="G2359" s="1" t="s">
        <v>32</v>
      </c>
      <c r="H2359" s="1" t="n">
        <v>2110405</v>
      </c>
      <c r="I2359" s="1" t="s">
        <v>83</v>
      </c>
      <c r="J2359" s="1" t="n">
        <v>1565982</v>
      </c>
      <c r="L2359" s="1" t="n">
        <v>1250817</v>
      </c>
      <c r="M2359" s="1" t="s">
        <v>41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152.38</v>
      </c>
      <c r="W2359" s="1" t="n">
        <v>0</v>
      </c>
      <c r="X2359" s="1" t="s">
        <v>2580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46252</v>
      </c>
      <c r="C2360" s="15" t="n">
        <v>46263</v>
      </c>
      <c r="D2360" s="1" t="n">
        <v>1705</v>
      </c>
      <c r="E2360" s="1" t="s">
        <v>148</v>
      </c>
      <c r="F2360" s="1" t="n">
        <v>24</v>
      </c>
      <c r="G2360" s="1" t="s">
        <v>32</v>
      </c>
      <c r="H2360" s="1" t="n">
        <v>2110405</v>
      </c>
      <c r="I2360" s="1" t="s">
        <v>83</v>
      </c>
      <c r="J2360" s="1" t="n">
        <v>1566031</v>
      </c>
      <c r="L2360" s="1" t="n">
        <v>1250842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2627.97</v>
      </c>
      <c r="W2360" s="1" t="n">
        <v>0</v>
      </c>
      <c r="X2360" s="1" t="s">
        <v>2581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46252</v>
      </c>
      <c r="C2361" s="15" t="n">
        <v>46263</v>
      </c>
      <c r="D2361" s="1" t="n">
        <v>1705</v>
      </c>
      <c r="E2361" s="1" t="s">
        <v>148</v>
      </c>
      <c r="F2361" s="1" t="n">
        <v>24</v>
      </c>
      <c r="G2361" s="1" t="s">
        <v>32</v>
      </c>
      <c r="H2361" s="1" t="n">
        <v>2110405</v>
      </c>
      <c r="I2361" s="1" t="s">
        <v>83</v>
      </c>
      <c r="J2361" s="1" t="n">
        <v>1566370</v>
      </c>
      <c r="L2361" s="1" t="n">
        <v>1250879</v>
      </c>
      <c r="M2361" s="1" t="s">
        <v>41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659.34</v>
      </c>
      <c r="W2361" s="1" t="n">
        <v>0</v>
      </c>
      <c r="X2361" s="1" t="s">
        <v>2582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46252</v>
      </c>
      <c r="C2362" s="15" t="n">
        <v>46263</v>
      </c>
      <c r="D2362" s="1" t="n">
        <v>1705</v>
      </c>
      <c r="E2362" s="1" t="s">
        <v>148</v>
      </c>
      <c r="F2362" s="1" t="n">
        <v>24</v>
      </c>
      <c r="G2362" s="1" t="s">
        <v>32</v>
      </c>
      <c r="H2362" s="1" t="n">
        <v>2110405</v>
      </c>
      <c r="I2362" s="1" t="s">
        <v>83</v>
      </c>
      <c r="J2362" s="1" t="n">
        <v>1566454</v>
      </c>
      <c r="L2362" s="1" t="n">
        <v>1990959</v>
      </c>
      <c r="M2362" s="1" t="s">
        <v>41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490.11</v>
      </c>
      <c r="W2362" s="1" t="n">
        <v>0</v>
      </c>
      <c r="X2362" s="1" t="s">
        <v>2583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46252</v>
      </c>
      <c r="C2363" s="15" t="n">
        <v>46263</v>
      </c>
      <c r="D2363" s="1" t="n">
        <v>1705</v>
      </c>
      <c r="E2363" s="1" t="s">
        <v>148</v>
      </c>
      <c r="F2363" s="1" t="n">
        <v>24</v>
      </c>
      <c r="G2363" s="1" t="s">
        <v>32</v>
      </c>
      <c r="H2363" s="1" t="n">
        <v>2110405</v>
      </c>
      <c r="I2363" s="1" t="s">
        <v>83</v>
      </c>
      <c r="J2363" s="1" t="n">
        <v>1566476</v>
      </c>
      <c r="L2363" s="1" t="n">
        <v>1990972</v>
      </c>
      <c r="M2363" s="1" t="s">
        <v>41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369.57</v>
      </c>
      <c r="W2363" s="1" t="n">
        <v>0</v>
      </c>
      <c r="X2363" s="1" t="s">
        <v>2584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46252</v>
      </c>
      <c r="C2364" s="15" t="n">
        <v>46263</v>
      </c>
      <c r="D2364" s="1" t="n">
        <v>1705</v>
      </c>
      <c r="E2364" s="1" t="s">
        <v>148</v>
      </c>
      <c r="F2364" s="1" t="n">
        <v>24</v>
      </c>
      <c r="G2364" s="1" t="s">
        <v>32</v>
      </c>
      <c r="H2364" s="1" t="n">
        <v>2110405</v>
      </c>
      <c r="I2364" s="1" t="s">
        <v>83</v>
      </c>
      <c r="J2364" s="1" t="n">
        <v>1566569</v>
      </c>
      <c r="L2364" s="1" t="n">
        <v>1990961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76.19</v>
      </c>
      <c r="W2364" s="1" t="n">
        <v>0</v>
      </c>
      <c r="X2364" s="1" t="s">
        <v>2585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46252</v>
      </c>
      <c r="C2365" s="15" t="n">
        <v>46263</v>
      </c>
      <c r="D2365" s="1" t="n">
        <v>1705</v>
      </c>
      <c r="E2365" s="1" t="s">
        <v>148</v>
      </c>
      <c r="F2365" s="1" t="n">
        <v>24</v>
      </c>
      <c r="G2365" s="1" t="s">
        <v>32</v>
      </c>
      <c r="H2365" s="1" t="n">
        <v>2110405</v>
      </c>
      <c r="I2365" s="1" t="s">
        <v>83</v>
      </c>
      <c r="J2365" s="1" t="n">
        <v>1566580</v>
      </c>
      <c r="L2365" s="1" t="n">
        <v>1991099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37</v>
      </c>
      <c r="S2365" s="1" t="n">
        <v>1130101</v>
      </c>
      <c r="T2365" s="1" t="s">
        <v>38</v>
      </c>
      <c r="U2365" s="17" t="n">
        <v>7800.09</v>
      </c>
      <c r="W2365" s="1" t="n">
        <v>0</v>
      </c>
      <c r="X2365" s="1" t="s">
        <v>2586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46256</v>
      </c>
      <c r="C2366" s="15" t="n">
        <v>46263</v>
      </c>
      <c r="D2366" s="1" t="n">
        <v>1286</v>
      </c>
      <c r="E2366" s="1" t="s">
        <v>319</v>
      </c>
      <c r="F2366" s="1" t="n">
        <v>24</v>
      </c>
      <c r="G2366" s="1" t="s">
        <v>32</v>
      </c>
      <c r="H2366" s="1" t="n">
        <v>2110405</v>
      </c>
      <c r="I2366" s="1" t="s">
        <v>83</v>
      </c>
      <c r="J2366" s="1" t="n">
        <v>1585711</v>
      </c>
      <c r="L2366" s="1" t="n">
        <v>10608</v>
      </c>
      <c r="M2366" s="1" t="s">
        <v>41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1134</v>
      </c>
      <c r="W2366" s="1" t="n">
        <v>0</v>
      </c>
      <c r="X2366" s="1" t="s">
        <v>2587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46232</v>
      </c>
      <c r="C2367" s="22" t="n">
        <v>46264</v>
      </c>
      <c r="D2367" s="1" t="n">
        <v>815</v>
      </c>
      <c r="E2367" s="1" t="s">
        <v>652</v>
      </c>
      <c r="F2367" s="1" t="n">
        <v>34</v>
      </c>
      <c r="G2367" s="1" t="s">
        <v>71</v>
      </c>
      <c r="H2367" s="1" t="n">
        <v>1110202</v>
      </c>
      <c r="I2367" s="1" t="s">
        <v>285</v>
      </c>
      <c r="J2367" s="1" t="n">
        <v>1470128</v>
      </c>
      <c r="L2367" s="1" t="n">
        <v>604118</v>
      </c>
      <c r="M2367" s="1" t="s">
        <v>41</v>
      </c>
      <c r="N2367" s="1" t="s">
        <v>42</v>
      </c>
      <c r="P2367" s="1" t="n">
        <v>101</v>
      </c>
      <c r="Q2367" s="1" t="s">
        <v>84</v>
      </c>
      <c r="R2367" s="1" t="s">
        <v>108</v>
      </c>
      <c r="S2367" s="1" t="n">
        <v>4210502</v>
      </c>
      <c r="T2367" s="1" t="s">
        <v>901</v>
      </c>
      <c r="U2367" s="1" t="n">
        <v>1000</v>
      </c>
      <c r="W2367" s="1" t="n">
        <v>0</v>
      </c>
      <c r="X2367" s="1" t="s">
        <v>2588</v>
      </c>
      <c r="Z2367" s="1" t="str">
        <f aca="false">IF($T2367="","",IFERROR(INDEX('Resumo Grupos'!$AC$3:$AC$200,MATCH($T2367,'Resumo Grupos'!$AB$3:$AB$200,0)),"n/d"))</f>
        <v>Empréstimo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46234</v>
      </c>
      <c r="C2368" s="22" t="n">
        <v>46264</v>
      </c>
      <c r="D2368" s="1" t="n">
        <v>815</v>
      </c>
      <c r="E2368" s="1" t="s">
        <v>652</v>
      </c>
      <c r="F2368" s="1" t="n">
        <v>34</v>
      </c>
      <c r="G2368" s="1" t="s">
        <v>71</v>
      </c>
      <c r="H2368" s="1" t="n">
        <v>1110202</v>
      </c>
      <c r="I2368" s="1" t="s">
        <v>285</v>
      </c>
      <c r="J2368" s="1" t="n">
        <v>1477511</v>
      </c>
      <c r="L2368" s="1" t="n">
        <v>606996</v>
      </c>
      <c r="M2368" s="1" t="s">
        <v>41</v>
      </c>
      <c r="N2368" s="1" t="s">
        <v>42</v>
      </c>
      <c r="P2368" s="1" t="n">
        <v>101</v>
      </c>
      <c r="Q2368" s="1" t="s">
        <v>84</v>
      </c>
      <c r="R2368" s="1" t="s">
        <v>2306</v>
      </c>
      <c r="S2368" s="1" t="n">
        <v>2210203</v>
      </c>
      <c r="T2368" s="1" t="s">
        <v>2589</v>
      </c>
      <c r="U2368" s="1" t="n">
        <v>200000</v>
      </c>
      <c r="W2368" s="1" t="n">
        <v>0</v>
      </c>
      <c r="X2368" s="1" t="s">
        <v>2590</v>
      </c>
      <c r="Z2368" s="1" t="str">
        <f aca="false">IF($T2368="","",IFERROR(INDEX('Resumo Grupos'!$AC$3:$AC$200,MATCH($T2368,'Resumo Grupos'!$AB$3:$AB$200,0)),"n/d"))</f>
        <v>Empréstimo</v>
      </c>
      <c r="AA2368" s="1" t="str">
        <f aca="false">IF($T2368="","",IF(COUNTIF('Resumo Grupos'!$AE$3:$AE$40,$T2368)&gt;0,"NAO","SIM"))</f>
        <v>NAO</v>
      </c>
    </row>
    <row r="2369" customFormat="false" ht="12.75" hidden="false" customHeight="true" outlineLevel="0" collapsed="false">
      <c r="A2369" s="1" t="n">
        <v>1</v>
      </c>
      <c r="B2369" s="22" t="n">
        <v>46234</v>
      </c>
      <c r="C2369" s="22" t="n">
        <v>46264</v>
      </c>
      <c r="D2369" s="1" t="n">
        <v>815</v>
      </c>
      <c r="E2369" s="1" t="s">
        <v>652</v>
      </c>
      <c r="F2369" s="1" t="n">
        <v>34</v>
      </c>
      <c r="G2369" s="1" t="s">
        <v>71</v>
      </c>
      <c r="H2369" s="1" t="n">
        <v>1110202</v>
      </c>
      <c r="I2369" s="1" t="s">
        <v>285</v>
      </c>
      <c r="J2369" s="1" t="n">
        <v>1477514</v>
      </c>
      <c r="L2369" s="1" t="n">
        <v>606999</v>
      </c>
      <c r="M2369" s="1" t="s">
        <v>41</v>
      </c>
      <c r="N2369" s="1" t="s">
        <v>42</v>
      </c>
      <c r="P2369" s="1" t="n">
        <v>101</v>
      </c>
      <c r="Q2369" s="1" t="s">
        <v>84</v>
      </c>
      <c r="R2369" s="1" t="s">
        <v>2306</v>
      </c>
      <c r="S2369" s="1" t="n">
        <v>2210203</v>
      </c>
      <c r="T2369" s="1" t="s">
        <v>2589</v>
      </c>
      <c r="U2369" s="1" t="n">
        <v>50000</v>
      </c>
      <c r="W2369" s="1" t="n">
        <v>0</v>
      </c>
      <c r="X2369" s="1" t="s">
        <v>2591</v>
      </c>
      <c r="Z2369" s="1" t="str">
        <f aca="false">IF($T2369="","",IFERROR(INDEX('Resumo Grupos'!$AC$3:$AC$200,MATCH($T2369,'Resumo Grupos'!$AB$3:$AB$200,0)),"n/d"))</f>
        <v>Empréstimo</v>
      </c>
      <c r="AA2369" s="1" t="str">
        <f aca="false">IF($T2369="","",IF(COUNTIF('Resumo Grupos'!$AE$3:$AE$40,$T2369)&gt;0,"NAO","SIM"))</f>
        <v>NAO</v>
      </c>
    </row>
    <row r="2370" customFormat="false" ht="12.75" hidden="false" customHeight="true" outlineLevel="0" collapsed="false">
      <c r="A2370" s="1" t="n">
        <v>1</v>
      </c>
      <c r="B2370" s="22" t="n">
        <v>46255</v>
      </c>
      <c r="C2370" s="22" t="n">
        <v>46264</v>
      </c>
      <c r="D2370" s="1" t="n">
        <v>10085</v>
      </c>
      <c r="E2370" s="1" t="s">
        <v>925</v>
      </c>
      <c r="F2370" s="1" t="n">
        <v>24</v>
      </c>
      <c r="G2370" s="1" t="s">
        <v>32</v>
      </c>
      <c r="H2370" s="1" t="n">
        <v>2110405</v>
      </c>
      <c r="I2370" s="1" t="s">
        <v>83</v>
      </c>
      <c r="J2370" s="1" t="n">
        <v>1580432</v>
      </c>
      <c r="L2370" s="1" t="n">
        <v>1578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591.41</v>
      </c>
      <c r="W2370" s="1" t="n">
        <v>0</v>
      </c>
      <c r="X2370" s="1" t="s">
        <v>2592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46255</v>
      </c>
      <c r="C2371" s="22" t="n">
        <v>46264</v>
      </c>
      <c r="D2371" s="1" t="n">
        <v>1723</v>
      </c>
      <c r="E2371" s="1" t="s">
        <v>264</v>
      </c>
      <c r="F2371" s="1" t="n">
        <v>24</v>
      </c>
      <c r="G2371" s="1" t="s">
        <v>32</v>
      </c>
      <c r="H2371" s="1" t="n">
        <v>2110405</v>
      </c>
      <c r="I2371" s="1" t="s">
        <v>83</v>
      </c>
      <c r="J2371" s="1" t="n">
        <v>1581655</v>
      </c>
      <c r="L2371" s="1" t="n">
        <v>175197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4076.8</v>
      </c>
      <c r="W2371" s="1" t="n">
        <v>0</v>
      </c>
      <c r="X2371" s="1" t="s">
        <v>2593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46234</v>
      </c>
      <c r="C2372" s="22" t="n">
        <v>46265</v>
      </c>
      <c r="D2372" s="1" t="n">
        <v>1699</v>
      </c>
      <c r="E2372" s="1" t="s">
        <v>371</v>
      </c>
      <c r="F2372" s="1" t="n">
        <v>24</v>
      </c>
      <c r="G2372" s="1" t="s">
        <v>32</v>
      </c>
      <c r="H2372" s="1" t="n">
        <v>2110405</v>
      </c>
      <c r="I2372" s="1" t="s">
        <v>83</v>
      </c>
      <c r="J2372" s="1" t="n">
        <v>1478171</v>
      </c>
      <c r="L2372" s="1" t="n">
        <v>309642</v>
      </c>
      <c r="M2372" s="1" t="s">
        <v>128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1633.1</v>
      </c>
      <c r="W2372" s="1" t="n">
        <v>0</v>
      </c>
      <c r="X2372" s="1" t="s">
        <v>2594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46237</v>
      </c>
      <c r="C2373" s="22" t="n">
        <v>46265</v>
      </c>
      <c r="D2373" s="1" t="n">
        <v>1699</v>
      </c>
      <c r="E2373" s="1" t="s">
        <v>371</v>
      </c>
      <c r="F2373" s="1" t="n">
        <v>24</v>
      </c>
      <c r="G2373" s="1" t="s">
        <v>32</v>
      </c>
      <c r="H2373" s="1" t="n">
        <v>2110405</v>
      </c>
      <c r="I2373" s="1" t="s">
        <v>83</v>
      </c>
      <c r="J2373" s="1" t="n">
        <v>1495640</v>
      </c>
      <c r="L2373" s="1" t="n">
        <v>309757</v>
      </c>
      <c r="M2373" s="1" t="s">
        <v>128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403.5</v>
      </c>
      <c r="W2373" s="1" t="n">
        <v>0</v>
      </c>
      <c r="X2373" s="1" t="s">
        <v>2595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46238</v>
      </c>
      <c r="C2374" s="22" t="n">
        <v>46265</v>
      </c>
      <c r="D2374" s="1" t="n">
        <v>1668</v>
      </c>
      <c r="E2374" s="1" t="s">
        <v>57</v>
      </c>
      <c r="F2374" s="1" t="n">
        <v>24</v>
      </c>
      <c r="G2374" s="1" t="s">
        <v>32</v>
      </c>
      <c r="H2374" s="1" t="n">
        <v>1110202</v>
      </c>
      <c r="I2374" s="1" t="s">
        <v>285</v>
      </c>
      <c r="J2374" s="1" t="n">
        <v>1500935</v>
      </c>
      <c r="L2374" s="1" t="n">
        <v>745268</v>
      </c>
      <c r="M2374" s="1" t="s">
        <v>34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998.66</v>
      </c>
      <c r="W2374" s="1" t="n">
        <v>0</v>
      </c>
      <c r="X2374" s="1" t="s">
        <v>2596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46240</v>
      </c>
      <c r="C2375" s="22" t="n">
        <v>46265</v>
      </c>
      <c r="D2375" s="1" t="n">
        <v>1316</v>
      </c>
      <c r="E2375" s="1" t="s">
        <v>961</v>
      </c>
      <c r="F2375" s="1" t="n">
        <v>34</v>
      </c>
      <c r="G2375" s="1" t="s">
        <v>71</v>
      </c>
      <c r="H2375" s="1" t="n">
        <v>2110101</v>
      </c>
      <c r="I2375" s="1" t="s">
        <v>33</v>
      </c>
      <c r="J2375" s="1" t="n">
        <v>1508398</v>
      </c>
      <c r="L2375" s="1" t="n">
        <v>4014</v>
      </c>
      <c r="M2375" s="1" t="s">
        <v>41</v>
      </c>
      <c r="N2375" s="1" t="s">
        <v>35</v>
      </c>
      <c r="P2375" s="1" t="n">
        <v>104</v>
      </c>
      <c r="Q2375" s="1" t="s">
        <v>99</v>
      </c>
      <c r="R2375" s="1" t="s">
        <v>37</v>
      </c>
      <c r="S2375" s="1" t="n">
        <v>1130101</v>
      </c>
      <c r="T2375" s="1" t="s">
        <v>38</v>
      </c>
      <c r="U2375" s="1" t="n">
        <v>160</v>
      </c>
      <c r="W2375" s="1" t="n">
        <v>0</v>
      </c>
      <c r="X2375" s="1" t="s">
        <v>2597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46248</v>
      </c>
      <c r="C2376" s="22" t="n">
        <v>46265</v>
      </c>
      <c r="D2376" s="1" t="n">
        <v>1637</v>
      </c>
      <c r="E2376" s="1" t="s">
        <v>44</v>
      </c>
      <c r="F2376" s="1" t="n">
        <v>24</v>
      </c>
      <c r="G2376" s="1" t="s">
        <v>32</v>
      </c>
      <c r="H2376" s="1" t="n">
        <v>2110405</v>
      </c>
      <c r="I2376" s="1" t="s">
        <v>83</v>
      </c>
      <c r="J2376" s="1" t="n">
        <v>1545601</v>
      </c>
      <c r="L2376" s="1" t="n">
        <v>1917922</v>
      </c>
      <c r="M2376" s="1" t="s">
        <v>41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836.8</v>
      </c>
      <c r="W2376" s="1" t="n">
        <v>0</v>
      </c>
      <c r="X2376" s="1" t="s">
        <v>2598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46265</v>
      </c>
      <c r="D2377" s="1" t="n">
        <v>1637</v>
      </c>
      <c r="E2377" s="1" t="s">
        <v>44</v>
      </c>
      <c r="F2377" s="1" t="n">
        <v>24</v>
      </c>
      <c r="G2377" s="1" t="s">
        <v>32</v>
      </c>
      <c r="H2377" s="1" t="n">
        <v>2110405</v>
      </c>
      <c r="I2377" s="1" t="s">
        <v>83</v>
      </c>
      <c r="J2377" s="1" t="n">
        <v>1509615</v>
      </c>
      <c r="L2377" s="1" t="n">
        <v>1915888</v>
      </c>
      <c r="M2377" s="1" t="s">
        <v>41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2003.9</v>
      </c>
      <c r="W2377" s="1" t="n">
        <v>0</v>
      </c>
      <c r="X2377" s="1" t="s">
        <v>2599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46265</v>
      </c>
      <c r="D2378" s="1" t="n">
        <v>1637</v>
      </c>
      <c r="E2378" s="1" t="s">
        <v>44</v>
      </c>
      <c r="F2378" s="1" t="n">
        <v>24</v>
      </c>
      <c r="G2378" s="1" t="s">
        <v>32</v>
      </c>
      <c r="H2378" s="1" t="n">
        <v>2110405</v>
      </c>
      <c r="I2378" s="1" t="s">
        <v>83</v>
      </c>
      <c r="J2378" s="1" t="n">
        <v>1509734</v>
      </c>
      <c r="L2378" s="1" t="n">
        <v>1915885</v>
      </c>
      <c r="M2378" s="1" t="s">
        <v>41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1795</v>
      </c>
      <c r="W2378" s="1" t="n">
        <v>0</v>
      </c>
      <c r="X2378" s="1" t="s">
        <v>2600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46242</v>
      </c>
      <c r="C2379" s="22" t="n">
        <v>46265</v>
      </c>
      <c r="D2379" s="1" t="n">
        <v>957</v>
      </c>
      <c r="E2379" s="1" t="s">
        <v>132</v>
      </c>
      <c r="F2379" s="1" t="n">
        <v>24</v>
      </c>
      <c r="G2379" s="1" t="s">
        <v>32</v>
      </c>
      <c r="H2379" s="1" t="n">
        <v>2110405</v>
      </c>
      <c r="I2379" s="1" t="s">
        <v>83</v>
      </c>
      <c r="J2379" s="1" t="n">
        <v>1517801</v>
      </c>
      <c r="L2379" s="1" t="n">
        <v>21578</v>
      </c>
      <c r="M2379" s="1" t="s">
        <v>41</v>
      </c>
      <c r="N2379" s="1" t="s">
        <v>42</v>
      </c>
      <c r="P2379" s="1" t="n">
        <v>103</v>
      </c>
      <c r="Q2379" s="1" t="s">
        <v>36</v>
      </c>
      <c r="R2379" s="1" t="s">
        <v>37</v>
      </c>
      <c r="S2379" s="1" t="n">
        <v>1130101</v>
      </c>
      <c r="T2379" s="1" t="s">
        <v>38</v>
      </c>
      <c r="U2379" s="1" t="n">
        <v>3429</v>
      </c>
      <c r="W2379" s="1" t="n">
        <v>0</v>
      </c>
      <c r="X2379" s="1" t="s">
        <v>2601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46246</v>
      </c>
      <c r="C2380" s="22" t="n">
        <v>46265</v>
      </c>
      <c r="D2380" s="1" t="n">
        <v>1636</v>
      </c>
      <c r="E2380" s="1" t="s">
        <v>68</v>
      </c>
      <c r="F2380" s="1" t="n">
        <v>24</v>
      </c>
      <c r="G2380" s="1" t="s">
        <v>32</v>
      </c>
      <c r="H2380" s="1" t="n">
        <v>2110405</v>
      </c>
      <c r="I2380" s="1" t="s">
        <v>83</v>
      </c>
      <c r="J2380" s="1" t="n">
        <v>1536369</v>
      </c>
      <c r="L2380" s="1" t="n">
        <v>3234290</v>
      </c>
      <c r="M2380" s="1" t="s">
        <v>34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727.99</v>
      </c>
      <c r="W2380" s="1" t="n">
        <v>0</v>
      </c>
      <c r="X2380" s="1" t="s">
        <v>2602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46248</v>
      </c>
      <c r="C2381" s="22" t="n">
        <v>46265</v>
      </c>
      <c r="D2381" s="1" t="n">
        <v>1637</v>
      </c>
      <c r="E2381" s="1" t="s">
        <v>44</v>
      </c>
      <c r="F2381" s="1" t="n">
        <v>24</v>
      </c>
      <c r="G2381" s="1" t="s">
        <v>32</v>
      </c>
      <c r="H2381" s="1" t="n">
        <v>2110405</v>
      </c>
      <c r="I2381" s="1" t="s">
        <v>83</v>
      </c>
      <c r="J2381" s="1" t="n">
        <v>1545729</v>
      </c>
      <c r="L2381" s="1" t="n">
        <v>1917925</v>
      </c>
      <c r="M2381" s="1" t="s">
        <v>41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428.17</v>
      </c>
      <c r="W2381" s="1" t="n">
        <v>0</v>
      </c>
      <c r="X2381" s="1" t="s">
        <v>2603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46248</v>
      </c>
      <c r="C2382" s="22" t="n">
        <v>46265</v>
      </c>
      <c r="D2382" s="1" t="n">
        <v>1316</v>
      </c>
      <c r="E2382" s="1" t="s">
        <v>961</v>
      </c>
      <c r="F2382" s="1" t="n">
        <v>34</v>
      </c>
      <c r="G2382" s="1" t="s">
        <v>71</v>
      </c>
      <c r="H2382" s="1" t="n">
        <v>2110101</v>
      </c>
      <c r="I2382" s="1" t="s">
        <v>33</v>
      </c>
      <c r="J2382" s="1" t="n">
        <v>1545881</v>
      </c>
      <c r="L2382" s="1" t="n">
        <v>4092</v>
      </c>
      <c r="M2382" s="1" t="s">
        <v>41</v>
      </c>
      <c r="N2382" s="1" t="s">
        <v>35</v>
      </c>
      <c r="P2382" s="1" t="n">
        <v>104</v>
      </c>
      <c r="Q2382" s="1" t="s">
        <v>99</v>
      </c>
      <c r="R2382" s="1" t="s">
        <v>37</v>
      </c>
      <c r="S2382" s="1" t="n">
        <v>1130101</v>
      </c>
      <c r="T2382" s="1" t="s">
        <v>38</v>
      </c>
      <c r="U2382" s="1" t="n">
        <v>200</v>
      </c>
      <c r="W2382" s="1" t="n">
        <v>0</v>
      </c>
      <c r="X2382" s="1" t="s">
        <v>2604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46265</v>
      </c>
      <c r="D2383" s="1" t="n">
        <v>1699</v>
      </c>
      <c r="E2383" s="1" t="s">
        <v>371</v>
      </c>
      <c r="F2383" s="1" t="n">
        <v>24</v>
      </c>
      <c r="G2383" s="1" t="s">
        <v>32</v>
      </c>
      <c r="H2383" s="1" t="n">
        <v>2110405</v>
      </c>
      <c r="I2383" s="1" t="s">
        <v>83</v>
      </c>
      <c r="J2383" s="1" t="n">
        <v>1545933</v>
      </c>
      <c r="L2383" s="1" t="n">
        <v>311117</v>
      </c>
      <c r="M2383" s="1" t="s">
        <v>41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1256.37</v>
      </c>
      <c r="W2383" s="1" t="n">
        <v>0</v>
      </c>
      <c r="X2383" s="1" t="s">
        <v>2605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46252</v>
      </c>
      <c r="C2384" s="22" t="n">
        <v>46265</v>
      </c>
      <c r="D2384" s="1" t="n">
        <v>1196</v>
      </c>
      <c r="E2384" s="1" t="s">
        <v>373</v>
      </c>
      <c r="F2384" s="1" t="n">
        <v>24</v>
      </c>
      <c r="G2384" s="1" t="s">
        <v>32</v>
      </c>
      <c r="H2384" s="1" t="n">
        <v>2110405</v>
      </c>
      <c r="I2384" s="1" t="s">
        <v>83</v>
      </c>
      <c r="J2384" s="1" t="n">
        <v>1567568</v>
      </c>
      <c r="L2384" s="1" t="n">
        <v>12863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919.35</v>
      </c>
      <c r="W2384" s="1" t="n">
        <v>0</v>
      </c>
      <c r="X2384" s="1" t="s">
        <v>2606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46252</v>
      </c>
      <c r="C2385" s="22" t="n">
        <v>46265</v>
      </c>
      <c r="D2385" s="1" t="n">
        <v>1666</v>
      </c>
      <c r="E2385" s="1" t="s">
        <v>31</v>
      </c>
      <c r="F2385" s="1" t="n">
        <v>24</v>
      </c>
      <c r="G2385" s="1" t="s">
        <v>32</v>
      </c>
      <c r="H2385" s="1" t="n">
        <v>2110405</v>
      </c>
      <c r="I2385" s="1" t="s">
        <v>83</v>
      </c>
      <c r="J2385" s="1" t="n">
        <v>1567634</v>
      </c>
      <c r="L2385" s="1" t="n">
        <v>570378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6804.61</v>
      </c>
      <c r="W2385" s="1" t="n">
        <v>0</v>
      </c>
      <c r="X2385" s="1" t="s">
        <v>2607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46249</v>
      </c>
      <c r="C2386" s="22" t="n">
        <v>46265</v>
      </c>
      <c r="D2386" s="1" t="n">
        <v>1683</v>
      </c>
      <c r="E2386" s="1" t="s">
        <v>591</v>
      </c>
      <c r="F2386" s="1" t="n">
        <v>34</v>
      </c>
      <c r="G2386" s="1" t="s">
        <v>71</v>
      </c>
      <c r="H2386" s="1" t="n">
        <v>2110101</v>
      </c>
      <c r="I2386" s="1" t="s">
        <v>33</v>
      </c>
      <c r="J2386" s="1" t="n">
        <v>1573160</v>
      </c>
      <c r="L2386" s="1" t="n">
        <v>1664733</v>
      </c>
      <c r="M2386" s="1" t="s">
        <v>41</v>
      </c>
      <c r="N2386" s="1" t="s">
        <v>35</v>
      </c>
      <c r="P2386" s="1" t="n">
        <v>104</v>
      </c>
      <c r="Q2386" s="1" t="s">
        <v>99</v>
      </c>
      <c r="R2386" s="1" t="s">
        <v>37</v>
      </c>
      <c r="S2386" s="1" t="n">
        <v>1130101</v>
      </c>
      <c r="T2386" s="1" t="s">
        <v>38</v>
      </c>
      <c r="U2386" s="1" t="n">
        <v>210</v>
      </c>
      <c r="W2386" s="1" t="n">
        <v>0</v>
      </c>
      <c r="X2386" s="1" t="s">
        <v>2608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46252</v>
      </c>
      <c r="C2387" s="22" t="n">
        <v>46265</v>
      </c>
      <c r="D2387" s="1" t="n">
        <v>1683</v>
      </c>
      <c r="E2387" s="1" t="s">
        <v>591</v>
      </c>
      <c r="F2387" s="1" t="n">
        <v>34</v>
      </c>
      <c r="G2387" s="1" t="s">
        <v>71</v>
      </c>
      <c r="H2387" s="1" t="n">
        <v>2110101</v>
      </c>
      <c r="I2387" s="1" t="s">
        <v>33</v>
      </c>
      <c r="J2387" s="1" t="n">
        <v>1573198</v>
      </c>
      <c r="L2387" s="1" t="n">
        <v>1666320</v>
      </c>
      <c r="M2387" s="1" t="s">
        <v>41</v>
      </c>
      <c r="N2387" s="1" t="s">
        <v>35</v>
      </c>
      <c r="P2387" s="1" t="n">
        <v>104</v>
      </c>
      <c r="Q2387" s="1" t="s">
        <v>99</v>
      </c>
      <c r="R2387" s="1" t="s">
        <v>37</v>
      </c>
      <c r="S2387" s="1" t="n">
        <v>1130101</v>
      </c>
      <c r="T2387" s="1" t="s">
        <v>38</v>
      </c>
      <c r="U2387" s="1" t="n">
        <v>210</v>
      </c>
      <c r="W2387" s="1" t="n">
        <v>0</v>
      </c>
      <c r="X2387" s="1" t="s">
        <v>2609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46253</v>
      </c>
      <c r="C2388" s="22" t="n">
        <v>46265</v>
      </c>
      <c r="D2388" s="1" t="n">
        <v>1683</v>
      </c>
      <c r="E2388" s="1" t="s">
        <v>591</v>
      </c>
      <c r="F2388" s="1" t="n">
        <v>34</v>
      </c>
      <c r="G2388" s="1" t="s">
        <v>71</v>
      </c>
      <c r="H2388" s="1" t="n">
        <v>2110101</v>
      </c>
      <c r="I2388" s="1" t="s">
        <v>33</v>
      </c>
      <c r="J2388" s="1" t="n">
        <v>1573284</v>
      </c>
      <c r="L2388" s="1" t="n">
        <v>1666896</v>
      </c>
      <c r="M2388" s="1" t="s">
        <v>41</v>
      </c>
      <c r="N2388" s="1" t="s">
        <v>35</v>
      </c>
      <c r="P2388" s="1" t="n">
        <v>104</v>
      </c>
      <c r="Q2388" s="1" t="s">
        <v>99</v>
      </c>
      <c r="R2388" s="1" t="s">
        <v>37</v>
      </c>
      <c r="S2388" s="1" t="n">
        <v>1130101</v>
      </c>
      <c r="T2388" s="1" t="s">
        <v>38</v>
      </c>
      <c r="U2388" s="1" t="n">
        <v>246</v>
      </c>
      <c r="W2388" s="1" t="n">
        <v>0</v>
      </c>
      <c r="X2388" s="1" t="s">
        <v>2610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46254</v>
      </c>
      <c r="C2389" s="22" t="n">
        <v>46265</v>
      </c>
      <c r="D2389" s="1" t="n">
        <v>1626</v>
      </c>
      <c r="E2389" s="1" t="s">
        <v>40</v>
      </c>
      <c r="F2389" s="1" t="n">
        <v>24</v>
      </c>
      <c r="G2389" s="1" t="s">
        <v>32</v>
      </c>
      <c r="H2389" s="1" t="n">
        <v>2110405</v>
      </c>
      <c r="I2389" s="1" t="s">
        <v>83</v>
      </c>
      <c r="J2389" s="1" t="n">
        <v>1575983</v>
      </c>
      <c r="L2389" s="1" t="n">
        <v>317365</v>
      </c>
      <c r="M2389" s="1" t="s">
        <v>41</v>
      </c>
      <c r="N2389" s="1" t="s">
        <v>42</v>
      </c>
      <c r="P2389" s="1" t="n">
        <v>103</v>
      </c>
      <c r="Q2389" s="1" t="s">
        <v>36</v>
      </c>
      <c r="R2389" s="1" t="s">
        <v>37</v>
      </c>
      <c r="S2389" s="1" t="n">
        <v>1130101</v>
      </c>
      <c r="T2389" s="1" t="s">
        <v>38</v>
      </c>
      <c r="U2389" s="1" t="n">
        <v>989.33</v>
      </c>
      <c r="W2389" s="1" t="n">
        <v>0</v>
      </c>
      <c r="X2389" s="1" t="s">
        <v>2611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46255</v>
      </c>
      <c r="C2390" s="22" t="n">
        <v>46265</v>
      </c>
      <c r="D2390" s="1" t="n">
        <v>1114</v>
      </c>
      <c r="E2390" s="1" t="s">
        <v>144</v>
      </c>
      <c r="F2390" s="1" t="n">
        <v>24</v>
      </c>
      <c r="G2390" s="1" t="s">
        <v>32</v>
      </c>
      <c r="H2390" s="1" t="n">
        <v>2110405</v>
      </c>
      <c r="I2390" s="1" t="s">
        <v>83</v>
      </c>
      <c r="J2390" s="1" t="n">
        <v>1580351</v>
      </c>
      <c r="L2390" s="1" t="n">
        <v>44111</v>
      </c>
      <c r="M2390" s="1" t="s">
        <v>41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3978.43</v>
      </c>
      <c r="W2390" s="1" t="n">
        <v>0</v>
      </c>
      <c r="X2390" s="1" t="s">
        <v>2612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46254</v>
      </c>
      <c r="C2391" s="22" t="n">
        <v>46265</v>
      </c>
      <c r="D2391" s="1" t="n">
        <v>1316</v>
      </c>
      <c r="E2391" s="1" t="s">
        <v>961</v>
      </c>
      <c r="F2391" s="1" t="n">
        <v>34</v>
      </c>
      <c r="G2391" s="1" t="s">
        <v>71</v>
      </c>
      <c r="H2391" s="1" t="n">
        <v>2110101</v>
      </c>
      <c r="I2391" s="1" t="s">
        <v>33</v>
      </c>
      <c r="J2391" s="1" t="n">
        <v>1580655</v>
      </c>
      <c r="L2391" s="1" t="n">
        <v>4136</v>
      </c>
      <c r="M2391" s="1" t="s">
        <v>41</v>
      </c>
      <c r="N2391" s="1" t="s">
        <v>35</v>
      </c>
      <c r="P2391" s="1" t="n">
        <v>104</v>
      </c>
      <c r="Q2391" s="1" t="s">
        <v>99</v>
      </c>
      <c r="R2391" s="1" t="s">
        <v>37</v>
      </c>
      <c r="S2391" s="1" t="n">
        <v>1130101</v>
      </c>
      <c r="T2391" s="1" t="s">
        <v>38</v>
      </c>
      <c r="U2391" s="1" t="n">
        <v>184</v>
      </c>
      <c r="W2391" s="1" t="n">
        <v>0</v>
      </c>
      <c r="X2391" s="1" t="s">
        <v>2613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46255</v>
      </c>
      <c r="C2392" s="22" t="n">
        <v>46265</v>
      </c>
      <c r="D2392" s="1" t="n">
        <v>1616</v>
      </c>
      <c r="E2392" s="1" t="s">
        <v>517</v>
      </c>
      <c r="F2392" s="1" t="n">
        <v>24</v>
      </c>
      <c r="G2392" s="1" t="s">
        <v>32</v>
      </c>
      <c r="H2392" s="1" t="n">
        <v>2110405</v>
      </c>
      <c r="I2392" s="1" t="s">
        <v>83</v>
      </c>
      <c r="J2392" s="1" t="n">
        <v>1580725</v>
      </c>
      <c r="L2392" s="1" t="n">
        <v>654916</v>
      </c>
      <c r="M2392" s="1" t="s">
        <v>41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431.25</v>
      </c>
      <c r="W2392" s="1" t="n">
        <v>0</v>
      </c>
      <c r="X2392" s="1" t="s">
        <v>2614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46255</v>
      </c>
      <c r="C2393" s="22" t="n">
        <v>46265</v>
      </c>
      <c r="D2393" s="1" t="n">
        <v>1616</v>
      </c>
      <c r="E2393" s="1" t="s">
        <v>517</v>
      </c>
      <c r="F2393" s="1" t="n">
        <v>24</v>
      </c>
      <c r="G2393" s="1" t="s">
        <v>32</v>
      </c>
      <c r="H2393" s="1" t="n">
        <v>2110405</v>
      </c>
      <c r="I2393" s="1" t="s">
        <v>83</v>
      </c>
      <c r="J2393" s="1" t="n">
        <v>1580851</v>
      </c>
      <c r="L2393" s="1" t="n">
        <v>654912</v>
      </c>
      <c r="M2393" s="1" t="s">
        <v>41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573.73</v>
      </c>
      <c r="W2393" s="1" t="n">
        <v>0</v>
      </c>
      <c r="X2393" s="1" t="s">
        <v>2615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46255</v>
      </c>
      <c r="C2394" s="22" t="n">
        <v>46265</v>
      </c>
      <c r="D2394" s="1" t="n">
        <v>1616</v>
      </c>
      <c r="E2394" s="1" t="s">
        <v>517</v>
      </c>
      <c r="F2394" s="1" t="n">
        <v>24</v>
      </c>
      <c r="G2394" s="1" t="s">
        <v>32</v>
      </c>
      <c r="H2394" s="1" t="n">
        <v>2110405</v>
      </c>
      <c r="I2394" s="1" t="s">
        <v>83</v>
      </c>
      <c r="J2394" s="1" t="n">
        <v>1581039</v>
      </c>
      <c r="L2394" s="1" t="n">
        <v>654913</v>
      </c>
      <c r="M2394" s="1" t="s">
        <v>41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759.74</v>
      </c>
      <c r="W2394" s="1" t="n">
        <v>0</v>
      </c>
      <c r="X2394" s="1" t="s">
        <v>2616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46255</v>
      </c>
      <c r="C2395" s="22" t="n">
        <v>46265</v>
      </c>
      <c r="D2395" s="1" t="n">
        <v>1616</v>
      </c>
      <c r="E2395" s="1" t="s">
        <v>517</v>
      </c>
      <c r="F2395" s="1" t="n">
        <v>24</v>
      </c>
      <c r="G2395" s="1" t="s">
        <v>32</v>
      </c>
      <c r="H2395" s="1" t="n">
        <v>2110405</v>
      </c>
      <c r="I2395" s="1" t="s">
        <v>83</v>
      </c>
      <c r="J2395" s="1" t="n">
        <v>1581187</v>
      </c>
      <c r="L2395" s="1" t="n">
        <v>654915</v>
      </c>
      <c r="M2395" s="1" t="s">
        <v>41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178.95</v>
      </c>
      <c r="W2395" s="1" t="n">
        <v>0</v>
      </c>
      <c r="X2395" s="1" t="s">
        <v>2617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46256</v>
      </c>
      <c r="C2396" s="22" t="n">
        <v>46265</v>
      </c>
      <c r="D2396" s="1" t="n">
        <v>1739</v>
      </c>
      <c r="E2396" s="1" t="s">
        <v>1296</v>
      </c>
      <c r="F2396" s="1" t="n">
        <v>24</v>
      </c>
      <c r="G2396" s="1" t="s">
        <v>32</v>
      </c>
      <c r="H2396" s="1" t="n">
        <v>2110405</v>
      </c>
      <c r="I2396" s="1" t="s">
        <v>83</v>
      </c>
      <c r="J2396" s="1" t="n">
        <v>1585194</v>
      </c>
      <c r="L2396" s="1" t="n">
        <v>255211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614.07</v>
      </c>
      <c r="W2396" s="1" t="n">
        <v>0</v>
      </c>
      <c r="X2396" s="1" t="s">
        <v>2618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46256</v>
      </c>
      <c r="C2397" s="22" t="n">
        <v>46265</v>
      </c>
      <c r="D2397" s="1" t="n">
        <v>1614</v>
      </c>
      <c r="E2397" s="1" t="s">
        <v>66</v>
      </c>
      <c r="F2397" s="1" t="n">
        <v>24</v>
      </c>
      <c r="G2397" s="1" t="s">
        <v>32</v>
      </c>
      <c r="H2397" s="1" t="n">
        <v>2110405</v>
      </c>
      <c r="I2397" s="1" t="s">
        <v>83</v>
      </c>
      <c r="J2397" s="1" t="n">
        <v>1585500</v>
      </c>
      <c r="L2397" s="1" t="n">
        <v>11586</v>
      </c>
      <c r="M2397" s="1" t="s">
        <v>34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402.23</v>
      </c>
      <c r="W2397" s="1" t="n">
        <v>0</v>
      </c>
      <c r="X2397" s="1" t="s">
        <v>2619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46256</v>
      </c>
      <c r="C2398" s="22" t="n">
        <v>46265</v>
      </c>
      <c r="D2398" s="1" t="n">
        <v>1704</v>
      </c>
      <c r="E2398" s="1" t="s">
        <v>2620</v>
      </c>
      <c r="F2398" s="1" t="n">
        <v>24</v>
      </c>
      <c r="G2398" s="1" t="s">
        <v>32</v>
      </c>
      <c r="H2398" s="1" t="n">
        <v>2110405</v>
      </c>
      <c r="I2398" s="1" t="s">
        <v>83</v>
      </c>
      <c r="J2398" s="1" t="n">
        <v>1585728</v>
      </c>
      <c r="L2398" s="1" t="n">
        <v>154509</v>
      </c>
      <c r="M2398" s="1" t="s">
        <v>41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3500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46225</v>
      </c>
      <c r="C2399" s="22" t="n">
        <v>46266</v>
      </c>
      <c r="D2399" s="1" t="n">
        <v>10011</v>
      </c>
      <c r="E2399" s="1" t="s">
        <v>189</v>
      </c>
      <c r="F2399" s="1" t="n">
        <v>24</v>
      </c>
      <c r="G2399" s="1" t="s">
        <v>32</v>
      </c>
      <c r="H2399" s="1" t="n">
        <v>2110405</v>
      </c>
      <c r="I2399" s="1" t="s">
        <v>83</v>
      </c>
      <c r="J2399" s="1" t="n">
        <v>1435119</v>
      </c>
      <c r="L2399" s="1" t="n">
        <v>34737</v>
      </c>
      <c r="M2399" s="1" t="s">
        <v>128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807.05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46226</v>
      </c>
      <c r="C2400" s="22" t="n">
        <v>46266</v>
      </c>
      <c r="D2400" s="1" t="n">
        <v>957</v>
      </c>
      <c r="E2400" s="1" t="s">
        <v>132</v>
      </c>
      <c r="F2400" s="1" t="n">
        <v>24</v>
      </c>
      <c r="G2400" s="1" t="s">
        <v>32</v>
      </c>
      <c r="H2400" s="1" t="n">
        <v>2110405</v>
      </c>
      <c r="I2400" s="1" t="s">
        <v>83</v>
      </c>
      <c r="J2400" s="1" t="n">
        <v>1439137</v>
      </c>
      <c r="L2400" s="1" t="n">
        <v>21188</v>
      </c>
      <c r="M2400" s="1" t="s">
        <v>128</v>
      </c>
      <c r="N2400" s="1" t="s">
        <v>42</v>
      </c>
      <c r="P2400" s="1" t="n">
        <v>103</v>
      </c>
      <c r="Q2400" s="1" t="s">
        <v>36</v>
      </c>
      <c r="R2400" s="1" t="s">
        <v>37</v>
      </c>
      <c r="S2400" s="1" t="n">
        <v>1130101</v>
      </c>
      <c r="T2400" s="1" t="s">
        <v>38</v>
      </c>
      <c r="U2400" s="1" t="n">
        <v>3458.9</v>
      </c>
      <c r="W2400" s="1" t="n">
        <v>0</v>
      </c>
      <c r="X2400" s="1" t="s">
        <v>2623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46245</v>
      </c>
      <c r="C2401" s="22" t="n">
        <v>46266</v>
      </c>
      <c r="D2401" s="1" t="n">
        <v>1718</v>
      </c>
      <c r="E2401" s="1" t="s">
        <v>134</v>
      </c>
      <c r="F2401" s="1" t="n">
        <v>24</v>
      </c>
      <c r="G2401" s="1" t="s">
        <v>32</v>
      </c>
      <c r="H2401" s="1" t="n">
        <v>2110405</v>
      </c>
      <c r="I2401" s="1" t="s">
        <v>83</v>
      </c>
      <c r="J2401" s="1" t="n">
        <v>1531933</v>
      </c>
      <c r="L2401" s="1" t="n">
        <v>688332</v>
      </c>
      <c r="M2401" s="1" t="s">
        <v>34</v>
      </c>
      <c r="N2401" s="1" t="s">
        <v>42</v>
      </c>
      <c r="P2401" s="1" t="n">
        <v>103</v>
      </c>
      <c r="Q2401" s="1" t="s">
        <v>36</v>
      </c>
      <c r="R2401" s="1" t="s">
        <v>37</v>
      </c>
      <c r="S2401" s="1" t="n">
        <v>1130101</v>
      </c>
      <c r="T2401" s="1" t="s">
        <v>38</v>
      </c>
      <c r="U2401" s="1" t="n">
        <v>436.76</v>
      </c>
      <c r="W2401" s="1" t="n">
        <v>0</v>
      </c>
      <c r="X2401" s="1" t="s">
        <v>2624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46246</v>
      </c>
      <c r="C2402" s="22" t="n">
        <v>46266</v>
      </c>
      <c r="D2402" s="1" t="n">
        <v>1656</v>
      </c>
      <c r="E2402" s="1" t="s">
        <v>2625</v>
      </c>
      <c r="F2402" s="1" t="n">
        <v>24</v>
      </c>
      <c r="G2402" s="1" t="s">
        <v>32</v>
      </c>
      <c r="H2402" s="1" t="n">
        <v>2110405</v>
      </c>
      <c r="I2402" s="1" t="s">
        <v>83</v>
      </c>
      <c r="J2402" s="1" t="n">
        <v>1535597</v>
      </c>
      <c r="L2402" s="1" t="n">
        <v>224812</v>
      </c>
      <c r="M2402" s="1" t="s">
        <v>41</v>
      </c>
      <c r="N2402" s="1" t="s">
        <v>42</v>
      </c>
      <c r="P2402" s="1" t="n">
        <v>103</v>
      </c>
      <c r="Q2402" s="1" t="s">
        <v>36</v>
      </c>
      <c r="R2402" s="1" t="s">
        <v>37</v>
      </c>
      <c r="S2402" s="1" t="n">
        <v>1130101</v>
      </c>
      <c r="T2402" s="1" t="s">
        <v>38</v>
      </c>
      <c r="U2402" s="1" t="n">
        <v>546.62</v>
      </c>
      <c r="W2402" s="1" t="n">
        <v>0</v>
      </c>
      <c r="X2402" s="1" t="s">
        <v>2626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46246</v>
      </c>
      <c r="C2403" s="22" t="n">
        <v>46266</v>
      </c>
      <c r="D2403" s="1" t="n">
        <v>794</v>
      </c>
      <c r="E2403" s="1" t="s">
        <v>325</v>
      </c>
      <c r="F2403" s="1" t="n">
        <v>24</v>
      </c>
      <c r="G2403" s="1" t="s">
        <v>32</v>
      </c>
      <c r="H2403" s="1" t="n">
        <v>2110405</v>
      </c>
      <c r="I2403" s="1" t="s">
        <v>83</v>
      </c>
      <c r="J2403" s="1" t="n">
        <v>1536581</v>
      </c>
      <c r="L2403" s="1" t="n">
        <v>8609</v>
      </c>
      <c r="M2403" s="1" t="s">
        <v>34</v>
      </c>
      <c r="N2403" s="1" t="s">
        <v>42</v>
      </c>
      <c r="P2403" s="1" t="n">
        <v>103</v>
      </c>
      <c r="Q2403" s="1" t="s">
        <v>36</v>
      </c>
      <c r="R2403" s="1" t="s">
        <v>37</v>
      </c>
      <c r="S2403" s="1" t="n">
        <v>1130101</v>
      </c>
      <c r="T2403" s="1" t="s">
        <v>38</v>
      </c>
      <c r="U2403" s="1" t="n">
        <v>530</v>
      </c>
      <c r="W2403" s="1" t="n">
        <v>0</v>
      </c>
      <c r="X2403" s="1" t="s">
        <v>2627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46248</v>
      </c>
      <c r="C2404" s="22" t="n">
        <v>46266</v>
      </c>
      <c r="D2404" s="1" t="n">
        <v>1637</v>
      </c>
      <c r="E2404" s="1" t="s">
        <v>44</v>
      </c>
      <c r="F2404" s="1" t="n">
        <v>24</v>
      </c>
      <c r="G2404" s="1" t="s">
        <v>32</v>
      </c>
      <c r="H2404" s="1" t="n">
        <v>2110405</v>
      </c>
      <c r="I2404" s="1" t="s">
        <v>83</v>
      </c>
      <c r="J2404" s="1" t="n">
        <v>1545787</v>
      </c>
      <c r="L2404" s="1" t="n">
        <v>1919059</v>
      </c>
      <c r="M2404" s="1" t="s">
        <v>41</v>
      </c>
      <c r="N2404" s="1" t="s">
        <v>42</v>
      </c>
      <c r="P2404" s="1" t="n">
        <v>103</v>
      </c>
      <c r="Q2404" s="1" t="s">
        <v>36</v>
      </c>
      <c r="R2404" s="1" t="s">
        <v>37</v>
      </c>
      <c r="S2404" s="1" t="n">
        <v>1130101</v>
      </c>
      <c r="T2404" s="1" t="s">
        <v>38</v>
      </c>
      <c r="U2404" s="1" t="n">
        <v>1804.32</v>
      </c>
      <c r="W2404" s="1" t="n">
        <v>0</v>
      </c>
      <c r="X2404" s="1" t="s">
        <v>2628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46253</v>
      </c>
      <c r="C2405" s="22" t="n">
        <v>46266</v>
      </c>
      <c r="D2405" s="1" t="n">
        <v>1611</v>
      </c>
      <c r="E2405" s="1" t="s">
        <v>206</v>
      </c>
      <c r="F2405" s="1" t="n">
        <v>24</v>
      </c>
      <c r="G2405" s="1" t="s">
        <v>32</v>
      </c>
      <c r="H2405" s="1" t="n">
        <v>2110405</v>
      </c>
      <c r="I2405" s="1" t="s">
        <v>83</v>
      </c>
      <c r="J2405" s="1" t="n">
        <v>1570880</v>
      </c>
      <c r="L2405" s="1" t="n">
        <v>1791736</v>
      </c>
      <c r="M2405" s="1" t="s">
        <v>41</v>
      </c>
      <c r="N2405" s="1" t="s">
        <v>42</v>
      </c>
      <c r="P2405" s="1" t="n">
        <v>103</v>
      </c>
      <c r="Q2405" s="1" t="s">
        <v>36</v>
      </c>
      <c r="R2405" s="1" t="s">
        <v>37</v>
      </c>
      <c r="S2405" s="1" t="n">
        <v>1130101</v>
      </c>
      <c r="T2405" s="1" t="s">
        <v>38</v>
      </c>
      <c r="U2405" s="1" t="n">
        <v>754.67</v>
      </c>
      <c r="W2405" s="1" t="n">
        <v>0</v>
      </c>
      <c r="X2405" s="1" t="s">
        <v>2629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46255</v>
      </c>
      <c r="C2406" s="22" t="n">
        <v>46266</v>
      </c>
      <c r="D2406" s="1" t="n">
        <v>1668</v>
      </c>
      <c r="E2406" s="1" t="s">
        <v>57</v>
      </c>
      <c r="F2406" s="1" t="n">
        <v>24</v>
      </c>
      <c r="G2406" s="1" t="s">
        <v>32</v>
      </c>
      <c r="H2406" s="1" t="n">
        <v>2110405</v>
      </c>
      <c r="I2406" s="1" t="s">
        <v>83</v>
      </c>
      <c r="J2406" s="1" t="n">
        <v>1582091</v>
      </c>
      <c r="L2406" s="1" t="n">
        <v>750484</v>
      </c>
      <c r="M2406" s="1" t="s">
        <v>41</v>
      </c>
      <c r="N2406" s="1" t="s">
        <v>42</v>
      </c>
      <c r="P2406" s="1" t="n">
        <v>103</v>
      </c>
      <c r="Q2406" s="1" t="s">
        <v>36</v>
      </c>
      <c r="R2406" s="1" t="s">
        <v>37</v>
      </c>
      <c r="S2406" s="1" t="n">
        <v>1130101</v>
      </c>
      <c r="T2406" s="1" t="s">
        <v>38</v>
      </c>
      <c r="U2406" s="1" t="n">
        <v>983.07</v>
      </c>
      <c r="W2406" s="1" t="n">
        <v>0</v>
      </c>
      <c r="X2406" s="1" t="s">
        <v>2630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46255</v>
      </c>
      <c r="C2407" s="22" t="n">
        <v>46266</v>
      </c>
      <c r="D2407" s="1" t="n">
        <v>1668</v>
      </c>
      <c r="E2407" s="1" t="s">
        <v>57</v>
      </c>
      <c r="F2407" s="1" t="n">
        <v>24</v>
      </c>
      <c r="G2407" s="1" t="s">
        <v>32</v>
      </c>
      <c r="H2407" s="1" t="n">
        <v>2110405</v>
      </c>
      <c r="I2407" s="1" t="s">
        <v>83</v>
      </c>
      <c r="J2407" s="1" t="n">
        <v>1582110</v>
      </c>
      <c r="L2407" s="1" t="n">
        <v>750483</v>
      </c>
      <c r="M2407" s="1" t="s">
        <v>41</v>
      </c>
      <c r="N2407" s="1" t="s">
        <v>42</v>
      </c>
      <c r="P2407" s="1" t="n">
        <v>103</v>
      </c>
      <c r="Q2407" s="1" t="s">
        <v>36</v>
      </c>
      <c r="R2407" s="1" t="s">
        <v>60</v>
      </c>
      <c r="S2407" s="1" t="n">
        <v>4210299</v>
      </c>
      <c r="T2407" s="1" t="s">
        <v>1946</v>
      </c>
      <c r="U2407" s="1" t="n">
        <v>1304.13</v>
      </c>
      <c r="W2407" s="1" t="n">
        <v>0</v>
      </c>
      <c r="X2407" s="1" t="s">
        <v>2631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46256</v>
      </c>
      <c r="C2408" s="22" t="n">
        <v>46266</v>
      </c>
      <c r="D2408" s="1" t="n">
        <v>1657</v>
      </c>
      <c r="E2408" s="1" t="s">
        <v>1062</v>
      </c>
      <c r="F2408" s="1" t="n">
        <v>24</v>
      </c>
      <c r="G2408" s="1" t="s">
        <v>32</v>
      </c>
      <c r="H2408" s="1" t="n">
        <v>2110405</v>
      </c>
      <c r="I2408" s="1" t="s">
        <v>83</v>
      </c>
      <c r="J2408" s="1" t="n">
        <v>1585243</v>
      </c>
      <c r="L2408" s="1" t="n">
        <v>297570</v>
      </c>
      <c r="M2408" s="1" t="s">
        <v>41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1062.06</v>
      </c>
      <c r="W2408" s="1" t="n">
        <v>0</v>
      </c>
      <c r="X2408" s="1" t="s">
        <v>2632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46256</v>
      </c>
      <c r="C2409" s="22" t="n">
        <v>46266</v>
      </c>
      <c r="D2409" s="1" t="n">
        <v>10029</v>
      </c>
      <c r="E2409" s="1" t="s">
        <v>1190</v>
      </c>
      <c r="F2409" s="1" t="n">
        <v>24</v>
      </c>
      <c r="G2409" s="1" t="s">
        <v>32</v>
      </c>
      <c r="H2409" s="1" t="n">
        <v>2110405</v>
      </c>
      <c r="I2409" s="1" t="s">
        <v>83</v>
      </c>
      <c r="J2409" s="1" t="n">
        <v>1585854</v>
      </c>
      <c r="L2409" s="1" t="n">
        <v>231</v>
      </c>
      <c r="M2409" s="1" t="s">
        <v>41</v>
      </c>
      <c r="N2409" s="1" t="s">
        <v>42</v>
      </c>
      <c r="P2409" s="1" t="n">
        <v>103</v>
      </c>
      <c r="Q2409" s="1" t="s">
        <v>36</v>
      </c>
      <c r="R2409" s="1" t="s">
        <v>60</v>
      </c>
      <c r="S2409" s="1" t="n">
        <v>4210299</v>
      </c>
      <c r="T2409" s="1" t="s">
        <v>1946</v>
      </c>
      <c r="U2409" s="1" t="n">
        <v>1220</v>
      </c>
      <c r="W2409" s="1" t="n">
        <v>0</v>
      </c>
      <c r="X2409" s="1" t="s">
        <v>2633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46248</v>
      </c>
      <c r="C2410" s="22" t="n">
        <v>46267</v>
      </c>
      <c r="D2410" s="1" t="n">
        <v>1678</v>
      </c>
      <c r="E2410" s="1" t="s">
        <v>934</v>
      </c>
      <c r="F2410" s="1" t="n">
        <v>24</v>
      </c>
      <c r="G2410" s="1" t="s">
        <v>32</v>
      </c>
      <c r="H2410" s="1" t="n">
        <v>2110405</v>
      </c>
      <c r="I2410" s="1" t="s">
        <v>83</v>
      </c>
      <c r="J2410" s="1" t="n">
        <v>1545384</v>
      </c>
      <c r="L2410" s="1" t="n">
        <v>163847</v>
      </c>
      <c r="M2410" s="1" t="s">
        <v>41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854.25</v>
      </c>
      <c r="W2410" s="1" t="n">
        <v>0</v>
      </c>
      <c r="X2410" s="1" t="s">
        <v>2634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46234</v>
      </c>
      <c r="C2411" s="22" t="n">
        <v>46267</v>
      </c>
      <c r="D2411" s="1" t="n">
        <v>49</v>
      </c>
      <c r="E2411" s="1" t="s">
        <v>164</v>
      </c>
      <c r="F2411" s="1" t="n">
        <v>34</v>
      </c>
      <c r="G2411" s="1" t="s">
        <v>71</v>
      </c>
      <c r="H2411" s="1" t="n">
        <v>1110202</v>
      </c>
      <c r="I2411" s="1" t="s">
        <v>285</v>
      </c>
      <c r="J2411" s="1" t="n">
        <v>1477909</v>
      </c>
      <c r="L2411" s="1" t="n">
        <v>607088</v>
      </c>
      <c r="M2411" s="1" t="s">
        <v>41</v>
      </c>
      <c r="N2411" s="1" t="s">
        <v>42</v>
      </c>
      <c r="P2411" s="1" t="n">
        <v>101</v>
      </c>
      <c r="Q2411" s="1" t="s">
        <v>84</v>
      </c>
      <c r="R2411" s="1" t="s">
        <v>165</v>
      </c>
      <c r="S2411" s="1" t="n">
        <v>2110901</v>
      </c>
      <c r="T2411" s="1" t="s">
        <v>166</v>
      </c>
      <c r="U2411" s="1" t="n">
        <v>16500</v>
      </c>
      <c r="W2411" s="1" t="n">
        <v>0</v>
      </c>
      <c r="X2411" s="1" t="s">
        <v>2635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46241</v>
      </c>
      <c r="C2412" s="22" t="n">
        <v>46267</v>
      </c>
      <c r="D2412" s="1" t="n">
        <v>1624</v>
      </c>
      <c r="E2412" s="1" t="s">
        <v>244</v>
      </c>
      <c r="F2412" s="1" t="n">
        <v>24</v>
      </c>
      <c r="G2412" s="1" t="s">
        <v>32</v>
      </c>
      <c r="H2412" s="1" t="n">
        <v>2110405</v>
      </c>
      <c r="I2412" s="1" t="s">
        <v>83</v>
      </c>
      <c r="J2412" s="1" t="n">
        <v>1513655</v>
      </c>
      <c r="L2412" s="1" t="n">
        <v>667391</v>
      </c>
      <c r="M2412" s="1" t="s">
        <v>34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939.06</v>
      </c>
      <c r="W2412" s="1" t="n">
        <v>0</v>
      </c>
      <c r="X2412" s="1" t="s">
        <v>2636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46242</v>
      </c>
      <c r="C2413" s="22" t="n">
        <v>46267</v>
      </c>
      <c r="D2413" s="1" t="n">
        <v>1637</v>
      </c>
      <c r="E2413" s="1" t="s">
        <v>44</v>
      </c>
      <c r="F2413" s="1" t="n">
        <v>24</v>
      </c>
      <c r="G2413" s="1" t="s">
        <v>32</v>
      </c>
      <c r="H2413" s="1" t="n">
        <v>2110405</v>
      </c>
      <c r="I2413" s="1" t="s">
        <v>83</v>
      </c>
      <c r="J2413" s="1" t="n">
        <v>1517325</v>
      </c>
      <c r="L2413" s="1" t="n">
        <v>1916563</v>
      </c>
      <c r="M2413" s="1" t="s">
        <v>41</v>
      </c>
      <c r="N2413" s="1" t="s">
        <v>42</v>
      </c>
      <c r="P2413" s="1" t="n">
        <v>103</v>
      </c>
      <c r="Q2413" s="1" t="s">
        <v>36</v>
      </c>
      <c r="R2413" s="1" t="s">
        <v>37</v>
      </c>
      <c r="S2413" s="1" t="n">
        <v>1130101</v>
      </c>
      <c r="T2413" s="1" t="s">
        <v>38</v>
      </c>
      <c r="U2413" s="1" t="n">
        <v>2127.21</v>
      </c>
      <c r="W2413" s="1" t="n">
        <v>0</v>
      </c>
      <c r="X2413" s="1" t="s">
        <v>2637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46242</v>
      </c>
      <c r="C2414" s="22" t="n">
        <v>46267</v>
      </c>
      <c r="D2414" s="1" t="n">
        <v>1667</v>
      </c>
      <c r="E2414" s="1" t="s">
        <v>40</v>
      </c>
      <c r="F2414" s="1" t="n">
        <v>24</v>
      </c>
      <c r="G2414" s="1" t="s">
        <v>32</v>
      </c>
      <c r="H2414" s="1" t="n">
        <v>2110405</v>
      </c>
      <c r="I2414" s="1" t="s">
        <v>83</v>
      </c>
      <c r="J2414" s="1" t="n">
        <v>1517980</v>
      </c>
      <c r="L2414" s="1" t="n">
        <v>397841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611.73</v>
      </c>
      <c r="W2414" s="1" t="n">
        <v>0</v>
      </c>
      <c r="X2414" s="1" t="s">
        <v>2638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46242</v>
      </c>
      <c r="C2415" s="22" t="n">
        <v>46267</v>
      </c>
      <c r="D2415" s="1" t="n">
        <v>967</v>
      </c>
      <c r="E2415" s="1" t="s">
        <v>1028</v>
      </c>
      <c r="F2415" s="1" t="n">
        <v>24</v>
      </c>
      <c r="G2415" s="1" t="s">
        <v>32</v>
      </c>
      <c r="H2415" s="1" t="n">
        <v>2110405</v>
      </c>
      <c r="I2415" s="1" t="s">
        <v>83</v>
      </c>
      <c r="J2415" s="1" t="n">
        <v>1518232</v>
      </c>
      <c r="L2415" s="1" t="n">
        <v>36539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2402.15</v>
      </c>
      <c r="W2415" s="1" t="n">
        <v>0</v>
      </c>
      <c r="X2415" s="1" t="s">
        <v>2639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46267</v>
      </c>
      <c r="D2416" s="1" t="n">
        <v>1601</v>
      </c>
      <c r="E2416" s="1" t="s">
        <v>195</v>
      </c>
      <c r="F2416" s="1" t="n">
        <v>24</v>
      </c>
      <c r="G2416" s="1" t="s">
        <v>32</v>
      </c>
      <c r="H2416" s="1" t="n">
        <v>2110405</v>
      </c>
      <c r="I2416" s="1" t="s">
        <v>83</v>
      </c>
      <c r="J2416" s="1" t="n">
        <v>1537246</v>
      </c>
      <c r="L2416" s="1" t="n">
        <v>862283</v>
      </c>
      <c r="M2416" s="1" t="s">
        <v>34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947.55</v>
      </c>
      <c r="W2416" s="1" t="n">
        <v>0</v>
      </c>
      <c r="X2416" s="1" t="s">
        <v>2640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46246</v>
      </c>
      <c r="C2417" s="22" t="n">
        <v>46267</v>
      </c>
      <c r="D2417" s="1" t="n">
        <v>1227</v>
      </c>
      <c r="E2417" s="1" t="s">
        <v>2641</v>
      </c>
      <c r="F2417" s="1" t="n">
        <v>24</v>
      </c>
      <c r="G2417" s="1" t="s">
        <v>32</v>
      </c>
      <c r="H2417" s="1" t="n">
        <v>2110405</v>
      </c>
      <c r="I2417" s="1" t="s">
        <v>83</v>
      </c>
      <c r="J2417" s="1" t="n">
        <v>1537260</v>
      </c>
      <c r="L2417" s="1" t="n">
        <v>18687</v>
      </c>
      <c r="M2417" s="1" t="s">
        <v>41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993</v>
      </c>
      <c r="W2417" s="1" t="n">
        <v>0</v>
      </c>
      <c r="X2417" s="1" t="s">
        <v>2642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46246</v>
      </c>
      <c r="C2418" s="22" t="n">
        <v>46267</v>
      </c>
      <c r="D2418" s="1" t="n">
        <v>1402</v>
      </c>
      <c r="E2418" s="1" t="s">
        <v>628</v>
      </c>
      <c r="F2418" s="1" t="n">
        <v>24</v>
      </c>
      <c r="G2418" s="1" t="s">
        <v>32</v>
      </c>
      <c r="H2418" s="1" t="n">
        <v>2110405</v>
      </c>
      <c r="I2418" s="1" t="s">
        <v>83</v>
      </c>
      <c r="J2418" s="1" t="n">
        <v>1537790</v>
      </c>
      <c r="L2418" s="1" t="n">
        <v>4310</v>
      </c>
      <c r="M2418" s="1" t="s">
        <v>41</v>
      </c>
      <c r="N2418" s="1" t="s">
        <v>42</v>
      </c>
      <c r="P2418" s="1" t="n">
        <v>103</v>
      </c>
      <c r="Q2418" s="1" t="s">
        <v>36</v>
      </c>
      <c r="R2418" s="1" t="s">
        <v>60</v>
      </c>
      <c r="S2418" s="1" t="n">
        <v>4210299</v>
      </c>
      <c r="T2418" s="1" t="s">
        <v>1946</v>
      </c>
      <c r="U2418" s="1" t="n">
        <v>1722.3</v>
      </c>
      <c r="W2418" s="1" t="n">
        <v>0</v>
      </c>
      <c r="X2418" s="1" t="s">
        <v>2643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46247</v>
      </c>
      <c r="C2419" s="22" t="n">
        <v>46267</v>
      </c>
      <c r="D2419" s="1" t="n">
        <v>1608</v>
      </c>
      <c r="E2419" s="1" t="s">
        <v>51</v>
      </c>
      <c r="F2419" s="1" t="n">
        <v>24</v>
      </c>
      <c r="G2419" s="1" t="s">
        <v>32</v>
      </c>
      <c r="H2419" s="1" t="n">
        <v>2110405</v>
      </c>
      <c r="I2419" s="1" t="s">
        <v>83</v>
      </c>
      <c r="J2419" s="1" t="n">
        <v>1540511</v>
      </c>
      <c r="L2419" s="1" t="n">
        <v>1709723</v>
      </c>
      <c r="M2419" s="1" t="s">
        <v>34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684.25</v>
      </c>
      <c r="W2419" s="1" t="n">
        <v>0</v>
      </c>
      <c r="X2419" s="1" t="s">
        <v>2644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46247</v>
      </c>
      <c r="C2420" s="22" t="n">
        <v>46267</v>
      </c>
      <c r="D2420" s="1" t="n">
        <v>1636</v>
      </c>
      <c r="E2420" s="1" t="s">
        <v>68</v>
      </c>
      <c r="F2420" s="1" t="n">
        <v>24</v>
      </c>
      <c r="G2420" s="1" t="s">
        <v>32</v>
      </c>
      <c r="H2420" s="1" t="n">
        <v>2110405</v>
      </c>
      <c r="I2420" s="1" t="s">
        <v>83</v>
      </c>
      <c r="J2420" s="1" t="n">
        <v>1541185</v>
      </c>
      <c r="L2420" s="1" t="n">
        <v>3235765</v>
      </c>
      <c r="M2420" s="1" t="s">
        <v>34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1264.6</v>
      </c>
      <c r="W2420" s="1" t="n">
        <v>0</v>
      </c>
      <c r="X2420" s="1" t="s">
        <v>2645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46247</v>
      </c>
      <c r="C2421" s="22" t="n">
        <v>46267</v>
      </c>
      <c r="D2421" s="1" t="n">
        <v>1107</v>
      </c>
      <c r="E2421" s="1" t="s">
        <v>130</v>
      </c>
      <c r="F2421" s="1" t="n">
        <v>24</v>
      </c>
      <c r="G2421" s="1" t="s">
        <v>32</v>
      </c>
      <c r="H2421" s="1" t="n">
        <v>2110405</v>
      </c>
      <c r="I2421" s="1" t="s">
        <v>83</v>
      </c>
      <c r="J2421" s="1" t="n">
        <v>1542142</v>
      </c>
      <c r="L2421" s="1" t="n">
        <v>441856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836.55</v>
      </c>
      <c r="W2421" s="1" t="n">
        <v>0</v>
      </c>
      <c r="X2421" s="1" t="s">
        <v>2646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46247</v>
      </c>
      <c r="C2422" s="22" t="n">
        <v>46267</v>
      </c>
      <c r="D2422" s="1" t="n">
        <v>1749</v>
      </c>
      <c r="E2422" s="1" t="s">
        <v>703</v>
      </c>
      <c r="F2422" s="1" t="n">
        <v>24</v>
      </c>
      <c r="G2422" s="1" t="s">
        <v>32</v>
      </c>
      <c r="H2422" s="1" t="n">
        <v>2110405</v>
      </c>
      <c r="I2422" s="1" t="s">
        <v>83</v>
      </c>
      <c r="J2422" s="1" t="n">
        <v>1542706</v>
      </c>
      <c r="L2422" s="1" t="n">
        <v>3389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815.45</v>
      </c>
      <c r="W2422" s="1" t="n">
        <v>0</v>
      </c>
      <c r="X2422" s="1" t="s">
        <v>2647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46247</v>
      </c>
      <c r="C2423" s="22" t="n">
        <v>46267</v>
      </c>
      <c r="D2423" s="1" t="n">
        <v>1136</v>
      </c>
      <c r="E2423" s="1" t="s">
        <v>1229</v>
      </c>
      <c r="F2423" s="1" t="n">
        <v>24</v>
      </c>
      <c r="G2423" s="1" t="s">
        <v>32</v>
      </c>
      <c r="H2423" s="1" t="n">
        <v>2110405</v>
      </c>
      <c r="I2423" s="1" t="s">
        <v>83</v>
      </c>
      <c r="J2423" s="1" t="n">
        <v>1543942</v>
      </c>
      <c r="L2423" s="1" t="n">
        <v>53783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591.94</v>
      </c>
      <c r="W2423" s="1" t="n">
        <v>0</v>
      </c>
      <c r="X2423" s="1" t="s">
        <v>2648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46248</v>
      </c>
      <c r="C2424" s="22" t="n">
        <v>46267</v>
      </c>
      <c r="D2424" s="1" t="n">
        <v>1612</v>
      </c>
      <c r="E2424" s="1" t="s">
        <v>193</v>
      </c>
      <c r="F2424" s="1" t="n">
        <v>24</v>
      </c>
      <c r="G2424" s="1" t="s">
        <v>32</v>
      </c>
      <c r="H2424" s="1" t="n">
        <v>2110405</v>
      </c>
      <c r="I2424" s="1" t="s">
        <v>83</v>
      </c>
      <c r="J2424" s="1" t="n">
        <v>1546677</v>
      </c>
      <c r="L2424" s="1" t="n">
        <v>2309729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1200.77</v>
      </c>
      <c r="W2424" s="1" t="n">
        <v>0</v>
      </c>
      <c r="X2424" s="1" t="s">
        <v>2649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46249</v>
      </c>
      <c r="C2425" s="22" t="n">
        <v>46267</v>
      </c>
      <c r="D2425" s="1" t="n">
        <v>1613</v>
      </c>
      <c r="E2425" s="1" t="s">
        <v>208</v>
      </c>
      <c r="F2425" s="1" t="n">
        <v>24</v>
      </c>
      <c r="G2425" s="1" t="s">
        <v>32</v>
      </c>
      <c r="H2425" s="1" t="n">
        <v>2110405</v>
      </c>
      <c r="I2425" s="1" t="s">
        <v>83</v>
      </c>
      <c r="J2425" s="1" t="n">
        <v>1551828</v>
      </c>
      <c r="L2425" s="1" t="n">
        <v>1619134</v>
      </c>
      <c r="M2425" s="1" t="s">
        <v>34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3149.22</v>
      </c>
      <c r="W2425" s="1" t="n">
        <v>0</v>
      </c>
      <c r="X2425" s="1" t="s">
        <v>2650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46253</v>
      </c>
      <c r="C2426" s="22" t="n">
        <v>46267</v>
      </c>
      <c r="D2426" s="1" t="n">
        <v>1608</v>
      </c>
      <c r="E2426" s="1" t="s">
        <v>51</v>
      </c>
      <c r="F2426" s="1" t="n">
        <v>24</v>
      </c>
      <c r="G2426" s="1" t="s">
        <v>32</v>
      </c>
      <c r="H2426" s="1" t="n">
        <v>2110405</v>
      </c>
      <c r="I2426" s="1" t="s">
        <v>83</v>
      </c>
      <c r="J2426" s="1" t="n">
        <v>1572200</v>
      </c>
      <c r="L2426" s="1" t="n">
        <v>1713960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932.54</v>
      </c>
      <c r="W2426" s="1" t="n">
        <v>0</v>
      </c>
      <c r="X2426" s="1" t="s">
        <v>2651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46254</v>
      </c>
      <c r="C2427" s="22" t="n">
        <v>46267</v>
      </c>
      <c r="D2427" s="1" t="n">
        <v>1608</v>
      </c>
      <c r="E2427" s="1" t="s">
        <v>51</v>
      </c>
      <c r="F2427" s="1" t="n">
        <v>24</v>
      </c>
      <c r="G2427" s="1" t="s">
        <v>32</v>
      </c>
      <c r="H2427" s="1" t="n">
        <v>2110405</v>
      </c>
      <c r="I2427" s="1" t="s">
        <v>83</v>
      </c>
      <c r="J2427" s="1" t="n">
        <v>1576059</v>
      </c>
      <c r="L2427" s="1" t="n">
        <v>1713862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952.02</v>
      </c>
      <c r="W2427" s="1" t="n">
        <v>0</v>
      </c>
      <c r="X2427" s="1" t="s">
        <v>2652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46255</v>
      </c>
      <c r="C2428" s="22" t="n">
        <v>46267</v>
      </c>
      <c r="D2428" s="1" t="n">
        <v>967</v>
      </c>
      <c r="E2428" s="1" t="s">
        <v>1028</v>
      </c>
      <c r="F2428" s="1" t="n">
        <v>24</v>
      </c>
      <c r="G2428" s="1" t="s">
        <v>32</v>
      </c>
      <c r="H2428" s="1" t="n">
        <v>2110405</v>
      </c>
      <c r="I2428" s="1" t="s">
        <v>83</v>
      </c>
      <c r="J2428" s="1" t="n">
        <v>1582001</v>
      </c>
      <c r="L2428" s="1" t="n">
        <v>37328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1334.15</v>
      </c>
      <c r="W2428" s="1" t="n">
        <v>0</v>
      </c>
      <c r="X2428" s="1" t="s">
        <v>2653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46256</v>
      </c>
      <c r="C2429" s="22" t="n">
        <v>46267</v>
      </c>
      <c r="D2429" s="1" t="n">
        <v>10009</v>
      </c>
      <c r="E2429" s="1" t="s">
        <v>201</v>
      </c>
      <c r="F2429" s="1" t="n">
        <v>24</v>
      </c>
      <c r="G2429" s="1" t="s">
        <v>32</v>
      </c>
      <c r="H2429" s="1" t="n">
        <v>2110405</v>
      </c>
      <c r="I2429" s="1" t="s">
        <v>83</v>
      </c>
      <c r="J2429" s="1" t="n">
        <v>1585417</v>
      </c>
      <c r="L2429" s="1" t="n">
        <v>1441106</v>
      </c>
      <c r="M2429" s="1" t="s">
        <v>41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5430.04</v>
      </c>
      <c r="W2429" s="1" t="n">
        <v>0</v>
      </c>
      <c r="X2429" s="1" t="s">
        <v>2654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46204</v>
      </c>
      <c r="C2430" s="22" t="n">
        <v>46268</v>
      </c>
      <c r="D2430" s="1" t="n">
        <v>607</v>
      </c>
      <c r="E2430" s="1" t="s">
        <v>182</v>
      </c>
      <c r="F2430" s="1" t="n">
        <v>24</v>
      </c>
      <c r="G2430" s="1" t="s">
        <v>32</v>
      </c>
      <c r="H2430" s="1" t="n">
        <v>2110101</v>
      </c>
      <c r="I2430" s="1" t="s">
        <v>33</v>
      </c>
      <c r="J2430" s="1" t="n">
        <v>1335231</v>
      </c>
      <c r="L2430" s="1" t="n">
        <v>11002</v>
      </c>
      <c r="M2430" s="1" t="s">
        <v>234</v>
      </c>
      <c r="N2430" s="1" t="s">
        <v>35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1849.57</v>
      </c>
      <c r="W2430" s="1" t="n">
        <v>0</v>
      </c>
      <c r="X2430" s="1" t="s">
        <v>2655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46240</v>
      </c>
      <c r="C2431" s="22" t="n">
        <v>46268</v>
      </c>
      <c r="D2431" s="1" t="n">
        <v>1612</v>
      </c>
      <c r="E2431" s="1" t="s">
        <v>193</v>
      </c>
      <c r="F2431" s="1" t="n">
        <v>24</v>
      </c>
      <c r="G2431" s="1" t="s">
        <v>32</v>
      </c>
      <c r="H2431" s="1" t="n">
        <v>2110405</v>
      </c>
      <c r="I2431" s="1" t="s">
        <v>83</v>
      </c>
      <c r="J2431" s="1" t="n">
        <v>1508279</v>
      </c>
      <c r="L2431" s="1" t="n">
        <v>2307727</v>
      </c>
      <c r="M2431" s="1" t="s">
        <v>128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1167.15</v>
      </c>
      <c r="W2431" s="1" t="n">
        <v>0</v>
      </c>
      <c r="X2431" s="1" t="s">
        <v>2656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46240</v>
      </c>
      <c r="C2432" s="22" t="n">
        <v>46268</v>
      </c>
      <c r="D2432" s="1" t="n">
        <v>1608</v>
      </c>
      <c r="E2432" s="1" t="s">
        <v>51</v>
      </c>
      <c r="F2432" s="1" t="n">
        <v>24</v>
      </c>
      <c r="G2432" s="1" t="s">
        <v>32</v>
      </c>
      <c r="H2432" s="1" t="n">
        <v>2110405</v>
      </c>
      <c r="I2432" s="1" t="s">
        <v>83</v>
      </c>
      <c r="J2432" s="1" t="n">
        <v>1508347</v>
      </c>
      <c r="L2432" s="1" t="n">
        <v>1706774</v>
      </c>
      <c r="M2432" s="1" t="s">
        <v>128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1141.92</v>
      </c>
      <c r="W2432" s="1" t="n">
        <v>0</v>
      </c>
      <c r="X2432" s="1" t="s">
        <v>2657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46240</v>
      </c>
      <c r="C2433" s="22" t="n">
        <v>46268</v>
      </c>
      <c r="D2433" s="1" t="n">
        <v>10017</v>
      </c>
      <c r="E2433" s="1" t="s">
        <v>753</v>
      </c>
      <c r="F2433" s="1" t="n">
        <v>24</v>
      </c>
      <c r="G2433" s="1" t="s">
        <v>32</v>
      </c>
      <c r="H2433" s="1" t="n">
        <v>2110405</v>
      </c>
      <c r="I2433" s="1" t="s">
        <v>83</v>
      </c>
      <c r="J2433" s="1" t="n">
        <v>1508414</v>
      </c>
      <c r="L2433" s="1" t="n">
        <v>195281</v>
      </c>
      <c r="M2433" s="1" t="s">
        <v>128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1164.11</v>
      </c>
      <c r="W2433" s="1" t="n">
        <v>0</v>
      </c>
      <c r="X2433" s="1" t="s">
        <v>2658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46240</v>
      </c>
      <c r="C2434" s="22" t="n">
        <v>46268</v>
      </c>
      <c r="D2434" s="1" t="n">
        <v>557</v>
      </c>
      <c r="E2434" s="1" t="s">
        <v>231</v>
      </c>
      <c r="F2434" s="1" t="n">
        <v>34</v>
      </c>
      <c r="G2434" s="1" t="s">
        <v>71</v>
      </c>
      <c r="H2434" s="1" t="n">
        <v>2110405</v>
      </c>
      <c r="I2434" s="1" t="s">
        <v>83</v>
      </c>
      <c r="J2434" s="1" t="n">
        <v>1122744</v>
      </c>
      <c r="L2434" s="1" t="n">
        <v>469459</v>
      </c>
      <c r="M2434" s="1" t="s">
        <v>391</v>
      </c>
      <c r="N2434" s="1" t="s">
        <v>42</v>
      </c>
      <c r="P2434" s="1" t="n">
        <v>102</v>
      </c>
      <c r="Q2434" s="1" t="s">
        <v>107</v>
      </c>
      <c r="R2434" s="1" t="s">
        <v>60</v>
      </c>
      <c r="S2434" s="1" t="n">
        <v>4210206</v>
      </c>
      <c r="T2434" s="1" t="s">
        <v>232</v>
      </c>
      <c r="U2434" s="1" t="n">
        <v>258.62</v>
      </c>
      <c r="W2434" s="1" t="n">
        <v>0</v>
      </c>
      <c r="X2434" s="1" t="s">
        <v>233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46241</v>
      </c>
      <c r="C2435" s="22" t="n">
        <v>46268</v>
      </c>
      <c r="D2435" s="1" t="n">
        <v>1626</v>
      </c>
      <c r="E2435" s="1" t="s">
        <v>40</v>
      </c>
      <c r="F2435" s="1" t="n">
        <v>24</v>
      </c>
      <c r="G2435" s="1" t="s">
        <v>32</v>
      </c>
      <c r="H2435" s="1" t="n">
        <v>2110405</v>
      </c>
      <c r="I2435" s="1" t="s">
        <v>83</v>
      </c>
      <c r="J2435" s="1" t="n">
        <v>1513163</v>
      </c>
      <c r="L2435" s="1" t="n">
        <v>316329</v>
      </c>
      <c r="M2435" s="1" t="s">
        <v>128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1276.95</v>
      </c>
      <c r="W2435" s="1" t="n">
        <v>0</v>
      </c>
      <c r="X2435" s="1" t="s">
        <v>2659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46248</v>
      </c>
      <c r="C2436" s="22" t="n">
        <v>46268</v>
      </c>
      <c r="D2436" s="1" t="n">
        <v>10020</v>
      </c>
      <c r="E2436" s="1" t="s">
        <v>260</v>
      </c>
      <c r="F2436" s="1" t="n">
        <v>24</v>
      </c>
      <c r="G2436" s="1" t="s">
        <v>32</v>
      </c>
      <c r="H2436" s="1" t="n">
        <v>2110405</v>
      </c>
      <c r="I2436" s="1" t="s">
        <v>83</v>
      </c>
      <c r="J2436" s="1" t="n">
        <v>1546108</v>
      </c>
      <c r="L2436" s="1" t="n">
        <v>799</v>
      </c>
      <c r="M2436" s="1" t="s">
        <v>34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507.29</v>
      </c>
      <c r="W2436" s="1" t="n">
        <v>0</v>
      </c>
      <c r="X2436" s="1" t="s">
        <v>2660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46246</v>
      </c>
      <c r="C2437" s="22" t="n">
        <v>46268</v>
      </c>
      <c r="D2437" s="1" t="n">
        <v>1659</v>
      </c>
      <c r="E2437" s="1" t="s">
        <v>54</v>
      </c>
      <c r="F2437" s="1" t="n">
        <v>24</v>
      </c>
      <c r="G2437" s="1" t="s">
        <v>32</v>
      </c>
      <c r="H2437" s="1" t="n">
        <v>2110405</v>
      </c>
      <c r="I2437" s="1" t="s">
        <v>83</v>
      </c>
      <c r="J2437" s="1" t="n">
        <v>1535642</v>
      </c>
      <c r="L2437" s="1" t="n">
        <v>889987</v>
      </c>
      <c r="M2437" s="1" t="s">
        <v>34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345.95</v>
      </c>
      <c r="W2437" s="1" t="n">
        <v>0</v>
      </c>
      <c r="X2437" s="1" t="s">
        <v>2661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46268</v>
      </c>
      <c r="D2438" s="1" t="n">
        <v>1667</v>
      </c>
      <c r="E2438" s="1" t="s">
        <v>40</v>
      </c>
      <c r="F2438" s="1" t="n">
        <v>24</v>
      </c>
      <c r="G2438" s="1" t="s">
        <v>32</v>
      </c>
      <c r="H2438" s="1" t="n">
        <v>2110405</v>
      </c>
      <c r="I2438" s="1" t="s">
        <v>83</v>
      </c>
      <c r="J2438" s="1" t="n">
        <v>1542918</v>
      </c>
      <c r="L2438" s="1" t="n">
        <v>398226</v>
      </c>
      <c r="M2438" s="1" t="s">
        <v>41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760.27</v>
      </c>
      <c r="W2438" s="1" t="n">
        <v>0</v>
      </c>
      <c r="X2438" s="1" t="s">
        <v>2662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46248</v>
      </c>
      <c r="C2439" s="22" t="n">
        <v>46268</v>
      </c>
      <c r="D2439" s="1" t="n">
        <v>1740</v>
      </c>
      <c r="E2439" s="1" t="s">
        <v>258</v>
      </c>
      <c r="F2439" s="1" t="n">
        <v>24</v>
      </c>
      <c r="G2439" s="1" t="s">
        <v>32</v>
      </c>
      <c r="H2439" s="1" t="n">
        <v>2110405</v>
      </c>
      <c r="I2439" s="1" t="s">
        <v>83</v>
      </c>
      <c r="J2439" s="1" t="n">
        <v>1547169</v>
      </c>
      <c r="L2439" s="1" t="n">
        <v>1258822</v>
      </c>
      <c r="M2439" s="1" t="s">
        <v>41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1067.22</v>
      </c>
      <c r="W2439" s="1" t="n">
        <v>0</v>
      </c>
      <c r="X2439" s="1" t="s">
        <v>2663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46251</v>
      </c>
      <c r="C2440" s="22" t="n">
        <v>46268</v>
      </c>
      <c r="D2440" s="1" t="n">
        <v>1671</v>
      </c>
      <c r="E2440" s="1" t="s">
        <v>340</v>
      </c>
      <c r="F2440" s="1" t="n">
        <v>24</v>
      </c>
      <c r="G2440" s="1" t="s">
        <v>32</v>
      </c>
      <c r="H2440" s="1" t="n">
        <v>2110405</v>
      </c>
      <c r="I2440" s="1" t="s">
        <v>83</v>
      </c>
      <c r="J2440" s="1" t="n">
        <v>1562446</v>
      </c>
      <c r="L2440" s="1" t="n">
        <v>586417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1586.84</v>
      </c>
      <c r="W2440" s="1" t="n">
        <v>0</v>
      </c>
      <c r="X2440" s="1" t="s">
        <v>2664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46254</v>
      </c>
      <c r="C2441" s="22" t="n">
        <v>46268</v>
      </c>
      <c r="D2441" s="1" t="n">
        <v>1705</v>
      </c>
      <c r="E2441" s="1" t="s">
        <v>148</v>
      </c>
      <c r="F2441" s="1" t="n">
        <v>24</v>
      </c>
      <c r="G2441" s="1" t="s">
        <v>32</v>
      </c>
      <c r="H2441" s="1" t="n">
        <v>2110405</v>
      </c>
      <c r="I2441" s="1" t="s">
        <v>83</v>
      </c>
      <c r="J2441" s="1" t="n">
        <v>1576445</v>
      </c>
      <c r="L2441" s="1" t="n">
        <v>1255653</v>
      </c>
      <c r="M2441" s="1" t="s">
        <v>41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1801.74</v>
      </c>
      <c r="W2441" s="1" t="n">
        <v>0</v>
      </c>
      <c r="X2441" s="1" t="s">
        <v>2665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46254</v>
      </c>
      <c r="C2442" s="22" t="n">
        <v>46268</v>
      </c>
      <c r="D2442" s="1" t="n">
        <v>1136</v>
      </c>
      <c r="E2442" s="1" t="s">
        <v>1229</v>
      </c>
      <c r="F2442" s="1" t="n">
        <v>24</v>
      </c>
      <c r="G2442" s="1" t="s">
        <v>32</v>
      </c>
      <c r="H2442" s="1" t="n">
        <v>2110405</v>
      </c>
      <c r="I2442" s="1" t="s">
        <v>83</v>
      </c>
      <c r="J2442" s="1" t="n">
        <v>1576686</v>
      </c>
      <c r="L2442" s="1" t="n">
        <v>54213</v>
      </c>
      <c r="M2442" s="1" t="s">
        <v>41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789.34</v>
      </c>
      <c r="W2442" s="1" t="n">
        <v>0</v>
      </c>
      <c r="X2442" s="1" t="s">
        <v>2666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46268</v>
      </c>
      <c r="D2443" s="1" t="n">
        <v>1705</v>
      </c>
      <c r="E2443" s="1" t="s">
        <v>148</v>
      </c>
      <c r="F2443" s="1" t="n">
        <v>24</v>
      </c>
      <c r="G2443" s="1" t="s">
        <v>32</v>
      </c>
      <c r="H2443" s="1" t="n">
        <v>2110405</v>
      </c>
      <c r="I2443" s="1" t="s">
        <v>83</v>
      </c>
      <c r="J2443" s="1" t="n">
        <v>1577270</v>
      </c>
      <c r="L2443" s="1" t="n">
        <v>1997304</v>
      </c>
      <c r="M2443" s="1" t="s">
        <v>41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7946.42</v>
      </c>
      <c r="W2443" s="1" t="n">
        <v>0</v>
      </c>
      <c r="X2443" s="1" t="s">
        <v>2667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46254</v>
      </c>
      <c r="C2444" s="22" t="n">
        <v>46268</v>
      </c>
      <c r="D2444" s="1" t="n">
        <v>1699</v>
      </c>
      <c r="E2444" s="1" t="s">
        <v>371</v>
      </c>
      <c r="F2444" s="1" t="n">
        <v>24</v>
      </c>
      <c r="G2444" s="1" t="s">
        <v>32</v>
      </c>
      <c r="H2444" s="1" t="n">
        <v>2110405</v>
      </c>
      <c r="I2444" s="1" t="s">
        <v>83</v>
      </c>
      <c r="J2444" s="1" t="n">
        <v>1577971</v>
      </c>
      <c r="L2444" s="1" t="n">
        <v>311353</v>
      </c>
      <c r="M2444" s="1" t="s">
        <v>41</v>
      </c>
      <c r="N2444" s="1" t="s">
        <v>42</v>
      </c>
      <c r="P2444" s="1" t="n">
        <v>103</v>
      </c>
      <c r="Q2444" s="1" t="s">
        <v>36</v>
      </c>
      <c r="R2444" s="1" t="s">
        <v>37</v>
      </c>
      <c r="S2444" s="1" t="n">
        <v>1130101</v>
      </c>
      <c r="T2444" s="1" t="s">
        <v>38</v>
      </c>
      <c r="U2444" s="1" t="n">
        <v>633</v>
      </c>
      <c r="W2444" s="1" t="n">
        <v>0</v>
      </c>
      <c r="X2444" s="1" t="s">
        <v>2668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46255</v>
      </c>
      <c r="C2445" s="22" t="n">
        <v>46268</v>
      </c>
      <c r="D2445" s="1" t="n">
        <v>1636</v>
      </c>
      <c r="E2445" s="1" t="s">
        <v>68</v>
      </c>
      <c r="F2445" s="1" t="n">
        <v>24</v>
      </c>
      <c r="G2445" s="1" t="s">
        <v>32</v>
      </c>
      <c r="H2445" s="1" t="n">
        <v>2110101</v>
      </c>
      <c r="I2445" s="1" t="s">
        <v>33</v>
      </c>
      <c r="J2445" s="1" t="n">
        <v>1582273</v>
      </c>
      <c r="L2445" s="1" t="n">
        <v>3239532</v>
      </c>
      <c r="M2445" s="1" t="s">
        <v>41</v>
      </c>
      <c r="N2445" s="1" t="s">
        <v>42</v>
      </c>
      <c r="P2445" s="1" t="n">
        <v>103</v>
      </c>
      <c r="Q2445" s="1" t="s">
        <v>36</v>
      </c>
      <c r="R2445" s="1" t="s">
        <v>37</v>
      </c>
      <c r="S2445" s="1" t="n">
        <v>1130101</v>
      </c>
      <c r="T2445" s="1" t="s">
        <v>38</v>
      </c>
      <c r="U2445" s="1" t="n">
        <v>1178.8</v>
      </c>
      <c r="W2445" s="1" t="n">
        <v>0</v>
      </c>
      <c r="X2445" s="1" t="s">
        <v>2669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46256</v>
      </c>
      <c r="C2446" s="22" t="n">
        <v>46268</v>
      </c>
      <c r="D2446" s="1" t="n">
        <v>1745</v>
      </c>
      <c r="E2446" s="1" t="s">
        <v>246</v>
      </c>
      <c r="F2446" s="1" t="n">
        <v>24</v>
      </c>
      <c r="G2446" s="1" t="s">
        <v>32</v>
      </c>
      <c r="H2446" s="1" t="n">
        <v>2110405</v>
      </c>
      <c r="I2446" s="1" t="s">
        <v>83</v>
      </c>
      <c r="J2446" s="1" t="n">
        <v>1585478</v>
      </c>
      <c r="L2446" s="1" t="n">
        <v>357973</v>
      </c>
      <c r="M2446" s="1" t="s">
        <v>41</v>
      </c>
      <c r="N2446" s="1" t="s">
        <v>42</v>
      </c>
      <c r="P2446" s="1" t="n">
        <v>103</v>
      </c>
      <c r="Q2446" s="1" t="s">
        <v>36</v>
      </c>
      <c r="R2446" s="1" t="s">
        <v>37</v>
      </c>
      <c r="S2446" s="1" t="n">
        <v>1130101</v>
      </c>
      <c r="T2446" s="1" t="s">
        <v>38</v>
      </c>
      <c r="U2446" s="1" t="n">
        <v>1581.44</v>
      </c>
      <c r="W2446" s="1" t="n">
        <v>0</v>
      </c>
      <c r="X2446" s="1" t="s">
        <v>2670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46256</v>
      </c>
      <c r="C2447" s="22" t="n">
        <v>46268</v>
      </c>
      <c r="D2447" s="1" t="n">
        <v>1270</v>
      </c>
      <c r="E2447" s="1" t="s">
        <v>309</v>
      </c>
      <c r="F2447" s="1" t="n">
        <v>24</v>
      </c>
      <c r="G2447" s="1" t="s">
        <v>32</v>
      </c>
      <c r="H2447" s="1" t="n">
        <v>2110405</v>
      </c>
      <c r="I2447" s="1" t="s">
        <v>83</v>
      </c>
      <c r="J2447" s="1" t="n">
        <v>1585760</v>
      </c>
      <c r="L2447" s="1" t="n">
        <v>2811</v>
      </c>
      <c r="M2447" s="1" t="s">
        <v>41</v>
      </c>
      <c r="N2447" s="1" t="s">
        <v>42</v>
      </c>
      <c r="P2447" s="1" t="n">
        <v>103</v>
      </c>
      <c r="Q2447" s="1" t="s">
        <v>36</v>
      </c>
      <c r="R2447" s="1" t="s">
        <v>37</v>
      </c>
      <c r="S2447" s="1" t="n">
        <v>1130101</v>
      </c>
      <c r="T2447" s="1" t="s">
        <v>38</v>
      </c>
      <c r="U2447" s="1" t="n">
        <v>460.5</v>
      </c>
      <c r="W2447" s="1" t="n">
        <v>0</v>
      </c>
      <c r="X2447" s="1" t="s">
        <v>2671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46256</v>
      </c>
      <c r="C2448" s="22" t="n">
        <v>46268</v>
      </c>
      <c r="D2448" s="1" t="n">
        <v>1681</v>
      </c>
      <c r="E2448" s="1" t="s">
        <v>2672</v>
      </c>
      <c r="F2448" s="1" t="n">
        <v>24</v>
      </c>
      <c r="G2448" s="1" t="s">
        <v>32</v>
      </c>
      <c r="H2448" s="1" t="n">
        <v>2110405</v>
      </c>
      <c r="I2448" s="1" t="s">
        <v>83</v>
      </c>
      <c r="J2448" s="1" t="n">
        <v>1585871</v>
      </c>
      <c r="L2448" s="1" t="n">
        <v>39522</v>
      </c>
      <c r="M2448" s="1" t="s">
        <v>41</v>
      </c>
      <c r="N2448" s="1" t="s">
        <v>42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2917.84</v>
      </c>
      <c r="W2448" s="1" t="n">
        <v>0</v>
      </c>
      <c r="X2448" s="1" t="s">
        <v>2673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46256</v>
      </c>
      <c r="C2449" s="22" t="n">
        <v>46268</v>
      </c>
      <c r="D2449" s="1" t="n">
        <v>10002</v>
      </c>
      <c r="E2449" s="1" t="s">
        <v>253</v>
      </c>
      <c r="F2449" s="1" t="n">
        <v>24</v>
      </c>
      <c r="G2449" s="1" t="s">
        <v>32</v>
      </c>
      <c r="H2449" s="1" t="n">
        <v>2110405</v>
      </c>
      <c r="I2449" s="1" t="s">
        <v>83</v>
      </c>
      <c r="J2449" s="1" t="n">
        <v>1585888</v>
      </c>
      <c r="L2449" s="1" t="n">
        <v>197688</v>
      </c>
      <c r="M2449" s="1" t="s">
        <v>41</v>
      </c>
      <c r="N2449" s="1" t="s">
        <v>42</v>
      </c>
      <c r="P2449" s="1" t="n">
        <v>103</v>
      </c>
      <c r="Q2449" s="1" t="s">
        <v>36</v>
      </c>
      <c r="R2449" s="1" t="s">
        <v>37</v>
      </c>
      <c r="S2449" s="1" t="n">
        <v>1130101</v>
      </c>
      <c r="T2449" s="1" t="s">
        <v>38</v>
      </c>
      <c r="U2449" s="1" t="n">
        <v>1015.18</v>
      </c>
      <c r="W2449" s="1" t="n">
        <v>0</v>
      </c>
      <c r="X2449" s="1" t="s">
        <v>2674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46209</v>
      </c>
      <c r="C2450" s="22" t="n">
        <v>46269</v>
      </c>
      <c r="D2450" s="1" t="n">
        <v>816</v>
      </c>
      <c r="E2450" s="1" t="s">
        <v>236</v>
      </c>
      <c r="F2450" s="1" t="n">
        <v>34</v>
      </c>
      <c r="G2450" s="1" t="s">
        <v>71</v>
      </c>
      <c r="H2450" s="1" t="n">
        <v>2110405</v>
      </c>
      <c r="I2450" s="1" t="s">
        <v>83</v>
      </c>
      <c r="J2450" s="1" t="n">
        <v>480233</v>
      </c>
      <c r="L2450" s="1" t="n">
        <v>216087</v>
      </c>
      <c r="M2450" s="1" t="s">
        <v>391</v>
      </c>
      <c r="N2450" s="1" t="s">
        <v>42</v>
      </c>
      <c r="P2450" s="1" t="n">
        <v>102</v>
      </c>
      <c r="Q2450" s="1" t="s">
        <v>107</v>
      </c>
      <c r="R2450" s="1" t="s">
        <v>91</v>
      </c>
      <c r="S2450" s="1" t="n">
        <v>4220199</v>
      </c>
      <c r="T2450" s="1" t="s">
        <v>92</v>
      </c>
      <c r="U2450" s="1" t="n">
        <v>2000</v>
      </c>
      <c r="W2450" s="1" t="n">
        <v>0</v>
      </c>
      <c r="X2450" s="1" t="s">
        <v>237</v>
      </c>
      <c r="Z2450" s="1" t="str">
        <f aca="false">IF($T2450="","",IFERROR(INDEX('Resumo Grupos'!$AC$3:$AC$200,MATCH($T2450,'Resumo Grupos'!$AB$3:$AB$200,0)),"n/d"))</f>
        <v>Pagamentos outros não operacionais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46238</v>
      </c>
      <c r="C2451" s="22" t="n">
        <v>46269</v>
      </c>
      <c r="D2451" s="1" t="n">
        <v>862</v>
      </c>
      <c r="E2451" s="1" t="s">
        <v>430</v>
      </c>
      <c r="F2451" s="1" t="n">
        <v>24</v>
      </c>
      <c r="G2451" s="1" t="s">
        <v>32</v>
      </c>
      <c r="H2451" s="1" t="n">
        <v>2110405</v>
      </c>
      <c r="I2451" s="1" t="s">
        <v>83</v>
      </c>
      <c r="J2451" s="1" t="n">
        <v>1498819</v>
      </c>
      <c r="L2451" s="1" t="n">
        <v>614572</v>
      </c>
      <c r="M2451" s="1" t="s">
        <v>34</v>
      </c>
      <c r="N2451" s="1" t="s">
        <v>42</v>
      </c>
      <c r="P2451" s="1" t="n">
        <v>101</v>
      </c>
      <c r="Q2451" s="1" t="s">
        <v>84</v>
      </c>
      <c r="R2451" s="1" t="s">
        <v>60</v>
      </c>
      <c r="S2451" s="1" t="n">
        <v>4210233</v>
      </c>
      <c r="T2451" s="1" t="s">
        <v>275</v>
      </c>
      <c r="U2451" s="1" t="n">
        <v>270.9</v>
      </c>
      <c r="W2451" s="1" t="n">
        <v>0</v>
      </c>
      <c r="X2451" s="1" t="s">
        <v>1952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46238</v>
      </c>
      <c r="C2452" s="22" t="n">
        <v>46269</v>
      </c>
      <c r="D2452" s="1" t="n">
        <v>17</v>
      </c>
      <c r="E2452" s="1" t="s">
        <v>94</v>
      </c>
      <c r="F2452" s="1" t="n">
        <v>34</v>
      </c>
      <c r="G2452" s="1" t="s">
        <v>71</v>
      </c>
      <c r="H2452" s="1" t="n">
        <v>2110405</v>
      </c>
      <c r="I2452" s="1" t="s">
        <v>83</v>
      </c>
      <c r="J2452" s="1" t="n">
        <v>1500762</v>
      </c>
      <c r="L2452" s="1" t="n">
        <v>615096</v>
      </c>
      <c r="M2452" s="1" t="s">
        <v>34</v>
      </c>
      <c r="N2452" s="1" t="s">
        <v>42</v>
      </c>
      <c r="P2452" s="1" t="n">
        <v>101</v>
      </c>
      <c r="Q2452" s="1" t="s">
        <v>84</v>
      </c>
      <c r="R2452" s="1" t="s">
        <v>60</v>
      </c>
      <c r="S2452" s="1" t="n">
        <v>4210222</v>
      </c>
      <c r="T2452" s="1" t="s">
        <v>1957</v>
      </c>
      <c r="U2452" s="1" t="n">
        <v>514.36</v>
      </c>
      <c r="W2452" s="1" t="n">
        <v>0</v>
      </c>
      <c r="X2452" s="1" t="s">
        <v>1958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46241</v>
      </c>
      <c r="C2453" s="22" t="n">
        <v>46269</v>
      </c>
      <c r="D2453" s="1" t="n">
        <v>1608</v>
      </c>
      <c r="E2453" s="1" t="s">
        <v>51</v>
      </c>
      <c r="F2453" s="1" t="n">
        <v>24</v>
      </c>
      <c r="G2453" s="1" t="s">
        <v>32</v>
      </c>
      <c r="H2453" s="1" t="n">
        <v>2110405</v>
      </c>
      <c r="I2453" s="1" t="s">
        <v>83</v>
      </c>
      <c r="J2453" s="1" t="n">
        <v>1514839</v>
      </c>
      <c r="L2453" s="1" t="n">
        <v>1707352</v>
      </c>
      <c r="M2453" s="1" t="s">
        <v>128</v>
      </c>
      <c r="N2453" s="1" t="s">
        <v>42</v>
      </c>
      <c r="P2453" s="1" t="n">
        <v>103</v>
      </c>
      <c r="Q2453" s="1" t="s">
        <v>36</v>
      </c>
      <c r="R2453" s="1" t="s">
        <v>37</v>
      </c>
      <c r="S2453" s="1" t="n">
        <v>1130101</v>
      </c>
      <c r="T2453" s="1" t="s">
        <v>38</v>
      </c>
      <c r="U2453" s="1" t="n">
        <v>953.13</v>
      </c>
      <c r="W2453" s="1" t="n">
        <v>0</v>
      </c>
      <c r="X2453" s="1" t="s">
        <v>2675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46242</v>
      </c>
      <c r="C2454" s="22" t="n">
        <v>46269</v>
      </c>
      <c r="D2454" s="1" t="n">
        <v>1700</v>
      </c>
      <c r="E2454" s="1" t="s">
        <v>2414</v>
      </c>
      <c r="F2454" s="1" t="n">
        <v>24</v>
      </c>
      <c r="G2454" s="1" t="s">
        <v>32</v>
      </c>
      <c r="H2454" s="1" t="n">
        <v>2110405</v>
      </c>
      <c r="I2454" s="1" t="s">
        <v>83</v>
      </c>
      <c r="J2454" s="1" t="n">
        <v>1518180</v>
      </c>
      <c r="L2454" s="1" t="n">
        <v>295194</v>
      </c>
      <c r="M2454" s="1" t="s">
        <v>128</v>
      </c>
      <c r="N2454" s="1" t="s">
        <v>42</v>
      </c>
      <c r="P2454" s="1" t="n">
        <v>103</v>
      </c>
      <c r="Q2454" s="1" t="s">
        <v>36</v>
      </c>
      <c r="R2454" s="1" t="s">
        <v>37</v>
      </c>
      <c r="S2454" s="1" t="n">
        <v>1130101</v>
      </c>
      <c r="T2454" s="1" t="s">
        <v>38</v>
      </c>
      <c r="U2454" s="1" t="n">
        <v>687.96</v>
      </c>
      <c r="W2454" s="1" t="n">
        <v>0</v>
      </c>
      <c r="X2454" s="1" t="s">
        <v>2676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46242</v>
      </c>
      <c r="C2455" s="22" t="n">
        <v>46269</v>
      </c>
      <c r="D2455" s="1" t="n">
        <v>1107</v>
      </c>
      <c r="E2455" s="1" t="s">
        <v>130</v>
      </c>
      <c r="F2455" s="1" t="n">
        <v>24</v>
      </c>
      <c r="G2455" s="1" t="s">
        <v>32</v>
      </c>
      <c r="H2455" s="1" t="n">
        <v>2110405</v>
      </c>
      <c r="I2455" s="1" t="s">
        <v>83</v>
      </c>
      <c r="J2455" s="1" t="n">
        <v>1518289</v>
      </c>
      <c r="L2455" s="1" t="n">
        <v>439388</v>
      </c>
      <c r="M2455" s="1" t="s">
        <v>34</v>
      </c>
      <c r="N2455" s="1" t="s">
        <v>42</v>
      </c>
      <c r="P2455" s="1" t="n">
        <v>103</v>
      </c>
      <c r="Q2455" s="1" t="s">
        <v>36</v>
      </c>
      <c r="R2455" s="1" t="s">
        <v>37</v>
      </c>
      <c r="S2455" s="1" t="n">
        <v>1130101</v>
      </c>
      <c r="T2455" s="1" t="s">
        <v>38</v>
      </c>
      <c r="U2455" s="1" t="n">
        <v>1099.43</v>
      </c>
      <c r="W2455" s="1" t="n">
        <v>0</v>
      </c>
      <c r="X2455" s="1" t="s">
        <v>2677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46244</v>
      </c>
      <c r="C2456" s="22" t="n">
        <v>46269</v>
      </c>
      <c r="D2456" s="1" t="n">
        <v>1612</v>
      </c>
      <c r="E2456" s="1" t="s">
        <v>193</v>
      </c>
      <c r="F2456" s="1" t="n">
        <v>24</v>
      </c>
      <c r="G2456" s="1" t="s">
        <v>32</v>
      </c>
      <c r="H2456" s="1" t="n">
        <v>2110405</v>
      </c>
      <c r="I2456" s="1" t="s">
        <v>83</v>
      </c>
      <c r="J2456" s="1" t="n">
        <v>1528938</v>
      </c>
      <c r="L2456" s="1" t="n">
        <v>2308194</v>
      </c>
      <c r="M2456" s="1" t="s">
        <v>128</v>
      </c>
      <c r="N2456" s="1" t="s">
        <v>42</v>
      </c>
      <c r="P2456" s="1" t="n">
        <v>103</v>
      </c>
      <c r="Q2456" s="1" t="s">
        <v>36</v>
      </c>
      <c r="R2456" s="1" t="s">
        <v>37</v>
      </c>
      <c r="S2456" s="1" t="n">
        <v>1130101</v>
      </c>
      <c r="T2456" s="1" t="s">
        <v>38</v>
      </c>
      <c r="U2456" s="1" t="n">
        <v>625.83</v>
      </c>
      <c r="W2456" s="1" t="n">
        <v>0</v>
      </c>
      <c r="X2456" s="1" t="s">
        <v>2678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46249</v>
      </c>
      <c r="C2457" s="22" t="n">
        <v>46269</v>
      </c>
      <c r="D2457" s="1" t="n">
        <v>1815</v>
      </c>
      <c r="E2457" s="1" t="s">
        <v>551</v>
      </c>
      <c r="F2457" s="1" t="n">
        <v>24</v>
      </c>
      <c r="G2457" s="1" t="s">
        <v>32</v>
      </c>
      <c r="H2457" s="1" t="n">
        <v>2110405</v>
      </c>
      <c r="I2457" s="1" t="s">
        <v>83</v>
      </c>
      <c r="J2457" s="1" t="n">
        <v>1552021</v>
      </c>
      <c r="L2457" s="1" t="n">
        <v>397850</v>
      </c>
      <c r="M2457" s="1" t="s">
        <v>128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466</v>
      </c>
      <c r="W2457" s="1" t="n">
        <v>0</v>
      </c>
      <c r="X2457" s="1" t="s">
        <v>2679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46251</v>
      </c>
      <c r="C2458" s="22" t="n">
        <v>46269</v>
      </c>
      <c r="D2458" s="1" t="n">
        <v>1636</v>
      </c>
      <c r="E2458" s="1" t="s">
        <v>68</v>
      </c>
      <c r="F2458" s="1" t="n">
        <v>24</v>
      </c>
      <c r="G2458" s="1" t="s">
        <v>32</v>
      </c>
      <c r="H2458" s="1" t="n">
        <v>2110405</v>
      </c>
      <c r="I2458" s="1" t="s">
        <v>83</v>
      </c>
      <c r="J2458" s="1" t="n">
        <v>1561641</v>
      </c>
      <c r="L2458" s="1" t="n">
        <v>3237031</v>
      </c>
      <c r="M2458" s="1" t="s">
        <v>34</v>
      </c>
      <c r="N2458" s="1" t="s">
        <v>42</v>
      </c>
      <c r="P2458" s="1" t="n">
        <v>103</v>
      </c>
      <c r="Q2458" s="1" t="s">
        <v>36</v>
      </c>
      <c r="R2458" s="1" t="s">
        <v>37</v>
      </c>
      <c r="S2458" s="1" t="n">
        <v>1130101</v>
      </c>
      <c r="T2458" s="1" t="s">
        <v>38</v>
      </c>
      <c r="U2458" s="1" t="n">
        <v>699.99</v>
      </c>
      <c r="W2458" s="1" t="n">
        <v>0</v>
      </c>
      <c r="X2458" s="1" t="s">
        <v>2680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46251</v>
      </c>
      <c r="C2459" s="22" t="n">
        <v>46269</v>
      </c>
      <c r="D2459" s="1" t="n">
        <v>1636</v>
      </c>
      <c r="E2459" s="1" t="s">
        <v>68</v>
      </c>
      <c r="F2459" s="1" t="n">
        <v>24</v>
      </c>
      <c r="G2459" s="1" t="s">
        <v>32</v>
      </c>
      <c r="H2459" s="1" t="n">
        <v>2110405</v>
      </c>
      <c r="I2459" s="1" t="s">
        <v>83</v>
      </c>
      <c r="J2459" s="1" t="n">
        <v>1561678</v>
      </c>
      <c r="L2459" s="1" t="n">
        <v>3237032</v>
      </c>
      <c r="M2459" s="1" t="s">
        <v>41</v>
      </c>
      <c r="N2459" s="1" t="s">
        <v>42</v>
      </c>
      <c r="P2459" s="1" t="n">
        <v>103</v>
      </c>
      <c r="Q2459" s="1" t="s">
        <v>36</v>
      </c>
      <c r="R2459" s="1" t="s">
        <v>37</v>
      </c>
      <c r="S2459" s="1" t="n">
        <v>1130101</v>
      </c>
      <c r="T2459" s="1" t="s">
        <v>38</v>
      </c>
      <c r="U2459" s="1" t="n">
        <v>807.06</v>
      </c>
      <c r="W2459" s="1" t="n">
        <v>0</v>
      </c>
      <c r="X2459" s="1" t="s">
        <v>2681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46253</v>
      </c>
      <c r="C2460" s="22" t="n">
        <v>46269</v>
      </c>
      <c r="D2460" s="1" t="n">
        <v>1107</v>
      </c>
      <c r="E2460" s="1" t="s">
        <v>130</v>
      </c>
      <c r="F2460" s="1" t="n">
        <v>24</v>
      </c>
      <c r="G2460" s="1" t="s">
        <v>32</v>
      </c>
      <c r="H2460" s="1" t="n">
        <v>2110405</v>
      </c>
      <c r="I2460" s="1" t="s">
        <v>83</v>
      </c>
      <c r="J2460" s="1" t="n">
        <v>1570967</v>
      </c>
      <c r="L2460" s="1" t="n">
        <v>443157</v>
      </c>
      <c r="M2460" s="1" t="s">
        <v>41</v>
      </c>
      <c r="N2460" s="1" t="s">
        <v>42</v>
      </c>
      <c r="P2460" s="1" t="n">
        <v>103</v>
      </c>
      <c r="Q2460" s="1" t="s">
        <v>36</v>
      </c>
      <c r="R2460" s="1" t="s">
        <v>37</v>
      </c>
      <c r="S2460" s="1" t="n">
        <v>1130101</v>
      </c>
      <c r="T2460" s="1" t="s">
        <v>38</v>
      </c>
      <c r="U2460" s="1" t="n">
        <v>584.55</v>
      </c>
      <c r="W2460" s="1" t="n">
        <v>0</v>
      </c>
      <c r="X2460" s="1" t="s">
        <v>2682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46253</v>
      </c>
      <c r="C2461" s="22" t="n">
        <v>46269</v>
      </c>
      <c r="D2461" s="1" t="n">
        <v>10017</v>
      </c>
      <c r="E2461" s="1" t="s">
        <v>753</v>
      </c>
      <c r="F2461" s="1" t="n">
        <v>24</v>
      </c>
      <c r="G2461" s="1" t="s">
        <v>32</v>
      </c>
      <c r="H2461" s="1" t="n">
        <v>2110405</v>
      </c>
      <c r="I2461" s="1" t="s">
        <v>83</v>
      </c>
      <c r="J2461" s="1" t="n">
        <v>1571575</v>
      </c>
      <c r="L2461" s="1" t="n">
        <v>195456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792.22</v>
      </c>
      <c r="W2461" s="1" t="n">
        <v>0</v>
      </c>
      <c r="X2461" s="1" t="s">
        <v>2683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46254</v>
      </c>
      <c r="C2462" s="22" t="n">
        <v>46269</v>
      </c>
      <c r="D2462" s="1" t="n">
        <v>1608</v>
      </c>
      <c r="E2462" s="1" t="s">
        <v>51</v>
      </c>
      <c r="F2462" s="1" t="n">
        <v>24</v>
      </c>
      <c r="G2462" s="1" t="s">
        <v>32</v>
      </c>
      <c r="H2462" s="1" t="n">
        <v>2110405</v>
      </c>
      <c r="I2462" s="1" t="s">
        <v>83</v>
      </c>
      <c r="J2462" s="1" t="n">
        <v>1575885</v>
      </c>
      <c r="L2462" s="1" t="n">
        <v>1711227</v>
      </c>
      <c r="M2462" s="1" t="s">
        <v>34</v>
      </c>
      <c r="N2462" s="1" t="s">
        <v>42</v>
      </c>
      <c r="P2462" s="1" t="n">
        <v>103</v>
      </c>
      <c r="Q2462" s="1" t="s">
        <v>36</v>
      </c>
      <c r="R2462" s="1" t="s">
        <v>37</v>
      </c>
      <c r="S2462" s="1" t="n">
        <v>1130101</v>
      </c>
      <c r="T2462" s="1" t="s">
        <v>38</v>
      </c>
      <c r="U2462" s="1" t="n">
        <v>753.33</v>
      </c>
      <c r="W2462" s="1" t="n">
        <v>0</v>
      </c>
      <c r="X2462" s="1" t="s">
        <v>2684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46255</v>
      </c>
      <c r="C2463" s="22" t="n">
        <v>46269</v>
      </c>
      <c r="D2463" s="1" t="n">
        <v>1634</v>
      </c>
      <c r="E2463" s="1" t="s">
        <v>2299</v>
      </c>
      <c r="F2463" s="1" t="n">
        <v>24</v>
      </c>
      <c r="G2463" s="1" t="s">
        <v>32</v>
      </c>
      <c r="H2463" s="1" t="n">
        <v>2110405</v>
      </c>
      <c r="I2463" s="1" t="s">
        <v>83</v>
      </c>
      <c r="J2463" s="1" t="n">
        <v>1582023</v>
      </c>
      <c r="L2463" s="1" t="n">
        <v>330734</v>
      </c>
      <c r="M2463" s="1" t="s">
        <v>41</v>
      </c>
      <c r="N2463" s="1" t="s">
        <v>42</v>
      </c>
      <c r="P2463" s="1" t="n">
        <v>103</v>
      </c>
      <c r="Q2463" s="1" t="s">
        <v>36</v>
      </c>
      <c r="R2463" s="1" t="s">
        <v>37</v>
      </c>
      <c r="S2463" s="1" t="n">
        <v>1130101</v>
      </c>
      <c r="T2463" s="1" t="s">
        <v>38</v>
      </c>
      <c r="U2463" s="1" t="n">
        <v>1232.16</v>
      </c>
      <c r="W2463" s="1" t="n">
        <v>0</v>
      </c>
      <c r="X2463" s="1" t="s">
        <v>2685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46255</v>
      </c>
      <c r="C2464" s="22" t="n">
        <v>46269</v>
      </c>
      <c r="D2464" s="1" t="n">
        <v>703</v>
      </c>
      <c r="E2464" s="1" t="s">
        <v>1413</v>
      </c>
      <c r="F2464" s="1" t="n">
        <v>24</v>
      </c>
      <c r="G2464" s="1" t="s">
        <v>32</v>
      </c>
      <c r="H2464" s="1" t="n">
        <v>2110405</v>
      </c>
      <c r="I2464" s="1" t="s">
        <v>83</v>
      </c>
      <c r="J2464" s="1" t="n">
        <v>1582062</v>
      </c>
      <c r="L2464" s="1" t="n">
        <v>103073</v>
      </c>
      <c r="M2464" s="1" t="s">
        <v>41</v>
      </c>
      <c r="N2464" s="1" t="s">
        <v>42</v>
      </c>
      <c r="P2464" s="1" t="n">
        <v>103</v>
      </c>
      <c r="Q2464" s="1" t="s">
        <v>36</v>
      </c>
      <c r="R2464" s="1" t="s">
        <v>37</v>
      </c>
      <c r="S2464" s="1" t="n">
        <v>1130101</v>
      </c>
      <c r="T2464" s="1" t="s">
        <v>38</v>
      </c>
      <c r="U2464" s="1" t="n">
        <v>431.28</v>
      </c>
      <c r="W2464" s="1" t="n">
        <v>0</v>
      </c>
      <c r="X2464" s="1" t="s">
        <v>2686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46256</v>
      </c>
      <c r="C2465" s="22" t="n">
        <v>46269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83</v>
      </c>
      <c r="J2465" s="1" t="n">
        <v>1585364</v>
      </c>
      <c r="L2465" s="1" t="n">
        <v>891630</v>
      </c>
      <c r="M2465" s="1" t="s">
        <v>41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1167.28</v>
      </c>
      <c r="W2465" s="1" t="n">
        <v>0</v>
      </c>
      <c r="X2465" s="1" t="s">
        <v>2687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46256</v>
      </c>
      <c r="C2466" s="22" t="n">
        <v>46269</v>
      </c>
      <c r="D2466" s="1" t="n">
        <v>1667</v>
      </c>
      <c r="E2466" s="1" t="s">
        <v>40</v>
      </c>
      <c r="F2466" s="1" t="n">
        <v>24</v>
      </c>
      <c r="G2466" s="1" t="s">
        <v>32</v>
      </c>
      <c r="H2466" s="1" t="n">
        <v>2110405</v>
      </c>
      <c r="I2466" s="1" t="s">
        <v>83</v>
      </c>
      <c r="J2466" s="1" t="n">
        <v>1585385</v>
      </c>
      <c r="L2466" s="1" t="n">
        <v>398654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684.25</v>
      </c>
      <c r="W2466" s="1" t="n">
        <v>0</v>
      </c>
      <c r="X2466" s="1" t="s">
        <v>2688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46256</v>
      </c>
      <c r="C2467" s="22" t="n">
        <v>46269</v>
      </c>
      <c r="D2467" s="1" t="n">
        <v>1666</v>
      </c>
      <c r="E2467" s="1" t="s">
        <v>31</v>
      </c>
      <c r="F2467" s="1" t="n">
        <v>24</v>
      </c>
      <c r="G2467" s="1" t="s">
        <v>32</v>
      </c>
      <c r="H2467" s="1" t="n">
        <v>2110405</v>
      </c>
      <c r="I2467" s="1" t="s">
        <v>83</v>
      </c>
      <c r="J2467" s="1" t="n">
        <v>1585825</v>
      </c>
      <c r="L2467" s="1" t="n">
        <v>571038</v>
      </c>
      <c r="M2467" s="1" t="s">
        <v>41</v>
      </c>
      <c r="N2467" s="1" t="s">
        <v>42</v>
      </c>
      <c r="P2467" s="1" t="n">
        <v>103</v>
      </c>
      <c r="Q2467" s="1" t="s">
        <v>36</v>
      </c>
      <c r="R2467" s="1" t="s">
        <v>37</v>
      </c>
      <c r="S2467" s="1" t="n">
        <v>1130101</v>
      </c>
      <c r="T2467" s="1" t="s">
        <v>38</v>
      </c>
      <c r="U2467" s="1" t="n">
        <v>963.49</v>
      </c>
      <c r="W2467" s="1" t="n">
        <v>0</v>
      </c>
      <c r="X2467" s="1" t="s">
        <v>2689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46256</v>
      </c>
      <c r="C2468" s="22" t="n">
        <v>46269</v>
      </c>
      <c r="D2468" s="1" t="n">
        <v>1114</v>
      </c>
      <c r="E2468" s="1" t="s">
        <v>144</v>
      </c>
      <c r="F2468" s="1" t="n">
        <v>24</v>
      </c>
      <c r="G2468" s="1" t="s">
        <v>32</v>
      </c>
      <c r="H2468" s="1" t="n">
        <v>2110405</v>
      </c>
      <c r="I2468" s="1" t="s">
        <v>83</v>
      </c>
      <c r="J2468" s="1" t="n">
        <v>1585897</v>
      </c>
      <c r="L2468" s="1" t="n">
        <v>44559</v>
      </c>
      <c r="M2468" s="1" t="s">
        <v>41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4339.8</v>
      </c>
      <c r="W2468" s="1" t="n">
        <v>0</v>
      </c>
      <c r="X2468" s="1" t="s">
        <v>2690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46185</v>
      </c>
      <c r="C2469" s="22" t="n">
        <v>46270</v>
      </c>
      <c r="D2469" s="1" t="n">
        <v>1768</v>
      </c>
      <c r="E2469" s="1" t="s">
        <v>553</v>
      </c>
      <c r="F2469" s="1" t="n">
        <v>34</v>
      </c>
      <c r="G2469" s="1" t="s">
        <v>71</v>
      </c>
      <c r="H2469" s="1" t="n">
        <v>1110202</v>
      </c>
      <c r="I2469" s="1" t="s">
        <v>285</v>
      </c>
      <c r="J2469" s="1" t="n">
        <v>1240158</v>
      </c>
      <c r="L2469" s="1" t="n">
        <v>515079</v>
      </c>
      <c r="M2469" s="1" t="s">
        <v>128</v>
      </c>
      <c r="N2469" s="1" t="s">
        <v>42</v>
      </c>
      <c r="P2469" s="1" t="n">
        <v>102</v>
      </c>
      <c r="Q2469" s="1" t="s">
        <v>107</v>
      </c>
      <c r="R2469" s="1" t="s">
        <v>60</v>
      </c>
      <c r="S2469" s="1" t="n">
        <v>4210202</v>
      </c>
      <c r="T2469" s="1" t="s">
        <v>554</v>
      </c>
      <c r="U2469" s="1" t="n">
        <v>2431.5</v>
      </c>
      <c r="W2469" s="1" t="n">
        <v>0</v>
      </c>
      <c r="X2469" s="1" t="s">
        <v>555</v>
      </c>
      <c r="Z2469" s="1" t="str">
        <f aca="false">IF($T2469="","",IFERROR(INDEX('Resumo Grupos'!$AC$3:$AC$200,MATCH($T2469,'Resumo Grupos'!$AB$3:$AB$200,0)),"n/d"))</f>
        <v>Despesa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46209</v>
      </c>
      <c r="C2470" s="22" t="n">
        <v>46270</v>
      </c>
      <c r="D2470" s="1" t="n">
        <v>714</v>
      </c>
      <c r="E2470" s="1" t="s">
        <v>330</v>
      </c>
      <c r="F2470" s="1" t="n">
        <v>34</v>
      </c>
      <c r="G2470" s="1" t="s">
        <v>71</v>
      </c>
      <c r="H2470" s="1" t="n">
        <v>2110405</v>
      </c>
      <c r="I2470" s="1" t="s">
        <v>83</v>
      </c>
      <c r="J2470" s="1" t="n">
        <v>1207135</v>
      </c>
      <c r="L2470" s="1" t="n">
        <v>502146</v>
      </c>
      <c r="M2470" s="1" t="s">
        <v>394</v>
      </c>
      <c r="N2470" s="1" t="s">
        <v>42</v>
      </c>
      <c r="P2470" s="1" t="n">
        <v>102</v>
      </c>
      <c r="Q2470" s="1" t="s">
        <v>107</v>
      </c>
      <c r="R2470" s="1" t="s">
        <v>290</v>
      </c>
      <c r="S2470" s="1" t="n">
        <v>4210111</v>
      </c>
      <c r="T2470" s="1" t="s">
        <v>291</v>
      </c>
      <c r="U2470" s="1" t="n">
        <v>3000</v>
      </c>
      <c r="W2470" s="1" t="n">
        <v>0</v>
      </c>
      <c r="X2470" s="1" t="s">
        <v>331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46209</v>
      </c>
      <c r="C2471" s="22" t="n">
        <v>46270</v>
      </c>
      <c r="D2471" s="1" t="n">
        <v>16</v>
      </c>
      <c r="E2471" s="1" t="s">
        <v>90</v>
      </c>
      <c r="F2471" s="1" t="n">
        <v>34</v>
      </c>
      <c r="G2471" s="1" t="s">
        <v>71</v>
      </c>
      <c r="H2471" s="1" t="n">
        <v>2110405</v>
      </c>
      <c r="I2471" s="1" t="s">
        <v>83</v>
      </c>
      <c r="J2471" s="1" t="n">
        <v>1207139</v>
      </c>
      <c r="L2471" s="1" t="n">
        <v>502148</v>
      </c>
      <c r="M2471" s="1" t="s">
        <v>394</v>
      </c>
      <c r="N2471" s="1" t="s">
        <v>42</v>
      </c>
      <c r="P2471" s="1" t="n">
        <v>102</v>
      </c>
      <c r="Q2471" s="1" t="s">
        <v>107</v>
      </c>
      <c r="R2471" s="1" t="s">
        <v>91</v>
      </c>
      <c r="S2471" s="1" t="n">
        <v>4220199</v>
      </c>
      <c r="T2471" s="1" t="s">
        <v>92</v>
      </c>
      <c r="U2471" s="1" t="n">
        <v>350</v>
      </c>
      <c r="W2471" s="1" t="n">
        <v>0</v>
      </c>
      <c r="X2471" s="1" t="s">
        <v>333</v>
      </c>
      <c r="Z2471" s="1" t="str">
        <f aca="false">IF($T2471="","",IFERROR(INDEX('Resumo Grupos'!$AC$3:$AC$200,MATCH($T2471,'Resumo Grupos'!$AB$3:$AB$200,0)),"n/d"))</f>
        <v>Pagamentos outros não operacionais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46226</v>
      </c>
      <c r="C2472" s="22" t="n">
        <v>46270</v>
      </c>
      <c r="D2472" s="1" t="n">
        <v>10011</v>
      </c>
      <c r="E2472" s="1" t="s">
        <v>189</v>
      </c>
      <c r="F2472" s="1" t="n">
        <v>24</v>
      </c>
      <c r="G2472" s="1" t="s">
        <v>32</v>
      </c>
      <c r="H2472" s="1" t="n">
        <v>2110405</v>
      </c>
      <c r="I2472" s="1" t="s">
        <v>83</v>
      </c>
      <c r="J2472" s="1" t="n">
        <v>1440273</v>
      </c>
      <c r="L2472" s="1" t="n">
        <v>592643</v>
      </c>
      <c r="M2472" s="1" t="s">
        <v>128</v>
      </c>
      <c r="N2472" s="1" t="s">
        <v>42</v>
      </c>
      <c r="P2472" s="1" t="n">
        <v>104</v>
      </c>
      <c r="Q2472" s="1" t="s">
        <v>99</v>
      </c>
      <c r="R2472" s="1" t="s">
        <v>37</v>
      </c>
      <c r="S2472" s="1" t="n">
        <v>1130101</v>
      </c>
      <c r="T2472" s="1" t="s">
        <v>38</v>
      </c>
      <c r="U2472" s="1" t="n">
        <v>562.93</v>
      </c>
      <c r="W2472" s="1" t="n">
        <v>0</v>
      </c>
      <c r="X2472" s="1" t="s">
        <v>2298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46228</v>
      </c>
      <c r="C2473" s="22" t="n">
        <v>46270</v>
      </c>
      <c r="D2473" s="1" t="n">
        <v>1061</v>
      </c>
      <c r="E2473" s="1" t="s">
        <v>284</v>
      </c>
      <c r="F2473" s="1" t="n">
        <v>34</v>
      </c>
      <c r="G2473" s="1" t="s">
        <v>71</v>
      </c>
      <c r="H2473" s="1" t="n">
        <v>1110202</v>
      </c>
      <c r="I2473" s="1" t="s">
        <v>285</v>
      </c>
      <c r="J2473" s="1" t="n">
        <v>1448839</v>
      </c>
      <c r="L2473" s="1" t="n">
        <v>596058</v>
      </c>
      <c r="M2473" s="1" t="s">
        <v>34</v>
      </c>
      <c r="N2473" s="1" t="s">
        <v>42</v>
      </c>
      <c r="P2473" s="1" t="n">
        <v>101</v>
      </c>
      <c r="Q2473" s="1" t="s">
        <v>84</v>
      </c>
      <c r="R2473" s="1" t="s">
        <v>91</v>
      </c>
      <c r="S2473" s="1" t="n">
        <v>4220199</v>
      </c>
      <c r="T2473" s="1" t="s">
        <v>92</v>
      </c>
      <c r="U2473" s="1" t="n">
        <v>1500</v>
      </c>
      <c r="W2473" s="1" t="n">
        <v>0</v>
      </c>
      <c r="X2473" s="1" t="s">
        <v>286</v>
      </c>
      <c r="Z2473" s="1" t="str">
        <f aca="false">IF($T2473="","",IFERROR(INDEX('Resumo Grupos'!$AC$3:$AC$200,MATCH($T2473,'Resumo Grupos'!$AB$3:$AB$200,0)),"n/d"))</f>
        <v>Pagamentos outros não operacionais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46228</v>
      </c>
      <c r="C2474" s="22" t="n">
        <v>46270</v>
      </c>
      <c r="D2474" s="1" t="n">
        <v>16</v>
      </c>
      <c r="E2474" s="1" t="s">
        <v>90</v>
      </c>
      <c r="F2474" s="1" t="n">
        <v>34</v>
      </c>
      <c r="G2474" s="1" t="s">
        <v>71</v>
      </c>
      <c r="H2474" s="1" t="n">
        <v>2110405</v>
      </c>
      <c r="I2474" s="1" t="s">
        <v>83</v>
      </c>
      <c r="J2474" s="1" t="n">
        <v>1448856</v>
      </c>
      <c r="L2474" s="1" t="n">
        <v>596062</v>
      </c>
      <c r="M2474" s="1" t="s">
        <v>34</v>
      </c>
      <c r="N2474" s="1" t="s">
        <v>42</v>
      </c>
      <c r="P2474" s="1" t="n">
        <v>101</v>
      </c>
      <c r="Q2474" s="1" t="s">
        <v>84</v>
      </c>
      <c r="R2474" s="1" t="s">
        <v>85</v>
      </c>
      <c r="S2474" s="1" t="n">
        <v>4210301</v>
      </c>
      <c r="T2474" s="1" t="s">
        <v>295</v>
      </c>
      <c r="U2474" s="1" t="n">
        <v>500</v>
      </c>
      <c r="W2474" s="1" t="n">
        <v>0</v>
      </c>
      <c r="X2474" s="1" t="s">
        <v>2691</v>
      </c>
      <c r="Z2474" s="1" t="str">
        <f aca="false">IF($T2474="","",IFERROR(INDEX('Resumo Grupos'!$AC$3:$AC$200,MATCH($T2474,'Resumo Grupos'!$AB$3:$AB$200,0)),"n/d"))</f>
        <v>Salários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46232</v>
      </c>
      <c r="C2475" s="22" t="n">
        <v>46270</v>
      </c>
      <c r="D2475" s="1" t="n">
        <v>714</v>
      </c>
      <c r="E2475" s="1" t="s">
        <v>330</v>
      </c>
      <c r="F2475" s="1" t="n">
        <v>34</v>
      </c>
      <c r="G2475" s="1" t="s">
        <v>71</v>
      </c>
      <c r="H2475" s="1" t="n">
        <v>2110405</v>
      </c>
      <c r="I2475" s="1" t="s">
        <v>83</v>
      </c>
      <c r="J2475" s="1" t="n">
        <v>1470158</v>
      </c>
      <c r="L2475" s="1" t="n">
        <v>604127</v>
      </c>
      <c r="M2475" s="1" t="s">
        <v>34</v>
      </c>
      <c r="N2475" s="1" t="s">
        <v>42</v>
      </c>
      <c r="P2475" s="1" t="n">
        <v>101</v>
      </c>
      <c r="Q2475" s="1" t="s">
        <v>84</v>
      </c>
      <c r="R2475" s="1" t="s">
        <v>91</v>
      </c>
      <c r="S2475" s="1" t="n">
        <v>4220199</v>
      </c>
      <c r="T2475" s="1" t="s">
        <v>92</v>
      </c>
      <c r="U2475" s="1" t="n">
        <v>6150</v>
      </c>
      <c r="W2475" s="1" t="n">
        <v>0</v>
      </c>
      <c r="X2475" s="1" t="s">
        <v>332</v>
      </c>
      <c r="Z2475" s="1" t="str">
        <f aca="false">IF($T2475="","",IFERROR(INDEX('Resumo Grupos'!$AC$3:$AC$200,MATCH($T2475,'Resumo Grupos'!$AB$3:$AB$200,0)),"n/d"))</f>
        <v>Pagamentos outros não operacionais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46239</v>
      </c>
      <c r="C2476" s="22" t="n">
        <v>46270</v>
      </c>
      <c r="D2476" s="1" t="n">
        <v>17</v>
      </c>
      <c r="E2476" s="1" t="s">
        <v>94</v>
      </c>
      <c r="F2476" s="1" t="n">
        <v>24</v>
      </c>
      <c r="G2476" s="1" t="s">
        <v>32</v>
      </c>
      <c r="H2476" s="1" t="n">
        <v>1110202</v>
      </c>
      <c r="I2476" s="1" t="s">
        <v>285</v>
      </c>
      <c r="J2476" s="1" t="n">
        <v>1359969</v>
      </c>
      <c r="L2476" s="1" t="n">
        <v>561604</v>
      </c>
      <c r="M2476" s="1" t="s">
        <v>128</v>
      </c>
      <c r="N2476" s="1" t="s">
        <v>42</v>
      </c>
      <c r="P2476" s="1" t="n">
        <v>102</v>
      </c>
      <c r="Q2476" s="1" t="s">
        <v>107</v>
      </c>
      <c r="R2476" s="1" t="s">
        <v>91</v>
      </c>
      <c r="S2476" s="1" t="n">
        <v>4220199</v>
      </c>
      <c r="T2476" s="1" t="s">
        <v>92</v>
      </c>
      <c r="U2476" s="1" t="n">
        <v>631.05</v>
      </c>
      <c r="W2476" s="1" t="n">
        <v>0</v>
      </c>
      <c r="X2476" s="1" t="s">
        <v>2692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46240</v>
      </c>
      <c r="C2477" s="22" t="n">
        <v>46270</v>
      </c>
      <c r="D2477" s="1" t="n">
        <v>1659</v>
      </c>
      <c r="E2477" s="1" t="s">
        <v>54</v>
      </c>
      <c r="F2477" s="1" t="n">
        <v>24</v>
      </c>
      <c r="G2477" s="1" t="s">
        <v>32</v>
      </c>
      <c r="H2477" s="1" t="n">
        <v>2110405</v>
      </c>
      <c r="I2477" s="1" t="s">
        <v>83</v>
      </c>
      <c r="J2477" s="1" t="n">
        <v>1508900</v>
      </c>
      <c r="L2477" s="1" t="n">
        <v>889410</v>
      </c>
      <c r="M2477" s="1" t="s">
        <v>128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1452.44</v>
      </c>
      <c r="W2477" s="1" t="n">
        <v>0</v>
      </c>
      <c r="X2477" s="1" t="s">
        <v>2693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46241</v>
      </c>
      <c r="C2478" s="22" t="n">
        <v>46270</v>
      </c>
      <c r="D2478" s="1" t="n">
        <v>1195</v>
      </c>
      <c r="E2478" s="1" t="s">
        <v>300</v>
      </c>
      <c r="F2478" s="1" t="n">
        <v>24</v>
      </c>
      <c r="G2478" s="1" t="s">
        <v>32</v>
      </c>
      <c r="H2478" s="1" t="n">
        <v>2110405</v>
      </c>
      <c r="I2478" s="1" t="s">
        <v>83</v>
      </c>
      <c r="J2478" s="1" t="n">
        <v>1152372</v>
      </c>
      <c r="L2478" s="1" t="n">
        <v>480964</v>
      </c>
      <c r="M2478" s="1" t="s">
        <v>128</v>
      </c>
      <c r="N2478" s="1" t="s">
        <v>42</v>
      </c>
      <c r="P2478" s="1" t="n">
        <v>102</v>
      </c>
      <c r="Q2478" s="1" t="s">
        <v>107</v>
      </c>
      <c r="R2478" s="1" t="s">
        <v>85</v>
      </c>
      <c r="S2478" s="1" t="n">
        <v>4210311</v>
      </c>
      <c r="T2478" s="1" t="s">
        <v>301</v>
      </c>
      <c r="U2478" s="1" t="n">
        <v>3001.44</v>
      </c>
      <c r="W2478" s="1" t="n">
        <v>0</v>
      </c>
      <c r="X2478" s="1" t="s">
        <v>1134</v>
      </c>
      <c r="Z2478" s="1" t="str">
        <f aca="false">IF($T2478="","",IFERROR(INDEX('Resumo Grupos'!$AC$3:$AC$200,MATCH($T2478,'Resumo Grupos'!$AB$3:$AB$200,0)),"n/d"))</f>
        <v>Salários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46242</v>
      </c>
      <c r="C2479" s="22" t="n">
        <v>46270</v>
      </c>
      <c r="D2479" s="1" t="n">
        <v>1708</v>
      </c>
      <c r="E2479" s="1" t="s">
        <v>153</v>
      </c>
      <c r="F2479" s="1" t="n">
        <v>24</v>
      </c>
      <c r="G2479" s="1" t="s">
        <v>32</v>
      </c>
      <c r="H2479" s="1" t="n">
        <v>2110405</v>
      </c>
      <c r="I2479" s="1" t="s">
        <v>83</v>
      </c>
      <c r="J2479" s="1" t="n">
        <v>1518534</v>
      </c>
      <c r="L2479" s="1" t="n">
        <v>264963</v>
      </c>
      <c r="M2479" s="1" t="s">
        <v>128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721.52</v>
      </c>
      <c r="W2479" s="1" t="n">
        <v>0</v>
      </c>
      <c r="X2479" s="1" t="s">
        <v>2694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46244</v>
      </c>
      <c r="C2480" s="22" t="n">
        <v>46270</v>
      </c>
      <c r="D2480" s="1" t="n">
        <v>1061</v>
      </c>
      <c r="E2480" s="1" t="s">
        <v>284</v>
      </c>
      <c r="F2480" s="1" t="n">
        <v>34</v>
      </c>
      <c r="G2480" s="1" t="s">
        <v>71</v>
      </c>
      <c r="H2480" s="1" t="n">
        <v>2110405</v>
      </c>
      <c r="I2480" s="1" t="s">
        <v>83</v>
      </c>
      <c r="J2480" s="1" t="n">
        <v>1448819</v>
      </c>
      <c r="L2480" s="1" t="n">
        <v>596052</v>
      </c>
      <c r="M2480" s="1" t="s">
        <v>128</v>
      </c>
      <c r="N2480" s="1" t="s">
        <v>42</v>
      </c>
      <c r="P2480" s="1" t="n">
        <v>101</v>
      </c>
      <c r="Q2480" s="1" t="s">
        <v>84</v>
      </c>
      <c r="R2480" s="1" t="s">
        <v>85</v>
      </c>
      <c r="S2480" s="1" t="n">
        <v>4210301</v>
      </c>
      <c r="T2480" s="1" t="s">
        <v>295</v>
      </c>
      <c r="U2480" s="1" t="n">
        <v>750.97</v>
      </c>
      <c r="W2480" s="1" t="n">
        <v>0</v>
      </c>
      <c r="X2480" s="1" t="s">
        <v>2695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46255</v>
      </c>
      <c r="C2481" s="22" t="n">
        <v>46270</v>
      </c>
      <c r="D2481" s="1" t="n">
        <v>1718</v>
      </c>
      <c r="E2481" s="1" t="s">
        <v>134</v>
      </c>
      <c r="F2481" s="1" t="n">
        <v>24</v>
      </c>
      <c r="G2481" s="1" t="s">
        <v>32</v>
      </c>
      <c r="H2481" s="1" t="n">
        <v>2110405</v>
      </c>
      <c r="I2481" s="1" t="s">
        <v>83</v>
      </c>
      <c r="J2481" s="1" t="n">
        <v>1581946</v>
      </c>
      <c r="L2481" s="1" t="n">
        <v>690674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37</v>
      </c>
      <c r="S2481" s="1" t="n">
        <v>1130101</v>
      </c>
      <c r="T2481" s="1" t="s">
        <v>38</v>
      </c>
      <c r="U2481" s="1" t="n">
        <v>396.53</v>
      </c>
      <c r="W2481" s="1" t="n">
        <v>0</v>
      </c>
      <c r="X2481" s="1" t="s">
        <v>2696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46224</v>
      </c>
      <c r="C2482" s="22" t="n">
        <v>46271</v>
      </c>
      <c r="D2482" s="1" t="n">
        <v>607</v>
      </c>
      <c r="E2482" s="1" t="s">
        <v>182</v>
      </c>
      <c r="F2482" s="1" t="n">
        <v>24</v>
      </c>
      <c r="G2482" s="1" t="s">
        <v>32</v>
      </c>
      <c r="H2482" s="1" t="n">
        <v>2110405</v>
      </c>
      <c r="I2482" s="1" t="s">
        <v>83</v>
      </c>
      <c r="J2482" s="1" t="n">
        <v>1429152</v>
      </c>
      <c r="L2482" s="1" t="n">
        <v>11134</v>
      </c>
      <c r="M2482" s="1" t="s">
        <v>128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911.85</v>
      </c>
      <c r="W2482" s="1" t="n">
        <v>0</v>
      </c>
      <c r="X2482" s="1" t="s">
        <v>2697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46246</v>
      </c>
      <c r="C2483" s="22" t="n">
        <v>46271</v>
      </c>
      <c r="D2483" s="1" t="n">
        <v>17</v>
      </c>
      <c r="E2483" s="1" t="s">
        <v>94</v>
      </c>
      <c r="F2483" s="1" t="n">
        <v>24</v>
      </c>
      <c r="G2483" s="1" t="s">
        <v>32</v>
      </c>
      <c r="H2483" s="1" t="n">
        <v>2110405</v>
      </c>
      <c r="I2483" s="1" t="s">
        <v>83</v>
      </c>
      <c r="J2483" s="1" t="n">
        <v>1323809</v>
      </c>
      <c r="L2483" s="1" t="n">
        <v>548260</v>
      </c>
      <c r="M2483" s="1" t="s">
        <v>128</v>
      </c>
      <c r="N2483" s="1" t="s">
        <v>42</v>
      </c>
      <c r="P2483" s="1" t="n">
        <v>101</v>
      </c>
      <c r="Q2483" s="1" t="s">
        <v>84</v>
      </c>
      <c r="R2483" s="1" t="s">
        <v>91</v>
      </c>
      <c r="S2483" s="1" t="n">
        <v>4220199</v>
      </c>
      <c r="T2483" s="1" t="s">
        <v>92</v>
      </c>
      <c r="U2483" s="1" t="n">
        <v>800</v>
      </c>
      <c r="W2483" s="1" t="n">
        <v>0</v>
      </c>
      <c r="X2483" s="1" t="s">
        <v>2698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46255</v>
      </c>
      <c r="C2484" s="22" t="n">
        <v>46271</v>
      </c>
      <c r="D2484" s="1" t="n">
        <v>1711</v>
      </c>
      <c r="E2484" s="1" t="s">
        <v>535</v>
      </c>
      <c r="F2484" s="1" t="n">
        <v>24</v>
      </c>
      <c r="G2484" s="1" t="s">
        <v>32</v>
      </c>
      <c r="H2484" s="1" t="n">
        <v>2110405</v>
      </c>
      <c r="I2484" s="1" t="s">
        <v>83</v>
      </c>
      <c r="J2484" s="1" t="n">
        <v>1581907</v>
      </c>
      <c r="L2484" s="1" t="n">
        <v>160299</v>
      </c>
      <c r="M2484" s="1" t="s">
        <v>41</v>
      </c>
      <c r="N2484" s="1" t="s">
        <v>42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1127.55</v>
      </c>
      <c r="W2484" s="1" t="n">
        <v>0</v>
      </c>
      <c r="X2484" s="1" t="s">
        <v>2699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46228</v>
      </c>
      <c r="C2485" s="22" t="n">
        <v>46272</v>
      </c>
      <c r="D2485" s="1" t="n">
        <v>1409</v>
      </c>
      <c r="E2485" s="1" t="s">
        <v>2456</v>
      </c>
      <c r="F2485" s="1" t="n">
        <v>24</v>
      </c>
      <c r="G2485" s="1" t="s">
        <v>32</v>
      </c>
      <c r="H2485" s="1" t="n">
        <v>1110202</v>
      </c>
      <c r="I2485" s="1" t="s">
        <v>285</v>
      </c>
      <c r="J2485" s="1" t="n">
        <v>1450142</v>
      </c>
      <c r="L2485" s="1" t="n">
        <v>105914</v>
      </c>
      <c r="M2485" s="1" t="s">
        <v>34</v>
      </c>
      <c r="N2485" s="1" t="s">
        <v>42</v>
      </c>
      <c r="P2485" s="1" t="n">
        <v>103</v>
      </c>
      <c r="Q2485" s="1" t="s">
        <v>36</v>
      </c>
      <c r="R2485" s="1" t="s">
        <v>37</v>
      </c>
      <c r="S2485" s="1" t="n">
        <v>1130101</v>
      </c>
      <c r="T2485" s="1" t="s">
        <v>38</v>
      </c>
      <c r="U2485" s="1" t="n">
        <v>306</v>
      </c>
      <c r="W2485" s="1" t="n">
        <v>0</v>
      </c>
      <c r="X2485" s="1" t="s">
        <v>2700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46240</v>
      </c>
      <c r="C2486" s="22" t="n">
        <v>46272</v>
      </c>
      <c r="D2486" s="1" t="n">
        <v>1671</v>
      </c>
      <c r="E2486" s="1" t="s">
        <v>340</v>
      </c>
      <c r="F2486" s="1" t="n">
        <v>24</v>
      </c>
      <c r="G2486" s="1" t="s">
        <v>32</v>
      </c>
      <c r="H2486" s="1" t="n">
        <v>2110405</v>
      </c>
      <c r="I2486" s="1" t="s">
        <v>83</v>
      </c>
      <c r="J2486" s="1" t="n">
        <v>1508432</v>
      </c>
      <c r="L2486" s="1" t="n">
        <v>582245</v>
      </c>
      <c r="M2486" s="1" t="s">
        <v>34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1020.15</v>
      </c>
      <c r="W2486" s="1" t="n">
        <v>0</v>
      </c>
      <c r="X2486" s="1" t="s">
        <v>2701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46246</v>
      </c>
      <c r="C2487" s="22" t="n">
        <v>46272</v>
      </c>
      <c r="D2487" s="1" t="n">
        <v>1636</v>
      </c>
      <c r="E2487" s="1" t="s">
        <v>68</v>
      </c>
      <c r="F2487" s="1" t="n">
        <v>24</v>
      </c>
      <c r="G2487" s="1" t="s">
        <v>32</v>
      </c>
      <c r="H2487" s="1" t="n">
        <v>2110405</v>
      </c>
      <c r="I2487" s="1" t="s">
        <v>83</v>
      </c>
      <c r="J2487" s="1" t="n">
        <v>1536369</v>
      </c>
      <c r="L2487" s="1" t="n">
        <v>3234290</v>
      </c>
      <c r="M2487" s="1" t="s">
        <v>128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727.99</v>
      </c>
      <c r="W2487" s="1" t="n">
        <v>0</v>
      </c>
      <c r="X2487" s="1" t="s">
        <v>2702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46249</v>
      </c>
      <c r="C2488" s="22" t="n">
        <v>46272</v>
      </c>
      <c r="D2488" s="1" t="n">
        <v>10011</v>
      </c>
      <c r="E2488" s="1" t="s">
        <v>189</v>
      </c>
      <c r="F2488" s="1" t="n">
        <v>24</v>
      </c>
      <c r="G2488" s="1" t="s">
        <v>32</v>
      </c>
      <c r="H2488" s="1" t="n">
        <v>2110405</v>
      </c>
      <c r="I2488" s="1" t="s">
        <v>83</v>
      </c>
      <c r="J2488" s="1" t="n">
        <v>1552267</v>
      </c>
      <c r="L2488" s="1" t="n">
        <v>35160</v>
      </c>
      <c r="M2488" s="1" t="s">
        <v>34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2836.78</v>
      </c>
      <c r="W2488" s="1" t="n">
        <v>0</v>
      </c>
      <c r="X2488" s="1" t="s">
        <v>2703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46272</v>
      </c>
      <c r="D2489" s="1" t="n">
        <v>1196</v>
      </c>
      <c r="E2489" s="1" t="s">
        <v>373</v>
      </c>
      <c r="F2489" s="1" t="n">
        <v>24</v>
      </c>
      <c r="G2489" s="1" t="s">
        <v>32</v>
      </c>
      <c r="H2489" s="1" t="n">
        <v>2110405</v>
      </c>
      <c r="I2489" s="1" t="s">
        <v>83</v>
      </c>
      <c r="J2489" s="1" t="n">
        <v>1567568</v>
      </c>
      <c r="L2489" s="1" t="n">
        <v>12863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919.34</v>
      </c>
      <c r="W2489" s="1" t="n">
        <v>0</v>
      </c>
      <c r="X2489" s="1" t="s">
        <v>2704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46252</v>
      </c>
      <c r="C2490" s="22" t="n">
        <v>46272</v>
      </c>
      <c r="D2490" s="1" t="n">
        <v>1921</v>
      </c>
      <c r="E2490" s="1" t="s">
        <v>238</v>
      </c>
      <c r="F2490" s="1" t="n">
        <v>24</v>
      </c>
      <c r="G2490" s="1" t="s">
        <v>32</v>
      </c>
      <c r="H2490" s="1" t="n">
        <v>2110405</v>
      </c>
      <c r="I2490" s="1" t="s">
        <v>83</v>
      </c>
      <c r="J2490" s="1" t="n">
        <v>1568268</v>
      </c>
      <c r="L2490" s="1" t="n">
        <v>21280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677.64</v>
      </c>
      <c r="W2490" s="1" t="n">
        <v>0</v>
      </c>
      <c r="X2490" s="1" t="s">
        <v>2705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46253</v>
      </c>
      <c r="C2491" s="22" t="n">
        <v>46272</v>
      </c>
      <c r="D2491" s="1" t="n">
        <v>957</v>
      </c>
      <c r="E2491" s="1" t="s">
        <v>132</v>
      </c>
      <c r="F2491" s="1" t="n">
        <v>24</v>
      </c>
      <c r="G2491" s="1" t="s">
        <v>32</v>
      </c>
      <c r="H2491" s="1" t="n">
        <v>2110405</v>
      </c>
      <c r="I2491" s="1" t="s">
        <v>83</v>
      </c>
      <c r="J2491" s="1" t="n">
        <v>1571005</v>
      </c>
      <c r="L2491" s="1" t="n">
        <v>21714</v>
      </c>
      <c r="M2491" s="1" t="s">
        <v>41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704.9</v>
      </c>
      <c r="W2491" s="1" t="n">
        <v>0</v>
      </c>
      <c r="X2491" s="1" t="s">
        <v>2706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46253</v>
      </c>
      <c r="C2492" s="22" t="n">
        <v>46272</v>
      </c>
      <c r="D2492" s="1" t="n">
        <v>1636</v>
      </c>
      <c r="E2492" s="1" t="s">
        <v>68</v>
      </c>
      <c r="F2492" s="1" t="n">
        <v>24</v>
      </c>
      <c r="G2492" s="1" t="s">
        <v>32</v>
      </c>
      <c r="H2492" s="1" t="n">
        <v>2110405</v>
      </c>
      <c r="I2492" s="1" t="s">
        <v>83</v>
      </c>
      <c r="J2492" s="1" t="n">
        <v>1571378</v>
      </c>
      <c r="L2492" s="1" t="n">
        <v>3237635</v>
      </c>
      <c r="M2492" s="1" t="s">
        <v>41</v>
      </c>
      <c r="N2492" s="1" t="s">
        <v>42</v>
      </c>
      <c r="P2492" s="1" t="n">
        <v>103</v>
      </c>
      <c r="Q2492" s="1" t="s">
        <v>36</v>
      </c>
      <c r="R2492" s="1" t="s">
        <v>37</v>
      </c>
      <c r="S2492" s="1" t="n">
        <v>1130101</v>
      </c>
      <c r="T2492" s="1" t="s">
        <v>38</v>
      </c>
      <c r="U2492" s="1" t="n">
        <v>594.56</v>
      </c>
      <c r="W2492" s="1" t="n">
        <v>0</v>
      </c>
      <c r="X2492" s="1" t="s">
        <v>2707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46254</v>
      </c>
      <c r="C2493" s="22" t="n">
        <v>46272</v>
      </c>
      <c r="D2493" s="1" t="n">
        <v>1626</v>
      </c>
      <c r="E2493" s="1" t="s">
        <v>40</v>
      </c>
      <c r="F2493" s="1" t="n">
        <v>24</v>
      </c>
      <c r="G2493" s="1" t="s">
        <v>32</v>
      </c>
      <c r="H2493" s="1" t="n">
        <v>2110405</v>
      </c>
      <c r="I2493" s="1" t="s">
        <v>83</v>
      </c>
      <c r="J2493" s="1" t="n">
        <v>1575983</v>
      </c>
      <c r="L2493" s="1" t="n">
        <v>317365</v>
      </c>
      <c r="M2493" s="1" t="s">
        <v>34</v>
      </c>
      <c r="N2493" s="1" t="s">
        <v>42</v>
      </c>
      <c r="P2493" s="1" t="n">
        <v>103</v>
      </c>
      <c r="Q2493" s="1" t="s">
        <v>36</v>
      </c>
      <c r="R2493" s="1" t="s">
        <v>37</v>
      </c>
      <c r="S2493" s="1" t="n">
        <v>1130101</v>
      </c>
      <c r="T2493" s="1" t="s">
        <v>38</v>
      </c>
      <c r="U2493" s="1" t="n">
        <v>989.33</v>
      </c>
      <c r="W2493" s="1" t="n">
        <v>0</v>
      </c>
      <c r="X2493" s="1" t="s">
        <v>2708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46255</v>
      </c>
      <c r="C2494" s="22" t="n">
        <v>46272</v>
      </c>
      <c r="D2494" s="1" t="n">
        <v>1616</v>
      </c>
      <c r="E2494" s="1" t="s">
        <v>517</v>
      </c>
      <c r="F2494" s="1" t="n">
        <v>24</v>
      </c>
      <c r="G2494" s="1" t="s">
        <v>32</v>
      </c>
      <c r="H2494" s="1" t="n">
        <v>2110405</v>
      </c>
      <c r="I2494" s="1" t="s">
        <v>83</v>
      </c>
      <c r="J2494" s="1" t="n">
        <v>1580851</v>
      </c>
      <c r="L2494" s="1" t="n">
        <v>654912</v>
      </c>
      <c r="M2494" s="1" t="s">
        <v>34</v>
      </c>
      <c r="N2494" s="1" t="s">
        <v>42</v>
      </c>
      <c r="P2494" s="1" t="n">
        <v>103</v>
      </c>
      <c r="Q2494" s="1" t="s">
        <v>36</v>
      </c>
      <c r="R2494" s="1" t="s">
        <v>37</v>
      </c>
      <c r="S2494" s="1" t="n">
        <v>1130101</v>
      </c>
      <c r="T2494" s="1" t="s">
        <v>38</v>
      </c>
      <c r="U2494" s="1" t="n">
        <v>573.72</v>
      </c>
      <c r="W2494" s="1" t="n">
        <v>0</v>
      </c>
      <c r="X2494" s="1" t="s">
        <v>2709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46255</v>
      </c>
      <c r="C2495" s="22" t="n">
        <v>46272</v>
      </c>
      <c r="D2495" s="1" t="n">
        <v>1616</v>
      </c>
      <c r="E2495" s="1" t="s">
        <v>517</v>
      </c>
      <c r="F2495" s="1" t="n">
        <v>24</v>
      </c>
      <c r="G2495" s="1" t="s">
        <v>32</v>
      </c>
      <c r="H2495" s="1" t="n">
        <v>2110405</v>
      </c>
      <c r="I2495" s="1" t="s">
        <v>83</v>
      </c>
      <c r="J2495" s="1" t="n">
        <v>1581039</v>
      </c>
      <c r="L2495" s="1" t="n">
        <v>654913</v>
      </c>
      <c r="M2495" s="1" t="s">
        <v>34</v>
      </c>
      <c r="N2495" s="1" t="s">
        <v>42</v>
      </c>
      <c r="P2495" s="1" t="n">
        <v>103</v>
      </c>
      <c r="Q2495" s="1" t="s">
        <v>36</v>
      </c>
      <c r="R2495" s="1" t="s">
        <v>37</v>
      </c>
      <c r="S2495" s="1" t="n">
        <v>1130101</v>
      </c>
      <c r="T2495" s="1" t="s">
        <v>38</v>
      </c>
      <c r="U2495" s="1" t="n">
        <v>759.74</v>
      </c>
      <c r="W2495" s="1" t="n">
        <v>0</v>
      </c>
      <c r="X2495" s="1" t="s">
        <v>2710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46255</v>
      </c>
      <c r="C2496" s="22" t="n">
        <v>46272</v>
      </c>
      <c r="D2496" s="1" t="n">
        <v>10037</v>
      </c>
      <c r="E2496" s="1" t="s">
        <v>540</v>
      </c>
      <c r="F2496" s="1" t="n">
        <v>24</v>
      </c>
      <c r="G2496" s="1" t="s">
        <v>32</v>
      </c>
      <c r="H2496" s="1" t="n">
        <v>2110405</v>
      </c>
      <c r="I2496" s="1" t="s">
        <v>83</v>
      </c>
      <c r="J2496" s="1" t="n">
        <v>1581853</v>
      </c>
      <c r="L2496" s="1" t="n">
        <v>3216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733.07</v>
      </c>
      <c r="W2496" s="1" t="n">
        <v>0</v>
      </c>
      <c r="X2496" s="1" t="s">
        <v>2711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46255</v>
      </c>
      <c r="C2497" s="22" t="n">
        <v>46272</v>
      </c>
      <c r="D2497" s="1" t="n">
        <v>10037</v>
      </c>
      <c r="E2497" s="1" t="s">
        <v>540</v>
      </c>
      <c r="F2497" s="1" t="n">
        <v>24</v>
      </c>
      <c r="G2497" s="1" t="s">
        <v>32</v>
      </c>
      <c r="H2497" s="1" t="n">
        <v>2110405</v>
      </c>
      <c r="I2497" s="1" t="s">
        <v>83</v>
      </c>
      <c r="J2497" s="1" t="n">
        <v>1581875</v>
      </c>
      <c r="L2497" s="1" t="n">
        <v>3215</v>
      </c>
      <c r="M2497" s="1" t="s">
        <v>41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477.65</v>
      </c>
      <c r="W2497" s="1" t="n">
        <v>0</v>
      </c>
      <c r="X2497" s="1" t="s">
        <v>2712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46256</v>
      </c>
      <c r="C2498" s="22" t="n">
        <v>46272</v>
      </c>
      <c r="D2498" s="1" t="n">
        <v>1739</v>
      </c>
      <c r="E2498" s="1" t="s">
        <v>1296</v>
      </c>
      <c r="F2498" s="1" t="n">
        <v>24</v>
      </c>
      <c r="G2498" s="1" t="s">
        <v>32</v>
      </c>
      <c r="H2498" s="1" t="n">
        <v>2110405</v>
      </c>
      <c r="I2498" s="1" t="s">
        <v>83</v>
      </c>
      <c r="J2498" s="1" t="n">
        <v>1585194</v>
      </c>
      <c r="L2498" s="1" t="n">
        <v>255211</v>
      </c>
      <c r="M2498" s="1" t="s">
        <v>34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614.06</v>
      </c>
      <c r="W2498" s="1" t="n">
        <v>0</v>
      </c>
      <c r="X2498" s="1" t="s">
        <v>2713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46240</v>
      </c>
      <c r="C2499" s="22" t="n">
        <v>46273</v>
      </c>
      <c r="D2499" s="1" t="n">
        <v>1637</v>
      </c>
      <c r="E2499" s="1" t="s">
        <v>44</v>
      </c>
      <c r="F2499" s="1" t="n">
        <v>24</v>
      </c>
      <c r="G2499" s="1" t="s">
        <v>32</v>
      </c>
      <c r="H2499" s="1" t="n">
        <v>2110405</v>
      </c>
      <c r="I2499" s="1" t="s">
        <v>83</v>
      </c>
      <c r="J2499" s="1" t="n">
        <v>1509594</v>
      </c>
      <c r="L2499" s="1" t="n">
        <v>1915889</v>
      </c>
      <c r="M2499" s="1" t="s">
        <v>41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2022.5</v>
      </c>
      <c r="W2499" s="1" t="n">
        <v>0</v>
      </c>
      <c r="X2499" s="1" t="s">
        <v>2714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46240</v>
      </c>
      <c r="C2500" s="22" t="n">
        <v>46273</v>
      </c>
      <c r="D2500" s="1" t="n">
        <v>1637</v>
      </c>
      <c r="E2500" s="1" t="s">
        <v>44</v>
      </c>
      <c r="F2500" s="1" t="n">
        <v>24</v>
      </c>
      <c r="G2500" s="1" t="s">
        <v>32</v>
      </c>
      <c r="H2500" s="1" t="n">
        <v>2110405</v>
      </c>
      <c r="I2500" s="1" t="s">
        <v>83</v>
      </c>
      <c r="J2500" s="1" t="n">
        <v>1509701</v>
      </c>
      <c r="L2500" s="1" t="n">
        <v>1915886</v>
      </c>
      <c r="M2500" s="1" t="s">
        <v>41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1795</v>
      </c>
      <c r="W2500" s="1" t="n">
        <v>0</v>
      </c>
      <c r="X2500" s="1" t="s">
        <v>2715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46248</v>
      </c>
      <c r="C2501" s="22" t="n">
        <v>46273</v>
      </c>
      <c r="D2501" s="1" t="n">
        <v>1637</v>
      </c>
      <c r="E2501" s="1" t="s">
        <v>44</v>
      </c>
      <c r="F2501" s="1" t="n">
        <v>24</v>
      </c>
      <c r="G2501" s="1" t="s">
        <v>32</v>
      </c>
      <c r="H2501" s="1" t="n">
        <v>2110405</v>
      </c>
      <c r="I2501" s="1" t="s">
        <v>83</v>
      </c>
      <c r="J2501" s="1" t="n">
        <v>1545628</v>
      </c>
      <c r="L2501" s="1" t="n">
        <v>1917923</v>
      </c>
      <c r="M2501" s="1" t="s">
        <v>41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899.66</v>
      </c>
      <c r="W2501" s="1" t="n">
        <v>0</v>
      </c>
      <c r="X2501" s="1" t="s">
        <v>2716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46246</v>
      </c>
      <c r="C2502" s="22" t="n">
        <v>46273</v>
      </c>
      <c r="D2502" s="1" t="n">
        <v>911</v>
      </c>
      <c r="E2502" s="1" t="s">
        <v>191</v>
      </c>
      <c r="F2502" s="1" t="n">
        <v>24</v>
      </c>
      <c r="G2502" s="1" t="s">
        <v>32</v>
      </c>
      <c r="H2502" s="1" t="n">
        <v>2110405</v>
      </c>
      <c r="I2502" s="1" t="s">
        <v>83</v>
      </c>
      <c r="J2502" s="1" t="n">
        <v>1537558</v>
      </c>
      <c r="L2502" s="1" t="n">
        <v>56171</v>
      </c>
      <c r="M2502" s="1" t="s">
        <v>41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802.03</v>
      </c>
      <c r="W2502" s="1" t="n">
        <v>0</v>
      </c>
      <c r="X2502" s="1" t="s">
        <v>2717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46248</v>
      </c>
      <c r="C2503" s="22" t="n">
        <v>46273</v>
      </c>
      <c r="D2503" s="1" t="n">
        <v>1637</v>
      </c>
      <c r="E2503" s="1" t="s">
        <v>44</v>
      </c>
      <c r="F2503" s="1" t="n">
        <v>24</v>
      </c>
      <c r="G2503" s="1" t="s">
        <v>32</v>
      </c>
      <c r="H2503" s="1" t="n">
        <v>2110405</v>
      </c>
      <c r="I2503" s="1" t="s">
        <v>83</v>
      </c>
      <c r="J2503" s="1" t="n">
        <v>1545744</v>
      </c>
      <c r="L2503" s="1" t="n">
        <v>1917926</v>
      </c>
      <c r="M2503" s="1" t="s">
        <v>41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428.17</v>
      </c>
      <c r="W2503" s="1" t="n">
        <v>0</v>
      </c>
      <c r="X2503" s="1" t="s">
        <v>2718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46248</v>
      </c>
      <c r="C2504" s="22" t="n">
        <v>46273</v>
      </c>
      <c r="D2504" s="1" t="n">
        <v>1637</v>
      </c>
      <c r="E2504" s="1" t="s">
        <v>44</v>
      </c>
      <c r="F2504" s="1" t="n">
        <v>24</v>
      </c>
      <c r="G2504" s="1" t="s">
        <v>32</v>
      </c>
      <c r="H2504" s="1" t="n">
        <v>2110405</v>
      </c>
      <c r="I2504" s="1" t="s">
        <v>83</v>
      </c>
      <c r="J2504" s="1" t="n">
        <v>1545854</v>
      </c>
      <c r="L2504" s="1" t="n">
        <v>1919060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1812.23</v>
      </c>
      <c r="W2504" s="1" t="n">
        <v>0</v>
      </c>
      <c r="X2504" s="1" t="s">
        <v>2719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46248</v>
      </c>
      <c r="C2505" s="22" t="n">
        <v>46273</v>
      </c>
      <c r="D2505" s="1" t="n">
        <v>1699</v>
      </c>
      <c r="E2505" s="1" t="s">
        <v>371</v>
      </c>
      <c r="F2505" s="1" t="n">
        <v>24</v>
      </c>
      <c r="G2505" s="1" t="s">
        <v>32</v>
      </c>
      <c r="H2505" s="1" t="n">
        <v>2110405</v>
      </c>
      <c r="I2505" s="1" t="s">
        <v>83</v>
      </c>
      <c r="J2505" s="1" t="n">
        <v>1545933</v>
      </c>
      <c r="L2505" s="1" t="n">
        <v>311117</v>
      </c>
      <c r="M2505" s="1" t="s">
        <v>34</v>
      </c>
      <c r="N2505" s="1" t="s">
        <v>42</v>
      </c>
      <c r="P2505" s="1" t="n">
        <v>103</v>
      </c>
      <c r="Q2505" s="1" t="s">
        <v>36</v>
      </c>
      <c r="R2505" s="1" t="s">
        <v>37</v>
      </c>
      <c r="S2505" s="1" t="n">
        <v>1130101</v>
      </c>
      <c r="T2505" s="1" t="s">
        <v>38</v>
      </c>
      <c r="U2505" s="1" t="n">
        <v>1256.37</v>
      </c>
      <c r="W2505" s="1" t="n">
        <v>0</v>
      </c>
      <c r="X2505" s="1" t="s">
        <v>2720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46252</v>
      </c>
      <c r="C2506" s="22" t="n">
        <v>46273</v>
      </c>
      <c r="D2506" s="1" t="n">
        <v>1666</v>
      </c>
      <c r="E2506" s="1" t="s">
        <v>31</v>
      </c>
      <c r="F2506" s="1" t="n">
        <v>24</v>
      </c>
      <c r="G2506" s="1" t="s">
        <v>32</v>
      </c>
      <c r="H2506" s="1" t="n">
        <v>2110405</v>
      </c>
      <c r="I2506" s="1" t="s">
        <v>83</v>
      </c>
      <c r="J2506" s="1" t="n">
        <v>1567634</v>
      </c>
      <c r="L2506" s="1" t="n">
        <v>570378</v>
      </c>
      <c r="M2506" s="1" t="s">
        <v>128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7010.81</v>
      </c>
      <c r="W2506" s="1" t="n">
        <v>0</v>
      </c>
      <c r="X2506" s="1" t="s">
        <v>2721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46253</v>
      </c>
      <c r="C2507" s="22" t="n">
        <v>46273</v>
      </c>
      <c r="D2507" s="1" t="n">
        <v>1637</v>
      </c>
      <c r="E2507" s="1" t="s">
        <v>44</v>
      </c>
      <c r="F2507" s="1" t="n">
        <v>24</v>
      </c>
      <c r="G2507" s="1" t="s">
        <v>32</v>
      </c>
      <c r="H2507" s="1" t="n">
        <v>2110405</v>
      </c>
      <c r="I2507" s="1" t="s">
        <v>83</v>
      </c>
      <c r="J2507" s="1" t="n">
        <v>1570706</v>
      </c>
      <c r="L2507" s="1" t="n">
        <v>1921243</v>
      </c>
      <c r="M2507" s="1" t="s">
        <v>41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799.11</v>
      </c>
      <c r="W2507" s="1" t="n">
        <v>0</v>
      </c>
      <c r="X2507" s="1" t="s">
        <v>2722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46255</v>
      </c>
      <c r="C2508" s="11" t="n">
        <v>46273</v>
      </c>
      <c r="D2508" s="10" t="n">
        <v>1461</v>
      </c>
      <c r="E2508" s="12" t="s">
        <v>140</v>
      </c>
      <c r="F2508" s="10" t="n">
        <v>24</v>
      </c>
      <c r="G2508" s="12" t="s">
        <v>32</v>
      </c>
      <c r="H2508" s="10" t="n">
        <v>2110405</v>
      </c>
      <c r="I2508" s="12" t="s">
        <v>83</v>
      </c>
      <c r="J2508" s="10" t="n">
        <v>1580614</v>
      </c>
      <c r="L2508" s="10" t="n">
        <v>3365</v>
      </c>
      <c r="M2508" s="12" t="s">
        <v>41</v>
      </c>
      <c r="N2508" s="12" t="s">
        <v>42</v>
      </c>
      <c r="P2508" s="10" t="n">
        <v>103</v>
      </c>
      <c r="Q2508" s="12" t="s">
        <v>36</v>
      </c>
      <c r="R2508" s="12" t="s">
        <v>60</v>
      </c>
      <c r="S2508" s="10" t="n">
        <v>4210299</v>
      </c>
      <c r="T2508" s="12" t="s">
        <v>1946</v>
      </c>
      <c r="U2508" s="13" t="n">
        <v>914.04</v>
      </c>
      <c r="W2508" s="13" t="n">
        <v>0</v>
      </c>
      <c r="X2508" s="12" t="s">
        <v>2723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46255</v>
      </c>
      <c r="C2509" s="11" t="n">
        <v>46273</v>
      </c>
      <c r="D2509" s="10" t="n">
        <v>10014</v>
      </c>
      <c r="E2509" s="12" t="s">
        <v>379</v>
      </c>
      <c r="F2509" s="10" t="n">
        <v>24</v>
      </c>
      <c r="G2509" s="12" t="s">
        <v>32</v>
      </c>
      <c r="H2509" s="10" t="n">
        <v>2110405</v>
      </c>
      <c r="I2509" s="12" t="s">
        <v>83</v>
      </c>
      <c r="J2509" s="10" t="n">
        <v>1581921</v>
      </c>
      <c r="L2509" s="10" t="n">
        <v>3582</v>
      </c>
      <c r="M2509" s="12" t="s">
        <v>41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651.32</v>
      </c>
      <c r="W2509" s="13" t="n">
        <v>0</v>
      </c>
      <c r="X2509" s="12" t="s">
        <v>2724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46255</v>
      </c>
      <c r="C2510" s="11" t="n">
        <v>46273</v>
      </c>
      <c r="D2510" s="10" t="n">
        <v>1668</v>
      </c>
      <c r="E2510" s="12" t="s">
        <v>57</v>
      </c>
      <c r="F2510" s="10" t="n">
        <v>24</v>
      </c>
      <c r="G2510" s="12" t="s">
        <v>32</v>
      </c>
      <c r="H2510" s="10" t="n">
        <v>2110405</v>
      </c>
      <c r="I2510" s="12" t="s">
        <v>83</v>
      </c>
      <c r="J2510" s="10" t="n">
        <v>1582091</v>
      </c>
      <c r="L2510" s="10" t="n">
        <v>750484</v>
      </c>
      <c r="M2510" s="12" t="s">
        <v>34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983.07</v>
      </c>
      <c r="W2510" s="13" t="n">
        <v>0</v>
      </c>
      <c r="X2510" s="12" t="s">
        <v>2725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46255</v>
      </c>
      <c r="C2511" s="11" t="n">
        <v>46273</v>
      </c>
      <c r="D2511" s="10" t="n">
        <v>1668</v>
      </c>
      <c r="E2511" s="12" t="s">
        <v>57</v>
      </c>
      <c r="F2511" s="10" t="n">
        <v>24</v>
      </c>
      <c r="G2511" s="12" t="s">
        <v>32</v>
      </c>
      <c r="H2511" s="10" t="n">
        <v>2110405</v>
      </c>
      <c r="I2511" s="12" t="s">
        <v>83</v>
      </c>
      <c r="J2511" s="10" t="n">
        <v>1582110</v>
      </c>
      <c r="L2511" s="10" t="n">
        <v>750483</v>
      </c>
      <c r="M2511" s="12" t="s">
        <v>34</v>
      </c>
      <c r="N2511" s="12" t="s">
        <v>42</v>
      </c>
      <c r="P2511" s="10" t="n">
        <v>103</v>
      </c>
      <c r="Q2511" s="12" t="s">
        <v>36</v>
      </c>
      <c r="R2511" s="12" t="s">
        <v>60</v>
      </c>
      <c r="S2511" s="10" t="n">
        <v>4210299</v>
      </c>
      <c r="T2511" s="12" t="s">
        <v>1946</v>
      </c>
      <c r="U2511" s="13" t="n">
        <v>1304.13</v>
      </c>
      <c r="W2511" s="13" t="n">
        <v>0</v>
      </c>
      <c r="X2511" s="12" t="s">
        <v>2726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46256</v>
      </c>
      <c r="C2512" s="11" t="n">
        <v>46273</v>
      </c>
      <c r="D2512" s="10" t="n">
        <v>1668</v>
      </c>
      <c r="E2512" s="12" t="s">
        <v>57</v>
      </c>
      <c r="F2512" s="10" t="n">
        <v>24</v>
      </c>
      <c r="G2512" s="12" t="s">
        <v>32</v>
      </c>
      <c r="H2512" s="10" t="n">
        <v>2110405</v>
      </c>
      <c r="I2512" s="12" t="s">
        <v>83</v>
      </c>
      <c r="J2512" s="10" t="n">
        <v>1585174</v>
      </c>
      <c r="L2512" s="10" t="n">
        <v>750485</v>
      </c>
      <c r="M2512" s="12" t="s">
        <v>41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806.75</v>
      </c>
      <c r="W2512" s="13" t="n">
        <v>0</v>
      </c>
      <c r="X2512" s="12" t="s">
        <v>2727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46256</v>
      </c>
      <c r="C2513" s="11" t="n">
        <v>46273</v>
      </c>
      <c r="D2513" s="10" t="n">
        <v>1657</v>
      </c>
      <c r="E2513" s="12" t="s">
        <v>1062</v>
      </c>
      <c r="F2513" s="10" t="n">
        <v>24</v>
      </c>
      <c r="G2513" s="12" t="s">
        <v>32</v>
      </c>
      <c r="H2513" s="10" t="n">
        <v>2110405</v>
      </c>
      <c r="I2513" s="12" t="s">
        <v>83</v>
      </c>
      <c r="J2513" s="10" t="n">
        <v>1585243</v>
      </c>
      <c r="L2513" s="10" t="n">
        <v>297570</v>
      </c>
      <c r="M2513" s="12" t="s">
        <v>34</v>
      </c>
      <c r="N2513" s="12" t="s">
        <v>42</v>
      </c>
      <c r="P2513" s="10" t="n">
        <v>103</v>
      </c>
      <c r="Q2513" s="12" t="s">
        <v>36</v>
      </c>
      <c r="R2513" s="12" t="s">
        <v>37</v>
      </c>
      <c r="S2513" s="10" t="n">
        <v>1130101</v>
      </c>
      <c r="T2513" s="12" t="s">
        <v>38</v>
      </c>
      <c r="U2513" s="13" t="n">
        <v>1062.06</v>
      </c>
      <c r="W2513" s="13" t="n">
        <v>0</v>
      </c>
      <c r="X2513" s="12" t="s">
        <v>2728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46248</v>
      </c>
      <c r="C2514" s="11" t="n">
        <v>46274</v>
      </c>
      <c r="D2514" s="10" t="n">
        <v>1720</v>
      </c>
      <c r="E2514" s="12" t="s">
        <v>359</v>
      </c>
      <c r="F2514" s="10" t="n">
        <v>24</v>
      </c>
      <c r="G2514" s="12" t="s">
        <v>32</v>
      </c>
      <c r="H2514" s="10" t="n">
        <v>2110405</v>
      </c>
      <c r="I2514" s="12" t="s">
        <v>83</v>
      </c>
      <c r="J2514" s="10" t="n">
        <v>1545370</v>
      </c>
      <c r="L2514" s="10" t="n">
        <v>48158</v>
      </c>
      <c r="M2514" s="12" t="s">
        <v>41</v>
      </c>
      <c r="N2514" s="12" t="s">
        <v>42</v>
      </c>
      <c r="P2514" s="10" t="n">
        <v>103</v>
      </c>
      <c r="Q2514" s="12" t="s">
        <v>36</v>
      </c>
      <c r="R2514" s="12" t="s">
        <v>37</v>
      </c>
      <c r="S2514" s="10" t="n">
        <v>1130101</v>
      </c>
      <c r="T2514" s="12" t="s">
        <v>38</v>
      </c>
      <c r="U2514" s="13" t="n">
        <v>1146</v>
      </c>
      <c r="W2514" s="13" t="n">
        <v>0</v>
      </c>
      <c r="X2514" s="12" t="s">
        <v>2729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46218</v>
      </c>
      <c r="C2515" s="11" t="n">
        <v>46274</v>
      </c>
      <c r="D2515" s="10" t="n">
        <v>957</v>
      </c>
      <c r="E2515" s="12" t="s">
        <v>132</v>
      </c>
      <c r="F2515" s="10" t="n">
        <v>24</v>
      </c>
      <c r="G2515" s="12" t="s">
        <v>32</v>
      </c>
      <c r="H2515" s="10" t="n">
        <v>2110405</v>
      </c>
      <c r="I2515" s="12" t="s">
        <v>83</v>
      </c>
      <c r="J2515" s="10" t="n">
        <v>1402047</v>
      </c>
      <c r="L2515" s="10" t="n">
        <v>21047</v>
      </c>
      <c r="M2515" s="12" t="s">
        <v>128</v>
      </c>
      <c r="N2515" s="12" t="s">
        <v>42</v>
      </c>
      <c r="P2515" s="10" t="n">
        <v>103</v>
      </c>
      <c r="Q2515" s="12" t="s">
        <v>36</v>
      </c>
      <c r="R2515" s="12" t="s">
        <v>37</v>
      </c>
      <c r="S2515" s="10" t="n">
        <v>1130101</v>
      </c>
      <c r="T2515" s="12" t="s">
        <v>38</v>
      </c>
      <c r="U2515" s="13" t="n">
        <v>2186.19</v>
      </c>
      <c r="W2515" s="13" t="n">
        <v>0</v>
      </c>
      <c r="X2515" s="12" t="s">
        <v>2730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46241</v>
      </c>
      <c r="C2516" s="11" t="n">
        <v>46274</v>
      </c>
      <c r="D2516" s="10" t="n">
        <v>1624</v>
      </c>
      <c r="E2516" s="12" t="s">
        <v>244</v>
      </c>
      <c r="F2516" s="10" t="n">
        <v>24</v>
      </c>
      <c r="G2516" s="12" t="s">
        <v>32</v>
      </c>
      <c r="H2516" s="10" t="n">
        <v>2110405</v>
      </c>
      <c r="I2516" s="12" t="s">
        <v>83</v>
      </c>
      <c r="J2516" s="10" t="n">
        <v>1513655</v>
      </c>
      <c r="L2516" s="10" t="n">
        <v>667391</v>
      </c>
      <c r="M2516" s="12" t="s">
        <v>128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939.06</v>
      </c>
      <c r="W2516" s="13" t="n">
        <v>0</v>
      </c>
      <c r="X2516" s="12" t="s">
        <v>2731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46242</v>
      </c>
      <c r="C2517" s="11" t="n">
        <v>46274</v>
      </c>
      <c r="D2517" s="10" t="n">
        <v>1637</v>
      </c>
      <c r="E2517" s="12" t="s">
        <v>44</v>
      </c>
      <c r="F2517" s="10" t="n">
        <v>24</v>
      </c>
      <c r="G2517" s="12" t="s">
        <v>32</v>
      </c>
      <c r="H2517" s="10" t="n">
        <v>2110405</v>
      </c>
      <c r="I2517" s="12" t="s">
        <v>83</v>
      </c>
      <c r="J2517" s="10" t="n">
        <v>1517287</v>
      </c>
      <c r="L2517" s="10" t="n">
        <v>1916564</v>
      </c>
      <c r="M2517" s="12" t="s">
        <v>41</v>
      </c>
      <c r="N2517" s="12" t="s">
        <v>42</v>
      </c>
      <c r="P2517" s="10" t="n">
        <v>103</v>
      </c>
      <c r="Q2517" s="12" t="s">
        <v>36</v>
      </c>
      <c r="R2517" s="12" t="s">
        <v>37</v>
      </c>
      <c r="S2517" s="10" t="n">
        <v>1130101</v>
      </c>
      <c r="T2517" s="12" t="s">
        <v>38</v>
      </c>
      <c r="U2517" s="13" t="n">
        <v>1980.22</v>
      </c>
      <c r="W2517" s="13" t="n">
        <v>0</v>
      </c>
      <c r="X2517" s="12" t="s">
        <v>2732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46246</v>
      </c>
      <c r="C2518" s="11" t="n">
        <v>46274</v>
      </c>
      <c r="D2518" s="10" t="n">
        <v>1601</v>
      </c>
      <c r="E2518" s="12" t="s">
        <v>195</v>
      </c>
      <c r="F2518" s="10" t="n">
        <v>24</v>
      </c>
      <c r="G2518" s="12" t="s">
        <v>32</v>
      </c>
      <c r="H2518" s="10" t="n">
        <v>2110405</v>
      </c>
      <c r="I2518" s="12" t="s">
        <v>83</v>
      </c>
      <c r="J2518" s="10" t="n">
        <v>1537246</v>
      </c>
      <c r="L2518" s="10" t="n">
        <v>862283</v>
      </c>
      <c r="M2518" s="12" t="s">
        <v>128</v>
      </c>
      <c r="N2518" s="12" t="s">
        <v>42</v>
      </c>
      <c r="P2518" s="10" t="n">
        <v>103</v>
      </c>
      <c r="Q2518" s="12" t="s">
        <v>36</v>
      </c>
      <c r="R2518" s="12" t="s">
        <v>37</v>
      </c>
      <c r="S2518" s="10" t="n">
        <v>1130101</v>
      </c>
      <c r="T2518" s="12" t="s">
        <v>38</v>
      </c>
      <c r="U2518" s="13" t="n">
        <v>947.56</v>
      </c>
      <c r="W2518" s="13" t="n">
        <v>0</v>
      </c>
      <c r="X2518" s="12" t="s">
        <v>2733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46247</v>
      </c>
      <c r="C2519" s="11" t="n">
        <v>46274</v>
      </c>
      <c r="D2519" s="10" t="n">
        <v>1608</v>
      </c>
      <c r="E2519" s="12" t="s">
        <v>51</v>
      </c>
      <c r="F2519" s="10" t="n">
        <v>24</v>
      </c>
      <c r="G2519" s="12" t="s">
        <v>32</v>
      </c>
      <c r="H2519" s="10" t="n">
        <v>2110405</v>
      </c>
      <c r="I2519" s="12" t="s">
        <v>83</v>
      </c>
      <c r="J2519" s="10" t="n">
        <v>1540511</v>
      </c>
      <c r="L2519" s="10" t="n">
        <v>1709723</v>
      </c>
      <c r="M2519" s="12" t="s">
        <v>128</v>
      </c>
      <c r="N2519" s="12" t="s">
        <v>42</v>
      </c>
      <c r="P2519" s="10" t="n">
        <v>103</v>
      </c>
      <c r="Q2519" s="12" t="s">
        <v>36</v>
      </c>
      <c r="R2519" s="12" t="s">
        <v>37</v>
      </c>
      <c r="S2519" s="10" t="n">
        <v>1130101</v>
      </c>
      <c r="T2519" s="12" t="s">
        <v>38</v>
      </c>
      <c r="U2519" s="13" t="n">
        <v>684.25</v>
      </c>
      <c r="W2519" s="13" t="n">
        <v>0</v>
      </c>
      <c r="X2519" s="12" t="s">
        <v>2734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46247</v>
      </c>
      <c r="C2520" s="11" t="n">
        <v>46274</v>
      </c>
      <c r="D2520" s="10" t="n">
        <v>1636</v>
      </c>
      <c r="E2520" s="12" t="s">
        <v>68</v>
      </c>
      <c r="F2520" s="10" t="n">
        <v>24</v>
      </c>
      <c r="G2520" s="12" t="s">
        <v>32</v>
      </c>
      <c r="H2520" s="10" t="n">
        <v>2110405</v>
      </c>
      <c r="I2520" s="12" t="s">
        <v>83</v>
      </c>
      <c r="J2520" s="10" t="n">
        <v>1541185</v>
      </c>
      <c r="L2520" s="10" t="n">
        <v>3235765</v>
      </c>
      <c r="M2520" s="12" t="s">
        <v>128</v>
      </c>
      <c r="N2520" s="12" t="s">
        <v>42</v>
      </c>
      <c r="P2520" s="10" t="n">
        <v>103</v>
      </c>
      <c r="Q2520" s="12" t="s">
        <v>36</v>
      </c>
      <c r="R2520" s="12" t="s">
        <v>37</v>
      </c>
      <c r="S2520" s="10" t="n">
        <v>1130101</v>
      </c>
      <c r="T2520" s="12" t="s">
        <v>38</v>
      </c>
      <c r="U2520" s="13" t="n">
        <v>1264.6</v>
      </c>
      <c r="W2520" s="13" t="n">
        <v>0</v>
      </c>
      <c r="X2520" s="12" t="s">
        <v>2735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46247</v>
      </c>
      <c r="C2521" s="11" t="n">
        <v>46274</v>
      </c>
      <c r="D2521" s="10" t="n">
        <v>1107</v>
      </c>
      <c r="E2521" s="12" t="s">
        <v>130</v>
      </c>
      <c r="F2521" s="10" t="n">
        <v>24</v>
      </c>
      <c r="G2521" s="12" t="s">
        <v>32</v>
      </c>
      <c r="H2521" s="10" t="n">
        <v>2110405</v>
      </c>
      <c r="I2521" s="12" t="s">
        <v>83</v>
      </c>
      <c r="J2521" s="10" t="n">
        <v>1542142</v>
      </c>
      <c r="L2521" s="10" t="n">
        <v>441856</v>
      </c>
      <c r="M2521" s="12" t="s">
        <v>34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836.55</v>
      </c>
      <c r="W2521" s="13" t="n">
        <v>0</v>
      </c>
      <c r="X2521" s="12" t="s">
        <v>2736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46247</v>
      </c>
      <c r="C2522" s="11" t="n">
        <v>46274</v>
      </c>
      <c r="D2522" s="10" t="n">
        <v>1136</v>
      </c>
      <c r="E2522" s="12" t="s">
        <v>1229</v>
      </c>
      <c r="F2522" s="10" t="n">
        <v>24</v>
      </c>
      <c r="G2522" s="12" t="s">
        <v>32</v>
      </c>
      <c r="H2522" s="10" t="n">
        <v>2110405</v>
      </c>
      <c r="I2522" s="12" t="s">
        <v>83</v>
      </c>
      <c r="J2522" s="10" t="n">
        <v>1543942</v>
      </c>
      <c r="L2522" s="10" t="n">
        <v>53783</v>
      </c>
      <c r="M2522" s="12" t="s">
        <v>34</v>
      </c>
      <c r="N2522" s="12" t="s">
        <v>42</v>
      </c>
      <c r="P2522" s="10" t="n">
        <v>103</v>
      </c>
      <c r="Q2522" s="12" t="s">
        <v>36</v>
      </c>
      <c r="R2522" s="12" t="s">
        <v>37</v>
      </c>
      <c r="S2522" s="10" t="n">
        <v>1130101</v>
      </c>
      <c r="T2522" s="12" t="s">
        <v>38</v>
      </c>
      <c r="U2522" s="13" t="n">
        <v>591.95</v>
      </c>
      <c r="W2522" s="13" t="n">
        <v>0</v>
      </c>
      <c r="X2522" s="12" t="s">
        <v>2737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46248</v>
      </c>
      <c r="C2523" s="11" t="n">
        <v>46274</v>
      </c>
      <c r="D2523" s="10" t="n">
        <v>1612</v>
      </c>
      <c r="E2523" s="12" t="s">
        <v>193</v>
      </c>
      <c r="F2523" s="10" t="n">
        <v>24</v>
      </c>
      <c r="G2523" s="12" t="s">
        <v>32</v>
      </c>
      <c r="H2523" s="10" t="n">
        <v>2110405</v>
      </c>
      <c r="I2523" s="12" t="s">
        <v>83</v>
      </c>
      <c r="J2523" s="10" t="n">
        <v>1546677</v>
      </c>
      <c r="L2523" s="10" t="n">
        <v>2309729</v>
      </c>
      <c r="M2523" s="12" t="s">
        <v>34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1200.77</v>
      </c>
      <c r="W2523" s="13" t="n">
        <v>0</v>
      </c>
      <c r="X2523" s="12" t="s">
        <v>2738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46274</v>
      </c>
      <c r="D2524" s="10" t="n">
        <v>1608</v>
      </c>
      <c r="E2524" s="12" t="s">
        <v>51</v>
      </c>
      <c r="F2524" s="10" t="n">
        <v>24</v>
      </c>
      <c r="G2524" s="12" t="s">
        <v>32</v>
      </c>
      <c r="H2524" s="10" t="n">
        <v>2110405</v>
      </c>
      <c r="I2524" s="12" t="s">
        <v>83</v>
      </c>
      <c r="J2524" s="10" t="n">
        <v>1572200</v>
      </c>
      <c r="L2524" s="10" t="n">
        <v>1713960</v>
      </c>
      <c r="M2524" s="12" t="s">
        <v>34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932.55</v>
      </c>
      <c r="W2524" s="13" t="n">
        <v>0</v>
      </c>
      <c r="X2524" s="12" t="s">
        <v>2739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46254</v>
      </c>
      <c r="C2525" s="11" t="n">
        <v>46274</v>
      </c>
      <c r="D2525" s="10" t="n">
        <v>1608</v>
      </c>
      <c r="E2525" s="12" t="s">
        <v>51</v>
      </c>
      <c r="F2525" s="10" t="n">
        <v>24</v>
      </c>
      <c r="G2525" s="12" t="s">
        <v>32</v>
      </c>
      <c r="H2525" s="10" t="n">
        <v>2110405</v>
      </c>
      <c r="I2525" s="12" t="s">
        <v>83</v>
      </c>
      <c r="J2525" s="10" t="n">
        <v>1576059</v>
      </c>
      <c r="L2525" s="10" t="n">
        <v>1713862</v>
      </c>
      <c r="M2525" s="12" t="s">
        <v>34</v>
      </c>
      <c r="N2525" s="12" t="s">
        <v>42</v>
      </c>
      <c r="P2525" s="10" t="n">
        <v>103</v>
      </c>
      <c r="Q2525" s="12" t="s">
        <v>36</v>
      </c>
      <c r="R2525" s="12" t="s">
        <v>37</v>
      </c>
      <c r="S2525" s="10" t="n">
        <v>1130101</v>
      </c>
      <c r="T2525" s="12" t="s">
        <v>38</v>
      </c>
      <c r="U2525" s="13" t="n">
        <v>952.02</v>
      </c>
      <c r="W2525" s="13" t="n">
        <v>0</v>
      </c>
      <c r="X2525" s="12" t="s">
        <v>2740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46255</v>
      </c>
      <c r="C2526" s="11" t="n">
        <v>46274</v>
      </c>
      <c r="D2526" s="10" t="n">
        <v>1601</v>
      </c>
      <c r="E2526" s="12" t="s">
        <v>195</v>
      </c>
      <c r="F2526" s="10" t="n">
        <v>24</v>
      </c>
      <c r="G2526" s="12" t="s">
        <v>32</v>
      </c>
      <c r="H2526" s="10" t="n">
        <v>2110405</v>
      </c>
      <c r="I2526" s="12" t="s">
        <v>83</v>
      </c>
      <c r="J2526" s="10" t="n">
        <v>1581823</v>
      </c>
      <c r="L2526" s="10" t="n">
        <v>864975</v>
      </c>
      <c r="M2526" s="12" t="s">
        <v>41</v>
      </c>
      <c r="N2526" s="12" t="s">
        <v>42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802.25</v>
      </c>
      <c r="W2526" s="13" t="n">
        <v>0</v>
      </c>
      <c r="X2526" s="12" t="s">
        <v>2741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46255</v>
      </c>
      <c r="C2527" s="11" t="n">
        <v>46274</v>
      </c>
      <c r="D2527" s="10" t="n">
        <v>967</v>
      </c>
      <c r="E2527" s="12" t="s">
        <v>1028</v>
      </c>
      <c r="F2527" s="10" t="n">
        <v>24</v>
      </c>
      <c r="G2527" s="12" t="s">
        <v>32</v>
      </c>
      <c r="H2527" s="10" t="n">
        <v>2110405</v>
      </c>
      <c r="I2527" s="12" t="s">
        <v>83</v>
      </c>
      <c r="J2527" s="10" t="n">
        <v>1582001</v>
      </c>
      <c r="L2527" s="10" t="n">
        <v>37328</v>
      </c>
      <c r="M2527" s="12" t="s">
        <v>34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1334.15</v>
      </c>
      <c r="W2527" s="13" t="n">
        <v>0</v>
      </c>
      <c r="X2527" s="12" t="s">
        <v>2742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46274</v>
      </c>
      <c r="D2528" s="10" t="n">
        <v>10009</v>
      </c>
      <c r="E2528" s="12" t="s">
        <v>201</v>
      </c>
      <c r="F2528" s="10" t="n">
        <v>24</v>
      </c>
      <c r="G2528" s="12" t="s">
        <v>32</v>
      </c>
      <c r="H2528" s="10" t="n">
        <v>2110405</v>
      </c>
      <c r="I2528" s="12" t="s">
        <v>83</v>
      </c>
      <c r="J2528" s="10" t="n">
        <v>1585450</v>
      </c>
      <c r="L2528" s="10" t="n">
        <v>1441035</v>
      </c>
      <c r="M2528" s="12" t="s">
        <v>41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4825.35</v>
      </c>
      <c r="W2528" s="13" t="n">
        <v>0</v>
      </c>
      <c r="X2528" s="12" t="s">
        <v>2743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46029</v>
      </c>
      <c r="C2529" s="11" t="n">
        <v>46275</v>
      </c>
      <c r="D2529" s="10" t="n">
        <v>105</v>
      </c>
      <c r="E2529" s="12" t="s">
        <v>427</v>
      </c>
      <c r="F2529" s="10" t="n">
        <v>46</v>
      </c>
      <c r="G2529" s="12" t="s">
        <v>428</v>
      </c>
      <c r="H2529" s="10" t="n">
        <v>2110405</v>
      </c>
      <c r="I2529" s="12" t="s">
        <v>83</v>
      </c>
      <c r="J2529" s="10" t="n">
        <v>651504</v>
      </c>
      <c r="L2529" s="10" t="n">
        <v>287048</v>
      </c>
      <c r="M2529" s="12" t="s">
        <v>183</v>
      </c>
      <c r="N2529" s="12" t="s">
        <v>42</v>
      </c>
      <c r="P2529" s="10" t="n">
        <v>101</v>
      </c>
      <c r="Q2529" s="12" t="s">
        <v>84</v>
      </c>
      <c r="R2529" s="12" t="s">
        <v>91</v>
      </c>
      <c r="S2529" s="10" t="n">
        <v>4220199</v>
      </c>
      <c r="T2529" s="12" t="s">
        <v>92</v>
      </c>
      <c r="U2529" s="13" t="n">
        <v>1567.08</v>
      </c>
      <c r="W2529" s="13" t="n">
        <v>0</v>
      </c>
      <c r="X2529" s="12" t="s">
        <v>2744</v>
      </c>
      <c r="Z2529" s="1" t="str">
        <f aca="false">IF($T2529="","",IFERROR(INDEX('Resumo Grupos'!$AC$3:$AC$200,MATCH($T2529,'Resumo Grupos'!$AB$3:$AB$200,0)),"n/d"))</f>
        <v>Pagamentos outros não operacionais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46135</v>
      </c>
      <c r="C2530" s="11" t="n">
        <v>46275</v>
      </c>
      <c r="D2530" s="10" t="n">
        <v>1758</v>
      </c>
      <c r="E2530" s="12" t="s">
        <v>451</v>
      </c>
      <c r="F2530" s="10" t="n">
        <v>46</v>
      </c>
      <c r="G2530" s="12" t="s">
        <v>428</v>
      </c>
      <c r="H2530" s="10" t="n">
        <v>2110405</v>
      </c>
      <c r="I2530" s="12" t="s">
        <v>83</v>
      </c>
      <c r="J2530" s="10" t="n">
        <v>993744</v>
      </c>
      <c r="L2530" s="10" t="n">
        <v>420093</v>
      </c>
      <c r="M2530" s="12" t="s">
        <v>234</v>
      </c>
      <c r="N2530" s="12" t="s">
        <v>42</v>
      </c>
      <c r="P2530" s="10" t="n">
        <v>101</v>
      </c>
      <c r="Q2530" s="12" t="s">
        <v>84</v>
      </c>
      <c r="R2530" s="12" t="s">
        <v>91</v>
      </c>
      <c r="S2530" s="10" t="n">
        <v>4220199</v>
      </c>
      <c r="T2530" s="12" t="s">
        <v>92</v>
      </c>
      <c r="U2530" s="13" t="n">
        <v>130</v>
      </c>
      <c r="W2530" s="13" t="n">
        <v>0</v>
      </c>
      <c r="X2530" s="12" t="s">
        <v>2745</v>
      </c>
      <c r="Z2530" s="1" t="str">
        <f aca="false">IF($T2530="","",IFERROR(INDEX('Resumo Grupos'!$AC$3:$AC$200,MATCH($T2530,'Resumo Grupos'!$AB$3:$AB$200,0)),"n/d"))</f>
        <v>Pagamentos outros não operacionais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46153</v>
      </c>
      <c r="C2531" s="11" t="n">
        <v>46275</v>
      </c>
      <c r="D2531" s="10" t="n">
        <v>1898</v>
      </c>
      <c r="E2531" s="12" t="s">
        <v>441</v>
      </c>
      <c r="F2531" s="10" t="n">
        <v>46</v>
      </c>
      <c r="G2531" s="12" t="s">
        <v>428</v>
      </c>
      <c r="H2531" s="10" t="n">
        <v>2110405</v>
      </c>
      <c r="I2531" s="12" t="s">
        <v>83</v>
      </c>
      <c r="J2531" s="10" t="n">
        <v>1230688</v>
      </c>
      <c r="L2531" s="10" t="n">
        <v>5484</v>
      </c>
      <c r="M2531" s="12" t="s">
        <v>394</v>
      </c>
      <c r="N2531" s="12" t="s">
        <v>42</v>
      </c>
      <c r="P2531" s="10" t="n">
        <v>101</v>
      </c>
      <c r="Q2531" s="12" t="s">
        <v>84</v>
      </c>
      <c r="R2531" s="12" t="s">
        <v>60</v>
      </c>
      <c r="S2531" s="10" t="n">
        <v>4210205</v>
      </c>
      <c r="T2531" s="12" t="s">
        <v>442</v>
      </c>
      <c r="U2531" s="13" t="n">
        <v>120.13</v>
      </c>
      <c r="W2531" s="13" t="n">
        <v>0</v>
      </c>
      <c r="X2531" s="12" t="s">
        <v>2746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46183</v>
      </c>
      <c r="C2532" s="11" t="n">
        <v>46275</v>
      </c>
      <c r="D2532" s="10" t="n">
        <v>1747</v>
      </c>
      <c r="E2532" s="12" t="s">
        <v>1292</v>
      </c>
      <c r="F2532" s="10" t="n">
        <v>46</v>
      </c>
      <c r="G2532" s="12" t="s">
        <v>428</v>
      </c>
      <c r="H2532" s="10" t="n">
        <v>2110405</v>
      </c>
      <c r="I2532" s="12" t="s">
        <v>83</v>
      </c>
      <c r="J2532" s="10" t="n">
        <v>1231737</v>
      </c>
      <c r="L2532" s="10" t="n">
        <v>1529878</v>
      </c>
      <c r="M2532" s="12" t="s">
        <v>128</v>
      </c>
      <c r="N2532" s="12" t="s">
        <v>42</v>
      </c>
      <c r="P2532" s="10" t="n">
        <v>101</v>
      </c>
      <c r="Q2532" s="12" t="s">
        <v>84</v>
      </c>
      <c r="R2532" s="12" t="s">
        <v>85</v>
      </c>
      <c r="S2532" s="10" t="n">
        <v>4210317</v>
      </c>
      <c r="T2532" s="12" t="s">
        <v>457</v>
      </c>
      <c r="U2532" s="13" t="n">
        <v>116.07</v>
      </c>
      <c r="W2532" s="13" t="n">
        <v>0</v>
      </c>
      <c r="X2532" s="12" t="s">
        <v>1293</v>
      </c>
      <c r="Z2532" s="1" t="str">
        <f aca="false">IF($T2532="","",IFERROR(INDEX('Resumo Grupos'!$AC$3:$AC$200,MATCH($T2532,'Resumo Grupos'!$AB$3:$AB$200,0)),"n/d"))</f>
        <v>Salários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46192</v>
      </c>
      <c r="C2533" s="11" t="n">
        <v>46275</v>
      </c>
      <c r="D2533" s="10" t="n">
        <v>957</v>
      </c>
      <c r="E2533" s="12" t="s">
        <v>132</v>
      </c>
      <c r="F2533" s="10" t="n">
        <v>24</v>
      </c>
      <c r="G2533" s="12" t="s">
        <v>32</v>
      </c>
      <c r="H2533" s="10" t="n">
        <v>2110101</v>
      </c>
      <c r="I2533" s="12" t="s">
        <v>33</v>
      </c>
      <c r="J2533" s="10" t="n">
        <v>1273631</v>
      </c>
      <c r="L2533" s="10" t="n">
        <v>20459</v>
      </c>
      <c r="M2533" s="12" t="s">
        <v>41</v>
      </c>
      <c r="N2533" s="12" t="s">
        <v>35</v>
      </c>
      <c r="P2533" s="10" t="n">
        <v>103</v>
      </c>
      <c r="Q2533" s="12" t="s">
        <v>36</v>
      </c>
      <c r="R2533" s="12" t="s">
        <v>37</v>
      </c>
      <c r="S2533" s="10" t="n">
        <v>1130101</v>
      </c>
      <c r="T2533" s="12" t="s">
        <v>38</v>
      </c>
      <c r="U2533" s="13" t="n">
        <v>1725.68</v>
      </c>
      <c r="W2533" s="13" t="n">
        <v>0</v>
      </c>
      <c r="X2533" s="12" t="s">
        <v>2747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46204</v>
      </c>
      <c r="C2534" s="11" t="n">
        <v>46275</v>
      </c>
      <c r="D2534" s="10" t="n">
        <v>1008</v>
      </c>
      <c r="E2534" s="12" t="s">
        <v>2083</v>
      </c>
      <c r="F2534" s="10" t="n">
        <v>46</v>
      </c>
      <c r="G2534" s="12" t="s">
        <v>428</v>
      </c>
      <c r="H2534" s="10" t="n">
        <v>2110405</v>
      </c>
      <c r="I2534" s="12" t="s">
        <v>83</v>
      </c>
      <c r="J2534" s="10" t="n">
        <v>1336323</v>
      </c>
      <c r="L2534" s="10" t="n">
        <v>1657</v>
      </c>
      <c r="M2534" s="12" t="s">
        <v>34</v>
      </c>
      <c r="N2534" s="12" t="s">
        <v>42</v>
      </c>
      <c r="P2534" s="10" t="n">
        <v>101</v>
      </c>
      <c r="Q2534" s="12" t="s">
        <v>84</v>
      </c>
      <c r="R2534" s="12" t="s">
        <v>60</v>
      </c>
      <c r="S2534" s="10" t="n">
        <v>4210232</v>
      </c>
      <c r="T2534" s="12" t="s">
        <v>431</v>
      </c>
      <c r="U2534" s="13" t="n">
        <v>208</v>
      </c>
      <c r="W2534" s="13" t="n">
        <v>0</v>
      </c>
      <c r="X2534" s="12" t="s">
        <v>2748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46211</v>
      </c>
      <c r="C2535" s="11" t="n">
        <v>46275</v>
      </c>
      <c r="D2535" s="10" t="n">
        <v>10026</v>
      </c>
      <c r="E2535" s="12" t="s">
        <v>722</v>
      </c>
      <c r="F2535" s="10" t="n">
        <v>24</v>
      </c>
      <c r="G2535" s="12" t="s">
        <v>32</v>
      </c>
      <c r="H2535" s="10" t="n">
        <v>1110202</v>
      </c>
      <c r="I2535" s="12" t="s">
        <v>285</v>
      </c>
      <c r="J2535" s="10" t="n">
        <v>1370737</v>
      </c>
      <c r="L2535" s="10" t="n">
        <v>565779</v>
      </c>
      <c r="M2535" s="12" t="s">
        <v>34</v>
      </c>
      <c r="N2535" s="12" t="s">
        <v>42</v>
      </c>
      <c r="P2535" s="10" t="n">
        <v>101</v>
      </c>
      <c r="Q2535" s="12" t="s">
        <v>84</v>
      </c>
      <c r="R2535" s="12" t="s">
        <v>60</v>
      </c>
      <c r="S2535" s="10" t="n">
        <v>4210222</v>
      </c>
      <c r="T2535" s="12" t="s">
        <v>1957</v>
      </c>
      <c r="U2535" s="13" t="n">
        <v>666.67</v>
      </c>
      <c r="W2535" s="13" t="n">
        <v>0</v>
      </c>
      <c r="X2535" s="12" t="s">
        <v>2085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46211</v>
      </c>
      <c r="C2536" s="11" t="n">
        <v>46275</v>
      </c>
      <c r="D2536" s="10" t="n">
        <v>10026</v>
      </c>
      <c r="E2536" s="12" t="s">
        <v>722</v>
      </c>
      <c r="F2536" s="10" t="n">
        <v>24</v>
      </c>
      <c r="G2536" s="12" t="s">
        <v>32</v>
      </c>
      <c r="H2536" s="10" t="n">
        <v>2110405</v>
      </c>
      <c r="I2536" s="12" t="s">
        <v>83</v>
      </c>
      <c r="J2536" s="10" t="n">
        <v>1370749</v>
      </c>
      <c r="L2536" s="10" t="n">
        <v>565780</v>
      </c>
      <c r="M2536" s="12" t="s">
        <v>34</v>
      </c>
      <c r="N2536" s="12" t="s">
        <v>42</v>
      </c>
      <c r="P2536" s="10" t="n">
        <v>101</v>
      </c>
      <c r="Q2536" s="12" t="s">
        <v>84</v>
      </c>
      <c r="R2536" s="12" t="s">
        <v>91</v>
      </c>
      <c r="S2536" s="10" t="n">
        <v>4220199</v>
      </c>
      <c r="T2536" s="12" t="s">
        <v>92</v>
      </c>
      <c r="U2536" s="13" t="n">
        <v>2000</v>
      </c>
      <c r="W2536" s="13" t="n">
        <v>0</v>
      </c>
      <c r="X2536" s="12" t="s">
        <v>2086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46213</v>
      </c>
      <c r="C2537" s="11" t="n">
        <v>46275</v>
      </c>
      <c r="D2537" s="10" t="n">
        <v>1914</v>
      </c>
      <c r="E2537" s="12" t="s">
        <v>2087</v>
      </c>
      <c r="F2537" s="10" t="n">
        <v>46</v>
      </c>
      <c r="G2537" s="12" t="s">
        <v>428</v>
      </c>
      <c r="H2537" s="10" t="n">
        <v>1110202</v>
      </c>
      <c r="I2537" s="12" t="s">
        <v>285</v>
      </c>
      <c r="J2537" s="10" t="n">
        <v>1377369</v>
      </c>
      <c r="L2537" s="10" t="n">
        <v>28968</v>
      </c>
      <c r="M2537" s="12" t="s">
        <v>34</v>
      </c>
      <c r="N2537" s="12" t="s">
        <v>42</v>
      </c>
      <c r="P2537" s="10" t="n">
        <v>101</v>
      </c>
      <c r="Q2537" s="12" t="s">
        <v>84</v>
      </c>
      <c r="R2537" s="12" t="s">
        <v>60</v>
      </c>
      <c r="S2537" s="10" t="n">
        <v>4210232</v>
      </c>
      <c r="T2537" s="12" t="s">
        <v>431</v>
      </c>
      <c r="U2537" s="13" t="n">
        <v>935.28</v>
      </c>
      <c r="W2537" s="13" t="n">
        <v>0</v>
      </c>
      <c r="X2537" s="12" t="s">
        <v>2749</v>
      </c>
      <c r="Z2537" s="1" t="str">
        <f aca="false">IF($T2537="","",IFERROR(INDEX('Resumo Grupos'!$AC$3:$AC$200,MATCH($T2537,'Resumo Grupos'!$AB$3:$AB$200,0)),"n/d"))</f>
        <v>Despesa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46199</v>
      </c>
      <c r="C2538" s="11" t="n">
        <v>46275</v>
      </c>
      <c r="D2538" s="10" t="n">
        <v>1758</v>
      </c>
      <c r="E2538" s="12" t="s">
        <v>451</v>
      </c>
      <c r="F2538" s="10" t="n">
        <v>46</v>
      </c>
      <c r="G2538" s="12" t="s">
        <v>428</v>
      </c>
      <c r="H2538" s="10" t="n">
        <v>1110202</v>
      </c>
      <c r="I2538" s="12" t="s">
        <v>285</v>
      </c>
      <c r="J2538" s="10" t="n">
        <v>1378055</v>
      </c>
      <c r="L2538" s="10" t="n">
        <v>568065</v>
      </c>
      <c r="M2538" s="12" t="s">
        <v>128</v>
      </c>
      <c r="N2538" s="12" t="s">
        <v>42</v>
      </c>
      <c r="P2538" s="10" t="n">
        <v>101</v>
      </c>
      <c r="Q2538" s="12" t="s">
        <v>84</v>
      </c>
      <c r="R2538" s="12" t="s">
        <v>60</v>
      </c>
      <c r="S2538" s="10" t="n">
        <v>4210227</v>
      </c>
      <c r="T2538" s="12" t="s">
        <v>418</v>
      </c>
      <c r="U2538" s="13" t="n">
        <v>429.64</v>
      </c>
      <c r="W2538" s="13" t="n">
        <v>0</v>
      </c>
      <c r="X2538" s="12" t="s">
        <v>2750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46213</v>
      </c>
      <c r="C2539" s="11" t="n">
        <v>46275</v>
      </c>
      <c r="D2539" s="10" t="n">
        <v>1465</v>
      </c>
      <c r="E2539" s="12" t="s">
        <v>1309</v>
      </c>
      <c r="F2539" s="10" t="n">
        <v>46</v>
      </c>
      <c r="G2539" s="12" t="s">
        <v>428</v>
      </c>
      <c r="H2539" s="10" t="n">
        <v>1110202</v>
      </c>
      <c r="I2539" s="12" t="s">
        <v>285</v>
      </c>
      <c r="J2539" s="10" t="n">
        <v>1378075</v>
      </c>
      <c r="L2539" s="10" t="n">
        <v>568085</v>
      </c>
      <c r="M2539" s="12" t="s">
        <v>34</v>
      </c>
      <c r="N2539" s="12" t="s">
        <v>42</v>
      </c>
      <c r="P2539" s="10" t="n">
        <v>101</v>
      </c>
      <c r="Q2539" s="12" t="s">
        <v>84</v>
      </c>
      <c r="R2539" s="12" t="s">
        <v>60</v>
      </c>
      <c r="S2539" s="10" t="n">
        <v>4210228</v>
      </c>
      <c r="T2539" s="12" t="s">
        <v>434</v>
      </c>
      <c r="U2539" s="13" t="n">
        <v>86.76</v>
      </c>
      <c r="W2539" s="13" t="n">
        <v>0</v>
      </c>
      <c r="X2539" s="12" t="s">
        <v>2751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46183</v>
      </c>
      <c r="C2540" s="11" t="n">
        <v>46275</v>
      </c>
      <c r="D2540" s="10" t="n">
        <v>16</v>
      </c>
      <c r="E2540" s="12" t="s">
        <v>90</v>
      </c>
      <c r="F2540" s="10" t="n">
        <v>46</v>
      </c>
      <c r="G2540" s="12" t="s">
        <v>428</v>
      </c>
      <c r="H2540" s="10" t="n">
        <v>1110202</v>
      </c>
      <c r="I2540" s="12" t="s">
        <v>285</v>
      </c>
      <c r="J2540" s="10" t="n">
        <v>1378230</v>
      </c>
      <c r="L2540" s="10" t="n">
        <v>568166</v>
      </c>
      <c r="M2540" s="12" t="s">
        <v>128</v>
      </c>
      <c r="N2540" s="12" t="s">
        <v>42</v>
      </c>
      <c r="P2540" s="10" t="n">
        <v>101</v>
      </c>
      <c r="Q2540" s="12" t="s">
        <v>84</v>
      </c>
      <c r="R2540" s="12" t="s">
        <v>91</v>
      </c>
      <c r="S2540" s="10" t="n">
        <v>4220199</v>
      </c>
      <c r="T2540" s="12" t="s">
        <v>92</v>
      </c>
      <c r="U2540" s="13" t="n">
        <v>331.61</v>
      </c>
      <c r="W2540" s="13" t="n">
        <v>0</v>
      </c>
      <c r="X2540" s="12" t="s">
        <v>2752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46174</v>
      </c>
      <c r="C2541" s="11" t="n">
        <v>46275</v>
      </c>
      <c r="D2541" s="10" t="n">
        <v>1933</v>
      </c>
      <c r="E2541" s="12" t="s">
        <v>1336</v>
      </c>
      <c r="F2541" s="10" t="n">
        <v>46</v>
      </c>
      <c r="G2541" s="12" t="s">
        <v>428</v>
      </c>
      <c r="H2541" s="10" t="n">
        <v>2110405</v>
      </c>
      <c r="I2541" s="12" t="s">
        <v>83</v>
      </c>
      <c r="J2541" s="10" t="n">
        <v>1382032</v>
      </c>
      <c r="L2541" s="10" t="n">
        <v>570381</v>
      </c>
      <c r="M2541" s="12" t="s">
        <v>128</v>
      </c>
      <c r="N2541" s="12" t="s">
        <v>42</v>
      </c>
      <c r="P2541" s="10" t="n">
        <v>101</v>
      </c>
      <c r="Q2541" s="12" t="s">
        <v>84</v>
      </c>
      <c r="R2541" s="12" t="s">
        <v>91</v>
      </c>
      <c r="S2541" s="10" t="n">
        <v>4220199</v>
      </c>
      <c r="T2541" s="12" t="s">
        <v>92</v>
      </c>
      <c r="U2541" s="13" t="n">
        <v>600</v>
      </c>
      <c r="W2541" s="13" t="n">
        <v>0</v>
      </c>
      <c r="X2541" s="12" t="s">
        <v>1337</v>
      </c>
      <c r="Z2541" s="1" t="str">
        <f aca="false">IF($T2541="","",IFERROR(INDEX('Resumo Grupos'!$AC$3:$AC$200,MATCH($T2541,'Resumo Grupos'!$AB$3:$AB$200,0)),"n/d"))</f>
        <v>Pagamentos outros não operacionais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46216</v>
      </c>
      <c r="C2542" s="11" t="n">
        <v>46275</v>
      </c>
      <c r="D2542" s="10" t="n">
        <v>1717</v>
      </c>
      <c r="E2542" s="12" t="s">
        <v>2095</v>
      </c>
      <c r="F2542" s="10" t="n">
        <v>46</v>
      </c>
      <c r="G2542" s="12" t="s">
        <v>428</v>
      </c>
      <c r="H2542" s="10" t="n">
        <v>1110202</v>
      </c>
      <c r="I2542" s="12" t="s">
        <v>285</v>
      </c>
      <c r="J2542" s="10" t="n">
        <v>1394062</v>
      </c>
      <c r="L2542" s="10" t="n">
        <v>51412</v>
      </c>
      <c r="M2542" s="12" t="s">
        <v>34</v>
      </c>
      <c r="N2542" s="12" t="s">
        <v>42</v>
      </c>
      <c r="P2542" s="10" t="n">
        <v>103</v>
      </c>
      <c r="Q2542" s="12" t="s">
        <v>36</v>
      </c>
      <c r="R2542" s="12" t="s">
        <v>37</v>
      </c>
      <c r="S2542" s="10" t="n">
        <v>1130101</v>
      </c>
      <c r="T2542" s="12" t="s">
        <v>38</v>
      </c>
      <c r="U2542" s="13" t="n">
        <v>319.2</v>
      </c>
      <c r="W2542" s="13" t="n">
        <v>0</v>
      </c>
      <c r="X2542" s="12" t="s">
        <v>2753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46234</v>
      </c>
      <c r="C2543" s="11" t="n">
        <v>46275</v>
      </c>
      <c r="D2543" s="10" t="n">
        <v>608</v>
      </c>
      <c r="E2543" s="12" t="s">
        <v>2754</v>
      </c>
      <c r="F2543" s="10" t="n">
        <v>46</v>
      </c>
      <c r="G2543" s="12" t="s">
        <v>428</v>
      </c>
      <c r="H2543" s="10" t="n">
        <v>1110202</v>
      </c>
      <c r="I2543" s="12" t="s">
        <v>285</v>
      </c>
      <c r="J2543" s="10" t="n">
        <v>1477562</v>
      </c>
      <c r="L2543" s="10" t="n">
        <v>1681242</v>
      </c>
      <c r="M2543" s="12" t="s">
        <v>41</v>
      </c>
      <c r="N2543" s="12" t="s">
        <v>42</v>
      </c>
      <c r="P2543" s="10" t="n">
        <v>101</v>
      </c>
      <c r="Q2543" s="12" t="s">
        <v>84</v>
      </c>
      <c r="R2543" s="12" t="s">
        <v>60</v>
      </c>
      <c r="S2543" s="10" t="n">
        <v>4210232</v>
      </c>
      <c r="T2543" s="12" t="s">
        <v>431</v>
      </c>
      <c r="U2543" s="13" t="n">
        <v>315.62</v>
      </c>
      <c r="W2543" s="13" t="n">
        <v>0</v>
      </c>
      <c r="X2543" s="12" t="s">
        <v>2755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46244</v>
      </c>
      <c r="C2544" s="11" t="n">
        <v>46275</v>
      </c>
      <c r="D2544" s="10" t="n">
        <v>48</v>
      </c>
      <c r="E2544" s="12" t="s">
        <v>1045</v>
      </c>
      <c r="F2544" s="10" t="n">
        <v>46</v>
      </c>
      <c r="G2544" s="12" t="s">
        <v>428</v>
      </c>
      <c r="H2544" s="10" t="n">
        <v>2110405</v>
      </c>
      <c r="I2544" s="12" t="s">
        <v>83</v>
      </c>
      <c r="J2544" s="10" t="n">
        <v>1529925</v>
      </c>
      <c r="L2544" s="10" t="n">
        <v>71341</v>
      </c>
      <c r="M2544" s="12" t="s">
        <v>41</v>
      </c>
      <c r="N2544" s="12" t="s">
        <v>42</v>
      </c>
      <c r="P2544" s="10" t="n">
        <v>101</v>
      </c>
      <c r="Q2544" s="12" t="s">
        <v>84</v>
      </c>
      <c r="R2544" s="12" t="s">
        <v>60</v>
      </c>
      <c r="S2544" s="10" t="n">
        <v>4210228</v>
      </c>
      <c r="T2544" s="12" t="s">
        <v>434</v>
      </c>
      <c r="U2544" s="13" t="n">
        <v>29.98</v>
      </c>
      <c r="W2544" s="13" t="n">
        <v>0</v>
      </c>
      <c r="X2544" s="12" t="s">
        <v>2756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46241</v>
      </c>
      <c r="C2545" s="11" t="n">
        <v>46275</v>
      </c>
      <c r="D2545" s="10" t="n">
        <v>17</v>
      </c>
      <c r="E2545" s="12" t="s">
        <v>94</v>
      </c>
      <c r="F2545" s="10" t="n">
        <v>34</v>
      </c>
      <c r="G2545" s="12" t="s">
        <v>71</v>
      </c>
      <c r="H2545" s="10" t="n">
        <v>2110405</v>
      </c>
      <c r="I2545" s="12" t="s">
        <v>83</v>
      </c>
      <c r="J2545" s="10" t="n">
        <v>1512942</v>
      </c>
      <c r="L2545" s="10" t="n">
        <v>619809</v>
      </c>
      <c r="M2545" s="12" t="s">
        <v>128</v>
      </c>
      <c r="N2545" s="12" t="s">
        <v>42</v>
      </c>
      <c r="P2545" s="10" t="n">
        <v>101</v>
      </c>
      <c r="Q2545" s="12" t="s">
        <v>84</v>
      </c>
      <c r="R2545" s="12" t="s">
        <v>91</v>
      </c>
      <c r="S2545" s="10" t="n">
        <v>4220199</v>
      </c>
      <c r="T2545" s="12" t="s">
        <v>92</v>
      </c>
      <c r="U2545" s="13" t="n">
        <v>150</v>
      </c>
      <c r="W2545" s="13" t="n">
        <v>0</v>
      </c>
      <c r="X2545" s="12" t="s">
        <v>2131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46239</v>
      </c>
      <c r="C2546" s="11" t="n">
        <v>46275</v>
      </c>
      <c r="D2546" s="10" t="n">
        <v>1835</v>
      </c>
      <c r="E2546" s="12" t="s">
        <v>433</v>
      </c>
      <c r="F2546" s="10" t="n">
        <v>46</v>
      </c>
      <c r="G2546" s="12" t="s">
        <v>428</v>
      </c>
      <c r="H2546" s="10" t="n">
        <v>2110405</v>
      </c>
      <c r="I2546" s="12" t="s">
        <v>83</v>
      </c>
      <c r="J2546" s="10" t="n">
        <v>1513114</v>
      </c>
      <c r="L2546" s="10" t="n">
        <v>108950</v>
      </c>
      <c r="M2546" s="12" t="s">
        <v>41</v>
      </c>
      <c r="N2546" s="12" t="s">
        <v>42</v>
      </c>
      <c r="P2546" s="10" t="n">
        <v>101</v>
      </c>
      <c r="Q2546" s="12" t="s">
        <v>84</v>
      </c>
      <c r="R2546" s="12" t="s">
        <v>60</v>
      </c>
      <c r="S2546" s="10" t="n">
        <v>4210228</v>
      </c>
      <c r="T2546" s="12" t="s">
        <v>434</v>
      </c>
      <c r="U2546" s="13" t="n">
        <v>52.51</v>
      </c>
      <c r="W2546" s="13" t="n">
        <v>0</v>
      </c>
      <c r="X2546" s="12" t="s">
        <v>2757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46242</v>
      </c>
      <c r="C2547" s="11" t="n">
        <v>46275</v>
      </c>
      <c r="D2547" s="10" t="n">
        <v>957</v>
      </c>
      <c r="E2547" s="12" t="s">
        <v>132</v>
      </c>
      <c r="F2547" s="10" t="n">
        <v>24</v>
      </c>
      <c r="G2547" s="12" t="s">
        <v>32</v>
      </c>
      <c r="H2547" s="10" t="n">
        <v>2110405</v>
      </c>
      <c r="I2547" s="12" t="s">
        <v>83</v>
      </c>
      <c r="J2547" s="10" t="n">
        <v>1517801</v>
      </c>
      <c r="L2547" s="10" t="n">
        <v>21578</v>
      </c>
      <c r="M2547" s="12" t="s">
        <v>34</v>
      </c>
      <c r="N2547" s="12" t="s">
        <v>42</v>
      </c>
      <c r="P2547" s="10" t="n">
        <v>103</v>
      </c>
      <c r="Q2547" s="12" t="s">
        <v>36</v>
      </c>
      <c r="R2547" s="12" t="s">
        <v>37</v>
      </c>
      <c r="S2547" s="10" t="n">
        <v>1130101</v>
      </c>
      <c r="T2547" s="12" t="s">
        <v>38</v>
      </c>
      <c r="U2547" s="13" t="n">
        <v>3429</v>
      </c>
      <c r="W2547" s="13" t="n">
        <v>0</v>
      </c>
      <c r="X2547" s="12" t="s">
        <v>2758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46199</v>
      </c>
      <c r="C2548" s="11" t="n">
        <v>46275</v>
      </c>
      <c r="D2548" s="10" t="n">
        <v>1242</v>
      </c>
      <c r="E2548" s="12" t="s">
        <v>1302</v>
      </c>
      <c r="F2548" s="10" t="n">
        <v>46</v>
      </c>
      <c r="G2548" s="12" t="s">
        <v>428</v>
      </c>
      <c r="H2548" s="10" t="n">
        <v>2110405</v>
      </c>
      <c r="I2548" s="12" t="s">
        <v>83</v>
      </c>
      <c r="J2548" s="10" t="n">
        <v>1529016</v>
      </c>
      <c r="L2548" s="10" t="n">
        <v>625769</v>
      </c>
      <c r="M2548" s="12" t="s">
        <v>34</v>
      </c>
      <c r="N2548" s="12" t="s">
        <v>42</v>
      </c>
      <c r="P2548" s="10" t="n">
        <v>101</v>
      </c>
      <c r="Q2548" s="12" t="s">
        <v>84</v>
      </c>
      <c r="R2548" s="12" t="s">
        <v>91</v>
      </c>
      <c r="S2548" s="10" t="n">
        <v>4220199</v>
      </c>
      <c r="T2548" s="12" t="s">
        <v>92</v>
      </c>
      <c r="U2548" s="13" t="n">
        <v>160</v>
      </c>
      <c r="W2548" s="13" t="n">
        <v>0</v>
      </c>
      <c r="X2548" s="12"/>
      <c r="Z2548" s="1" t="str">
        <f aca="false">IF($T2548="","",IFERROR(INDEX('Resumo Grupos'!$AC$3:$AC$200,MATCH($T2548,'Resumo Grupos'!$AB$3:$AB$200,0)),"n/d"))</f>
        <v>Pagamentos outros não operacionais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46244</v>
      </c>
      <c r="C2549" s="11" t="n">
        <v>46275</v>
      </c>
      <c r="D2549" s="10" t="n">
        <v>1105</v>
      </c>
      <c r="E2549" s="12" t="s">
        <v>472</v>
      </c>
      <c r="F2549" s="10" t="n">
        <v>36</v>
      </c>
      <c r="G2549" s="12" t="s">
        <v>445</v>
      </c>
      <c r="H2549" s="10" t="n">
        <v>2110405</v>
      </c>
      <c r="I2549" s="12" t="s">
        <v>83</v>
      </c>
      <c r="J2549" s="10" t="n">
        <v>1529935</v>
      </c>
      <c r="L2549" s="10" t="n">
        <v>1663</v>
      </c>
      <c r="M2549" s="12" t="s">
        <v>41</v>
      </c>
      <c r="N2549" s="12" t="s">
        <v>42</v>
      </c>
      <c r="P2549" s="10" t="n">
        <v>101</v>
      </c>
      <c r="Q2549" s="12" t="s">
        <v>84</v>
      </c>
      <c r="R2549" s="12" t="s">
        <v>60</v>
      </c>
      <c r="S2549" s="10" t="n">
        <v>4210208</v>
      </c>
      <c r="T2549" s="12" t="s">
        <v>473</v>
      </c>
      <c r="U2549" s="13" t="n">
        <v>45</v>
      </c>
      <c r="W2549" s="13" t="n">
        <v>0</v>
      </c>
      <c r="X2549" s="12" t="s">
        <v>2759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46246</v>
      </c>
      <c r="C2550" s="11" t="n">
        <v>46275</v>
      </c>
      <c r="D2550" s="10" t="n">
        <v>1659</v>
      </c>
      <c r="E2550" s="12" t="s">
        <v>54</v>
      </c>
      <c r="F2550" s="10" t="n">
        <v>24</v>
      </c>
      <c r="G2550" s="12" t="s">
        <v>32</v>
      </c>
      <c r="H2550" s="10" t="n">
        <v>2110405</v>
      </c>
      <c r="I2550" s="12" t="s">
        <v>83</v>
      </c>
      <c r="J2550" s="10" t="n">
        <v>1535642</v>
      </c>
      <c r="L2550" s="10" t="n">
        <v>889987</v>
      </c>
      <c r="M2550" s="12" t="s">
        <v>128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345.95</v>
      </c>
      <c r="W2550" s="13" t="n">
        <v>0</v>
      </c>
      <c r="X2550" s="12" t="s">
        <v>2760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46275</v>
      </c>
      <c r="D2551" s="10" t="n">
        <v>1390</v>
      </c>
      <c r="E2551" s="12" t="s">
        <v>1405</v>
      </c>
      <c r="F2551" s="10" t="n">
        <v>24</v>
      </c>
      <c r="G2551" s="12" t="s">
        <v>32</v>
      </c>
      <c r="H2551" s="10" t="n">
        <v>2110405</v>
      </c>
      <c r="I2551" s="12" t="s">
        <v>83</v>
      </c>
      <c r="J2551" s="10" t="n">
        <v>1537290</v>
      </c>
      <c r="L2551" s="10" t="n">
        <v>7184</v>
      </c>
      <c r="M2551" s="12" t="s">
        <v>41</v>
      </c>
      <c r="N2551" s="12" t="s">
        <v>42</v>
      </c>
      <c r="P2551" s="10" t="n">
        <v>103</v>
      </c>
      <c r="Q2551" s="12" t="s">
        <v>36</v>
      </c>
      <c r="R2551" s="12" t="s">
        <v>37</v>
      </c>
      <c r="S2551" s="10" t="n">
        <v>1130101</v>
      </c>
      <c r="T2551" s="12" t="s">
        <v>38</v>
      </c>
      <c r="U2551" s="13" t="n">
        <v>463.74</v>
      </c>
      <c r="W2551" s="13" t="n">
        <v>0</v>
      </c>
      <c r="X2551" s="12" t="s">
        <v>2761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46239</v>
      </c>
      <c r="C2552" s="11" t="n">
        <v>46275</v>
      </c>
      <c r="D2552" s="10" t="n">
        <v>1832</v>
      </c>
      <c r="E2552" s="12" t="s">
        <v>1331</v>
      </c>
      <c r="F2552" s="10" t="n">
        <v>46</v>
      </c>
      <c r="G2552" s="12" t="s">
        <v>428</v>
      </c>
      <c r="H2552" s="10" t="n">
        <v>2110405</v>
      </c>
      <c r="I2552" s="12" t="s">
        <v>83</v>
      </c>
      <c r="J2552" s="10" t="n">
        <v>1540679</v>
      </c>
      <c r="L2552" s="10" t="n">
        <v>889850</v>
      </c>
      <c r="M2552" s="12" t="s">
        <v>41</v>
      </c>
      <c r="N2552" s="12" t="s">
        <v>42</v>
      </c>
      <c r="P2552" s="10" t="n">
        <v>101</v>
      </c>
      <c r="Q2552" s="12" t="s">
        <v>84</v>
      </c>
      <c r="R2552" s="12" t="s">
        <v>60</v>
      </c>
      <c r="S2552" s="10" t="n">
        <v>4210228</v>
      </c>
      <c r="T2552" s="12" t="s">
        <v>434</v>
      </c>
      <c r="U2552" s="13" t="n">
        <v>37</v>
      </c>
      <c r="W2552" s="13" t="n">
        <v>0</v>
      </c>
      <c r="X2552" s="12" t="s">
        <v>2762</v>
      </c>
      <c r="Z2552" s="1" t="str">
        <f aca="false">IF($T2552="","",IFERROR(INDEX('Resumo Grupos'!$AC$3:$AC$200,MATCH($T2552,'Resumo Grupos'!$AB$3:$AB$200,0)),"n/d"))</f>
        <v>Despesa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46247</v>
      </c>
      <c r="C2553" s="11" t="n">
        <v>46275</v>
      </c>
      <c r="D2553" s="10" t="n">
        <v>1667</v>
      </c>
      <c r="E2553" s="12" t="s">
        <v>40</v>
      </c>
      <c r="F2553" s="10" t="n">
        <v>24</v>
      </c>
      <c r="G2553" s="12" t="s">
        <v>32</v>
      </c>
      <c r="H2553" s="10" t="n">
        <v>2110405</v>
      </c>
      <c r="I2553" s="12" t="s">
        <v>83</v>
      </c>
      <c r="J2553" s="10" t="n">
        <v>1542918</v>
      </c>
      <c r="L2553" s="10" t="n">
        <v>398226</v>
      </c>
      <c r="M2553" s="12" t="s">
        <v>34</v>
      </c>
      <c r="N2553" s="12" t="s">
        <v>42</v>
      </c>
      <c r="P2553" s="10" t="n">
        <v>103</v>
      </c>
      <c r="Q2553" s="12" t="s">
        <v>36</v>
      </c>
      <c r="R2553" s="12" t="s">
        <v>37</v>
      </c>
      <c r="S2553" s="10" t="n">
        <v>1130101</v>
      </c>
      <c r="T2553" s="12" t="s">
        <v>38</v>
      </c>
      <c r="U2553" s="13" t="n">
        <v>760.27</v>
      </c>
      <c r="W2553" s="13" t="n">
        <v>0</v>
      </c>
      <c r="X2553" s="12" t="s">
        <v>2763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46248</v>
      </c>
      <c r="C2554" s="11" t="n">
        <v>46275</v>
      </c>
      <c r="D2554" s="10" t="n">
        <v>10020</v>
      </c>
      <c r="E2554" s="12" t="s">
        <v>260</v>
      </c>
      <c r="F2554" s="10" t="n">
        <v>24</v>
      </c>
      <c r="G2554" s="12" t="s">
        <v>32</v>
      </c>
      <c r="H2554" s="10" t="n">
        <v>2110405</v>
      </c>
      <c r="I2554" s="12" t="s">
        <v>83</v>
      </c>
      <c r="J2554" s="10" t="n">
        <v>1546108</v>
      </c>
      <c r="L2554" s="10" t="n">
        <v>799</v>
      </c>
      <c r="M2554" s="12" t="s">
        <v>128</v>
      </c>
      <c r="N2554" s="12" t="s">
        <v>42</v>
      </c>
      <c r="P2554" s="10" t="n">
        <v>103</v>
      </c>
      <c r="Q2554" s="12" t="s">
        <v>36</v>
      </c>
      <c r="R2554" s="12" t="s">
        <v>37</v>
      </c>
      <c r="S2554" s="10" t="n">
        <v>1130101</v>
      </c>
      <c r="T2554" s="12" t="s">
        <v>38</v>
      </c>
      <c r="U2554" s="13" t="n">
        <v>507.29</v>
      </c>
      <c r="W2554" s="13" t="n">
        <v>0</v>
      </c>
      <c r="X2554" s="12" t="s">
        <v>2764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46248</v>
      </c>
      <c r="C2555" s="11" t="n">
        <v>46275</v>
      </c>
      <c r="D2555" s="10" t="n">
        <v>10012</v>
      </c>
      <c r="E2555" s="12" t="s">
        <v>204</v>
      </c>
      <c r="F2555" s="10" t="n">
        <v>24</v>
      </c>
      <c r="G2555" s="12" t="s">
        <v>32</v>
      </c>
      <c r="H2555" s="10" t="n">
        <v>2110405</v>
      </c>
      <c r="I2555" s="12" t="s">
        <v>83</v>
      </c>
      <c r="J2555" s="10" t="n">
        <v>1546127</v>
      </c>
      <c r="L2555" s="10" t="n">
        <v>1965727</v>
      </c>
      <c r="M2555" s="12" t="s">
        <v>41</v>
      </c>
      <c r="N2555" s="12" t="s">
        <v>42</v>
      </c>
      <c r="P2555" s="10" t="n">
        <v>103</v>
      </c>
      <c r="Q2555" s="12" t="s">
        <v>36</v>
      </c>
      <c r="R2555" s="12" t="s">
        <v>37</v>
      </c>
      <c r="S2555" s="10" t="n">
        <v>1130101</v>
      </c>
      <c r="T2555" s="12" t="s">
        <v>38</v>
      </c>
      <c r="U2555" s="13" t="n">
        <v>1236.25</v>
      </c>
      <c r="W2555" s="13" t="n">
        <v>0</v>
      </c>
      <c r="X2555" s="12" t="s">
        <v>2765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46248</v>
      </c>
      <c r="C2556" s="11" t="n">
        <v>46275</v>
      </c>
      <c r="D2556" s="10" t="n">
        <v>862</v>
      </c>
      <c r="E2556" s="12" t="s">
        <v>430</v>
      </c>
      <c r="F2556" s="10" t="n">
        <v>46</v>
      </c>
      <c r="G2556" s="12" t="s">
        <v>428</v>
      </c>
      <c r="H2556" s="10" t="n">
        <v>2110405</v>
      </c>
      <c r="I2556" s="12" t="s">
        <v>83</v>
      </c>
      <c r="J2556" s="10" t="n">
        <v>1551728</v>
      </c>
      <c r="L2556" s="10" t="n">
        <v>634573</v>
      </c>
      <c r="M2556" s="12" t="s">
        <v>41</v>
      </c>
      <c r="N2556" s="12" t="s">
        <v>42</v>
      </c>
      <c r="P2556" s="10" t="n">
        <v>101</v>
      </c>
      <c r="Q2556" s="12" t="s">
        <v>84</v>
      </c>
      <c r="R2556" s="12" t="s">
        <v>60</v>
      </c>
      <c r="S2556" s="10" t="n">
        <v>4210232</v>
      </c>
      <c r="T2556" s="12" t="s">
        <v>431</v>
      </c>
      <c r="U2556" s="13" t="n">
        <v>400</v>
      </c>
      <c r="W2556" s="13" t="n">
        <v>0</v>
      </c>
      <c r="X2556" s="12" t="s">
        <v>2766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46251</v>
      </c>
      <c r="C2557" s="11" t="n">
        <v>46275</v>
      </c>
      <c r="D2557" s="10" t="n">
        <v>1671</v>
      </c>
      <c r="E2557" s="12" t="s">
        <v>340</v>
      </c>
      <c r="F2557" s="10" t="n">
        <v>24</v>
      </c>
      <c r="G2557" s="12" t="s">
        <v>32</v>
      </c>
      <c r="H2557" s="10" t="n">
        <v>2110405</v>
      </c>
      <c r="I2557" s="12" t="s">
        <v>83</v>
      </c>
      <c r="J2557" s="10" t="n">
        <v>1562446</v>
      </c>
      <c r="L2557" s="10" t="n">
        <v>586417</v>
      </c>
      <c r="M2557" s="12" t="s">
        <v>128</v>
      </c>
      <c r="N2557" s="12" t="s">
        <v>42</v>
      </c>
      <c r="P2557" s="10" t="n">
        <v>103</v>
      </c>
      <c r="Q2557" s="12" t="s">
        <v>36</v>
      </c>
      <c r="R2557" s="12" t="s">
        <v>37</v>
      </c>
      <c r="S2557" s="10" t="n">
        <v>1130101</v>
      </c>
      <c r="T2557" s="12" t="s">
        <v>38</v>
      </c>
      <c r="U2557" s="13" t="n">
        <v>1586.84</v>
      </c>
      <c r="W2557" s="13" t="n">
        <v>0</v>
      </c>
      <c r="X2557" s="12" t="s">
        <v>2767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46254</v>
      </c>
      <c r="C2558" s="11" t="n">
        <v>46275</v>
      </c>
      <c r="D2558" s="10" t="n">
        <v>1136</v>
      </c>
      <c r="E2558" s="12" t="s">
        <v>1229</v>
      </c>
      <c r="F2558" s="10" t="n">
        <v>24</v>
      </c>
      <c r="G2558" s="12" t="s">
        <v>32</v>
      </c>
      <c r="H2558" s="10" t="n">
        <v>2110405</v>
      </c>
      <c r="I2558" s="12" t="s">
        <v>83</v>
      </c>
      <c r="J2558" s="10" t="n">
        <v>1576686</v>
      </c>
      <c r="L2558" s="10" t="n">
        <v>54213</v>
      </c>
      <c r="M2558" s="12" t="s">
        <v>34</v>
      </c>
      <c r="N2558" s="12" t="s">
        <v>42</v>
      </c>
      <c r="P2558" s="10" t="n">
        <v>103</v>
      </c>
      <c r="Q2558" s="12" t="s">
        <v>36</v>
      </c>
      <c r="R2558" s="12" t="s">
        <v>37</v>
      </c>
      <c r="S2558" s="10" t="n">
        <v>1130101</v>
      </c>
      <c r="T2558" s="12" t="s">
        <v>38</v>
      </c>
      <c r="U2558" s="13" t="n">
        <v>789.33</v>
      </c>
      <c r="W2558" s="13" t="n">
        <v>0</v>
      </c>
      <c r="X2558" s="12" t="s">
        <v>2768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46255</v>
      </c>
      <c r="C2559" s="11" t="n">
        <v>46275</v>
      </c>
      <c r="D2559" s="10" t="n">
        <v>1636</v>
      </c>
      <c r="E2559" s="12" t="s">
        <v>68</v>
      </c>
      <c r="F2559" s="10" t="n">
        <v>24</v>
      </c>
      <c r="G2559" s="12" t="s">
        <v>32</v>
      </c>
      <c r="H2559" s="10" t="n">
        <v>2110101</v>
      </c>
      <c r="I2559" s="12" t="s">
        <v>33</v>
      </c>
      <c r="J2559" s="10" t="n">
        <v>1582273</v>
      </c>
      <c r="L2559" s="10" t="n">
        <v>3239532</v>
      </c>
      <c r="M2559" s="12" t="s">
        <v>34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1180.7</v>
      </c>
      <c r="W2559" s="13" t="n">
        <v>0</v>
      </c>
      <c r="X2559" s="12" t="s">
        <v>2769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46256</v>
      </c>
      <c r="C2560" s="11" t="n">
        <v>46275</v>
      </c>
      <c r="D2560" s="10" t="n">
        <v>1745</v>
      </c>
      <c r="E2560" s="12" t="s">
        <v>246</v>
      </c>
      <c r="F2560" s="10" t="n">
        <v>24</v>
      </c>
      <c r="G2560" s="12" t="s">
        <v>32</v>
      </c>
      <c r="H2560" s="10" t="n">
        <v>2110405</v>
      </c>
      <c r="I2560" s="12" t="s">
        <v>83</v>
      </c>
      <c r="J2560" s="10" t="n">
        <v>1585478</v>
      </c>
      <c r="L2560" s="10" t="n">
        <v>357973</v>
      </c>
      <c r="M2560" s="12" t="s">
        <v>34</v>
      </c>
      <c r="N2560" s="12" t="s">
        <v>42</v>
      </c>
      <c r="P2560" s="10" t="n">
        <v>103</v>
      </c>
      <c r="Q2560" s="12" t="s">
        <v>36</v>
      </c>
      <c r="R2560" s="12" t="s">
        <v>37</v>
      </c>
      <c r="S2560" s="10" t="n">
        <v>1130101</v>
      </c>
      <c r="T2560" s="12" t="s">
        <v>38</v>
      </c>
      <c r="U2560" s="13" t="n">
        <v>1581.44</v>
      </c>
      <c r="W2560" s="13" t="n">
        <v>0</v>
      </c>
      <c r="X2560" s="12" t="s">
        <v>2770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46256</v>
      </c>
      <c r="C2561" s="11" t="n">
        <v>46275</v>
      </c>
      <c r="D2561" s="10" t="n">
        <v>1740</v>
      </c>
      <c r="E2561" s="12" t="s">
        <v>258</v>
      </c>
      <c r="F2561" s="10" t="n">
        <v>24</v>
      </c>
      <c r="G2561" s="12" t="s">
        <v>32</v>
      </c>
      <c r="H2561" s="10" t="n">
        <v>2110405</v>
      </c>
      <c r="I2561" s="12" t="s">
        <v>83</v>
      </c>
      <c r="J2561" s="10" t="n">
        <v>1586237</v>
      </c>
      <c r="L2561" s="10" t="n">
        <v>1261295</v>
      </c>
      <c r="M2561" s="12" t="s">
        <v>41</v>
      </c>
      <c r="N2561" s="12" t="s">
        <v>42</v>
      </c>
      <c r="P2561" s="10" t="n">
        <v>103</v>
      </c>
      <c r="Q2561" s="12" t="s">
        <v>36</v>
      </c>
      <c r="R2561" s="12" t="s">
        <v>37</v>
      </c>
      <c r="S2561" s="10" t="n">
        <v>1130101</v>
      </c>
      <c r="T2561" s="12" t="s">
        <v>38</v>
      </c>
      <c r="U2561" s="13" t="n">
        <v>946.39</v>
      </c>
      <c r="W2561" s="13" t="n">
        <v>0</v>
      </c>
      <c r="X2561" s="12" t="s">
        <v>2771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46164</v>
      </c>
      <c r="C2562" s="11" t="n">
        <v>46276</v>
      </c>
      <c r="D2562" s="10" t="n">
        <v>515</v>
      </c>
      <c r="E2562" s="12" t="s">
        <v>106</v>
      </c>
      <c r="F2562" s="10" t="n">
        <v>34</v>
      </c>
      <c r="G2562" s="12" t="s">
        <v>71</v>
      </c>
      <c r="H2562" s="10" t="n">
        <v>2110405</v>
      </c>
      <c r="I2562" s="12" t="s">
        <v>83</v>
      </c>
      <c r="J2562" s="10" t="n">
        <v>1137849</v>
      </c>
      <c r="L2562" s="10" t="n">
        <v>474941</v>
      </c>
      <c r="M2562" s="12" t="s">
        <v>394</v>
      </c>
      <c r="N2562" s="12" t="s">
        <v>42</v>
      </c>
      <c r="P2562" s="10" t="n">
        <v>101</v>
      </c>
      <c r="Q2562" s="12" t="s">
        <v>84</v>
      </c>
      <c r="R2562" s="12" t="s">
        <v>165</v>
      </c>
      <c r="S2562" s="10" t="n">
        <v>2110901</v>
      </c>
      <c r="T2562" s="12" t="s">
        <v>166</v>
      </c>
      <c r="U2562" s="13" t="n">
        <v>15770.14</v>
      </c>
      <c r="W2562" s="13" t="n">
        <v>0</v>
      </c>
      <c r="X2562" s="12" t="s">
        <v>2772</v>
      </c>
      <c r="Z2562" s="1" t="str">
        <f aca="false">IF($T2562="","",IFERROR(INDEX('Resumo Grupos'!$AC$3:$AC$200,MATCH($T2562,'Resumo Grupos'!$AB$3:$AB$200,0)),"n/d"))</f>
        <v>Empréstimo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46192</v>
      </c>
      <c r="C2563" s="11" t="n">
        <v>46276</v>
      </c>
      <c r="D2563" s="10" t="n">
        <v>957</v>
      </c>
      <c r="E2563" s="12" t="s">
        <v>132</v>
      </c>
      <c r="F2563" s="10" t="n">
        <v>24</v>
      </c>
      <c r="G2563" s="12" t="s">
        <v>32</v>
      </c>
      <c r="H2563" s="10" t="n">
        <v>2110101</v>
      </c>
      <c r="I2563" s="12" t="s">
        <v>33</v>
      </c>
      <c r="J2563" s="10" t="n">
        <v>1273051</v>
      </c>
      <c r="L2563" s="10" t="n">
        <v>20498</v>
      </c>
      <c r="M2563" s="12" t="s">
        <v>128</v>
      </c>
      <c r="N2563" s="12" t="s">
        <v>35</v>
      </c>
      <c r="P2563" s="10" t="n">
        <v>103</v>
      </c>
      <c r="Q2563" s="12" t="s">
        <v>36</v>
      </c>
      <c r="R2563" s="12" t="s">
        <v>37</v>
      </c>
      <c r="S2563" s="10" t="n">
        <v>1130101</v>
      </c>
      <c r="T2563" s="12" t="s">
        <v>38</v>
      </c>
      <c r="U2563" s="13" t="n">
        <v>8427.07</v>
      </c>
      <c r="W2563" s="13" t="n">
        <v>0</v>
      </c>
      <c r="X2563" s="12" t="s">
        <v>2773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46218</v>
      </c>
      <c r="C2564" s="11" t="n">
        <v>46276</v>
      </c>
      <c r="D2564" s="10" t="n">
        <v>1390</v>
      </c>
      <c r="E2564" s="12" t="s">
        <v>1405</v>
      </c>
      <c r="F2564" s="10" t="n">
        <v>24</v>
      </c>
      <c r="G2564" s="12" t="s">
        <v>32</v>
      </c>
      <c r="H2564" s="10" t="n">
        <v>2110405</v>
      </c>
      <c r="I2564" s="12" t="s">
        <v>83</v>
      </c>
      <c r="J2564" s="10" t="n">
        <v>1401827</v>
      </c>
      <c r="L2564" s="10" t="n">
        <v>6933</v>
      </c>
      <c r="M2564" s="12" t="s">
        <v>34</v>
      </c>
      <c r="N2564" s="12" t="s">
        <v>42</v>
      </c>
      <c r="P2564" s="10" t="n">
        <v>103</v>
      </c>
      <c r="Q2564" s="12" t="s">
        <v>36</v>
      </c>
      <c r="R2564" s="12" t="s">
        <v>37</v>
      </c>
      <c r="S2564" s="10" t="n">
        <v>1130101</v>
      </c>
      <c r="T2564" s="12" t="s">
        <v>38</v>
      </c>
      <c r="U2564" s="13" t="n">
        <v>548.94</v>
      </c>
      <c r="W2564" s="13" t="n">
        <v>0</v>
      </c>
      <c r="X2564" s="12" t="s">
        <v>2774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46242</v>
      </c>
      <c r="C2565" s="11" t="n">
        <v>46276</v>
      </c>
      <c r="D2565" s="10" t="n">
        <v>1107</v>
      </c>
      <c r="E2565" s="12" t="s">
        <v>130</v>
      </c>
      <c r="F2565" s="10" t="n">
        <v>24</v>
      </c>
      <c r="G2565" s="12" t="s">
        <v>32</v>
      </c>
      <c r="H2565" s="10" t="n">
        <v>2110405</v>
      </c>
      <c r="I2565" s="12" t="s">
        <v>83</v>
      </c>
      <c r="J2565" s="10" t="n">
        <v>1518289</v>
      </c>
      <c r="L2565" s="10" t="n">
        <v>439388</v>
      </c>
      <c r="M2565" s="12" t="s">
        <v>128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1099.43</v>
      </c>
      <c r="W2565" s="13" t="n">
        <v>0</v>
      </c>
      <c r="X2565" s="12" t="s">
        <v>2775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46251</v>
      </c>
      <c r="C2566" s="11" t="n">
        <v>46276</v>
      </c>
      <c r="D2566" s="10" t="n">
        <v>1636</v>
      </c>
      <c r="E2566" s="12" t="s">
        <v>68</v>
      </c>
      <c r="F2566" s="10" t="n">
        <v>24</v>
      </c>
      <c r="G2566" s="12" t="s">
        <v>32</v>
      </c>
      <c r="H2566" s="10" t="n">
        <v>2110405</v>
      </c>
      <c r="I2566" s="12" t="s">
        <v>83</v>
      </c>
      <c r="J2566" s="10" t="n">
        <v>1561678</v>
      </c>
      <c r="L2566" s="10" t="n">
        <v>3237032</v>
      </c>
      <c r="M2566" s="12" t="s">
        <v>34</v>
      </c>
      <c r="N2566" s="12" t="s">
        <v>42</v>
      </c>
      <c r="P2566" s="10" t="n">
        <v>103</v>
      </c>
      <c r="Q2566" s="12" t="s">
        <v>36</v>
      </c>
      <c r="R2566" s="12" t="s">
        <v>37</v>
      </c>
      <c r="S2566" s="10" t="n">
        <v>1130101</v>
      </c>
      <c r="T2566" s="12" t="s">
        <v>38</v>
      </c>
      <c r="U2566" s="13" t="n">
        <v>808.96</v>
      </c>
      <c r="W2566" s="13" t="n">
        <v>0</v>
      </c>
      <c r="X2566" s="12" t="s">
        <v>2776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46252</v>
      </c>
      <c r="C2567" s="11" t="n">
        <v>46276</v>
      </c>
      <c r="D2567" s="10" t="n">
        <v>1705</v>
      </c>
      <c r="E2567" s="12" t="s">
        <v>148</v>
      </c>
      <c r="F2567" s="10" t="n">
        <v>24</v>
      </c>
      <c r="G2567" s="12" t="s">
        <v>32</v>
      </c>
      <c r="H2567" s="10" t="n">
        <v>2110405</v>
      </c>
      <c r="I2567" s="12" t="s">
        <v>83</v>
      </c>
      <c r="J2567" s="10" t="n">
        <v>1566336</v>
      </c>
      <c r="L2567" s="10" t="n">
        <v>1250843</v>
      </c>
      <c r="M2567" s="12" t="s">
        <v>41</v>
      </c>
      <c r="N2567" s="12" t="s">
        <v>42</v>
      </c>
      <c r="P2567" s="10" t="n">
        <v>103</v>
      </c>
      <c r="Q2567" s="12" t="s">
        <v>36</v>
      </c>
      <c r="R2567" s="12" t="s">
        <v>37</v>
      </c>
      <c r="S2567" s="10" t="n">
        <v>1130101</v>
      </c>
      <c r="T2567" s="12" t="s">
        <v>38</v>
      </c>
      <c r="U2567" s="13" t="n">
        <v>128.51</v>
      </c>
      <c r="W2567" s="13" t="n">
        <v>0</v>
      </c>
      <c r="X2567" s="12" t="s">
        <v>2777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46253</v>
      </c>
      <c r="C2568" s="11" t="n">
        <v>46276</v>
      </c>
      <c r="D2568" s="10" t="n">
        <v>10017</v>
      </c>
      <c r="E2568" s="12" t="s">
        <v>753</v>
      </c>
      <c r="F2568" s="10" t="n">
        <v>24</v>
      </c>
      <c r="G2568" s="12" t="s">
        <v>32</v>
      </c>
      <c r="H2568" s="10" t="n">
        <v>2110405</v>
      </c>
      <c r="I2568" s="12" t="s">
        <v>83</v>
      </c>
      <c r="J2568" s="10" t="n">
        <v>1571575</v>
      </c>
      <c r="L2568" s="10" t="n">
        <v>195456</v>
      </c>
      <c r="M2568" s="12" t="s">
        <v>128</v>
      </c>
      <c r="N2568" s="12" t="s">
        <v>42</v>
      </c>
      <c r="P2568" s="10" t="n">
        <v>103</v>
      </c>
      <c r="Q2568" s="12" t="s">
        <v>36</v>
      </c>
      <c r="R2568" s="12" t="s">
        <v>37</v>
      </c>
      <c r="S2568" s="10" t="n">
        <v>1130101</v>
      </c>
      <c r="T2568" s="12" t="s">
        <v>38</v>
      </c>
      <c r="U2568" s="13" t="n">
        <v>792.22</v>
      </c>
      <c r="W2568" s="13" t="n">
        <v>0</v>
      </c>
      <c r="X2568" s="12" t="s">
        <v>2778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46254</v>
      </c>
      <c r="C2569" s="11" t="n">
        <v>46276</v>
      </c>
      <c r="D2569" s="10" t="n">
        <v>1699</v>
      </c>
      <c r="E2569" s="12" t="s">
        <v>371</v>
      </c>
      <c r="F2569" s="10" t="n">
        <v>24</v>
      </c>
      <c r="G2569" s="12" t="s">
        <v>32</v>
      </c>
      <c r="H2569" s="10" t="n">
        <v>2110405</v>
      </c>
      <c r="I2569" s="12" t="s">
        <v>83</v>
      </c>
      <c r="J2569" s="10" t="n">
        <v>1577971</v>
      </c>
      <c r="L2569" s="10" t="n">
        <v>311353</v>
      </c>
      <c r="M2569" s="12" t="s">
        <v>34</v>
      </c>
      <c r="N2569" s="12" t="s">
        <v>42</v>
      </c>
      <c r="P2569" s="10" t="n">
        <v>103</v>
      </c>
      <c r="Q2569" s="12" t="s">
        <v>36</v>
      </c>
      <c r="R2569" s="12" t="s">
        <v>37</v>
      </c>
      <c r="S2569" s="10" t="n">
        <v>1130101</v>
      </c>
      <c r="T2569" s="12" t="s">
        <v>38</v>
      </c>
      <c r="U2569" s="13" t="n">
        <v>633</v>
      </c>
      <c r="W2569" s="13" t="n">
        <v>0</v>
      </c>
      <c r="X2569" s="12" t="s">
        <v>2779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46255</v>
      </c>
      <c r="C2570" s="11" t="n">
        <v>46276</v>
      </c>
      <c r="D2570" s="10" t="n">
        <v>1634</v>
      </c>
      <c r="E2570" s="12" t="s">
        <v>2299</v>
      </c>
      <c r="F2570" s="10" t="n">
        <v>24</v>
      </c>
      <c r="G2570" s="12" t="s">
        <v>32</v>
      </c>
      <c r="H2570" s="10" t="n">
        <v>2110405</v>
      </c>
      <c r="I2570" s="12" t="s">
        <v>83</v>
      </c>
      <c r="J2570" s="10" t="n">
        <v>1582023</v>
      </c>
      <c r="L2570" s="10" t="n">
        <v>330734</v>
      </c>
      <c r="M2570" s="12" t="s">
        <v>34</v>
      </c>
      <c r="N2570" s="12" t="s">
        <v>42</v>
      </c>
      <c r="P2570" s="10" t="n">
        <v>103</v>
      </c>
      <c r="Q2570" s="12" t="s">
        <v>36</v>
      </c>
      <c r="R2570" s="12" t="s">
        <v>37</v>
      </c>
      <c r="S2570" s="10" t="n">
        <v>1130101</v>
      </c>
      <c r="T2570" s="12" t="s">
        <v>38</v>
      </c>
      <c r="U2570" s="13" t="n">
        <v>1232.16</v>
      </c>
      <c r="W2570" s="13" t="n">
        <v>0</v>
      </c>
      <c r="X2570" s="12" t="s">
        <v>2780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46256</v>
      </c>
      <c r="C2571" s="11" t="n">
        <v>46276</v>
      </c>
      <c r="D2571" s="10" t="n">
        <v>1659</v>
      </c>
      <c r="E2571" s="12" t="s">
        <v>54</v>
      </c>
      <c r="F2571" s="10" t="n">
        <v>24</v>
      </c>
      <c r="G2571" s="12" t="s">
        <v>32</v>
      </c>
      <c r="H2571" s="10" t="n">
        <v>2110405</v>
      </c>
      <c r="I2571" s="12" t="s">
        <v>83</v>
      </c>
      <c r="J2571" s="10" t="n">
        <v>1585364</v>
      </c>
      <c r="L2571" s="10" t="n">
        <v>891630</v>
      </c>
      <c r="M2571" s="12" t="s">
        <v>34</v>
      </c>
      <c r="N2571" s="12" t="s">
        <v>42</v>
      </c>
      <c r="P2571" s="10" t="n">
        <v>103</v>
      </c>
      <c r="Q2571" s="12" t="s">
        <v>36</v>
      </c>
      <c r="R2571" s="12" t="s">
        <v>37</v>
      </c>
      <c r="S2571" s="10" t="n">
        <v>1130101</v>
      </c>
      <c r="T2571" s="12" t="s">
        <v>38</v>
      </c>
      <c r="U2571" s="13" t="n">
        <v>1167.29</v>
      </c>
      <c r="W2571" s="13" t="n">
        <v>0</v>
      </c>
      <c r="X2571" s="12" t="s">
        <v>2781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46256</v>
      </c>
      <c r="C2572" s="11" t="n">
        <v>46276</v>
      </c>
      <c r="D2572" s="10" t="n">
        <v>1667</v>
      </c>
      <c r="E2572" s="12" t="s">
        <v>40</v>
      </c>
      <c r="F2572" s="10" t="n">
        <v>24</v>
      </c>
      <c r="G2572" s="12" t="s">
        <v>32</v>
      </c>
      <c r="H2572" s="10" t="n">
        <v>2110405</v>
      </c>
      <c r="I2572" s="12" t="s">
        <v>83</v>
      </c>
      <c r="J2572" s="10" t="n">
        <v>1585385</v>
      </c>
      <c r="L2572" s="10" t="n">
        <v>398654</v>
      </c>
      <c r="M2572" s="12" t="s">
        <v>34</v>
      </c>
      <c r="N2572" s="12" t="s">
        <v>42</v>
      </c>
      <c r="P2572" s="10" t="n">
        <v>103</v>
      </c>
      <c r="Q2572" s="12" t="s">
        <v>36</v>
      </c>
      <c r="R2572" s="12" t="s">
        <v>37</v>
      </c>
      <c r="S2572" s="10" t="n">
        <v>1130101</v>
      </c>
      <c r="T2572" s="12" t="s">
        <v>38</v>
      </c>
      <c r="U2572" s="13" t="n">
        <v>684.26</v>
      </c>
      <c r="W2572" s="13" t="n">
        <v>0</v>
      </c>
      <c r="X2572" s="12" t="s">
        <v>2782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46256</v>
      </c>
      <c r="C2573" s="11" t="n">
        <v>46276</v>
      </c>
      <c r="D2573" s="10" t="n">
        <v>1612</v>
      </c>
      <c r="E2573" s="12" t="s">
        <v>193</v>
      </c>
      <c r="F2573" s="10" t="n">
        <v>24</v>
      </c>
      <c r="G2573" s="12" t="s">
        <v>32</v>
      </c>
      <c r="H2573" s="10" t="n">
        <v>2110405</v>
      </c>
      <c r="I2573" s="12" t="s">
        <v>83</v>
      </c>
      <c r="J2573" s="10" t="n">
        <v>1586205</v>
      </c>
      <c r="L2573" s="10" t="n">
        <v>2312016</v>
      </c>
      <c r="M2573" s="12" t="s">
        <v>41</v>
      </c>
      <c r="N2573" s="12" t="s">
        <v>42</v>
      </c>
      <c r="P2573" s="10" t="n">
        <v>103</v>
      </c>
      <c r="Q2573" s="12" t="s">
        <v>36</v>
      </c>
      <c r="R2573" s="12" t="s">
        <v>37</v>
      </c>
      <c r="S2573" s="10" t="n">
        <v>1130101</v>
      </c>
      <c r="T2573" s="12" t="s">
        <v>38</v>
      </c>
      <c r="U2573" s="13" t="n">
        <v>734</v>
      </c>
      <c r="W2573" s="13" t="n">
        <v>0</v>
      </c>
      <c r="X2573" s="12" t="s">
        <v>2783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46241</v>
      </c>
      <c r="C2574" s="11" t="n">
        <v>46277</v>
      </c>
      <c r="D2574" s="10" t="n">
        <v>887</v>
      </c>
      <c r="E2574" s="12" t="s">
        <v>502</v>
      </c>
      <c r="F2574" s="10" t="n">
        <v>24</v>
      </c>
      <c r="G2574" s="12" t="s">
        <v>32</v>
      </c>
      <c r="H2574" s="10" t="n">
        <v>2110405</v>
      </c>
      <c r="I2574" s="12" t="s">
        <v>83</v>
      </c>
      <c r="J2574" s="10" t="n">
        <v>1514434</v>
      </c>
      <c r="L2574" s="10" t="n">
        <v>620151</v>
      </c>
      <c r="M2574" s="12" t="s">
        <v>34</v>
      </c>
      <c r="N2574" s="12" t="s">
        <v>42</v>
      </c>
      <c r="P2574" s="10" t="n">
        <v>101</v>
      </c>
      <c r="Q2574" s="12" t="s">
        <v>84</v>
      </c>
      <c r="R2574" s="12" t="s">
        <v>85</v>
      </c>
      <c r="S2574" s="10" t="n">
        <v>4210315</v>
      </c>
      <c r="T2574" s="12" t="s">
        <v>503</v>
      </c>
      <c r="U2574" s="13" t="n">
        <v>199.8</v>
      </c>
      <c r="W2574" s="13" t="n">
        <v>0</v>
      </c>
      <c r="X2574" s="12" t="s">
        <v>743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46251</v>
      </c>
      <c r="C2575" s="11" t="n">
        <v>46277</v>
      </c>
      <c r="D2575" s="10" t="n">
        <v>1636</v>
      </c>
      <c r="E2575" s="12" t="s">
        <v>68</v>
      </c>
      <c r="F2575" s="10" t="n">
        <v>24</v>
      </c>
      <c r="G2575" s="12" t="s">
        <v>32</v>
      </c>
      <c r="H2575" s="10" t="n">
        <v>2110405</v>
      </c>
      <c r="I2575" s="12" t="s">
        <v>83</v>
      </c>
      <c r="J2575" s="10" t="n">
        <v>1562357</v>
      </c>
      <c r="L2575" s="10" t="n">
        <v>3236815</v>
      </c>
      <c r="M2575" s="12" t="s">
        <v>41</v>
      </c>
      <c r="N2575" s="12" t="s">
        <v>42</v>
      </c>
      <c r="P2575" s="10" t="n">
        <v>103</v>
      </c>
      <c r="Q2575" s="12" t="s">
        <v>36</v>
      </c>
      <c r="R2575" s="12" t="s">
        <v>60</v>
      </c>
      <c r="S2575" s="10" t="n">
        <v>4210204</v>
      </c>
      <c r="T2575" s="12" t="s">
        <v>61</v>
      </c>
      <c r="U2575" s="13" t="n">
        <v>488.56</v>
      </c>
      <c r="W2575" s="13" t="n">
        <v>0</v>
      </c>
      <c r="X2575" s="12" t="s">
        <v>2784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46253</v>
      </c>
      <c r="C2576" s="11" t="n">
        <v>46277</v>
      </c>
      <c r="D2576" s="10" t="n">
        <v>1687</v>
      </c>
      <c r="E2576" s="12" t="s">
        <v>2785</v>
      </c>
      <c r="F2576" s="10" t="n">
        <v>24</v>
      </c>
      <c r="G2576" s="12" t="s">
        <v>32</v>
      </c>
      <c r="H2576" s="10" t="n">
        <v>2110405</v>
      </c>
      <c r="I2576" s="12" t="s">
        <v>83</v>
      </c>
      <c r="J2576" s="10" t="n">
        <v>1571287</v>
      </c>
      <c r="L2576" s="10" t="n">
        <v>248020</v>
      </c>
      <c r="M2576" s="12" t="s">
        <v>41</v>
      </c>
      <c r="N2576" s="12" t="s">
        <v>42</v>
      </c>
      <c r="P2576" s="10" t="n">
        <v>103</v>
      </c>
      <c r="Q2576" s="12" t="s">
        <v>36</v>
      </c>
      <c r="R2576" s="12" t="s">
        <v>37</v>
      </c>
      <c r="S2576" s="10" t="n">
        <v>1130101</v>
      </c>
      <c r="T2576" s="12" t="s">
        <v>38</v>
      </c>
      <c r="U2576" s="13" t="n">
        <v>875.7</v>
      </c>
      <c r="W2576" s="13" t="n">
        <v>0</v>
      </c>
      <c r="X2576" s="12" t="s">
        <v>2786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46277</v>
      </c>
      <c r="D2577" s="10" t="n">
        <v>1718</v>
      </c>
      <c r="E2577" s="12" t="s">
        <v>134</v>
      </c>
      <c r="F2577" s="10" t="n">
        <v>24</v>
      </c>
      <c r="G2577" s="12" t="s">
        <v>32</v>
      </c>
      <c r="H2577" s="10" t="n">
        <v>2110405</v>
      </c>
      <c r="I2577" s="12" t="s">
        <v>83</v>
      </c>
      <c r="J2577" s="10" t="n">
        <v>1581946</v>
      </c>
      <c r="L2577" s="10" t="n">
        <v>690674</v>
      </c>
      <c r="M2577" s="12" t="s">
        <v>34</v>
      </c>
      <c r="N2577" s="12" t="s">
        <v>42</v>
      </c>
      <c r="P2577" s="10" t="n">
        <v>103</v>
      </c>
      <c r="Q2577" s="12" t="s">
        <v>36</v>
      </c>
      <c r="R2577" s="12" t="s">
        <v>37</v>
      </c>
      <c r="S2577" s="10" t="n">
        <v>1130101</v>
      </c>
      <c r="T2577" s="12" t="s">
        <v>38</v>
      </c>
      <c r="U2577" s="13" t="n">
        <v>396.53</v>
      </c>
      <c r="W2577" s="13" t="n">
        <v>0</v>
      </c>
      <c r="X2577" s="12" t="s">
        <v>2787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46105</v>
      </c>
      <c r="C2578" s="11" t="n">
        <v>46278</v>
      </c>
      <c r="D2578" s="10" t="n">
        <v>10056</v>
      </c>
      <c r="E2578" s="12" t="s">
        <v>560</v>
      </c>
      <c r="F2578" s="10" t="n">
        <v>42</v>
      </c>
      <c r="G2578" s="12" t="s">
        <v>561</v>
      </c>
      <c r="H2578" s="10" t="n">
        <v>2110405</v>
      </c>
      <c r="I2578" s="12" t="s">
        <v>83</v>
      </c>
      <c r="J2578" s="10" t="n">
        <v>848843</v>
      </c>
      <c r="L2578" s="10" t="n">
        <v>363960</v>
      </c>
      <c r="M2578" s="12" t="s">
        <v>391</v>
      </c>
      <c r="N2578" s="12" t="s">
        <v>42</v>
      </c>
      <c r="P2578" s="10" t="n">
        <v>101</v>
      </c>
      <c r="Q2578" s="12" t="s">
        <v>84</v>
      </c>
      <c r="R2578" s="12" t="s">
        <v>91</v>
      </c>
      <c r="S2578" s="10" t="n">
        <v>4220199</v>
      </c>
      <c r="T2578" s="12" t="s">
        <v>92</v>
      </c>
      <c r="U2578" s="13" t="n">
        <v>333.35</v>
      </c>
      <c r="W2578" s="13" t="n">
        <v>0</v>
      </c>
      <c r="X2578" s="12" t="s">
        <v>562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46204</v>
      </c>
      <c r="C2579" s="11" t="n">
        <v>46278</v>
      </c>
      <c r="D2579" s="10" t="n">
        <v>607</v>
      </c>
      <c r="E2579" s="12" t="s">
        <v>182</v>
      </c>
      <c r="F2579" s="10" t="n">
        <v>24</v>
      </c>
      <c r="G2579" s="12" t="s">
        <v>32</v>
      </c>
      <c r="H2579" s="10" t="n">
        <v>2110101</v>
      </c>
      <c r="I2579" s="12" t="s">
        <v>33</v>
      </c>
      <c r="J2579" s="10" t="n">
        <v>1335231</v>
      </c>
      <c r="L2579" s="10" t="n">
        <v>11002</v>
      </c>
      <c r="M2579" s="12" t="s">
        <v>391</v>
      </c>
      <c r="N2579" s="12" t="s">
        <v>35</v>
      </c>
      <c r="P2579" s="10" t="n">
        <v>103</v>
      </c>
      <c r="Q2579" s="12" t="s">
        <v>36</v>
      </c>
      <c r="R2579" s="12" t="s">
        <v>37</v>
      </c>
      <c r="S2579" s="10" t="n">
        <v>1130101</v>
      </c>
      <c r="T2579" s="12" t="s">
        <v>38</v>
      </c>
      <c r="U2579" s="13" t="n">
        <v>1849.44</v>
      </c>
      <c r="W2579" s="13" t="n">
        <v>0</v>
      </c>
      <c r="X2579" s="12" t="s">
        <v>2788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46105</v>
      </c>
      <c r="C2580" s="11" t="n">
        <v>46278</v>
      </c>
      <c r="D2580" s="10" t="n">
        <v>10056</v>
      </c>
      <c r="E2580" s="12" t="s">
        <v>560</v>
      </c>
      <c r="F2580" s="10" t="n">
        <v>42</v>
      </c>
      <c r="G2580" s="12" t="s">
        <v>561</v>
      </c>
      <c r="H2580" s="10" t="n">
        <v>2110405</v>
      </c>
      <c r="I2580" s="12" t="s">
        <v>83</v>
      </c>
      <c r="J2580" s="10" t="n">
        <v>1514486</v>
      </c>
      <c r="L2580" s="10" t="n">
        <v>620165</v>
      </c>
      <c r="M2580" s="12" t="s">
        <v>34</v>
      </c>
      <c r="N2580" s="12" t="s">
        <v>42</v>
      </c>
      <c r="P2580" s="10" t="n">
        <v>101</v>
      </c>
      <c r="Q2580" s="12" t="s">
        <v>84</v>
      </c>
      <c r="R2580" s="12" t="s">
        <v>91</v>
      </c>
      <c r="S2580" s="10" t="n">
        <v>4220199</v>
      </c>
      <c r="T2580" s="12" t="s">
        <v>92</v>
      </c>
      <c r="U2580" s="13" t="n">
        <v>233.35</v>
      </c>
      <c r="W2580" s="13" t="n">
        <v>0</v>
      </c>
      <c r="X2580" s="12"/>
      <c r="Z2580" s="1" t="str">
        <f aca="false">IF($T2580="","",IFERROR(INDEX('Resumo Grupos'!$AC$3:$AC$200,MATCH($T2580,'Resumo Grupos'!$AB$3:$AB$200,0)),"n/d"))</f>
        <v>Pagamentos outros não operacionais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46254</v>
      </c>
      <c r="C2581" s="11" t="n">
        <v>46278</v>
      </c>
      <c r="D2581" s="10" t="n">
        <v>717</v>
      </c>
      <c r="E2581" s="12" t="s">
        <v>113</v>
      </c>
      <c r="F2581" s="10" t="n">
        <v>42</v>
      </c>
      <c r="G2581" s="12" t="s">
        <v>561</v>
      </c>
      <c r="H2581" s="10" t="n">
        <v>2110405</v>
      </c>
      <c r="I2581" s="12" t="s">
        <v>83</v>
      </c>
      <c r="J2581" s="10" t="n">
        <v>1577416</v>
      </c>
      <c r="L2581" s="10" t="n">
        <v>644308</v>
      </c>
      <c r="M2581" s="12" t="s">
        <v>41</v>
      </c>
      <c r="N2581" s="12" t="s">
        <v>42</v>
      </c>
      <c r="P2581" s="10" t="n">
        <v>101</v>
      </c>
      <c r="Q2581" s="12" t="s">
        <v>84</v>
      </c>
      <c r="R2581" s="12" t="s">
        <v>91</v>
      </c>
      <c r="S2581" s="10" t="n">
        <v>4220199</v>
      </c>
      <c r="T2581" s="12" t="s">
        <v>92</v>
      </c>
      <c r="U2581" s="13" t="n">
        <v>522.5</v>
      </c>
      <c r="W2581" s="13" t="n">
        <v>0</v>
      </c>
      <c r="X2581" s="12" t="s">
        <v>2789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46254</v>
      </c>
      <c r="C2582" s="11" t="n">
        <v>46278</v>
      </c>
      <c r="D2582" s="10" t="n">
        <v>717</v>
      </c>
      <c r="E2582" s="12" t="s">
        <v>113</v>
      </c>
      <c r="F2582" s="10" t="n">
        <v>42</v>
      </c>
      <c r="G2582" s="12" t="s">
        <v>561</v>
      </c>
      <c r="H2582" s="10" t="n">
        <v>2110405</v>
      </c>
      <c r="I2582" s="12" t="s">
        <v>83</v>
      </c>
      <c r="J2582" s="10" t="n">
        <v>1577427</v>
      </c>
      <c r="L2582" s="10" t="n">
        <v>644309</v>
      </c>
      <c r="M2582" s="12" t="s">
        <v>41</v>
      </c>
      <c r="N2582" s="12" t="s">
        <v>42</v>
      </c>
      <c r="P2582" s="10" t="n">
        <v>101</v>
      </c>
      <c r="Q2582" s="12" t="s">
        <v>84</v>
      </c>
      <c r="R2582" s="12" t="s">
        <v>60</v>
      </c>
      <c r="S2582" s="10" t="n">
        <v>4210222</v>
      </c>
      <c r="T2582" s="12" t="s">
        <v>1957</v>
      </c>
      <c r="U2582" s="13" t="n">
        <v>522.5</v>
      </c>
      <c r="W2582" s="13" t="n">
        <v>0</v>
      </c>
      <c r="X2582" s="12" t="s">
        <v>2790</v>
      </c>
      <c r="Z2582" s="1" t="str">
        <f aca="false">IF($T2582="","",IFERROR(INDEX('Resumo Grupos'!$AC$3:$AC$200,MATCH($T2582,'Resumo Grupos'!$AB$3:$AB$200,0)),"n/d"))</f>
        <v>Despesa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46255</v>
      </c>
      <c r="C2583" s="11" t="n">
        <v>46278</v>
      </c>
      <c r="D2583" s="10" t="n">
        <v>1711</v>
      </c>
      <c r="E2583" s="12" t="s">
        <v>535</v>
      </c>
      <c r="F2583" s="10" t="n">
        <v>24</v>
      </c>
      <c r="G2583" s="12" t="s">
        <v>32</v>
      </c>
      <c r="H2583" s="10" t="n">
        <v>2110405</v>
      </c>
      <c r="I2583" s="12" t="s">
        <v>83</v>
      </c>
      <c r="J2583" s="10" t="n">
        <v>1581907</v>
      </c>
      <c r="L2583" s="10" t="n">
        <v>160299</v>
      </c>
      <c r="M2583" s="12" t="s">
        <v>34</v>
      </c>
      <c r="N2583" s="12" t="s">
        <v>42</v>
      </c>
      <c r="P2583" s="10" t="n">
        <v>103</v>
      </c>
      <c r="Q2583" s="12" t="s">
        <v>36</v>
      </c>
      <c r="R2583" s="12" t="s">
        <v>37</v>
      </c>
      <c r="S2583" s="10" t="n">
        <v>1130101</v>
      </c>
      <c r="T2583" s="12" t="s">
        <v>38</v>
      </c>
      <c r="U2583" s="13" t="n">
        <v>1127.55</v>
      </c>
      <c r="W2583" s="13" t="n">
        <v>0</v>
      </c>
      <c r="X2583" s="12" t="s">
        <v>2791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</row>
    <row r="2584" customFormat="false" ht="12.75" hidden="false" customHeight="true" outlineLevel="0" collapsed="false">
      <c r="A2584" s="1" t="n">
        <v>1</v>
      </c>
      <c r="B2584" s="22" t="n">
        <v>46248</v>
      </c>
      <c r="C2584" s="22" t="n">
        <v>46279</v>
      </c>
      <c r="D2584" s="1" t="n">
        <v>1637</v>
      </c>
      <c r="E2584" s="1" t="s">
        <v>44</v>
      </c>
      <c r="F2584" s="1" t="n">
        <v>24</v>
      </c>
      <c r="G2584" s="1" t="s">
        <v>32</v>
      </c>
      <c r="H2584" s="1" t="n">
        <v>2110405</v>
      </c>
      <c r="I2584" s="1" t="s">
        <v>83</v>
      </c>
      <c r="J2584" s="1" t="n">
        <v>1545623</v>
      </c>
      <c r="L2584" s="1" t="n">
        <v>1917924</v>
      </c>
      <c r="M2584" s="1" t="s">
        <v>41</v>
      </c>
      <c r="N2584" s="1" t="s">
        <v>42</v>
      </c>
      <c r="P2584" s="1" t="n">
        <v>103</v>
      </c>
      <c r="Q2584" s="1" t="s">
        <v>36</v>
      </c>
      <c r="R2584" s="1" t="s">
        <v>37</v>
      </c>
      <c r="S2584" s="1" t="n">
        <v>1130101</v>
      </c>
      <c r="T2584" s="1" t="s">
        <v>38</v>
      </c>
      <c r="U2584" s="1" t="n">
        <v>868.6</v>
      </c>
      <c r="W2584" s="1" t="n">
        <v>0</v>
      </c>
      <c r="X2584" s="1" t="s">
        <v>2792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</row>
    <row r="2585" customFormat="false" ht="12.75" hidden="false" customHeight="true" outlineLevel="0" collapsed="false">
      <c r="A2585" s="1" t="n">
        <v>1</v>
      </c>
      <c r="B2585" s="22" t="n">
        <v>46248</v>
      </c>
      <c r="C2585" s="22" t="n">
        <v>46279</v>
      </c>
      <c r="D2585" s="1" t="n">
        <v>1637</v>
      </c>
      <c r="E2585" s="1" t="s">
        <v>44</v>
      </c>
      <c r="F2585" s="1" t="n">
        <v>24</v>
      </c>
      <c r="G2585" s="1" t="s">
        <v>32</v>
      </c>
      <c r="H2585" s="1" t="n">
        <v>2110405</v>
      </c>
      <c r="I2585" s="1" t="s">
        <v>83</v>
      </c>
      <c r="J2585" s="1" t="n">
        <v>1545748</v>
      </c>
      <c r="L2585" s="1" t="n">
        <v>1917927</v>
      </c>
      <c r="M2585" s="1" t="s">
        <v>41</v>
      </c>
      <c r="N2585" s="1" t="s">
        <v>42</v>
      </c>
      <c r="P2585" s="1" t="n">
        <v>103</v>
      </c>
      <c r="Q2585" s="1" t="s">
        <v>36</v>
      </c>
      <c r="R2585" s="1" t="s">
        <v>37</v>
      </c>
      <c r="S2585" s="1" t="n">
        <v>1130101</v>
      </c>
      <c r="T2585" s="1" t="s">
        <v>38</v>
      </c>
      <c r="U2585" s="1" t="n">
        <v>428.17</v>
      </c>
      <c r="W2585" s="1" t="n">
        <v>0</v>
      </c>
      <c r="X2585" s="1" t="s">
        <v>2793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</row>
    <row r="2586" customFormat="false" ht="12.75" hidden="false" customHeight="true" outlineLevel="0" collapsed="false">
      <c r="A2586" s="1" t="n">
        <v>1</v>
      </c>
      <c r="B2586" s="22" t="n">
        <v>46248</v>
      </c>
      <c r="C2586" s="22" t="n">
        <v>46279</v>
      </c>
      <c r="D2586" s="1" t="n">
        <v>1699</v>
      </c>
      <c r="E2586" s="1" t="s">
        <v>371</v>
      </c>
      <c r="F2586" s="1" t="n">
        <v>24</v>
      </c>
      <c r="G2586" s="1" t="s">
        <v>32</v>
      </c>
      <c r="H2586" s="1" t="n">
        <v>2110405</v>
      </c>
      <c r="I2586" s="1" t="s">
        <v>83</v>
      </c>
      <c r="J2586" s="1" t="n">
        <v>1545933</v>
      </c>
      <c r="L2586" s="1" t="n">
        <v>311117</v>
      </c>
      <c r="M2586" s="1" t="s">
        <v>128</v>
      </c>
      <c r="N2586" s="1" t="s">
        <v>42</v>
      </c>
      <c r="P2586" s="1" t="n">
        <v>103</v>
      </c>
      <c r="Q2586" s="1" t="s">
        <v>36</v>
      </c>
      <c r="R2586" s="1" t="s">
        <v>37</v>
      </c>
      <c r="S2586" s="1" t="n">
        <v>1130101</v>
      </c>
      <c r="T2586" s="1" t="s">
        <v>38</v>
      </c>
      <c r="U2586" s="1" t="n">
        <v>1256.36</v>
      </c>
      <c r="W2586" s="1" t="n">
        <v>0</v>
      </c>
      <c r="X2586" s="1" t="s">
        <v>2794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</row>
    <row r="2587" customFormat="false" ht="12.75" hidden="false" customHeight="true" outlineLevel="0" collapsed="false">
      <c r="A2587" s="1" t="n">
        <v>1</v>
      </c>
      <c r="B2587" s="22" t="n">
        <v>46252</v>
      </c>
      <c r="C2587" s="22" t="n">
        <v>46279</v>
      </c>
      <c r="D2587" s="1" t="n">
        <v>1921</v>
      </c>
      <c r="E2587" s="1" t="s">
        <v>238</v>
      </c>
      <c r="F2587" s="1" t="n">
        <v>24</v>
      </c>
      <c r="G2587" s="1" t="s">
        <v>32</v>
      </c>
      <c r="H2587" s="1" t="n">
        <v>2110405</v>
      </c>
      <c r="I2587" s="1" t="s">
        <v>83</v>
      </c>
      <c r="J2587" s="1" t="n">
        <v>1568268</v>
      </c>
      <c r="L2587" s="1" t="n">
        <v>21280</v>
      </c>
      <c r="M2587" s="1" t="s">
        <v>34</v>
      </c>
      <c r="N2587" s="1" t="s">
        <v>42</v>
      </c>
      <c r="P2587" s="1" t="n">
        <v>103</v>
      </c>
      <c r="Q2587" s="1" t="s">
        <v>36</v>
      </c>
      <c r="R2587" s="1" t="s">
        <v>37</v>
      </c>
      <c r="S2587" s="1" t="n">
        <v>1130101</v>
      </c>
      <c r="T2587" s="1" t="s">
        <v>38</v>
      </c>
      <c r="U2587" s="1" t="n">
        <v>677.63</v>
      </c>
      <c r="W2587" s="1" t="n">
        <v>0</v>
      </c>
      <c r="X2587" s="1" t="s">
        <v>2795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12.75" hidden="false" customHeight="true" outlineLevel="0" collapsed="false">
      <c r="A2588" s="1" t="n">
        <v>1</v>
      </c>
      <c r="B2588" s="22" t="n">
        <v>46253</v>
      </c>
      <c r="C2588" s="22" t="n">
        <v>46279</v>
      </c>
      <c r="D2588" s="1" t="n">
        <v>1637</v>
      </c>
      <c r="E2588" s="1" t="s">
        <v>44</v>
      </c>
      <c r="F2588" s="1" t="n">
        <v>24</v>
      </c>
      <c r="G2588" s="1" t="s">
        <v>32</v>
      </c>
      <c r="H2588" s="1" t="n">
        <v>2110405</v>
      </c>
      <c r="I2588" s="1" t="s">
        <v>83</v>
      </c>
      <c r="J2588" s="1" t="n">
        <v>1570693</v>
      </c>
      <c r="L2588" s="1" t="n">
        <v>1921244</v>
      </c>
      <c r="M2588" s="1" t="s">
        <v>41</v>
      </c>
      <c r="N2588" s="1" t="s">
        <v>42</v>
      </c>
      <c r="P2588" s="1" t="n">
        <v>103</v>
      </c>
      <c r="Q2588" s="1" t="s">
        <v>36</v>
      </c>
      <c r="R2588" s="1" t="s">
        <v>37</v>
      </c>
      <c r="S2588" s="1" t="n">
        <v>1130101</v>
      </c>
      <c r="T2588" s="1" t="s">
        <v>38</v>
      </c>
      <c r="U2588" s="1" t="n">
        <v>1096.94</v>
      </c>
      <c r="W2588" s="1" t="n">
        <v>0</v>
      </c>
      <c r="X2588" s="1" t="s">
        <v>2796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</row>
    <row r="2589" customFormat="false" ht="12.75" hidden="false" customHeight="true" outlineLevel="0" collapsed="false">
      <c r="A2589" s="1" t="n">
        <v>1</v>
      </c>
      <c r="B2589" s="22" t="n">
        <v>46254</v>
      </c>
      <c r="C2589" s="22" t="n">
        <v>46279</v>
      </c>
      <c r="D2589" s="1" t="n">
        <v>1626</v>
      </c>
      <c r="E2589" s="1" t="s">
        <v>40</v>
      </c>
      <c r="F2589" s="1" t="n">
        <v>24</v>
      </c>
      <c r="G2589" s="1" t="s">
        <v>32</v>
      </c>
      <c r="H2589" s="1" t="n">
        <v>2110405</v>
      </c>
      <c r="I2589" s="1" t="s">
        <v>83</v>
      </c>
      <c r="J2589" s="1" t="n">
        <v>1575983</v>
      </c>
      <c r="L2589" s="1" t="n">
        <v>317365</v>
      </c>
      <c r="M2589" s="1" t="s">
        <v>128</v>
      </c>
      <c r="N2589" s="1" t="s">
        <v>42</v>
      </c>
      <c r="P2589" s="1" t="n">
        <v>103</v>
      </c>
      <c r="Q2589" s="1" t="s">
        <v>36</v>
      </c>
      <c r="R2589" s="1" t="s">
        <v>37</v>
      </c>
      <c r="S2589" s="1" t="n">
        <v>1130101</v>
      </c>
      <c r="T2589" s="1" t="s">
        <v>38</v>
      </c>
      <c r="U2589" s="1" t="n">
        <v>989.33</v>
      </c>
      <c r="W2589" s="1" t="n">
        <v>0</v>
      </c>
      <c r="X2589" s="1" t="s">
        <v>2797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</row>
    <row r="2590" customFormat="false" ht="12.75" hidden="false" customHeight="true" outlineLevel="0" collapsed="false">
      <c r="A2590" s="1" t="n">
        <v>1</v>
      </c>
      <c r="B2590" s="22" t="n">
        <v>46255</v>
      </c>
      <c r="C2590" s="22" t="n">
        <v>46279</v>
      </c>
      <c r="D2590" s="1" t="n">
        <v>1616</v>
      </c>
      <c r="E2590" s="1" t="s">
        <v>517</v>
      </c>
      <c r="F2590" s="1" t="n">
        <v>24</v>
      </c>
      <c r="G2590" s="1" t="s">
        <v>32</v>
      </c>
      <c r="H2590" s="1" t="n">
        <v>2110405</v>
      </c>
      <c r="I2590" s="1" t="s">
        <v>83</v>
      </c>
      <c r="J2590" s="1" t="n">
        <v>1580851</v>
      </c>
      <c r="L2590" s="1" t="n">
        <v>654912</v>
      </c>
      <c r="M2590" s="1" t="s">
        <v>128</v>
      </c>
      <c r="N2590" s="1" t="s">
        <v>42</v>
      </c>
      <c r="P2590" s="1" t="n">
        <v>103</v>
      </c>
      <c r="Q2590" s="1" t="s">
        <v>36</v>
      </c>
      <c r="R2590" s="1" t="s">
        <v>37</v>
      </c>
      <c r="S2590" s="1" t="n">
        <v>1130101</v>
      </c>
      <c r="T2590" s="1" t="s">
        <v>38</v>
      </c>
      <c r="U2590" s="1" t="n">
        <v>573.72</v>
      </c>
      <c r="W2590" s="1" t="n">
        <v>0</v>
      </c>
      <c r="X2590" s="1" t="s">
        <v>2798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" t="n">
        <v>1</v>
      </c>
      <c r="B2591" s="22" t="n">
        <v>46255</v>
      </c>
      <c r="C2591" s="22" t="n">
        <v>46279</v>
      </c>
      <c r="D2591" s="1" t="n">
        <v>1616</v>
      </c>
      <c r="E2591" s="1" t="s">
        <v>517</v>
      </c>
      <c r="F2591" s="1" t="n">
        <v>24</v>
      </c>
      <c r="G2591" s="1" t="s">
        <v>32</v>
      </c>
      <c r="H2591" s="1" t="n">
        <v>2110405</v>
      </c>
      <c r="I2591" s="1" t="s">
        <v>83</v>
      </c>
      <c r="J2591" s="1" t="n">
        <v>1581039</v>
      </c>
      <c r="L2591" s="1" t="n">
        <v>654913</v>
      </c>
      <c r="M2591" s="1" t="s">
        <v>128</v>
      </c>
      <c r="N2591" s="1" t="s">
        <v>42</v>
      </c>
      <c r="P2591" s="1" t="n">
        <v>103</v>
      </c>
      <c r="Q2591" s="1" t="s">
        <v>36</v>
      </c>
      <c r="R2591" s="1" t="s">
        <v>37</v>
      </c>
      <c r="S2591" s="1" t="n">
        <v>1130101</v>
      </c>
      <c r="T2591" s="1" t="s">
        <v>38</v>
      </c>
      <c r="U2591" s="1" t="n">
        <v>759.74</v>
      </c>
      <c r="W2591" s="1" t="n">
        <v>0</v>
      </c>
      <c r="X2591" s="1" t="s">
        <v>2799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</row>
    <row r="2592" customFormat="false" ht="12.75" hidden="false" customHeight="true" outlineLevel="0" collapsed="false">
      <c r="A2592" s="1" t="n">
        <v>1</v>
      </c>
      <c r="B2592" s="22" t="n">
        <v>46255</v>
      </c>
      <c r="C2592" s="22" t="n">
        <v>46279</v>
      </c>
      <c r="D2592" s="1" t="n">
        <v>10037</v>
      </c>
      <c r="E2592" s="1" t="s">
        <v>540</v>
      </c>
      <c r="F2592" s="1" t="n">
        <v>24</v>
      </c>
      <c r="G2592" s="1" t="s">
        <v>32</v>
      </c>
      <c r="H2592" s="1" t="n">
        <v>2110405</v>
      </c>
      <c r="I2592" s="1" t="s">
        <v>83</v>
      </c>
      <c r="J2592" s="1" t="n">
        <v>1581853</v>
      </c>
      <c r="L2592" s="1" t="n">
        <v>3216</v>
      </c>
      <c r="M2592" s="1" t="s">
        <v>34</v>
      </c>
      <c r="N2592" s="1" t="s">
        <v>42</v>
      </c>
      <c r="P2592" s="1" t="n">
        <v>103</v>
      </c>
      <c r="Q2592" s="1" t="s">
        <v>36</v>
      </c>
      <c r="R2592" s="1" t="s">
        <v>37</v>
      </c>
      <c r="S2592" s="1" t="n">
        <v>1130101</v>
      </c>
      <c r="T2592" s="1" t="s">
        <v>38</v>
      </c>
      <c r="U2592" s="1" t="n">
        <v>733.07</v>
      </c>
      <c r="W2592" s="1" t="n">
        <v>0</v>
      </c>
      <c r="X2592" s="1" t="s">
        <v>2800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" t="n">
        <v>1</v>
      </c>
      <c r="B2593" s="22" t="n">
        <v>46255</v>
      </c>
      <c r="C2593" s="22" t="n">
        <v>46279</v>
      </c>
      <c r="D2593" s="1" t="n">
        <v>10037</v>
      </c>
      <c r="E2593" s="1" t="s">
        <v>540</v>
      </c>
      <c r="F2593" s="1" t="n">
        <v>24</v>
      </c>
      <c r="G2593" s="1" t="s">
        <v>32</v>
      </c>
      <c r="H2593" s="1" t="n">
        <v>2110405</v>
      </c>
      <c r="I2593" s="1" t="s">
        <v>83</v>
      </c>
      <c r="J2593" s="1" t="n">
        <v>1581875</v>
      </c>
      <c r="L2593" s="1" t="n">
        <v>3215</v>
      </c>
      <c r="M2593" s="1" t="s">
        <v>34</v>
      </c>
      <c r="N2593" s="1" t="s">
        <v>42</v>
      </c>
      <c r="P2593" s="1" t="n">
        <v>103</v>
      </c>
      <c r="Q2593" s="1" t="s">
        <v>36</v>
      </c>
      <c r="R2593" s="1" t="s">
        <v>37</v>
      </c>
      <c r="S2593" s="1" t="n">
        <v>1130101</v>
      </c>
      <c r="T2593" s="1" t="s">
        <v>38</v>
      </c>
      <c r="U2593" s="1" t="n">
        <v>477.65</v>
      </c>
      <c r="W2593" s="1" t="n">
        <v>0</v>
      </c>
      <c r="X2593" s="1" t="s">
        <v>2801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" t="n">
        <v>1</v>
      </c>
      <c r="B2594" s="22" t="n">
        <v>46255</v>
      </c>
      <c r="C2594" s="22" t="n">
        <v>46279</v>
      </c>
      <c r="D2594" s="1" t="n">
        <v>10014</v>
      </c>
      <c r="E2594" s="1" t="s">
        <v>379</v>
      </c>
      <c r="F2594" s="1" t="n">
        <v>24</v>
      </c>
      <c r="G2594" s="1" t="s">
        <v>32</v>
      </c>
      <c r="H2594" s="1" t="n">
        <v>2110405</v>
      </c>
      <c r="I2594" s="1" t="s">
        <v>83</v>
      </c>
      <c r="J2594" s="1" t="n">
        <v>1581921</v>
      </c>
      <c r="L2594" s="1" t="n">
        <v>3582</v>
      </c>
      <c r="M2594" s="1" t="s">
        <v>34</v>
      </c>
      <c r="N2594" s="1" t="s">
        <v>42</v>
      </c>
      <c r="P2594" s="1" t="n">
        <v>103</v>
      </c>
      <c r="Q2594" s="1" t="s">
        <v>36</v>
      </c>
      <c r="R2594" s="1" t="s">
        <v>37</v>
      </c>
      <c r="S2594" s="1" t="n">
        <v>1130101</v>
      </c>
      <c r="T2594" s="1" t="s">
        <v>38</v>
      </c>
      <c r="U2594" s="1" t="n">
        <v>651.32</v>
      </c>
      <c r="W2594" s="1" t="n">
        <v>0</v>
      </c>
      <c r="X2594" s="1" t="s">
        <v>2802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</row>
    <row r="2595" customFormat="false" ht="12.75" hidden="false" customHeight="true" outlineLevel="0" collapsed="false">
      <c r="A2595" s="1" t="n">
        <v>1</v>
      </c>
      <c r="B2595" s="22" t="n">
        <v>46256</v>
      </c>
      <c r="C2595" s="22" t="n">
        <v>46279</v>
      </c>
      <c r="D2595" s="1" t="n">
        <v>1739</v>
      </c>
      <c r="E2595" s="1" t="s">
        <v>1296</v>
      </c>
      <c r="F2595" s="1" t="n">
        <v>24</v>
      </c>
      <c r="G2595" s="1" t="s">
        <v>32</v>
      </c>
      <c r="H2595" s="1" t="n">
        <v>2110405</v>
      </c>
      <c r="I2595" s="1" t="s">
        <v>83</v>
      </c>
      <c r="J2595" s="1" t="n">
        <v>1585194</v>
      </c>
      <c r="L2595" s="1" t="n">
        <v>255211</v>
      </c>
      <c r="M2595" s="1" t="s">
        <v>128</v>
      </c>
      <c r="N2595" s="1" t="s">
        <v>42</v>
      </c>
      <c r="P2595" s="1" t="n">
        <v>103</v>
      </c>
      <c r="Q2595" s="1" t="s">
        <v>36</v>
      </c>
      <c r="R2595" s="1" t="s">
        <v>37</v>
      </c>
      <c r="S2595" s="1" t="n">
        <v>1130101</v>
      </c>
      <c r="T2595" s="1" t="s">
        <v>38</v>
      </c>
      <c r="U2595" s="1" t="n">
        <v>614.06</v>
      </c>
      <c r="W2595" s="1" t="n">
        <v>0</v>
      </c>
      <c r="X2595" s="1" t="s">
        <v>2803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</row>
    <row r="2596" customFormat="false" ht="12.75" hidden="false" customHeight="true" outlineLevel="0" collapsed="false">
      <c r="A2596" s="1" t="n">
        <v>1</v>
      </c>
      <c r="B2596" s="22" t="n">
        <v>46097</v>
      </c>
      <c r="C2596" s="22" t="n">
        <v>46280</v>
      </c>
      <c r="D2596" s="1" t="n">
        <v>1867</v>
      </c>
      <c r="E2596" s="1" t="s">
        <v>579</v>
      </c>
      <c r="F2596" s="1" t="n">
        <v>24</v>
      </c>
      <c r="G2596" s="1" t="s">
        <v>32</v>
      </c>
      <c r="H2596" s="1" t="n">
        <v>2110405</v>
      </c>
      <c r="I2596" s="1" t="s">
        <v>83</v>
      </c>
      <c r="J2596" s="1" t="n">
        <v>809298</v>
      </c>
      <c r="L2596" s="1" t="n">
        <v>100914</v>
      </c>
      <c r="M2596" s="1" t="s">
        <v>1696</v>
      </c>
      <c r="N2596" s="1" t="s">
        <v>42</v>
      </c>
      <c r="P2596" s="1" t="n">
        <v>101</v>
      </c>
      <c r="Q2596" s="1" t="s">
        <v>84</v>
      </c>
      <c r="R2596" s="1" t="s">
        <v>580</v>
      </c>
      <c r="S2596" s="1" t="n">
        <v>4210401</v>
      </c>
      <c r="T2596" s="1" t="s">
        <v>581</v>
      </c>
      <c r="U2596" s="1" t="n">
        <v>134.55</v>
      </c>
      <c r="W2596" s="1" t="n">
        <v>0</v>
      </c>
      <c r="X2596" s="1" t="s">
        <v>2804</v>
      </c>
      <c r="Z2596" s="1" t="str">
        <f aca="false">IF($T2596="","",IFERROR(INDEX('Resumo Grupos'!$AC$3:$AC$200,MATCH($T2596,'Resumo Grupos'!$AB$3:$AB$200,0)),"n/d"))</f>
        <v>Impostos</v>
      </c>
      <c r="AA2596" s="1" t="str">
        <f aca="false">IF($T2596="","",IF(COUNTIF('Resumo Grupos'!$AE$3:$AE$40,$T2596)&gt;0,"NAO","SIM"))</f>
        <v>SIM</v>
      </c>
    </row>
    <row r="2597" customFormat="false" ht="12.75" hidden="false" customHeight="true" outlineLevel="0" collapsed="false">
      <c r="A2597" s="1" t="n">
        <v>1</v>
      </c>
      <c r="B2597" s="22" t="n">
        <v>46097</v>
      </c>
      <c r="C2597" s="22" t="n">
        <v>46280</v>
      </c>
      <c r="D2597" s="1" t="n">
        <v>1867</v>
      </c>
      <c r="E2597" s="1" t="s">
        <v>579</v>
      </c>
      <c r="F2597" s="1" t="n">
        <v>24</v>
      </c>
      <c r="G2597" s="1" t="s">
        <v>32</v>
      </c>
      <c r="H2597" s="1" t="n">
        <v>2110405</v>
      </c>
      <c r="I2597" s="1" t="s">
        <v>83</v>
      </c>
      <c r="J2597" s="1" t="n">
        <v>809315</v>
      </c>
      <c r="L2597" s="1" t="n">
        <v>100910</v>
      </c>
      <c r="M2597" s="1" t="s">
        <v>1696</v>
      </c>
      <c r="N2597" s="1" t="s">
        <v>42</v>
      </c>
      <c r="P2597" s="1" t="n">
        <v>101</v>
      </c>
      <c r="Q2597" s="1" t="s">
        <v>84</v>
      </c>
      <c r="R2597" s="1" t="s">
        <v>580</v>
      </c>
      <c r="S2597" s="1" t="n">
        <v>4210401</v>
      </c>
      <c r="T2597" s="1" t="s">
        <v>581</v>
      </c>
      <c r="U2597" s="1" t="n">
        <v>185.89</v>
      </c>
      <c r="W2597" s="1" t="n">
        <v>0</v>
      </c>
      <c r="X2597" s="1" t="s">
        <v>2805</v>
      </c>
      <c r="Z2597" s="1" t="str">
        <f aca="false">IF($T2597="","",IFERROR(INDEX('Resumo Grupos'!$AC$3:$AC$200,MATCH($T2597,'Resumo Grupos'!$AB$3:$AB$200,0)),"n/d"))</f>
        <v>Impostos</v>
      </c>
      <c r="AA2597" s="1" t="str">
        <f aca="false">IF($T2597="","",IF(COUNTIF('Resumo Grupos'!$AE$3:$AE$40,$T2597)&gt;0,"NAO","SIM"))</f>
        <v>SIM</v>
      </c>
    </row>
    <row r="2598" customFormat="false" ht="12.75" hidden="false" customHeight="true" outlineLevel="0" collapsed="false">
      <c r="A2598" s="1" t="n">
        <v>1</v>
      </c>
      <c r="B2598" s="22" t="n">
        <v>46097</v>
      </c>
      <c r="C2598" s="22" t="n">
        <v>46280</v>
      </c>
      <c r="D2598" s="1" t="n">
        <v>17</v>
      </c>
      <c r="E2598" s="1" t="s">
        <v>94</v>
      </c>
      <c r="F2598" s="1" t="n">
        <v>24</v>
      </c>
      <c r="G2598" s="1" t="s">
        <v>32</v>
      </c>
      <c r="H2598" s="1" t="n">
        <v>2110405</v>
      </c>
      <c r="I2598" s="1" t="s">
        <v>83</v>
      </c>
      <c r="J2598" s="1" t="n">
        <v>809413</v>
      </c>
      <c r="L2598" s="1" t="n">
        <v>2115476</v>
      </c>
      <c r="M2598" s="1" t="s">
        <v>1696</v>
      </c>
      <c r="N2598" s="1" t="s">
        <v>42</v>
      </c>
      <c r="P2598" s="1" t="n">
        <v>101</v>
      </c>
      <c r="Q2598" s="1" t="s">
        <v>84</v>
      </c>
      <c r="R2598" s="1" t="s">
        <v>91</v>
      </c>
      <c r="S2598" s="1" t="n">
        <v>4220199</v>
      </c>
      <c r="T2598" s="1" t="s">
        <v>92</v>
      </c>
      <c r="U2598" s="1" t="n">
        <v>102.14</v>
      </c>
      <c r="W2598" s="1" t="n">
        <v>0</v>
      </c>
      <c r="X2598" s="1" t="s">
        <v>584</v>
      </c>
      <c r="Z2598" s="1" t="str">
        <f aca="false">IF($T2598="","",IFERROR(INDEX('Resumo Grupos'!$AC$3:$AC$200,MATCH($T2598,'Resumo Grupos'!$AB$3:$AB$200,0)),"n/d"))</f>
        <v>Pagamentos outros não operacionais</v>
      </c>
      <c r="AA2598" s="1" t="str">
        <f aca="false">IF($T2598="","",IF(COUNTIF('Resumo Grupos'!$AE$3:$AE$40,$T2598)&gt;0,"NAO","SIM"))</f>
        <v>SIM</v>
      </c>
    </row>
    <row r="2599" customFormat="false" ht="12.75" hidden="false" customHeight="true" outlineLevel="0" collapsed="false">
      <c r="A2599" s="1" t="n">
        <v>1</v>
      </c>
      <c r="B2599" s="22" t="n">
        <v>46234</v>
      </c>
      <c r="C2599" s="22" t="n">
        <v>46280</v>
      </c>
      <c r="D2599" s="1" t="n">
        <v>513</v>
      </c>
      <c r="E2599" s="1" t="s">
        <v>597</v>
      </c>
      <c r="F2599" s="1" t="n">
        <v>24</v>
      </c>
      <c r="G2599" s="1" t="s">
        <v>32</v>
      </c>
      <c r="H2599" s="1" t="n">
        <v>2110405</v>
      </c>
      <c r="I2599" s="1" t="s">
        <v>83</v>
      </c>
      <c r="J2599" s="1" t="n">
        <v>1478026</v>
      </c>
      <c r="L2599" s="1" t="n">
        <v>607111</v>
      </c>
      <c r="M2599" s="1" t="s">
        <v>34</v>
      </c>
      <c r="N2599" s="1" t="s">
        <v>42</v>
      </c>
      <c r="P2599" s="1" t="n">
        <v>101</v>
      </c>
      <c r="Q2599" s="1" t="s">
        <v>84</v>
      </c>
      <c r="R2599" s="1" t="s">
        <v>85</v>
      </c>
      <c r="S2599" s="1" t="n">
        <v>4210315</v>
      </c>
      <c r="T2599" s="1" t="s">
        <v>503</v>
      </c>
      <c r="U2599" s="1" t="n">
        <v>179.32</v>
      </c>
      <c r="W2599" s="1" t="n">
        <v>0</v>
      </c>
      <c r="X2599" s="1" t="s">
        <v>2287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12.75" hidden="false" customHeight="true" outlineLevel="0" collapsed="false">
      <c r="A2600" s="1" t="n">
        <v>1</v>
      </c>
      <c r="B2600" s="22" t="n">
        <v>46248</v>
      </c>
      <c r="C2600" s="22" t="n">
        <v>46280</v>
      </c>
      <c r="D2600" s="1" t="n">
        <v>1637</v>
      </c>
      <c r="E2600" s="1" t="s">
        <v>44</v>
      </c>
      <c r="F2600" s="1" t="n">
        <v>24</v>
      </c>
      <c r="G2600" s="1" t="s">
        <v>32</v>
      </c>
      <c r="H2600" s="1" t="n">
        <v>2110405</v>
      </c>
      <c r="I2600" s="1" t="s">
        <v>83</v>
      </c>
      <c r="J2600" s="1" t="n">
        <v>1545833</v>
      </c>
      <c r="L2600" s="1" t="n">
        <v>1919061</v>
      </c>
      <c r="M2600" s="1" t="s">
        <v>41</v>
      </c>
      <c r="N2600" s="1" t="s">
        <v>42</v>
      </c>
      <c r="P2600" s="1" t="n">
        <v>103</v>
      </c>
      <c r="Q2600" s="1" t="s">
        <v>36</v>
      </c>
      <c r="R2600" s="1" t="s">
        <v>37</v>
      </c>
      <c r="S2600" s="1" t="n">
        <v>1130101</v>
      </c>
      <c r="T2600" s="1" t="s">
        <v>38</v>
      </c>
      <c r="U2600" s="1" t="n">
        <v>1800.08</v>
      </c>
      <c r="W2600" s="1" t="n">
        <v>0</v>
      </c>
      <c r="X2600" s="1" t="s">
        <v>2806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</row>
    <row r="2601" customFormat="false" ht="12.75" hidden="false" customHeight="true" outlineLevel="0" collapsed="false">
      <c r="A2601" s="1" t="n">
        <v>1</v>
      </c>
      <c r="B2601" s="22" t="n">
        <v>46255</v>
      </c>
      <c r="C2601" s="22" t="n">
        <v>46280</v>
      </c>
      <c r="D2601" s="1" t="n">
        <v>1078</v>
      </c>
      <c r="E2601" s="1" t="s">
        <v>57</v>
      </c>
      <c r="F2601" s="1" t="n">
        <v>24</v>
      </c>
      <c r="G2601" s="1" t="s">
        <v>32</v>
      </c>
      <c r="H2601" s="1" t="n">
        <v>2110405</v>
      </c>
      <c r="I2601" s="1" t="s">
        <v>83</v>
      </c>
      <c r="J2601" s="1" t="n">
        <v>1580469</v>
      </c>
      <c r="L2601" s="1" t="n">
        <v>30750</v>
      </c>
      <c r="M2601" s="1" t="s">
        <v>41</v>
      </c>
      <c r="N2601" s="1" t="s">
        <v>42</v>
      </c>
      <c r="P2601" s="1" t="n">
        <v>103</v>
      </c>
      <c r="Q2601" s="1" t="s">
        <v>36</v>
      </c>
      <c r="R2601" s="1" t="s">
        <v>37</v>
      </c>
      <c r="S2601" s="1" t="n">
        <v>1130101</v>
      </c>
      <c r="T2601" s="1" t="s">
        <v>38</v>
      </c>
      <c r="U2601" s="1" t="n">
        <v>738.09</v>
      </c>
      <c r="W2601" s="1" t="n">
        <v>0</v>
      </c>
      <c r="X2601" s="1" t="s">
        <v>2807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</row>
    <row r="2602" customFormat="false" ht="12.75" hidden="false" customHeight="true" outlineLevel="0" collapsed="false">
      <c r="A2602" s="1" t="n">
        <v>1</v>
      </c>
      <c r="B2602" s="22" t="n">
        <v>46255</v>
      </c>
      <c r="C2602" s="22" t="n">
        <v>46280</v>
      </c>
      <c r="D2602" s="1" t="n">
        <v>1668</v>
      </c>
      <c r="E2602" s="1" t="s">
        <v>57</v>
      </c>
      <c r="F2602" s="1" t="n">
        <v>24</v>
      </c>
      <c r="G2602" s="1" t="s">
        <v>32</v>
      </c>
      <c r="H2602" s="1" t="n">
        <v>2110405</v>
      </c>
      <c r="I2602" s="1" t="s">
        <v>83</v>
      </c>
      <c r="J2602" s="1" t="n">
        <v>1582091</v>
      </c>
      <c r="L2602" s="1" t="n">
        <v>750484</v>
      </c>
      <c r="M2602" s="1" t="s">
        <v>128</v>
      </c>
      <c r="N2602" s="1" t="s">
        <v>42</v>
      </c>
      <c r="P2602" s="1" t="n">
        <v>103</v>
      </c>
      <c r="Q2602" s="1" t="s">
        <v>36</v>
      </c>
      <c r="R2602" s="1" t="s">
        <v>37</v>
      </c>
      <c r="S2602" s="1" t="n">
        <v>1130101</v>
      </c>
      <c r="T2602" s="1" t="s">
        <v>38</v>
      </c>
      <c r="U2602" s="1" t="n">
        <v>983.08</v>
      </c>
      <c r="W2602" s="1" t="n">
        <v>0</v>
      </c>
      <c r="X2602" s="1" t="s">
        <v>2808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</row>
    <row r="2603" customFormat="false" ht="12.75" hidden="false" customHeight="true" outlineLevel="0" collapsed="false">
      <c r="A2603" s="1" t="n">
        <v>1</v>
      </c>
      <c r="B2603" s="22" t="n">
        <v>46255</v>
      </c>
      <c r="C2603" s="22" t="n">
        <v>46280</v>
      </c>
      <c r="D2603" s="1" t="n">
        <v>1668</v>
      </c>
      <c r="E2603" s="1" t="s">
        <v>57</v>
      </c>
      <c r="F2603" s="1" t="n">
        <v>24</v>
      </c>
      <c r="G2603" s="1" t="s">
        <v>32</v>
      </c>
      <c r="H2603" s="1" t="n">
        <v>2110405</v>
      </c>
      <c r="I2603" s="1" t="s">
        <v>83</v>
      </c>
      <c r="J2603" s="1" t="n">
        <v>1582110</v>
      </c>
      <c r="L2603" s="1" t="n">
        <v>750483</v>
      </c>
      <c r="M2603" s="1" t="s">
        <v>128</v>
      </c>
      <c r="N2603" s="1" t="s">
        <v>42</v>
      </c>
      <c r="P2603" s="1" t="n">
        <v>103</v>
      </c>
      <c r="Q2603" s="1" t="s">
        <v>36</v>
      </c>
      <c r="R2603" s="1" t="s">
        <v>60</v>
      </c>
      <c r="S2603" s="1" t="n">
        <v>4210299</v>
      </c>
      <c r="T2603" s="1" t="s">
        <v>1946</v>
      </c>
      <c r="U2603" s="1" t="n">
        <v>1304.13</v>
      </c>
      <c r="W2603" s="1" t="n">
        <v>0</v>
      </c>
      <c r="X2603" s="1" t="s">
        <v>2809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12.75" hidden="false" customHeight="true" outlineLevel="0" collapsed="false">
      <c r="A2604" s="1" t="n">
        <v>1</v>
      </c>
      <c r="B2604" s="22" t="n">
        <v>46256</v>
      </c>
      <c r="C2604" s="22" t="n">
        <v>46280</v>
      </c>
      <c r="D2604" s="1" t="n">
        <v>1657</v>
      </c>
      <c r="E2604" s="1" t="s">
        <v>1062</v>
      </c>
      <c r="F2604" s="1" t="n">
        <v>24</v>
      </c>
      <c r="G2604" s="1" t="s">
        <v>32</v>
      </c>
      <c r="H2604" s="1" t="n">
        <v>2110405</v>
      </c>
      <c r="I2604" s="1" t="s">
        <v>83</v>
      </c>
      <c r="J2604" s="1" t="n">
        <v>1585243</v>
      </c>
      <c r="L2604" s="1" t="n">
        <v>297570</v>
      </c>
      <c r="M2604" s="1" t="s">
        <v>128</v>
      </c>
      <c r="N2604" s="1" t="s">
        <v>42</v>
      </c>
      <c r="P2604" s="1" t="n">
        <v>103</v>
      </c>
      <c r="Q2604" s="1" t="s">
        <v>36</v>
      </c>
      <c r="R2604" s="1" t="s">
        <v>37</v>
      </c>
      <c r="S2604" s="1" t="n">
        <v>1130101</v>
      </c>
      <c r="T2604" s="1" t="s">
        <v>38</v>
      </c>
      <c r="U2604" s="1" t="n">
        <v>1062.06</v>
      </c>
      <c r="W2604" s="1" t="n">
        <v>0</v>
      </c>
      <c r="X2604" s="1" t="s">
        <v>2810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</row>
    <row r="2605" customFormat="false" ht="12.75" hidden="false" customHeight="true" outlineLevel="0" collapsed="false">
      <c r="A2605" s="1" t="n">
        <v>1</v>
      </c>
      <c r="B2605" s="22" t="n">
        <v>46224</v>
      </c>
      <c r="C2605" s="22" t="n">
        <v>46281</v>
      </c>
      <c r="D2605" s="1" t="n">
        <v>607</v>
      </c>
      <c r="E2605" s="1" t="s">
        <v>182</v>
      </c>
      <c r="F2605" s="1" t="n">
        <v>24</v>
      </c>
      <c r="G2605" s="1" t="s">
        <v>32</v>
      </c>
      <c r="H2605" s="1" t="n">
        <v>2110405</v>
      </c>
      <c r="I2605" s="1" t="s">
        <v>83</v>
      </c>
      <c r="J2605" s="1" t="n">
        <v>1429152</v>
      </c>
      <c r="L2605" s="1" t="n">
        <v>11134</v>
      </c>
      <c r="M2605" s="1" t="s">
        <v>394</v>
      </c>
      <c r="N2605" s="1" t="s">
        <v>42</v>
      </c>
      <c r="P2605" s="1" t="n">
        <v>103</v>
      </c>
      <c r="Q2605" s="1" t="s">
        <v>36</v>
      </c>
      <c r="R2605" s="1" t="s">
        <v>37</v>
      </c>
      <c r="S2605" s="1" t="n">
        <v>1130101</v>
      </c>
      <c r="T2605" s="1" t="s">
        <v>38</v>
      </c>
      <c r="U2605" s="1" t="n">
        <v>911.85</v>
      </c>
      <c r="W2605" s="1" t="n">
        <v>0</v>
      </c>
      <c r="X2605" s="1" t="s">
        <v>2811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</row>
    <row r="2606" customFormat="false" ht="12.75" hidden="false" customHeight="true" outlineLevel="0" collapsed="false">
      <c r="A2606" s="1" t="n">
        <v>1</v>
      </c>
      <c r="B2606" s="22" t="n">
        <v>46226</v>
      </c>
      <c r="C2606" s="22" t="n">
        <v>46281</v>
      </c>
      <c r="D2606" s="1" t="n">
        <v>957</v>
      </c>
      <c r="E2606" s="1" t="s">
        <v>132</v>
      </c>
      <c r="F2606" s="1" t="n">
        <v>24</v>
      </c>
      <c r="G2606" s="1" t="s">
        <v>32</v>
      </c>
      <c r="H2606" s="1" t="n">
        <v>2110405</v>
      </c>
      <c r="I2606" s="1" t="s">
        <v>83</v>
      </c>
      <c r="J2606" s="1" t="n">
        <v>1439137</v>
      </c>
      <c r="L2606" s="1" t="n">
        <v>21188</v>
      </c>
      <c r="M2606" s="1" t="s">
        <v>394</v>
      </c>
      <c r="N2606" s="1" t="s">
        <v>42</v>
      </c>
      <c r="P2606" s="1" t="n">
        <v>103</v>
      </c>
      <c r="Q2606" s="1" t="s">
        <v>36</v>
      </c>
      <c r="R2606" s="1" t="s">
        <v>37</v>
      </c>
      <c r="S2606" s="1" t="n">
        <v>1130101</v>
      </c>
      <c r="T2606" s="1" t="s">
        <v>38</v>
      </c>
      <c r="U2606" s="1" t="n">
        <v>3458.9</v>
      </c>
      <c r="W2606" s="1" t="n">
        <v>0</v>
      </c>
      <c r="X2606" s="1" t="s">
        <v>2812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</row>
    <row r="2607" customFormat="false" ht="12.75" hidden="false" customHeight="true" outlineLevel="0" collapsed="false">
      <c r="A2607" s="1" t="n">
        <v>1</v>
      </c>
      <c r="B2607" s="22" t="n">
        <v>46247</v>
      </c>
      <c r="C2607" s="22" t="n">
        <v>46281</v>
      </c>
      <c r="D2607" s="1" t="n">
        <v>1107</v>
      </c>
      <c r="E2607" s="1" t="s">
        <v>130</v>
      </c>
      <c r="F2607" s="1" t="n">
        <v>24</v>
      </c>
      <c r="G2607" s="1" t="s">
        <v>32</v>
      </c>
      <c r="H2607" s="1" t="n">
        <v>2110405</v>
      </c>
      <c r="I2607" s="1" t="s">
        <v>83</v>
      </c>
      <c r="J2607" s="1" t="n">
        <v>1542142</v>
      </c>
      <c r="L2607" s="1" t="n">
        <v>441856</v>
      </c>
      <c r="M2607" s="1" t="s">
        <v>128</v>
      </c>
      <c r="N2607" s="1" t="s">
        <v>42</v>
      </c>
      <c r="P2607" s="1" t="n">
        <v>103</v>
      </c>
      <c r="Q2607" s="1" t="s">
        <v>36</v>
      </c>
      <c r="R2607" s="1" t="s">
        <v>37</v>
      </c>
      <c r="S2607" s="1" t="n">
        <v>1130101</v>
      </c>
      <c r="T2607" s="1" t="s">
        <v>38</v>
      </c>
      <c r="U2607" s="1" t="n">
        <v>836.55</v>
      </c>
      <c r="W2607" s="1" t="n">
        <v>0</v>
      </c>
      <c r="X2607" s="1" t="s">
        <v>2813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</row>
    <row r="2608" customFormat="false" ht="12.75" hidden="false" customHeight="true" outlineLevel="0" collapsed="false">
      <c r="A2608" s="1" t="n">
        <v>1</v>
      </c>
      <c r="B2608" s="22" t="n">
        <v>46248</v>
      </c>
      <c r="C2608" s="22" t="n">
        <v>46281</v>
      </c>
      <c r="D2608" s="1" t="n">
        <v>1612</v>
      </c>
      <c r="E2608" s="1" t="s">
        <v>193</v>
      </c>
      <c r="F2608" s="1" t="n">
        <v>24</v>
      </c>
      <c r="G2608" s="1" t="s">
        <v>32</v>
      </c>
      <c r="H2608" s="1" t="n">
        <v>2110405</v>
      </c>
      <c r="I2608" s="1" t="s">
        <v>83</v>
      </c>
      <c r="J2608" s="1" t="n">
        <v>1546677</v>
      </c>
      <c r="L2608" s="1" t="n">
        <v>2309729</v>
      </c>
      <c r="M2608" s="1" t="s">
        <v>128</v>
      </c>
      <c r="N2608" s="1" t="s">
        <v>42</v>
      </c>
      <c r="P2608" s="1" t="n">
        <v>103</v>
      </c>
      <c r="Q2608" s="1" t="s">
        <v>36</v>
      </c>
      <c r="R2608" s="1" t="s">
        <v>37</v>
      </c>
      <c r="S2608" s="1" t="n">
        <v>1130101</v>
      </c>
      <c r="T2608" s="1" t="s">
        <v>38</v>
      </c>
      <c r="U2608" s="1" t="n">
        <v>1200.77</v>
      </c>
      <c r="W2608" s="1" t="n">
        <v>0</v>
      </c>
      <c r="X2608" s="1" t="s">
        <v>2814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</row>
    <row r="2609" customFormat="false" ht="12.75" hidden="false" customHeight="true" outlineLevel="0" collapsed="false">
      <c r="A2609" s="1" t="n">
        <v>1</v>
      </c>
      <c r="B2609" s="22" t="n">
        <v>46253</v>
      </c>
      <c r="C2609" s="22" t="n">
        <v>46281</v>
      </c>
      <c r="D2609" s="1" t="n">
        <v>1611</v>
      </c>
      <c r="E2609" s="1" t="s">
        <v>206</v>
      </c>
      <c r="F2609" s="1" t="n">
        <v>24</v>
      </c>
      <c r="G2609" s="1" t="s">
        <v>32</v>
      </c>
      <c r="H2609" s="1" t="n">
        <v>2110405</v>
      </c>
      <c r="I2609" s="1" t="s">
        <v>83</v>
      </c>
      <c r="J2609" s="1" t="n">
        <v>1570880</v>
      </c>
      <c r="L2609" s="1" t="n">
        <v>1791736</v>
      </c>
      <c r="M2609" s="1" t="s">
        <v>34</v>
      </c>
      <c r="N2609" s="1" t="s">
        <v>42</v>
      </c>
      <c r="P2609" s="1" t="n">
        <v>103</v>
      </c>
      <c r="Q2609" s="1" t="s">
        <v>36</v>
      </c>
      <c r="R2609" s="1" t="s">
        <v>37</v>
      </c>
      <c r="S2609" s="1" t="n">
        <v>1130101</v>
      </c>
      <c r="T2609" s="1" t="s">
        <v>38</v>
      </c>
      <c r="U2609" s="1" t="n">
        <v>754.67</v>
      </c>
      <c r="W2609" s="1" t="n">
        <v>0</v>
      </c>
      <c r="X2609" s="1" t="s">
        <v>2815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</row>
    <row r="2610" customFormat="false" ht="12.75" hidden="false" customHeight="true" outlineLevel="0" collapsed="false">
      <c r="A2610" s="1" t="n">
        <v>1</v>
      </c>
      <c r="B2610" s="22" t="n">
        <v>46253</v>
      </c>
      <c r="C2610" s="22" t="n">
        <v>46281</v>
      </c>
      <c r="D2610" s="1" t="n">
        <v>1608</v>
      </c>
      <c r="E2610" s="1" t="s">
        <v>51</v>
      </c>
      <c r="F2610" s="1" t="n">
        <v>24</v>
      </c>
      <c r="G2610" s="1" t="s">
        <v>32</v>
      </c>
      <c r="H2610" s="1" t="n">
        <v>2110405</v>
      </c>
      <c r="I2610" s="1" t="s">
        <v>83</v>
      </c>
      <c r="J2610" s="1" t="n">
        <v>1572200</v>
      </c>
      <c r="L2610" s="1" t="n">
        <v>1713960</v>
      </c>
      <c r="M2610" s="1" t="s">
        <v>128</v>
      </c>
      <c r="N2610" s="1" t="s">
        <v>42</v>
      </c>
      <c r="P2610" s="1" t="n">
        <v>103</v>
      </c>
      <c r="Q2610" s="1" t="s">
        <v>36</v>
      </c>
      <c r="R2610" s="1" t="s">
        <v>37</v>
      </c>
      <c r="S2610" s="1" t="n">
        <v>1130101</v>
      </c>
      <c r="T2610" s="1" t="s">
        <v>38</v>
      </c>
      <c r="U2610" s="1" t="n">
        <v>932.55</v>
      </c>
      <c r="W2610" s="1" t="n">
        <v>0</v>
      </c>
      <c r="X2610" s="1" t="s">
        <v>2816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" t="n">
        <v>1</v>
      </c>
      <c r="B2611" s="22" t="n">
        <v>46254</v>
      </c>
      <c r="C2611" s="22" t="n">
        <v>46281</v>
      </c>
      <c r="D2611" s="1" t="n">
        <v>1608</v>
      </c>
      <c r="E2611" s="1" t="s">
        <v>51</v>
      </c>
      <c r="F2611" s="1" t="n">
        <v>24</v>
      </c>
      <c r="G2611" s="1" t="s">
        <v>32</v>
      </c>
      <c r="H2611" s="1" t="n">
        <v>2110405</v>
      </c>
      <c r="I2611" s="1" t="s">
        <v>83</v>
      </c>
      <c r="J2611" s="1" t="n">
        <v>1576059</v>
      </c>
      <c r="L2611" s="1" t="n">
        <v>1713862</v>
      </c>
      <c r="M2611" s="1" t="s">
        <v>128</v>
      </c>
      <c r="N2611" s="1" t="s">
        <v>42</v>
      </c>
      <c r="P2611" s="1" t="n">
        <v>103</v>
      </c>
      <c r="Q2611" s="1" t="s">
        <v>36</v>
      </c>
      <c r="R2611" s="1" t="s">
        <v>37</v>
      </c>
      <c r="S2611" s="1" t="n">
        <v>1130101</v>
      </c>
      <c r="T2611" s="1" t="s">
        <v>38</v>
      </c>
      <c r="U2611" s="1" t="n">
        <v>952.02</v>
      </c>
      <c r="W2611" s="1" t="n">
        <v>0</v>
      </c>
      <c r="X2611" s="1" t="s">
        <v>2817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</row>
    <row r="2612" customFormat="false" ht="12.75" hidden="false" customHeight="true" outlineLevel="0" collapsed="false">
      <c r="A2612" s="1" t="n">
        <v>1</v>
      </c>
      <c r="B2612" s="22" t="n">
        <v>46254</v>
      </c>
      <c r="C2612" s="22" t="n">
        <v>46281</v>
      </c>
      <c r="D2612" s="1" t="n">
        <v>1705</v>
      </c>
      <c r="E2612" s="1" t="s">
        <v>148</v>
      </c>
      <c r="F2612" s="1" t="n">
        <v>24</v>
      </c>
      <c r="G2612" s="1" t="s">
        <v>32</v>
      </c>
      <c r="H2612" s="1" t="n">
        <v>2110405</v>
      </c>
      <c r="I2612" s="1" t="s">
        <v>83</v>
      </c>
      <c r="J2612" s="1" t="n">
        <v>1576396</v>
      </c>
      <c r="L2612" s="1" t="n">
        <v>1255654</v>
      </c>
      <c r="M2612" s="1" t="s">
        <v>41</v>
      </c>
      <c r="N2612" s="1" t="s">
        <v>42</v>
      </c>
      <c r="P2612" s="1" t="n">
        <v>103</v>
      </c>
      <c r="Q2612" s="1" t="s">
        <v>36</v>
      </c>
      <c r="R2612" s="1" t="s">
        <v>37</v>
      </c>
      <c r="S2612" s="1" t="n">
        <v>1130101</v>
      </c>
      <c r="T2612" s="1" t="s">
        <v>38</v>
      </c>
      <c r="U2612" s="1" t="n">
        <v>39.76</v>
      </c>
      <c r="W2612" s="1" t="n">
        <v>0</v>
      </c>
      <c r="X2612" s="1" t="s">
        <v>2818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</row>
    <row r="2613" customFormat="false" ht="12.75" hidden="false" customHeight="true" outlineLevel="0" collapsed="false">
      <c r="A2613" s="1" t="n">
        <v>1</v>
      </c>
      <c r="B2613" s="22" t="n">
        <v>46255</v>
      </c>
      <c r="C2613" s="22" t="n">
        <v>46281</v>
      </c>
      <c r="D2613" s="1" t="n">
        <v>1163</v>
      </c>
      <c r="E2613" s="1" t="s">
        <v>2819</v>
      </c>
      <c r="F2613" s="1" t="n">
        <v>24</v>
      </c>
      <c r="G2613" s="1" t="s">
        <v>32</v>
      </c>
      <c r="H2613" s="1" t="n">
        <v>2110405</v>
      </c>
      <c r="I2613" s="1" t="s">
        <v>83</v>
      </c>
      <c r="J2613" s="1" t="n">
        <v>1581839</v>
      </c>
      <c r="L2613" s="1" t="n">
        <v>57187</v>
      </c>
      <c r="M2613" s="1" t="s">
        <v>41</v>
      </c>
      <c r="N2613" s="1" t="s">
        <v>42</v>
      </c>
      <c r="P2613" s="1" t="n">
        <v>103</v>
      </c>
      <c r="Q2613" s="1" t="s">
        <v>36</v>
      </c>
      <c r="R2613" s="1" t="s">
        <v>37</v>
      </c>
      <c r="S2613" s="1" t="n">
        <v>1130101</v>
      </c>
      <c r="T2613" s="1" t="s">
        <v>38</v>
      </c>
      <c r="U2613" s="1" t="n">
        <v>360.48</v>
      </c>
      <c r="W2613" s="1" t="n">
        <v>0</v>
      </c>
      <c r="X2613" s="1" t="s">
        <v>2820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</row>
    <row r="2614" customFormat="false" ht="12.75" hidden="false" customHeight="true" outlineLevel="0" collapsed="false">
      <c r="A2614" s="1" t="n">
        <v>1</v>
      </c>
      <c r="B2614" s="22" t="n">
        <v>46255</v>
      </c>
      <c r="C2614" s="22" t="n">
        <v>46281</v>
      </c>
      <c r="D2614" s="1" t="n">
        <v>967</v>
      </c>
      <c r="E2614" s="1" t="s">
        <v>1028</v>
      </c>
      <c r="F2614" s="1" t="n">
        <v>24</v>
      </c>
      <c r="G2614" s="1" t="s">
        <v>32</v>
      </c>
      <c r="H2614" s="1" t="n">
        <v>2110405</v>
      </c>
      <c r="I2614" s="1" t="s">
        <v>83</v>
      </c>
      <c r="J2614" s="1" t="n">
        <v>1582001</v>
      </c>
      <c r="L2614" s="1" t="n">
        <v>37328</v>
      </c>
      <c r="M2614" s="1" t="s">
        <v>128</v>
      </c>
      <c r="N2614" s="1" t="s">
        <v>42</v>
      </c>
      <c r="P2614" s="1" t="n">
        <v>103</v>
      </c>
      <c r="Q2614" s="1" t="s">
        <v>36</v>
      </c>
      <c r="R2614" s="1" t="s">
        <v>37</v>
      </c>
      <c r="S2614" s="1" t="n">
        <v>1130101</v>
      </c>
      <c r="T2614" s="1" t="s">
        <v>38</v>
      </c>
      <c r="U2614" s="1" t="n">
        <v>1334.14</v>
      </c>
      <c r="W2614" s="1" t="n">
        <v>0</v>
      </c>
      <c r="X2614" s="1" t="s">
        <v>2821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</row>
    <row r="2615" customFormat="false" ht="12.75" hidden="false" customHeight="true" outlineLevel="0" collapsed="false">
      <c r="A2615" s="1" t="n">
        <v>1</v>
      </c>
      <c r="B2615" s="22" t="n">
        <v>46256</v>
      </c>
      <c r="C2615" s="22" t="n">
        <v>46281</v>
      </c>
      <c r="D2615" s="1" t="n">
        <v>607</v>
      </c>
      <c r="E2615" s="1" t="s">
        <v>182</v>
      </c>
      <c r="F2615" s="1" t="n">
        <v>24</v>
      </c>
      <c r="G2615" s="1" t="s">
        <v>32</v>
      </c>
      <c r="H2615" s="1" t="n">
        <v>2110405</v>
      </c>
      <c r="I2615" s="1" t="s">
        <v>83</v>
      </c>
      <c r="J2615" s="1" t="n">
        <v>1585319</v>
      </c>
      <c r="L2615" s="1" t="n">
        <v>11473</v>
      </c>
      <c r="M2615" s="1" t="s">
        <v>41</v>
      </c>
      <c r="N2615" s="1" t="s">
        <v>42</v>
      </c>
      <c r="P2615" s="1" t="n">
        <v>103</v>
      </c>
      <c r="Q2615" s="1" t="s">
        <v>36</v>
      </c>
      <c r="R2615" s="1" t="s">
        <v>37</v>
      </c>
      <c r="S2615" s="1" t="n">
        <v>1130101</v>
      </c>
      <c r="T2615" s="1" t="s">
        <v>38</v>
      </c>
      <c r="U2615" s="1" t="n">
        <v>1969.17</v>
      </c>
      <c r="W2615" s="1" t="n">
        <v>0</v>
      </c>
      <c r="X2615" s="1" t="s">
        <v>2822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</row>
    <row r="2616" customFormat="false" ht="12.75" hidden="false" customHeight="true" outlineLevel="0" collapsed="false">
      <c r="A2616" s="1" t="n">
        <v>1</v>
      </c>
      <c r="B2616" s="22" t="n">
        <v>46237</v>
      </c>
      <c r="C2616" s="22" t="n">
        <v>46282</v>
      </c>
      <c r="D2616" s="1" t="n">
        <v>815</v>
      </c>
      <c r="E2616" s="1" t="s">
        <v>652</v>
      </c>
      <c r="F2616" s="1" t="n">
        <v>34</v>
      </c>
      <c r="G2616" s="1" t="s">
        <v>71</v>
      </c>
      <c r="H2616" s="1" t="n">
        <v>2110405</v>
      </c>
      <c r="I2616" s="1" t="s">
        <v>83</v>
      </c>
      <c r="J2616" s="1" t="n">
        <v>1493520</v>
      </c>
      <c r="L2616" s="1" t="n">
        <v>612910</v>
      </c>
      <c r="M2616" s="1" t="s">
        <v>34</v>
      </c>
      <c r="N2616" s="1" t="s">
        <v>42</v>
      </c>
      <c r="P2616" s="1" t="n">
        <v>101</v>
      </c>
      <c r="Q2616" s="1" t="s">
        <v>84</v>
      </c>
      <c r="R2616" s="1" t="s">
        <v>2306</v>
      </c>
      <c r="S2616" s="1" t="n">
        <v>2210202</v>
      </c>
      <c r="T2616" s="1" t="s">
        <v>2306</v>
      </c>
      <c r="U2616" s="1" t="n">
        <v>6000</v>
      </c>
      <c r="W2616" s="1" t="n">
        <v>0</v>
      </c>
      <c r="X2616" s="1" t="s">
        <v>653</v>
      </c>
      <c r="Z2616" s="1" t="str">
        <f aca="false">IF($T2616="","",IFERROR(INDEX('Resumo Grupos'!$AC$3:$AC$200,MATCH($T2616,'Resumo Grupos'!$AB$3:$AB$200,0)),"n/d"))</f>
        <v>Empréstimo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" t="n">
        <v>1</v>
      </c>
      <c r="B2617" s="22" t="n">
        <v>46246</v>
      </c>
      <c r="C2617" s="22" t="n">
        <v>46282</v>
      </c>
      <c r="D2617" s="1" t="n">
        <v>1390</v>
      </c>
      <c r="E2617" s="1" t="s">
        <v>1405</v>
      </c>
      <c r="F2617" s="1" t="n">
        <v>24</v>
      </c>
      <c r="G2617" s="1" t="s">
        <v>32</v>
      </c>
      <c r="H2617" s="1" t="n">
        <v>2110405</v>
      </c>
      <c r="I2617" s="1" t="s">
        <v>83</v>
      </c>
      <c r="J2617" s="1" t="n">
        <v>1537290</v>
      </c>
      <c r="L2617" s="1" t="n">
        <v>7184</v>
      </c>
      <c r="M2617" s="1" t="s">
        <v>34</v>
      </c>
      <c r="N2617" s="1" t="s">
        <v>42</v>
      </c>
      <c r="P2617" s="1" t="n">
        <v>103</v>
      </c>
      <c r="Q2617" s="1" t="s">
        <v>36</v>
      </c>
      <c r="R2617" s="1" t="s">
        <v>37</v>
      </c>
      <c r="S2617" s="1" t="n">
        <v>1130101</v>
      </c>
      <c r="T2617" s="1" t="s">
        <v>38</v>
      </c>
      <c r="U2617" s="1" t="n">
        <v>463.72</v>
      </c>
      <c r="W2617" s="1" t="n">
        <v>0</v>
      </c>
      <c r="X2617" s="1" t="s">
        <v>2823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</row>
    <row r="2618" customFormat="false" ht="12.75" hidden="false" customHeight="true" outlineLevel="0" collapsed="false">
      <c r="A2618" s="1" t="n">
        <v>1</v>
      </c>
      <c r="B2618" s="22" t="n">
        <v>46248</v>
      </c>
      <c r="C2618" s="22" t="n">
        <v>46282</v>
      </c>
      <c r="D2618" s="1" t="n">
        <v>10020</v>
      </c>
      <c r="E2618" s="1" t="s">
        <v>260</v>
      </c>
      <c r="F2618" s="1" t="n">
        <v>24</v>
      </c>
      <c r="G2618" s="1" t="s">
        <v>32</v>
      </c>
      <c r="H2618" s="1" t="n">
        <v>2110405</v>
      </c>
      <c r="I2618" s="1" t="s">
        <v>83</v>
      </c>
      <c r="J2618" s="1" t="n">
        <v>1546108</v>
      </c>
      <c r="L2618" s="1" t="n">
        <v>799</v>
      </c>
      <c r="M2618" s="1" t="s">
        <v>394</v>
      </c>
      <c r="N2618" s="1" t="s">
        <v>42</v>
      </c>
      <c r="P2618" s="1" t="n">
        <v>103</v>
      </c>
      <c r="Q2618" s="1" t="s">
        <v>36</v>
      </c>
      <c r="R2618" s="1" t="s">
        <v>37</v>
      </c>
      <c r="S2618" s="1" t="n">
        <v>1130101</v>
      </c>
      <c r="T2618" s="1" t="s">
        <v>38</v>
      </c>
      <c r="U2618" s="1" t="n">
        <v>507.29</v>
      </c>
      <c r="W2618" s="1" t="n">
        <v>0</v>
      </c>
      <c r="X2618" s="1" t="s">
        <v>2824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</row>
    <row r="2619" customFormat="false" ht="12.75" hidden="false" customHeight="true" outlineLevel="0" collapsed="false">
      <c r="A2619" s="1" t="n">
        <v>1</v>
      </c>
      <c r="B2619" s="22" t="n">
        <v>46248</v>
      </c>
      <c r="C2619" s="22" t="n">
        <v>46282</v>
      </c>
      <c r="D2619" s="1" t="n">
        <v>10012</v>
      </c>
      <c r="E2619" s="1" t="s">
        <v>204</v>
      </c>
      <c r="F2619" s="1" t="n">
        <v>24</v>
      </c>
      <c r="G2619" s="1" t="s">
        <v>32</v>
      </c>
      <c r="H2619" s="1" t="n">
        <v>2110405</v>
      </c>
      <c r="I2619" s="1" t="s">
        <v>83</v>
      </c>
      <c r="J2619" s="1" t="n">
        <v>1546127</v>
      </c>
      <c r="L2619" s="1" t="n">
        <v>1965727</v>
      </c>
      <c r="M2619" s="1" t="s">
        <v>34</v>
      </c>
      <c r="N2619" s="1" t="s">
        <v>42</v>
      </c>
      <c r="P2619" s="1" t="n">
        <v>103</v>
      </c>
      <c r="Q2619" s="1" t="s">
        <v>36</v>
      </c>
      <c r="R2619" s="1" t="s">
        <v>37</v>
      </c>
      <c r="S2619" s="1" t="n">
        <v>1130101</v>
      </c>
      <c r="T2619" s="1" t="s">
        <v>38</v>
      </c>
      <c r="U2619" s="1" t="n">
        <v>1236.25</v>
      </c>
      <c r="W2619" s="1" t="n">
        <v>0</v>
      </c>
      <c r="X2619" s="1" t="s">
        <v>2825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</row>
    <row r="2620" customFormat="false" ht="12.75" hidden="false" customHeight="true" outlineLevel="0" collapsed="false">
      <c r="A2620" s="1" t="n">
        <v>1</v>
      </c>
      <c r="B2620" s="22" t="n">
        <v>46249</v>
      </c>
      <c r="C2620" s="22" t="n">
        <v>46282</v>
      </c>
      <c r="D2620" s="1" t="n">
        <v>10011</v>
      </c>
      <c r="E2620" s="1" t="s">
        <v>189</v>
      </c>
      <c r="F2620" s="1" t="n">
        <v>24</v>
      </c>
      <c r="G2620" s="1" t="s">
        <v>32</v>
      </c>
      <c r="H2620" s="1" t="n">
        <v>2110405</v>
      </c>
      <c r="I2620" s="1" t="s">
        <v>83</v>
      </c>
      <c r="J2620" s="1" t="n">
        <v>1552267</v>
      </c>
      <c r="L2620" s="1" t="n">
        <v>35160</v>
      </c>
      <c r="M2620" s="1" t="s">
        <v>128</v>
      </c>
      <c r="N2620" s="1" t="s">
        <v>42</v>
      </c>
      <c r="P2620" s="1" t="n">
        <v>103</v>
      </c>
      <c r="Q2620" s="1" t="s">
        <v>36</v>
      </c>
      <c r="R2620" s="1" t="s">
        <v>37</v>
      </c>
      <c r="S2620" s="1" t="n">
        <v>1130101</v>
      </c>
      <c r="T2620" s="1" t="s">
        <v>38</v>
      </c>
      <c r="U2620" s="1" t="n">
        <v>2836.78</v>
      </c>
      <c r="W2620" s="1" t="n">
        <v>0</v>
      </c>
      <c r="X2620" s="1" t="s">
        <v>2826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</row>
    <row r="2621" customFormat="false" ht="12.75" hidden="false" customHeight="true" outlineLevel="0" collapsed="false">
      <c r="A2621" s="1" t="n">
        <v>1</v>
      </c>
      <c r="B2621" s="22" t="n">
        <v>46251</v>
      </c>
      <c r="C2621" s="22" t="n">
        <v>46282</v>
      </c>
      <c r="D2621" s="1" t="n">
        <v>1671</v>
      </c>
      <c r="E2621" s="1" t="s">
        <v>340</v>
      </c>
      <c r="F2621" s="1" t="n">
        <v>24</v>
      </c>
      <c r="G2621" s="1" t="s">
        <v>32</v>
      </c>
      <c r="H2621" s="1" t="n">
        <v>2110405</v>
      </c>
      <c r="I2621" s="1" t="s">
        <v>83</v>
      </c>
      <c r="J2621" s="1" t="n">
        <v>1562446</v>
      </c>
      <c r="L2621" s="1" t="n">
        <v>586417</v>
      </c>
      <c r="M2621" s="1" t="s">
        <v>394</v>
      </c>
      <c r="N2621" s="1" t="s">
        <v>42</v>
      </c>
      <c r="P2621" s="1" t="n">
        <v>103</v>
      </c>
      <c r="Q2621" s="1" t="s">
        <v>36</v>
      </c>
      <c r="R2621" s="1" t="s">
        <v>37</v>
      </c>
      <c r="S2621" s="1" t="n">
        <v>1130101</v>
      </c>
      <c r="T2621" s="1" t="s">
        <v>38</v>
      </c>
      <c r="U2621" s="1" t="n">
        <v>1586.84</v>
      </c>
      <c r="W2621" s="1" t="n">
        <v>0</v>
      </c>
      <c r="X2621" s="1" t="s">
        <v>2827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" t="n">
        <v>1</v>
      </c>
      <c r="B2622" s="22" t="n">
        <v>46251</v>
      </c>
      <c r="C2622" s="22" t="n">
        <v>46282</v>
      </c>
      <c r="D2622" s="1" t="n">
        <v>10104</v>
      </c>
      <c r="E2622" s="1" t="s">
        <v>2325</v>
      </c>
      <c r="F2622" s="1" t="n">
        <v>34</v>
      </c>
      <c r="G2622" s="1" t="s">
        <v>71</v>
      </c>
      <c r="H2622" s="1" t="n">
        <v>2110405</v>
      </c>
      <c r="I2622" s="1" t="s">
        <v>83</v>
      </c>
      <c r="J2622" s="1" t="n">
        <v>1563387</v>
      </c>
      <c r="L2622" s="1" t="n">
        <v>639275</v>
      </c>
      <c r="M2622" s="1" t="s">
        <v>41</v>
      </c>
      <c r="N2622" s="1" t="s">
        <v>42</v>
      </c>
      <c r="P2622" s="1" t="n">
        <v>101</v>
      </c>
      <c r="Q2622" s="1" t="s">
        <v>84</v>
      </c>
      <c r="R2622" s="1" t="s">
        <v>91</v>
      </c>
      <c r="S2622" s="1" t="n">
        <v>4220199</v>
      </c>
      <c r="T2622" s="1" t="s">
        <v>92</v>
      </c>
      <c r="U2622" s="1" t="n">
        <v>1000</v>
      </c>
      <c r="W2622" s="1" t="n">
        <v>0</v>
      </c>
      <c r="X2622" s="1" t="s">
        <v>2828</v>
      </c>
      <c r="Z2622" s="1" t="str">
        <f aca="false">IF($T2622="","",IFERROR(INDEX('Resumo Grupos'!$AC$3:$AC$200,MATCH($T2622,'Resumo Grupos'!$AB$3:$AB$200,0)),"n/d"))</f>
        <v>Pagamentos outros não operacionais</v>
      </c>
      <c r="AA2622" s="1" t="str">
        <f aca="false">IF($T2622="","",IF(COUNTIF('Resumo Grupos'!$AE$3:$AE$40,$T2622)&gt;0,"NAO","SIM"))</f>
        <v>SIM</v>
      </c>
    </row>
    <row r="2623" customFormat="false" ht="12.75" hidden="false" customHeight="true" outlineLevel="0" collapsed="false">
      <c r="A2623" s="1" t="n">
        <v>1</v>
      </c>
      <c r="B2623" s="22" t="n">
        <v>46253</v>
      </c>
      <c r="C2623" s="22" t="n">
        <v>46282</v>
      </c>
      <c r="D2623" s="1" t="n">
        <v>957</v>
      </c>
      <c r="E2623" s="1" t="s">
        <v>132</v>
      </c>
      <c r="F2623" s="1" t="n">
        <v>24</v>
      </c>
      <c r="G2623" s="1" t="s">
        <v>32</v>
      </c>
      <c r="H2623" s="1" t="n">
        <v>2110405</v>
      </c>
      <c r="I2623" s="1" t="s">
        <v>83</v>
      </c>
      <c r="J2623" s="1" t="n">
        <v>1571005</v>
      </c>
      <c r="L2623" s="1" t="n">
        <v>21714</v>
      </c>
      <c r="M2623" s="1" t="s">
        <v>34</v>
      </c>
      <c r="N2623" s="1" t="s">
        <v>42</v>
      </c>
      <c r="P2623" s="1" t="n">
        <v>103</v>
      </c>
      <c r="Q2623" s="1" t="s">
        <v>36</v>
      </c>
      <c r="R2623" s="1" t="s">
        <v>37</v>
      </c>
      <c r="S2623" s="1" t="n">
        <v>1130101</v>
      </c>
      <c r="T2623" s="1" t="s">
        <v>38</v>
      </c>
      <c r="U2623" s="1" t="n">
        <v>704.89</v>
      </c>
      <c r="W2623" s="1" t="n">
        <v>0</v>
      </c>
      <c r="X2623" s="1" t="s">
        <v>2829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</row>
    <row r="2624" customFormat="false" ht="12.75" hidden="false" customHeight="true" outlineLevel="0" collapsed="false">
      <c r="A2624" s="1" t="n">
        <v>1</v>
      </c>
      <c r="B2624" s="22" t="n">
        <v>46254</v>
      </c>
      <c r="C2624" s="22" t="n">
        <v>46282</v>
      </c>
      <c r="D2624" s="1" t="n">
        <v>1136</v>
      </c>
      <c r="E2624" s="1" t="s">
        <v>1229</v>
      </c>
      <c r="F2624" s="1" t="n">
        <v>24</v>
      </c>
      <c r="G2624" s="1" t="s">
        <v>32</v>
      </c>
      <c r="H2624" s="1" t="n">
        <v>2110405</v>
      </c>
      <c r="I2624" s="1" t="s">
        <v>83</v>
      </c>
      <c r="J2624" s="1" t="n">
        <v>1576686</v>
      </c>
      <c r="L2624" s="1" t="n">
        <v>54213</v>
      </c>
      <c r="M2624" s="1" t="s">
        <v>128</v>
      </c>
      <c r="N2624" s="1" t="s">
        <v>42</v>
      </c>
      <c r="P2624" s="1" t="n">
        <v>103</v>
      </c>
      <c r="Q2624" s="1" t="s">
        <v>36</v>
      </c>
      <c r="R2624" s="1" t="s">
        <v>37</v>
      </c>
      <c r="S2624" s="1" t="n">
        <v>1130101</v>
      </c>
      <c r="T2624" s="1" t="s">
        <v>38</v>
      </c>
      <c r="U2624" s="1" t="n">
        <v>789.33</v>
      </c>
      <c r="W2624" s="1" t="n">
        <v>0</v>
      </c>
      <c r="X2624" s="1" t="s">
        <v>2830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</row>
    <row r="2625" customFormat="false" ht="12.75" hidden="false" customHeight="true" outlineLevel="0" collapsed="false">
      <c r="A2625" s="1" t="n">
        <v>1</v>
      </c>
      <c r="B2625" s="22" t="n">
        <v>46254</v>
      </c>
      <c r="C2625" s="22" t="n">
        <v>46282</v>
      </c>
      <c r="D2625" s="1" t="n">
        <v>1699</v>
      </c>
      <c r="E2625" s="1" t="s">
        <v>371</v>
      </c>
      <c r="F2625" s="1" t="n">
        <v>24</v>
      </c>
      <c r="G2625" s="1" t="s">
        <v>32</v>
      </c>
      <c r="H2625" s="1" t="n">
        <v>2110405</v>
      </c>
      <c r="I2625" s="1" t="s">
        <v>83</v>
      </c>
      <c r="J2625" s="1" t="n">
        <v>1577971</v>
      </c>
      <c r="L2625" s="1" t="n">
        <v>311353</v>
      </c>
      <c r="M2625" s="1" t="s">
        <v>128</v>
      </c>
      <c r="N2625" s="1" t="s">
        <v>42</v>
      </c>
      <c r="P2625" s="1" t="n">
        <v>103</v>
      </c>
      <c r="Q2625" s="1" t="s">
        <v>36</v>
      </c>
      <c r="R2625" s="1" t="s">
        <v>37</v>
      </c>
      <c r="S2625" s="1" t="n">
        <v>1130101</v>
      </c>
      <c r="T2625" s="1" t="s">
        <v>38</v>
      </c>
      <c r="U2625" s="1" t="n">
        <v>633</v>
      </c>
      <c r="W2625" s="1" t="n">
        <v>0</v>
      </c>
      <c r="X2625" s="1" t="s">
        <v>2831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</row>
    <row r="2626" customFormat="false" ht="12.75" hidden="false" customHeight="true" outlineLevel="0" collapsed="false">
      <c r="A2626" s="1" t="n">
        <v>1</v>
      </c>
      <c r="B2626" s="22" t="n">
        <v>46255</v>
      </c>
      <c r="C2626" s="22" t="n">
        <v>46282</v>
      </c>
      <c r="D2626" s="1" t="n">
        <v>1636</v>
      </c>
      <c r="E2626" s="1" t="s">
        <v>68</v>
      </c>
      <c r="F2626" s="1" t="n">
        <v>24</v>
      </c>
      <c r="G2626" s="1" t="s">
        <v>32</v>
      </c>
      <c r="H2626" s="1" t="n">
        <v>2110101</v>
      </c>
      <c r="I2626" s="1" t="s">
        <v>33</v>
      </c>
      <c r="J2626" s="1" t="n">
        <v>1582273</v>
      </c>
      <c r="L2626" s="1" t="n">
        <v>3239532</v>
      </c>
      <c r="M2626" s="1" t="s">
        <v>128</v>
      </c>
      <c r="N2626" s="1" t="s">
        <v>42</v>
      </c>
      <c r="P2626" s="1" t="n">
        <v>103</v>
      </c>
      <c r="Q2626" s="1" t="s">
        <v>36</v>
      </c>
      <c r="R2626" s="1" t="s">
        <v>37</v>
      </c>
      <c r="S2626" s="1" t="n">
        <v>1130101</v>
      </c>
      <c r="T2626" s="1" t="s">
        <v>38</v>
      </c>
      <c r="U2626" s="1" t="n">
        <v>1180.7</v>
      </c>
      <c r="W2626" s="1" t="n">
        <v>0</v>
      </c>
      <c r="X2626" s="1" t="s">
        <v>2832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</row>
    <row r="2627" customFormat="false" ht="12.75" hidden="false" customHeight="true" outlineLevel="0" collapsed="false">
      <c r="A2627" s="1" t="n">
        <v>1</v>
      </c>
      <c r="B2627" s="22" t="n">
        <v>46256</v>
      </c>
      <c r="C2627" s="22" t="n">
        <v>46282</v>
      </c>
      <c r="D2627" s="1" t="n">
        <v>1745</v>
      </c>
      <c r="E2627" s="1" t="s">
        <v>246</v>
      </c>
      <c r="F2627" s="1" t="n">
        <v>24</v>
      </c>
      <c r="G2627" s="1" t="s">
        <v>32</v>
      </c>
      <c r="H2627" s="1" t="n">
        <v>2110405</v>
      </c>
      <c r="I2627" s="1" t="s">
        <v>83</v>
      </c>
      <c r="J2627" s="1" t="n">
        <v>1585478</v>
      </c>
      <c r="L2627" s="1" t="n">
        <v>357973</v>
      </c>
      <c r="M2627" s="1" t="s">
        <v>128</v>
      </c>
      <c r="N2627" s="1" t="s">
        <v>42</v>
      </c>
      <c r="P2627" s="1" t="n">
        <v>103</v>
      </c>
      <c r="Q2627" s="1" t="s">
        <v>36</v>
      </c>
      <c r="R2627" s="1" t="s">
        <v>37</v>
      </c>
      <c r="S2627" s="1" t="n">
        <v>1130101</v>
      </c>
      <c r="T2627" s="1" t="s">
        <v>38</v>
      </c>
      <c r="U2627" s="1" t="n">
        <v>1581.49</v>
      </c>
      <c r="W2627" s="1" t="n">
        <v>0</v>
      </c>
      <c r="X2627" s="1" t="s">
        <v>2833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</row>
    <row r="2628" customFormat="false" ht="12.75" hidden="false" customHeight="true" outlineLevel="0" collapsed="false">
      <c r="A2628" s="1" t="n">
        <v>1</v>
      </c>
      <c r="B2628" s="22" t="n">
        <v>46191</v>
      </c>
      <c r="C2628" s="22" t="n">
        <v>46283</v>
      </c>
      <c r="D2628" s="1" t="n">
        <v>514</v>
      </c>
      <c r="E2628" s="1" t="s">
        <v>643</v>
      </c>
      <c r="F2628" s="1" t="n">
        <v>34</v>
      </c>
      <c r="G2628" s="1" t="s">
        <v>71</v>
      </c>
      <c r="H2628" s="1" t="n">
        <v>2110405</v>
      </c>
      <c r="I2628" s="1" t="s">
        <v>83</v>
      </c>
      <c r="J2628" s="1" t="n">
        <v>1309516</v>
      </c>
      <c r="L2628" s="1" t="n">
        <v>541968</v>
      </c>
      <c r="M2628" s="1" t="s">
        <v>394</v>
      </c>
      <c r="N2628" s="1" t="s">
        <v>42</v>
      </c>
      <c r="P2628" s="1" t="n">
        <v>101</v>
      </c>
      <c r="Q2628" s="1" t="s">
        <v>84</v>
      </c>
      <c r="R2628" s="1" t="s">
        <v>165</v>
      </c>
      <c r="S2628" s="1" t="n">
        <v>2110901</v>
      </c>
      <c r="T2628" s="1" t="s">
        <v>166</v>
      </c>
      <c r="U2628" s="1" t="n">
        <v>3370.37</v>
      </c>
      <c r="W2628" s="1" t="n">
        <v>0</v>
      </c>
      <c r="X2628" s="1" t="s">
        <v>694</v>
      </c>
      <c r="Z2628" s="1" t="str">
        <f aca="false">IF($T2628="","",IFERROR(INDEX('Resumo Grupos'!$AC$3:$AC$200,MATCH($T2628,'Resumo Grupos'!$AB$3:$AB$200,0)),"n/d"))</f>
        <v>Empréstimo</v>
      </c>
      <c r="AA2628" s="1" t="str">
        <f aca="false">IF($T2628="","",IF(COUNTIF('Resumo Grupos'!$AE$3:$AE$40,$T2628)&gt;0,"NAO","SIM"))</f>
        <v>SIM</v>
      </c>
    </row>
    <row r="2629" customFormat="false" ht="12.75" hidden="false" customHeight="true" outlineLevel="0" collapsed="false">
      <c r="A2629" s="1" t="n">
        <v>1</v>
      </c>
      <c r="B2629" s="22" t="n">
        <v>46206</v>
      </c>
      <c r="C2629" s="22" t="n">
        <v>46283</v>
      </c>
      <c r="D2629" s="1" t="n">
        <v>804</v>
      </c>
      <c r="E2629" s="1" t="s">
        <v>1112</v>
      </c>
      <c r="F2629" s="1" t="n">
        <v>34</v>
      </c>
      <c r="G2629" s="1" t="s">
        <v>71</v>
      </c>
      <c r="H2629" s="1" t="n">
        <v>1110202</v>
      </c>
      <c r="I2629" s="1" t="s">
        <v>285</v>
      </c>
      <c r="J2629" s="1" t="n">
        <v>1345479</v>
      </c>
      <c r="L2629" s="1" t="n">
        <v>555726</v>
      </c>
      <c r="M2629" s="1" t="s">
        <v>128</v>
      </c>
      <c r="N2629" s="1" t="s">
        <v>42</v>
      </c>
      <c r="P2629" s="1" t="n">
        <v>101</v>
      </c>
      <c r="Q2629" s="1" t="s">
        <v>84</v>
      </c>
      <c r="R2629" s="1" t="s">
        <v>60</v>
      </c>
      <c r="S2629" s="1" t="n">
        <v>4210203</v>
      </c>
      <c r="T2629" s="1" t="s">
        <v>1114</v>
      </c>
      <c r="U2629" s="1" t="n">
        <v>764.43</v>
      </c>
      <c r="W2629" s="1" t="n">
        <v>0</v>
      </c>
      <c r="X2629" s="1" t="s">
        <v>1541</v>
      </c>
      <c r="Z2629" s="1" t="str">
        <f aca="false">IF($T2629="","",IFERROR(INDEX('Resumo Grupos'!$AC$3:$AC$200,MATCH($T2629,'Resumo Grupos'!$AB$3:$AB$200,0)),"n/d"))</f>
        <v>Despesa</v>
      </c>
      <c r="AA2629" s="1" t="str">
        <f aca="false">IF($T2629="","",IF(COUNTIF('Resumo Grupos'!$AE$3:$AE$40,$T2629)&gt;0,"NAO","SIM"))</f>
        <v>SIM</v>
      </c>
    </row>
    <row r="2630" customFormat="false" ht="12.75" hidden="false" customHeight="true" outlineLevel="0" collapsed="false">
      <c r="A2630" s="1" t="n">
        <v>1</v>
      </c>
      <c r="B2630" s="22" t="n">
        <v>46206</v>
      </c>
      <c r="C2630" s="22" t="n">
        <v>46283</v>
      </c>
      <c r="D2630" s="1" t="n">
        <v>804</v>
      </c>
      <c r="E2630" s="1" t="s">
        <v>1112</v>
      </c>
      <c r="F2630" s="1" t="n">
        <v>34</v>
      </c>
      <c r="G2630" s="1" t="s">
        <v>71</v>
      </c>
      <c r="H2630" s="1" t="n">
        <v>1110202</v>
      </c>
      <c r="I2630" s="1" t="s">
        <v>285</v>
      </c>
      <c r="J2630" s="1" t="n">
        <v>1345494</v>
      </c>
      <c r="L2630" s="1" t="n">
        <v>555731</v>
      </c>
      <c r="M2630" s="1" t="s">
        <v>128</v>
      </c>
      <c r="N2630" s="1" t="s">
        <v>42</v>
      </c>
      <c r="P2630" s="1" t="n">
        <v>101</v>
      </c>
      <c r="Q2630" s="1" t="s">
        <v>84</v>
      </c>
      <c r="R2630" s="1" t="s">
        <v>91</v>
      </c>
      <c r="S2630" s="1" t="n">
        <v>4220199</v>
      </c>
      <c r="T2630" s="1" t="s">
        <v>92</v>
      </c>
      <c r="U2630" s="1" t="n">
        <v>1621</v>
      </c>
      <c r="W2630" s="1" t="n">
        <v>0</v>
      </c>
      <c r="X2630" s="1" t="s">
        <v>1542</v>
      </c>
      <c r="Z2630" s="1" t="str">
        <f aca="false">IF($T2630="","",IFERROR(INDEX('Resumo Grupos'!$AC$3:$AC$200,MATCH($T2630,'Resumo Grupos'!$AB$3:$AB$200,0)),"n/d"))</f>
        <v>Pagamentos outros não operacionais</v>
      </c>
      <c r="AA2630" s="1" t="str">
        <f aca="false">IF($T2630="","",IF(COUNTIF('Resumo Grupos'!$AE$3:$AE$40,$T2630)&gt;0,"NAO","SIM"))</f>
        <v>SIM</v>
      </c>
    </row>
    <row r="2631" customFormat="false" ht="12.75" hidden="false" customHeight="true" outlineLevel="0" collapsed="false">
      <c r="A2631" s="1" t="n">
        <v>1</v>
      </c>
      <c r="B2631" s="22" t="n">
        <v>46251</v>
      </c>
      <c r="C2631" s="22" t="n">
        <v>46283</v>
      </c>
      <c r="D2631" s="1" t="n">
        <v>1636</v>
      </c>
      <c r="E2631" s="1" t="s">
        <v>68</v>
      </c>
      <c r="F2631" s="1" t="n">
        <v>24</v>
      </c>
      <c r="G2631" s="1" t="s">
        <v>32</v>
      </c>
      <c r="H2631" s="1" t="n">
        <v>2110405</v>
      </c>
      <c r="I2631" s="1" t="s">
        <v>83</v>
      </c>
      <c r="J2631" s="1" t="n">
        <v>1561678</v>
      </c>
      <c r="L2631" s="1" t="n">
        <v>3237032</v>
      </c>
      <c r="M2631" s="1" t="s">
        <v>128</v>
      </c>
      <c r="N2631" s="1" t="s">
        <v>42</v>
      </c>
      <c r="P2631" s="1" t="n">
        <v>103</v>
      </c>
      <c r="Q2631" s="1" t="s">
        <v>36</v>
      </c>
      <c r="R2631" s="1" t="s">
        <v>37</v>
      </c>
      <c r="S2631" s="1" t="n">
        <v>1130101</v>
      </c>
      <c r="T2631" s="1" t="s">
        <v>38</v>
      </c>
      <c r="U2631" s="1" t="n">
        <v>808.96</v>
      </c>
      <c r="W2631" s="1" t="n">
        <v>0</v>
      </c>
      <c r="X2631" s="1" t="s">
        <v>2834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</row>
    <row r="2632" customFormat="false" ht="12.75" hidden="false" customHeight="true" outlineLevel="0" collapsed="false">
      <c r="A2632" s="1" t="n">
        <v>1</v>
      </c>
      <c r="B2632" s="22" t="n">
        <v>46255</v>
      </c>
      <c r="C2632" s="22" t="n">
        <v>46283</v>
      </c>
      <c r="D2632" s="1" t="n">
        <v>1634</v>
      </c>
      <c r="E2632" s="1" t="s">
        <v>2299</v>
      </c>
      <c r="F2632" s="1" t="n">
        <v>24</v>
      </c>
      <c r="G2632" s="1" t="s">
        <v>32</v>
      </c>
      <c r="H2632" s="1" t="n">
        <v>2110405</v>
      </c>
      <c r="I2632" s="1" t="s">
        <v>83</v>
      </c>
      <c r="J2632" s="1" t="n">
        <v>1582023</v>
      </c>
      <c r="L2632" s="1" t="n">
        <v>330734</v>
      </c>
      <c r="M2632" s="1" t="s">
        <v>128</v>
      </c>
      <c r="N2632" s="1" t="s">
        <v>42</v>
      </c>
      <c r="P2632" s="1" t="n">
        <v>103</v>
      </c>
      <c r="Q2632" s="1" t="s">
        <v>36</v>
      </c>
      <c r="R2632" s="1" t="s">
        <v>37</v>
      </c>
      <c r="S2632" s="1" t="n">
        <v>1130101</v>
      </c>
      <c r="T2632" s="1" t="s">
        <v>38</v>
      </c>
      <c r="U2632" s="1" t="n">
        <v>1232.16</v>
      </c>
      <c r="W2632" s="1" t="n">
        <v>0</v>
      </c>
      <c r="X2632" s="1" t="s">
        <v>2835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" t="n">
        <v>1</v>
      </c>
      <c r="B2633" s="22" t="n">
        <v>46256</v>
      </c>
      <c r="C2633" s="22" t="n">
        <v>46283</v>
      </c>
      <c r="D2633" s="1" t="n">
        <v>1659</v>
      </c>
      <c r="E2633" s="1" t="s">
        <v>54</v>
      </c>
      <c r="F2633" s="1" t="n">
        <v>24</v>
      </c>
      <c r="G2633" s="1" t="s">
        <v>32</v>
      </c>
      <c r="H2633" s="1" t="n">
        <v>2110405</v>
      </c>
      <c r="I2633" s="1" t="s">
        <v>83</v>
      </c>
      <c r="J2633" s="1" t="n">
        <v>1585364</v>
      </c>
      <c r="L2633" s="1" t="n">
        <v>891630</v>
      </c>
      <c r="M2633" s="1" t="s">
        <v>128</v>
      </c>
      <c r="N2633" s="1" t="s">
        <v>42</v>
      </c>
      <c r="P2633" s="1" t="n">
        <v>103</v>
      </c>
      <c r="Q2633" s="1" t="s">
        <v>36</v>
      </c>
      <c r="R2633" s="1" t="s">
        <v>37</v>
      </c>
      <c r="S2633" s="1" t="n">
        <v>1130101</v>
      </c>
      <c r="T2633" s="1" t="s">
        <v>38</v>
      </c>
      <c r="U2633" s="1" t="n">
        <v>1167.29</v>
      </c>
      <c r="W2633" s="1" t="n">
        <v>0</v>
      </c>
      <c r="X2633" s="1" t="s">
        <v>2836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</row>
    <row r="2634" customFormat="false" ht="12.75" hidden="false" customHeight="true" outlineLevel="0" collapsed="false">
      <c r="A2634" s="1" t="n">
        <v>1</v>
      </c>
      <c r="B2634" s="22" t="n">
        <v>46256</v>
      </c>
      <c r="C2634" s="22" t="n">
        <v>46283</v>
      </c>
      <c r="D2634" s="1" t="n">
        <v>1667</v>
      </c>
      <c r="E2634" s="1" t="s">
        <v>40</v>
      </c>
      <c r="F2634" s="1" t="n">
        <v>24</v>
      </c>
      <c r="G2634" s="1" t="s">
        <v>32</v>
      </c>
      <c r="H2634" s="1" t="n">
        <v>2110405</v>
      </c>
      <c r="I2634" s="1" t="s">
        <v>83</v>
      </c>
      <c r="J2634" s="1" t="n">
        <v>1585385</v>
      </c>
      <c r="L2634" s="1" t="n">
        <v>398654</v>
      </c>
      <c r="M2634" s="1" t="s">
        <v>128</v>
      </c>
      <c r="N2634" s="1" t="s">
        <v>42</v>
      </c>
      <c r="P2634" s="1" t="n">
        <v>103</v>
      </c>
      <c r="Q2634" s="1" t="s">
        <v>36</v>
      </c>
      <c r="R2634" s="1" t="s">
        <v>37</v>
      </c>
      <c r="S2634" s="1" t="n">
        <v>1130101</v>
      </c>
      <c r="T2634" s="1" t="s">
        <v>38</v>
      </c>
      <c r="U2634" s="1" t="n">
        <v>684.26</v>
      </c>
      <c r="W2634" s="1" t="n">
        <v>0</v>
      </c>
      <c r="X2634" s="1" t="s">
        <v>2837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</row>
    <row r="2635" customFormat="false" ht="12.75" hidden="false" customHeight="true" outlineLevel="0" collapsed="false">
      <c r="A2635" s="1" t="n">
        <v>1</v>
      </c>
      <c r="B2635" s="22" t="n">
        <v>46255</v>
      </c>
      <c r="C2635" s="22" t="n">
        <v>46284</v>
      </c>
      <c r="D2635" s="1" t="n">
        <v>1718</v>
      </c>
      <c r="E2635" s="1" t="s">
        <v>134</v>
      </c>
      <c r="F2635" s="1" t="n">
        <v>24</v>
      </c>
      <c r="G2635" s="1" t="s">
        <v>32</v>
      </c>
      <c r="H2635" s="1" t="n">
        <v>2110405</v>
      </c>
      <c r="I2635" s="1" t="s">
        <v>83</v>
      </c>
      <c r="J2635" s="1" t="n">
        <v>1581946</v>
      </c>
      <c r="L2635" s="1" t="n">
        <v>690674</v>
      </c>
      <c r="M2635" s="1" t="s">
        <v>128</v>
      </c>
      <c r="N2635" s="1" t="s">
        <v>42</v>
      </c>
      <c r="P2635" s="1" t="n">
        <v>103</v>
      </c>
      <c r="Q2635" s="1" t="s">
        <v>36</v>
      </c>
      <c r="R2635" s="1" t="s">
        <v>37</v>
      </c>
      <c r="S2635" s="1" t="n">
        <v>1130101</v>
      </c>
      <c r="T2635" s="1" t="s">
        <v>38</v>
      </c>
      <c r="U2635" s="1" t="n">
        <v>396.52</v>
      </c>
      <c r="W2635" s="1" t="n">
        <v>0</v>
      </c>
      <c r="X2635" s="1" t="s">
        <v>2838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</row>
    <row r="2636" customFormat="false" ht="12.75" hidden="false" customHeight="true" outlineLevel="0" collapsed="false">
      <c r="A2636" s="1" t="n">
        <v>1</v>
      </c>
      <c r="B2636" s="22" t="n">
        <v>46223</v>
      </c>
      <c r="C2636" s="22" t="n">
        <v>46285</v>
      </c>
      <c r="D2636" s="1" t="n">
        <v>542</v>
      </c>
      <c r="E2636" s="1" t="s">
        <v>738</v>
      </c>
      <c r="F2636" s="1" t="n">
        <v>34</v>
      </c>
      <c r="G2636" s="1" t="s">
        <v>71</v>
      </c>
      <c r="H2636" s="1" t="n">
        <v>2110405</v>
      </c>
      <c r="I2636" s="1" t="s">
        <v>83</v>
      </c>
      <c r="J2636" s="1" t="n">
        <v>1424234</v>
      </c>
      <c r="L2636" s="1" t="n">
        <v>587289</v>
      </c>
      <c r="M2636" s="1" t="s">
        <v>128</v>
      </c>
      <c r="N2636" s="1" t="s">
        <v>42</v>
      </c>
      <c r="P2636" s="1" t="n">
        <v>101</v>
      </c>
      <c r="Q2636" s="1" t="s">
        <v>84</v>
      </c>
      <c r="R2636" s="1" t="s">
        <v>290</v>
      </c>
      <c r="S2636" s="1" t="n">
        <v>4210107</v>
      </c>
      <c r="T2636" s="1" t="s">
        <v>739</v>
      </c>
      <c r="U2636" s="1" t="n">
        <v>464.59</v>
      </c>
      <c r="W2636" s="1" t="n">
        <v>0</v>
      </c>
      <c r="X2636" s="1" t="s">
        <v>2839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</row>
    <row r="2637" customFormat="false" ht="12.75" hidden="false" customHeight="true" outlineLevel="0" collapsed="false">
      <c r="A2637" s="1" t="n">
        <v>1</v>
      </c>
      <c r="B2637" s="22" t="n">
        <v>46223</v>
      </c>
      <c r="C2637" s="22" t="n">
        <v>46285</v>
      </c>
      <c r="D2637" s="1" t="n">
        <v>542</v>
      </c>
      <c r="E2637" s="1" t="s">
        <v>738</v>
      </c>
      <c r="F2637" s="1" t="n">
        <v>34</v>
      </c>
      <c r="G2637" s="1" t="s">
        <v>71</v>
      </c>
      <c r="H2637" s="1" t="n">
        <v>2110405</v>
      </c>
      <c r="I2637" s="1" t="s">
        <v>83</v>
      </c>
      <c r="J2637" s="1" t="n">
        <v>1424241</v>
      </c>
      <c r="L2637" s="1" t="n">
        <v>587291</v>
      </c>
      <c r="M2637" s="1" t="s">
        <v>128</v>
      </c>
      <c r="N2637" s="1" t="s">
        <v>42</v>
      </c>
      <c r="P2637" s="1" t="n">
        <v>101</v>
      </c>
      <c r="Q2637" s="1" t="s">
        <v>84</v>
      </c>
      <c r="R2637" s="1" t="s">
        <v>91</v>
      </c>
      <c r="S2637" s="1" t="n">
        <v>4220199</v>
      </c>
      <c r="T2637" s="1" t="s">
        <v>92</v>
      </c>
      <c r="U2637" s="1" t="n">
        <v>900</v>
      </c>
      <c r="W2637" s="1" t="n">
        <v>0</v>
      </c>
      <c r="X2637" s="1" t="s">
        <v>1585</v>
      </c>
      <c r="Z2637" s="1" t="str">
        <f aca="false">IF($T2637="","",IFERROR(INDEX('Resumo Grupos'!$AC$3:$AC$200,MATCH($T2637,'Resumo Grupos'!$AB$3:$AB$200,0)),"n/d"))</f>
        <v>Pagamentos outros não operacionais</v>
      </c>
      <c r="AA2637" s="1" t="str">
        <f aca="false">IF($T2637="","",IF(COUNTIF('Resumo Grupos'!$AE$3:$AE$40,$T2637)&gt;0,"NAO","SIM"))</f>
        <v>SIM</v>
      </c>
    </row>
    <row r="2638" customFormat="false" ht="12.75" hidden="false" customHeight="true" outlineLevel="0" collapsed="false">
      <c r="A2638" s="1" t="n">
        <v>1</v>
      </c>
      <c r="B2638" s="22" t="n">
        <v>46234</v>
      </c>
      <c r="C2638" s="22" t="n">
        <v>46285</v>
      </c>
      <c r="D2638" s="1" t="n">
        <v>659</v>
      </c>
      <c r="E2638" s="1" t="s">
        <v>733</v>
      </c>
      <c r="F2638" s="1" t="n">
        <v>24</v>
      </c>
      <c r="G2638" s="1" t="s">
        <v>32</v>
      </c>
      <c r="H2638" s="1" t="n">
        <v>2110405</v>
      </c>
      <c r="I2638" s="1" t="s">
        <v>83</v>
      </c>
      <c r="J2638" s="1" t="n">
        <v>1478178</v>
      </c>
      <c r="L2638" s="1" t="n">
        <v>607145</v>
      </c>
      <c r="M2638" s="1" t="s">
        <v>34</v>
      </c>
      <c r="N2638" s="1" t="s">
        <v>42</v>
      </c>
      <c r="P2638" s="1" t="n">
        <v>101</v>
      </c>
      <c r="Q2638" s="1" t="s">
        <v>84</v>
      </c>
      <c r="R2638" s="1" t="s">
        <v>85</v>
      </c>
      <c r="S2638" s="1" t="n">
        <v>4210311</v>
      </c>
      <c r="T2638" s="1" t="s">
        <v>301</v>
      </c>
      <c r="U2638" s="1" t="n">
        <v>6193.08</v>
      </c>
      <c r="W2638" s="1" t="n">
        <v>0</v>
      </c>
      <c r="X2638" s="1" t="s">
        <v>1570</v>
      </c>
      <c r="Z2638" s="1" t="str">
        <f aca="false">IF($T2638="","",IFERROR(INDEX('Resumo Grupos'!$AC$3:$AC$200,MATCH($T2638,'Resumo Grupos'!$AB$3:$AB$200,0)),"n/d"))</f>
        <v>Salários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" t="n">
        <v>1</v>
      </c>
      <c r="B2639" s="22" t="n">
        <v>46241</v>
      </c>
      <c r="C2639" s="22" t="n">
        <v>46285</v>
      </c>
      <c r="D2639" s="1" t="n">
        <v>10028</v>
      </c>
      <c r="E2639" s="1" t="s">
        <v>742</v>
      </c>
      <c r="F2639" s="1" t="n">
        <v>24</v>
      </c>
      <c r="G2639" s="1" t="s">
        <v>32</v>
      </c>
      <c r="H2639" s="1" t="n">
        <v>2110405</v>
      </c>
      <c r="I2639" s="1" t="s">
        <v>83</v>
      </c>
      <c r="J2639" s="1" t="n">
        <v>1370662</v>
      </c>
      <c r="L2639" s="1" t="n">
        <v>565739</v>
      </c>
      <c r="M2639" s="1" t="s">
        <v>128</v>
      </c>
      <c r="N2639" s="1" t="s">
        <v>42</v>
      </c>
      <c r="P2639" s="1" t="n">
        <v>101</v>
      </c>
      <c r="Q2639" s="1" t="s">
        <v>84</v>
      </c>
      <c r="R2639" s="1" t="s">
        <v>85</v>
      </c>
      <c r="S2639" s="1" t="n">
        <v>4210315</v>
      </c>
      <c r="T2639" s="1" t="s">
        <v>503</v>
      </c>
      <c r="U2639" s="1" t="n">
        <v>595.9</v>
      </c>
      <c r="W2639" s="1" t="n">
        <v>0</v>
      </c>
      <c r="X2639" s="1" t="s">
        <v>1566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</row>
    <row r="2640" customFormat="false" ht="12.75" hidden="false" customHeight="true" outlineLevel="0" collapsed="false">
      <c r="A2640" s="1" t="n">
        <v>1</v>
      </c>
      <c r="B2640" s="22" t="n">
        <v>46242</v>
      </c>
      <c r="C2640" s="22" t="n">
        <v>46285</v>
      </c>
      <c r="D2640" s="1" t="n">
        <v>957</v>
      </c>
      <c r="E2640" s="1" t="s">
        <v>132</v>
      </c>
      <c r="F2640" s="1" t="n">
        <v>24</v>
      </c>
      <c r="G2640" s="1" t="s">
        <v>32</v>
      </c>
      <c r="H2640" s="1" t="n">
        <v>2110405</v>
      </c>
      <c r="I2640" s="1" t="s">
        <v>83</v>
      </c>
      <c r="J2640" s="1" t="n">
        <v>1517801</v>
      </c>
      <c r="L2640" s="1" t="n">
        <v>21578</v>
      </c>
      <c r="M2640" s="1" t="s">
        <v>128</v>
      </c>
      <c r="N2640" s="1" t="s">
        <v>42</v>
      </c>
      <c r="P2640" s="1" t="n">
        <v>103</v>
      </c>
      <c r="Q2640" s="1" t="s">
        <v>36</v>
      </c>
      <c r="R2640" s="1" t="s">
        <v>37</v>
      </c>
      <c r="S2640" s="1" t="n">
        <v>1130101</v>
      </c>
      <c r="T2640" s="1" t="s">
        <v>38</v>
      </c>
      <c r="U2640" s="1" t="n">
        <v>3429</v>
      </c>
      <c r="W2640" s="1" t="n">
        <v>0</v>
      </c>
      <c r="X2640" s="1" t="s">
        <v>2840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12.75" hidden="false" customHeight="true" outlineLevel="0" collapsed="false">
      <c r="A2641" s="1" t="n">
        <v>1</v>
      </c>
      <c r="B2641" s="22" t="n">
        <v>46246</v>
      </c>
      <c r="C2641" s="22" t="n">
        <v>46285</v>
      </c>
      <c r="D2641" s="1" t="n">
        <v>1932</v>
      </c>
      <c r="E2641" s="1" t="s">
        <v>747</v>
      </c>
      <c r="F2641" s="1" t="n">
        <v>24</v>
      </c>
      <c r="G2641" s="1" t="s">
        <v>32</v>
      </c>
      <c r="H2641" s="1" t="n">
        <v>2110405</v>
      </c>
      <c r="I2641" s="1" t="s">
        <v>83</v>
      </c>
      <c r="J2641" s="1" t="n">
        <v>1370654</v>
      </c>
      <c r="L2641" s="1" t="n">
        <v>565734</v>
      </c>
      <c r="M2641" s="1" t="s">
        <v>128</v>
      </c>
      <c r="N2641" s="1" t="s">
        <v>42</v>
      </c>
      <c r="P2641" s="1" t="n">
        <v>101</v>
      </c>
      <c r="Q2641" s="1" t="s">
        <v>84</v>
      </c>
      <c r="R2641" s="1" t="s">
        <v>85</v>
      </c>
      <c r="S2641" s="1" t="n">
        <v>4210315</v>
      </c>
      <c r="T2641" s="1" t="s">
        <v>503</v>
      </c>
      <c r="U2641" s="1" t="n">
        <v>139.97</v>
      </c>
      <c r="W2641" s="1" t="n">
        <v>0</v>
      </c>
      <c r="X2641" s="1" t="s">
        <v>743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</row>
    <row r="2642" customFormat="false" ht="12.75" hidden="false" customHeight="true" outlineLevel="0" collapsed="false">
      <c r="A2642" s="1" t="n">
        <v>1</v>
      </c>
      <c r="B2642" s="22" t="n">
        <v>46255</v>
      </c>
      <c r="C2642" s="22" t="n">
        <v>46285</v>
      </c>
      <c r="D2642" s="1" t="n">
        <v>1711</v>
      </c>
      <c r="E2642" s="1" t="s">
        <v>535</v>
      </c>
      <c r="F2642" s="1" t="n">
        <v>24</v>
      </c>
      <c r="G2642" s="1" t="s">
        <v>32</v>
      </c>
      <c r="H2642" s="1" t="n">
        <v>2110405</v>
      </c>
      <c r="I2642" s="1" t="s">
        <v>83</v>
      </c>
      <c r="J2642" s="1" t="n">
        <v>1581907</v>
      </c>
      <c r="L2642" s="1" t="n">
        <v>160299</v>
      </c>
      <c r="M2642" s="1" t="s">
        <v>128</v>
      </c>
      <c r="N2642" s="1" t="s">
        <v>42</v>
      </c>
      <c r="P2642" s="1" t="n">
        <v>103</v>
      </c>
      <c r="Q2642" s="1" t="s">
        <v>36</v>
      </c>
      <c r="R2642" s="1" t="s">
        <v>37</v>
      </c>
      <c r="S2642" s="1" t="n">
        <v>1130101</v>
      </c>
      <c r="T2642" s="1" t="s">
        <v>38</v>
      </c>
      <c r="U2642" s="1" t="n">
        <v>1127.55</v>
      </c>
      <c r="W2642" s="1" t="n">
        <v>0</v>
      </c>
      <c r="X2642" s="1" t="s">
        <v>2841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12.75" hidden="false" customHeight="true" outlineLevel="0" collapsed="false">
      <c r="A2643" s="1" t="n">
        <v>1</v>
      </c>
      <c r="B2643" s="22" t="n">
        <v>46228</v>
      </c>
      <c r="C2643" s="22" t="n">
        <v>46286</v>
      </c>
      <c r="D2643" s="1" t="n">
        <v>1409</v>
      </c>
      <c r="E2643" s="1" t="s">
        <v>2456</v>
      </c>
      <c r="F2643" s="1" t="n">
        <v>24</v>
      </c>
      <c r="G2643" s="1" t="s">
        <v>32</v>
      </c>
      <c r="H2643" s="1" t="n">
        <v>1110202</v>
      </c>
      <c r="I2643" s="1" t="s">
        <v>285</v>
      </c>
      <c r="J2643" s="1" t="n">
        <v>1450142</v>
      </c>
      <c r="L2643" s="1" t="n">
        <v>105914</v>
      </c>
      <c r="M2643" s="1" t="s">
        <v>128</v>
      </c>
      <c r="N2643" s="1" t="s">
        <v>42</v>
      </c>
      <c r="P2643" s="1" t="n">
        <v>103</v>
      </c>
      <c r="Q2643" s="1" t="s">
        <v>36</v>
      </c>
      <c r="R2643" s="1" t="s">
        <v>37</v>
      </c>
      <c r="S2643" s="1" t="n">
        <v>1130101</v>
      </c>
      <c r="T2643" s="1" t="s">
        <v>38</v>
      </c>
      <c r="U2643" s="1" t="n">
        <v>306</v>
      </c>
      <c r="W2643" s="1" t="n">
        <v>0</v>
      </c>
      <c r="X2643" s="1" t="s">
        <v>2842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</row>
    <row r="2644" customFormat="false" ht="12.75" hidden="false" customHeight="true" outlineLevel="0" collapsed="false">
      <c r="A2644" s="1" t="n">
        <v>1</v>
      </c>
      <c r="B2644" s="22" t="n">
        <v>46253</v>
      </c>
      <c r="C2644" s="22" t="n">
        <v>46286</v>
      </c>
      <c r="D2644" s="1" t="n">
        <v>1637</v>
      </c>
      <c r="E2644" s="1" t="s">
        <v>44</v>
      </c>
      <c r="F2644" s="1" t="n">
        <v>24</v>
      </c>
      <c r="G2644" s="1" t="s">
        <v>32</v>
      </c>
      <c r="H2644" s="1" t="n">
        <v>2110405</v>
      </c>
      <c r="I2644" s="1" t="s">
        <v>83</v>
      </c>
      <c r="J2644" s="1" t="n">
        <v>1570713</v>
      </c>
      <c r="L2644" s="1" t="n">
        <v>1921245</v>
      </c>
      <c r="M2644" s="1" t="s">
        <v>41</v>
      </c>
      <c r="N2644" s="1" t="s">
        <v>42</v>
      </c>
      <c r="P2644" s="1" t="n">
        <v>103</v>
      </c>
      <c r="Q2644" s="1" t="s">
        <v>36</v>
      </c>
      <c r="R2644" s="1" t="s">
        <v>37</v>
      </c>
      <c r="S2644" s="1" t="n">
        <v>1130101</v>
      </c>
      <c r="T2644" s="1" t="s">
        <v>38</v>
      </c>
      <c r="U2644" s="1" t="n">
        <v>602.64</v>
      </c>
      <c r="W2644" s="1" t="n">
        <v>0</v>
      </c>
      <c r="X2644" s="1" t="s">
        <v>2843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</row>
    <row r="2645" customFormat="false" ht="12.75" hidden="false" customHeight="true" outlineLevel="0" collapsed="false">
      <c r="A2645" s="1" t="n">
        <v>1</v>
      </c>
      <c r="B2645" s="22" t="n">
        <v>46255</v>
      </c>
      <c r="C2645" s="22" t="n">
        <v>46286</v>
      </c>
      <c r="D2645" s="1" t="n">
        <v>1779</v>
      </c>
      <c r="E2645" s="1" t="s">
        <v>864</v>
      </c>
      <c r="F2645" s="1" t="n">
        <v>34</v>
      </c>
      <c r="G2645" s="1" t="s">
        <v>71</v>
      </c>
      <c r="H2645" s="1" t="n">
        <v>2110405</v>
      </c>
      <c r="I2645" s="1" t="s">
        <v>83</v>
      </c>
      <c r="J2645" s="1" t="n">
        <v>1535132</v>
      </c>
      <c r="L2645" s="1" t="n">
        <v>627189</v>
      </c>
      <c r="M2645" s="1" t="s">
        <v>128</v>
      </c>
      <c r="N2645" s="1" t="s">
        <v>42</v>
      </c>
      <c r="P2645" s="1" t="n">
        <v>102</v>
      </c>
      <c r="Q2645" s="1" t="s">
        <v>107</v>
      </c>
      <c r="R2645" s="1" t="s">
        <v>165</v>
      </c>
      <c r="S2645" s="1" t="n">
        <v>2110901</v>
      </c>
      <c r="T2645" s="1" t="s">
        <v>166</v>
      </c>
      <c r="U2645" s="1" t="n">
        <v>38689.04</v>
      </c>
      <c r="W2645" s="1" t="n">
        <v>0</v>
      </c>
      <c r="X2645" s="1" t="s">
        <v>2844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12.75" hidden="false" customHeight="true" outlineLevel="0" collapsed="false">
      <c r="A2646" s="1" t="n">
        <v>1</v>
      </c>
      <c r="B2646" s="22" t="n">
        <v>46255</v>
      </c>
      <c r="C2646" s="22" t="n">
        <v>46286</v>
      </c>
      <c r="D2646" s="1" t="n">
        <v>1779</v>
      </c>
      <c r="E2646" s="1" t="s">
        <v>864</v>
      </c>
      <c r="F2646" s="1" t="n">
        <v>34</v>
      </c>
      <c r="G2646" s="1" t="s">
        <v>71</v>
      </c>
      <c r="H2646" s="1" t="n">
        <v>2110405</v>
      </c>
      <c r="I2646" s="1" t="s">
        <v>83</v>
      </c>
      <c r="J2646" s="1" t="n">
        <v>1535132</v>
      </c>
      <c r="L2646" s="1" t="n">
        <v>627189</v>
      </c>
      <c r="M2646" s="1" t="s">
        <v>394</v>
      </c>
      <c r="N2646" s="1" t="s">
        <v>42</v>
      </c>
      <c r="P2646" s="1" t="n">
        <v>102</v>
      </c>
      <c r="Q2646" s="1" t="s">
        <v>107</v>
      </c>
      <c r="R2646" s="1" t="s">
        <v>165</v>
      </c>
      <c r="S2646" s="1" t="n">
        <v>2110901</v>
      </c>
      <c r="T2646" s="1" t="s">
        <v>166</v>
      </c>
      <c r="U2646" s="1" t="n">
        <v>2700.12</v>
      </c>
      <c r="W2646" s="1" t="n">
        <v>0</v>
      </c>
      <c r="X2646" s="1" t="s">
        <v>2845</v>
      </c>
      <c r="Z2646" s="1" t="str">
        <f aca="false">IF($T2646="","",IFERROR(INDEX('Resumo Grupos'!$AC$3:$AC$200,MATCH($T2646,'Resumo Grupos'!$AB$3:$AB$200,0)),"n/d"))</f>
        <v>Empréstimo</v>
      </c>
      <c r="AA2646" s="1" t="str">
        <f aca="false">IF($T2646="","",IF(COUNTIF('Resumo Grupos'!$AE$3:$AE$40,$T2646)&gt;0,"NAO","SIM"))</f>
        <v>SIM</v>
      </c>
    </row>
    <row r="2647" customFormat="false" ht="12.75" hidden="false" customHeight="true" outlineLevel="0" collapsed="false">
      <c r="A2647" s="1" t="n">
        <v>1</v>
      </c>
      <c r="B2647" s="22" t="n">
        <v>46255</v>
      </c>
      <c r="C2647" s="22" t="n">
        <v>46286</v>
      </c>
      <c r="D2647" s="1" t="n">
        <v>10037</v>
      </c>
      <c r="E2647" s="1" t="s">
        <v>540</v>
      </c>
      <c r="F2647" s="1" t="n">
        <v>24</v>
      </c>
      <c r="G2647" s="1" t="s">
        <v>32</v>
      </c>
      <c r="H2647" s="1" t="n">
        <v>2110405</v>
      </c>
      <c r="I2647" s="1" t="s">
        <v>83</v>
      </c>
      <c r="J2647" s="1" t="n">
        <v>1581853</v>
      </c>
      <c r="L2647" s="1" t="n">
        <v>3216</v>
      </c>
      <c r="M2647" s="1" t="s">
        <v>128</v>
      </c>
      <c r="N2647" s="1" t="s">
        <v>42</v>
      </c>
      <c r="P2647" s="1" t="n">
        <v>103</v>
      </c>
      <c r="Q2647" s="1" t="s">
        <v>36</v>
      </c>
      <c r="R2647" s="1" t="s">
        <v>37</v>
      </c>
      <c r="S2647" s="1" t="n">
        <v>1130101</v>
      </c>
      <c r="T2647" s="1" t="s">
        <v>38</v>
      </c>
      <c r="U2647" s="1" t="n">
        <v>733.06</v>
      </c>
      <c r="W2647" s="1" t="n">
        <v>0</v>
      </c>
      <c r="X2647" s="1" t="s">
        <v>2846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</row>
    <row r="2648" customFormat="false" ht="12.75" hidden="false" customHeight="true" outlineLevel="0" collapsed="false">
      <c r="A2648" s="1" t="n">
        <v>1</v>
      </c>
      <c r="B2648" s="22" t="n">
        <v>46126</v>
      </c>
      <c r="C2648" s="22" t="n">
        <v>46288</v>
      </c>
      <c r="D2648" s="1" t="n">
        <v>17</v>
      </c>
      <c r="E2648" s="1" t="s">
        <v>94</v>
      </c>
      <c r="F2648" s="1" t="n">
        <v>24</v>
      </c>
      <c r="G2648" s="1" t="s">
        <v>32</v>
      </c>
      <c r="H2648" s="1" t="n">
        <v>2110405</v>
      </c>
      <c r="I2648" s="1" t="s">
        <v>83</v>
      </c>
      <c r="J2648" s="1" t="n">
        <v>950724</v>
      </c>
      <c r="L2648" s="1" t="n">
        <v>403362</v>
      </c>
      <c r="M2648" s="1" t="s">
        <v>391</v>
      </c>
      <c r="N2648" s="1" t="s">
        <v>42</v>
      </c>
      <c r="P2648" s="1" t="n">
        <v>101</v>
      </c>
      <c r="Q2648" s="1" t="s">
        <v>84</v>
      </c>
      <c r="R2648" s="1" t="s">
        <v>91</v>
      </c>
      <c r="S2648" s="1" t="n">
        <v>4220199</v>
      </c>
      <c r="T2648" s="1" t="s">
        <v>92</v>
      </c>
      <c r="U2648" s="1" t="n">
        <v>2720.81</v>
      </c>
      <c r="W2648" s="1" t="n">
        <v>0</v>
      </c>
      <c r="X2648" s="1" t="s">
        <v>2847</v>
      </c>
      <c r="Z2648" s="1" t="str">
        <f aca="false">IF($T2648="","",IFERROR(INDEX('Resumo Grupos'!$AC$3:$AC$200,MATCH($T2648,'Resumo Grupos'!$AB$3:$AB$200,0)),"n/d"))</f>
        <v>Pagamentos outros não operacionais</v>
      </c>
      <c r="AA2648" s="1" t="str">
        <f aca="false">IF($T2648="","",IF(COUNTIF('Resumo Grupos'!$AE$3:$AE$40,$T2648)&gt;0,"NAO","SIM"))</f>
        <v>SIM</v>
      </c>
    </row>
    <row r="2649" customFormat="false" ht="12.75" hidden="false" customHeight="true" outlineLevel="0" collapsed="false">
      <c r="A2649" s="1" t="n">
        <v>1</v>
      </c>
      <c r="B2649" s="22" t="n">
        <v>46204</v>
      </c>
      <c r="C2649" s="22" t="n">
        <v>46288</v>
      </c>
      <c r="D2649" s="1" t="n">
        <v>607</v>
      </c>
      <c r="E2649" s="1" t="s">
        <v>182</v>
      </c>
      <c r="F2649" s="1" t="n">
        <v>24</v>
      </c>
      <c r="G2649" s="1" t="s">
        <v>32</v>
      </c>
      <c r="H2649" s="1" t="n">
        <v>2110101</v>
      </c>
      <c r="I2649" s="1" t="s">
        <v>33</v>
      </c>
      <c r="J2649" s="1" t="n">
        <v>1335231</v>
      </c>
      <c r="L2649" s="1" t="n">
        <v>11002</v>
      </c>
      <c r="M2649" s="1" t="s">
        <v>1696</v>
      </c>
      <c r="N2649" s="1" t="s">
        <v>35</v>
      </c>
      <c r="P2649" s="1" t="n">
        <v>103</v>
      </c>
      <c r="Q2649" s="1" t="s">
        <v>36</v>
      </c>
      <c r="R2649" s="1" t="s">
        <v>37</v>
      </c>
      <c r="S2649" s="1" t="n">
        <v>1130101</v>
      </c>
      <c r="T2649" s="1" t="s">
        <v>38</v>
      </c>
      <c r="U2649" s="1" t="n">
        <v>1849.45</v>
      </c>
      <c r="W2649" s="1" t="n">
        <v>0</v>
      </c>
      <c r="X2649" s="1" t="s">
        <v>2848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</row>
    <row r="2650" customFormat="false" ht="12.75" hidden="false" customHeight="true" outlineLevel="0" collapsed="false">
      <c r="A2650" s="1" t="n">
        <v>1</v>
      </c>
      <c r="B2650" s="22" t="n">
        <v>46246</v>
      </c>
      <c r="C2650" s="22" t="n">
        <v>46289</v>
      </c>
      <c r="D2650" s="1" t="n">
        <v>1390</v>
      </c>
      <c r="E2650" s="1" t="s">
        <v>1405</v>
      </c>
      <c r="F2650" s="1" t="n">
        <v>24</v>
      </c>
      <c r="G2650" s="1" t="s">
        <v>32</v>
      </c>
      <c r="H2650" s="1" t="n">
        <v>2110405</v>
      </c>
      <c r="I2650" s="1" t="s">
        <v>83</v>
      </c>
      <c r="J2650" s="1" t="n">
        <v>1537290</v>
      </c>
      <c r="L2650" s="1" t="n">
        <v>7184</v>
      </c>
      <c r="M2650" s="1" t="s">
        <v>128</v>
      </c>
      <c r="N2650" s="1" t="s">
        <v>42</v>
      </c>
      <c r="P2650" s="1" t="n">
        <v>103</v>
      </c>
      <c r="Q2650" s="1" t="s">
        <v>36</v>
      </c>
      <c r="R2650" s="1" t="s">
        <v>37</v>
      </c>
      <c r="S2650" s="1" t="n">
        <v>1130101</v>
      </c>
      <c r="T2650" s="1" t="s">
        <v>38</v>
      </c>
      <c r="U2650" s="1" t="n">
        <v>463.72</v>
      </c>
      <c r="W2650" s="1" t="n">
        <v>0</v>
      </c>
      <c r="X2650" s="1" t="s">
        <v>2849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</row>
    <row r="2651" customFormat="false" ht="12.75" hidden="false" customHeight="true" outlineLevel="0" collapsed="false">
      <c r="A2651" s="1" t="n">
        <v>1</v>
      </c>
      <c r="B2651" s="22" t="n">
        <v>46248</v>
      </c>
      <c r="C2651" s="22" t="n">
        <v>46289</v>
      </c>
      <c r="D2651" s="1" t="n">
        <v>10012</v>
      </c>
      <c r="E2651" s="1" t="s">
        <v>204</v>
      </c>
      <c r="F2651" s="1" t="n">
        <v>24</v>
      </c>
      <c r="G2651" s="1" t="s">
        <v>32</v>
      </c>
      <c r="H2651" s="1" t="n">
        <v>2110405</v>
      </c>
      <c r="I2651" s="1" t="s">
        <v>83</v>
      </c>
      <c r="J2651" s="1" t="n">
        <v>1546127</v>
      </c>
      <c r="L2651" s="1" t="n">
        <v>1965727</v>
      </c>
      <c r="M2651" s="1" t="s">
        <v>128</v>
      </c>
      <c r="N2651" s="1" t="s">
        <v>42</v>
      </c>
      <c r="P2651" s="1" t="n">
        <v>103</v>
      </c>
      <c r="Q2651" s="1" t="s">
        <v>36</v>
      </c>
      <c r="R2651" s="1" t="s">
        <v>37</v>
      </c>
      <c r="S2651" s="1" t="n">
        <v>1130101</v>
      </c>
      <c r="T2651" s="1" t="s">
        <v>38</v>
      </c>
      <c r="U2651" s="1" t="n">
        <v>1236.62</v>
      </c>
      <c r="W2651" s="1" t="n">
        <v>0</v>
      </c>
      <c r="X2651" s="1" t="s">
        <v>2850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</row>
    <row r="2652" customFormat="false" ht="12.75" hidden="false" customHeight="true" outlineLevel="0" collapsed="false">
      <c r="A2652" s="1" t="n">
        <v>1</v>
      </c>
      <c r="B2652" s="22" t="n">
        <v>46038</v>
      </c>
      <c r="C2652" s="22" t="n">
        <v>46290</v>
      </c>
      <c r="D2652" s="1" t="n">
        <v>10039</v>
      </c>
      <c r="E2652" s="1" t="s">
        <v>835</v>
      </c>
      <c r="F2652" s="1" t="n">
        <v>36</v>
      </c>
      <c r="G2652" s="1" t="s">
        <v>445</v>
      </c>
      <c r="H2652" s="1" t="n">
        <v>2110102</v>
      </c>
      <c r="I2652" s="1" t="s">
        <v>59</v>
      </c>
      <c r="J2652" s="1" t="n">
        <v>532309</v>
      </c>
      <c r="L2652" s="1" t="n">
        <v>2543</v>
      </c>
      <c r="M2652" s="1" t="s">
        <v>558</v>
      </c>
      <c r="N2652" s="1" t="s">
        <v>35</v>
      </c>
      <c r="P2652" s="1" t="n">
        <v>101</v>
      </c>
      <c r="Q2652" s="1" t="s">
        <v>84</v>
      </c>
      <c r="R2652" s="1" t="s">
        <v>60</v>
      </c>
      <c r="S2652" s="1" t="n">
        <v>4210204</v>
      </c>
      <c r="T2652" s="1" t="s">
        <v>61</v>
      </c>
      <c r="U2652" s="1" t="n">
        <v>285.77</v>
      </c>
      <c r="W2652" s="1" t="n">
        <v>0</v>
      </c>
      <c r="X2652" s="1" t="s">
        <v>2851</v>
      </c>
      <c r="Z2652" s="1" t="str">
        <f aca="false">IF($T2652="","",IFERROR(INDEX('Resumo Grupos'!$AC$3:$AC$200,MATCH($T2652,'Resumo Grupos'!$AB$3:$AB$200,0)),"n/d"))</f>
        <v>Despesa</v>
      </c>
      <c r="AA2652" s="1" t="str">
        <f aca="false">IF($T2652="","",IF(COUNTIF('Resumo Grupos'!$AE$3:$AE$40,$T2652)&gt;0,"NAO","SIM"))</f>
        <v>SIM</v>
      </c>
    </row>
    <row r="2653" customFormat="false" ht="12.75" hidden="false" customHeight="true" outlineLevel="0" collapsed="false">
      <c r="A2653" s="1" t="n">
        <v>1</v>
      </c>
      <c r="B2653" s="22" t="n">
        <v>46085</v>
      </c>
      <c r="C2653" s="22" t="n">
        <v>46290</v>
      </c>
      <c r="D2653" s="1" t="n">
        <v>500</v>
      </c>
      <c r="E2653" s="1" t="s">
        <v>444</v>
      </c>
      <c r="F2653" s="1" t="n">
        <v>36</v>
      </c>
      <c r="G2653" s="1" t="s">
        <v>445</v>
      </c>
      <c r="H2653" s="1" t="n">
        <v>2110101</v>
      </c>
      <c r="I2653" s="1" t="s">
        <v>33</v>
      </c>
      <c r="J2653" s="1" t="n">
        <v>808801</v>
      </c>
      <c r="L2653" s="1" t="n">
        <v>349045</v>
      </c>
      <c r="M2653" s="1" t="s">
        <v>1696</v>
      </c>
      <c r="N2653" s="1" t="s">
        <v>42</v>
      </c>
      <c r="P2653" s="1" t="n">
        <v>103</v>
      </c>
      <c r="Q2653" s="1" t="s">
        <v>36</v>
      </c>
      <c r="R2653" s="1" t="s">
        <v>83</v>
      </c>
      <c r="S2653" s="1" t="n">
        <v>2110405</v>
      </c>
      <c r="T2653" s="1" t="s">
        <v>83</v>
      </c>
      <c r="U2653" s="1" t="n">
        <v>399.1</v>
      </c>
      <c r="W2653" s="1" t="n">
        <v>0</v>
      </c>
      <c r="X2653" s="1" t="s">
        <v>2852</v>
      </c>
      <c r="Z2653" s="1" t="str">
        <f aca="false">IF($T2653="","",IFERROR(INDEX('Resumo Grupos'!$AC$3:$AC$200,MATCH($T2653,'Resumo Grupos'!$AB$3:$AB$200,0)),"n/d"))</f>
        <v>Cobertura de conta</v>
      </c>
      <c r="AA2653" s="1" t="str">
        <f aca="false">IF($T2653="","",IF(COUNTIF('Resumo Grupos'!$AE$3:$AE$40,$T2653)&gt;0,"NAO","SIM"))</f>
        <v>SIM</v>
      </c>
    </row>
    <row r="2654" customFormat="false" ht="12.75" hidden="false" customHeight="true" outlineLevel="0" collapsed="false">
      <c r="A2654" s="1" t="n">
        <v>1</v>
      </c>
      <c r="B2654" s="22" t="n">
        <v>46098</v>
      </c>
      <c r="C2654" s="22" t="n">
        <v>46290</v>
      </c>
      <c r="D2654" s="1" t="n">
        <v>468</v>
      </c>
      <c r="E2654" s="1" t="s">
        <v>842</v>
      </c>
      <c r="F2654" s="1" t="n">
        <v>36</v>
      </c>
      <c r="G2654" s="1" t="s">
        <v>445</v>
      </c>
      <c r="H2654" s="1" t="n">
        <v>2110101</v>
      </c>
      <c r="I2654" s="1" t="s">
        <v>33</v>
      </c>
      <c r="J2654" s="1" t="n">
        <v>826843</v>
      </c>
      <c r="L2654" s="1" t="n">
        <v>355659</v>
      </c>
      <c r="M2654" s="1" t="s">
        <v>391</v>
      </c>
      <c r="N2654" s="1" t="s">
        <v>42</v>
      </c>
      <c r="P2654" s="1" t="n">
        <v>103</v>
      </c>
      <c r="Q2654" s="1" t="s">
        <v>36</v>
      </c>
      <c r="R2654" s="1" t="s">
        <v>37</v>
      </c>
      <c r="S2654" s="1" t="n">
        <v>1130101</v>
      </c>
      <c r="T2654" s="1" t="s">
        <v>38</v>
      </c>
      <c r="U2654" s="1" t="n">
        <v>233.35</v>
      </c>
      <c r="W2654" s="1" t="n">
        <v>0</v>
      </c>
      <c r="X2654" s="1" t="s">
        <v>2853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</row>
    <row r="2655" customFormat="false" ht="12.75" hidden="false" customHeight="true" outlineLevel="0" collapsed="false">
      <c r="A2655" s="1" t="n">
        <v>1</v>
      </c>
      <c r="B2655" s="22" t="n">
        <v>46120</v>
      </c>
      <c r="C2655" s="22" t="n">
        <v>46290</v>
      </c>
      <c r="D2655" s="1" t="n">
        <v>500</v>
      </c>
      <c r="E2655" s="1" t="s">
        <v>444</v>
      </c>
      <c r="F2655" s="1" t="n">
        <v>36</v>
      </c>
      <c r="G2655" s="1" t="s">
        <v>445</v>
      </c>
      <c r="H2655" s="1" t="n">
        <v>2110405</v>
      </c>
      <c r="I2655" s="1" t="s">
        <v>83</v>
      </c>
      <c r="J2655" s="1" t="n">
        <v>920498</v>
      </c>
      <c r="L2655" s="1" t="n">
        <v>391987</v>
      </c>
      <c r="M2655" s="1" t="s">
        <v>391</v>
      </c>
      <c r="N2655" s="1" t="s">
        <v>42</v>
      </c>
      <c r="P2655" s="1" t="n">
        <v>103</v>
      </c>
      <c r="Q2655" s="1" t="s">
        <v>36</v>
      </c>
      <c r="R2655" s="1" t="s">
        <v>765</v>
      </c>
      <c r="S2655" s="1" t="n">
        <v>1240103</v>
      </c>
      <c r="T2655" s="1" t="s">
        <v>839</v>
      </c>
      <c r="U2655" s="1" t="n">
        <v>4934.34</v>
      </c>
      <c r="W2655" s="1" t="n">
        <v>0</v>
      </c>
      <c r="X2655" s="1" t="s">
        <v>2854</v>
      </c>
      <c r="Z2655" s="1" t="str">
        <f aca="false">IF($T2655="","",IFERROR(INDEX('Resumo Grupos'!$AC$3:$AC$200,MATCH($T2655,'Resumo Grupos'!$AB$3:$AB$200,0)),"n/d"))</f>
        <v>Despesa</v>
      </c>
      <c r="AA2655" s="1" t="str">
        <f aca="false">IF($T2655="","",IF(COUNTIF('Resumo Grupos'!$AE$3:$AE$40,$T2655)&gt;0,"NAO","SIM"))</f>
        <v>SIM</v>
      </c>
    </row>
    <row r="2656" customFormat="false" ht="12.75" hidden="false" customHeight="true" outlineLevel="0" collapsed="false">
      <c r="A2656" s="1" t="n">
        <v>1</v>
      </c>
      <c r="B2656" s="22" t="n">
        <v>46094</v>
      </c>
      <c r="C2656" s="22" t="n">
        <v>46290</v>
      </c>
      <c r="D2656" s="1" t="n">
        <v>468</v>
      </c>
      <c r="E2656" s="1" t="s">
        <v>842</v>
      </c>
      <c r="F2656" s="1" t="n">
        <v>36</v>
      </c>
      <c r="G2656" s="1" t="s">
        <v>445</v>
      </c>
      <c r="H2656" s="1" t="n">
        <v>2110405</v>
      </c>
      <c r="I2656" s="1" t="s">
        <v>83</v>
      </c>
      <c r="J2656" s="1" t="n">
        <v>1024118</v>
      </c>
      <c r="L2656" s="1" t="n">
        <v>14289</v>
      </c>
      <c r="M2656" s="1" t="s">
        <v>391</v>
      </c>
      <c r="N2656" s="1" t="s">
        <v>42</v>
      </c>
      <c r="P2656" s="1" t="n">
        <v>101</v>
      </c>
      <c r="Q2656" s="1" t="s">
        <v>84</v>
      </c>
      <c r="R2656" s="1" t="s">
        <v>765</v>
      </c>
      <c r="S2656" s="1" t="n">
        <v>1240103</v>
      </c>
      <c r="T2656" s="1" t="s">
        <v>839</v>
      </c>
      <c r="U2656" s="1" t="n">
        <v>1197</v>
      </c>
      <c r="W2656" s="1" t="n">
        <v>0</v>
      </c>
      <c r="X2656" s="1" t="s">
        <v>845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12.75" hidden="false" customHeight="true" outlineLevel="0" collapsed="false">
      <c r="A2657" s="1" t="n">
        <v>1</v>
      </c>
      <c r="B2657" s="22" t="n">
        <v>46254</v>
      </c>
      <c r="C2657" s="22" t="n">
        <v>46290</v>
      </c>
      <c r="D2657" s="1" t="n">
        <v>10098</v>
      </c>
      <c r="E2657" s="1" t="s">
        <v>1202</v>
      </c>
      <c r="F2657" s="1" t="n">
        <v>24</v>
      </c>
      <c r="G2657" s="1" t="s">
        <v>32</v>
      </c>
      <c r="H2657" s="1" t="n">
        <v>2110405</v>
      </c>
      <c r="I2657" s="1" t="s">
        <v>83</v>
      </c>
      <c r="J2657" s="1" t="n">
        <v>1577931</v>
      </c>
      <c r="L2657" s="1" t="n">
        <v>1228</v>
      </c>
      <c r="M2657" s="1" t="s">
        <v>41</v>
      </c>
      <c r="N2657" s="1" t="s">
        <v>42</v>
      </c>
      <c r="P2657" s="1" t="n">
        <v>103</v>
      </c>
      <c r="Q2657" s="1" t="s">
        <v>36</v>
      </c>
      <c r="R2657" s="1" t="s">
        <v>37</v>
      </c>
      <c r="S2657" s="1" t="n">
        <v>1130101</v>
      </c>
      <c r="T2657" s="1" t="s">
        <v>38</v>
      </c>
      <c r="U2657" s="1" t="n">
        <v>1359.7</v>
      </c>
      <c r="W2657" s="1" t="n">
        <v>0</v>
      </c>
      <c r="X2657" s="1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</row>
    <row r="2658" customFormat="false" ht="12.75" hidden="false" customHeight="true" outlineLevel="0" collapsed="false">
      <c r="A2658" s="1" t="n">
        <v>1</v>
      </c>
      <c r="B2658" s="22" t="n">
        <v>46224</v>
      </c>
      <c r="C2658" s="22" t="n">
        <v>46291</v>
      </c>
      <c r="D2658" s="1" t="n">
        <v>607</v>
      </c>
      <c r="E2658" s="1" t="s">
        <v>182</v>
      </c>
      <c r="F2658" s="1" t="n">
        <v>24</v>
      </c>
      <c r="G2658" s="1" t="s">
        <v>32</v>
      </c>
      <c r="H2658" s="1" t="n">
        <v>2110405</v>
      </c>
      <c r="I2658" s="1" t="s">
        <v>83</v>
      </c>
      <c r="J2658" s="1" t="n">
        <v>1429152</v>
      </c>
      <c r="L2658" s="1" t="n">
        <v>11134</v>
      </c>
      <c r="M2658" s="1" t="s">
        <v>234</v>
      </c>
      <c r="N2658" s="1" t="s">
        <v>42</v>
      </c>
      <c r="P2658" s="1" t="n">
        <v>103</v>
      </c>
      <c r="Q2658" s="1" t="s">
        <v>36</v>
      </c>
      <c r="R2658" s="1" t="s">
        <v>37</v>
      </c>
      <c r="S2658" s="1" t="n">
        <v>1130101</v>
      </c>
      <c r="T2658" s="1" t="s">
        <v>38</v>
      </c>
      <c r="U2658" s="1" t="n">
        <v>911.8</v>
      </c>
      <c r="W2658" s="1" t="n">
        <v>0</v>
      </c>
      <c r="X2658" s="1" t="s">
        <v>2856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" t="n">
        <v>1</v>
      </c>
      <c r="B2659" s="22" t="n">
        <v>46256</v>
      </c>
      <c r="C2659" s="22" t="n">
        <v>46291</v>
      </c>
      <c r="D2659" s="1" t="n">
        <v>607</v>
      </c>
      <c r="E2659" s="1" t="s">
        <v>182</v>
      </c>
      <c r="F2659" s="1" t="n">
        <v>24</v>
      </c>
      <c r="G2659" s="1" t="s">
        <v>32</v>
      </c>
      <c r="H2659" s="1" t="n">
        <v>2110405</v>
      </c>
      <c r="I2659" s="1" t="s">
        <v>83</v>
      </c>
      <c r="J2659" s="1" t="n">
        <v>1585319</v>
      </c>
      <c r="L2659" s="1" t="n">
        <v>11473</v>
      </c>
      <c r="M2659" s="1" t="s">
        <v>34</v>
      </c>
      <c r="N2659" s="1" t="s">
        <v>42</v>
      </c>
      <c r="P2659" s="1" t="n">
        <v>103</v>
      </c>
      <c r="Q2659" s="1" t="s">
        <v>36</v>
      </c>
      <c r="R2659" s="1" t="s">
        <v>37</v>
      </c>
      <c r="S2659" s="1" t="n">
        <v>1130101</v>
      </c>
      <c r="T2659" s="1" t="s">
        <v>38</v>
      </c>
      <c r="U2659" s="1" t="n">
        <v>1969.17</v>
      </c>
      <c r="W2659" s="1" t="n">
        <v>0</v>
      </c>
      <c r="X2659" s="1" t="s">
        <v>2857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" t="n">
        <v>1</v>
      </c>
      <c r="B2660" s="22" t="n">
        <v>46249</v>
      </c>
      <c r="C2660" s="22" t="n">
        <v>46292</v>
      </c>
      <c r="D2660" s="1" t="n">
        <v>10011</v>
      </c>
      <c r="E2660" s="1" t="s">
        <v>189</v>
      </c>
      <c r="F2660" s="1" t="n">
        <v>24</v>
      </c>
      <c r="G2660" s="1" t="s">
        <v>32</v>
      </c>
      <c r="H2660" s="1" t="n">
        <v>2110405</v>
      </c>
      <c r="I2660" s="1" t="s">
        <v>83</v>
      </c>
      <c r="J2660" s="1" t="n">
        <v>1552267</v>
      </c>
      <c r="L2660" s="1" t="n">
        <v>35160</v>
      </c>
      <c r="M2660" s="1" t="s">
        <v>394</v>
      </c>
      <c r="N2660" s="1" t="s">
        <v>42</v>
      </c>
      <c r="P2660" s="1" t="n">
        <v>103</v>
      </c>
      <c r="Q2660" s="1" t="s">
        <v>36</v>
      </c>
      <c r="R2660" s="1" t="s">
        <v>37</v>
      </c>
      <c r="S2660" s="1" t="n">
        <v>1130101</v>
      </c>
      <c r="T2660" s="1" t="s">
        <v>38</v>
      </c>
      <c r="U2660" s="1" t="n">
        <v>2836.78</v>
      </c>
      <c r="W2660" s="1" t="n">
        <v>0</v>
      </c>
      <c r="X2660" s="1" t="s">
        <v>2858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</row>
    <row r="2661" customFormat="false" ht="12.75" hidden="false" customHeight="true" outlineLevel="0" collapsed="false">
      <c r="A2661" s="1" t="n">
        <v>1</v>
      </c>
      <c r="B2661" s="22" t="n">
        <v>46253</v>
      </c>
      <c r="C2661" s="22" t="n">
        <v>46292</v>
      </c>
      <c r="D2661" s="1" t="n">
        <v>957</v>
      </c>
      <c r="E2661" s="1" t="s">
        <v>132</v>
      </c>
      <c r="F2661" s="1" t="n">
        <v>24</v>
      </c>
      <c r="G2661" s="1" t="s">
        <v>32</v>
      </c>
      <c r="H2661" s="1" t="n">
        <v>2110405</v>
      </c>
      <c r="I2661" s="1" t="s">
        <v>83</v>
      </c>
      <c r="J2661" s="1" t="n">
        <v>1571005</v>
      </c>
      <c r="L2661" s="1" t="n">
        <v>21714</v>
      </c>
      <c r="M2661" s="1" t="s">
        <v>128</v>
      </c>
      <c r="N2661" s="1" t="s">
        <v>42</v>
      </c>
      <c r="P2661" s="1" t="n">
        <v>103</v>
      </c>
      <c r="Q2661" s="1" t="s">
        <v>36</v>
      </c>
      <c r="R2661" s="1" t="s">
        <v>37</v>
      </c>
      <c r="S2661" s="1" t="n">
        <v>1130101</v>
      </c>
      <c r="T2661" s="1" t="s">
        <v>38</v>
      </c>
      <c r="U2661" s="1" t="n">
        <v>704.89</v>
      </c>
      <c r="W2661" s="1" t="n">
        <v>0</v>
      </c>
      <c r="X2661" s="1" t="s">
        <v>2859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</row>
    <row r="2662" customFormat="false" ht="12.75" hidden="false" customHeight="true" outlineLevel="0" collapsed="false">
      <c r="A2662" s="1" t="n">
        <v>1</v>
      </c>
      <c r="B2662" s="22" t="n">
        <v>46255</v>
      </c>
      <c r="C2662" s="22" t="n">
        <v>46292</v>
      </c>
      <c r="D2662" s="1" t="n">
        <v>1711</v>
      </c>
      <c r="E2662" s="1" t="s">
        <v>535</v>
      </c>
      <c r="F2662" s="1" t="n">
        <v>24</v>
      </c>
      <c r="G2662" s="1" t="s">
        <v>32</v>
      </c>
      <c r="H2662" s="1" t="n">
        <v>2110405</v>
      </c>
      <c r="I2662" s="1" t="s">
        <v>83</v>
      </c>
      <c r="J2662" s="1" t="n">
        <v>1581907</v>
      </c>
      <c r="L2662" s="1" t="n">
        <v>160299</v>
      </c>
      <c r="M2662" s="1" t="s">
        <v>394</v>
      </c>
      <c r="N2662" s="1" t="s">
        <v>42</v>
      </c>
      <c r="P2662" s="1" t="n">
        <v>103</v>
      </c>
      <c r="Q2662" s="1" t="s">
        <v>36</v>
      </c>
      <c r="R2662" s="1" t="s">
        <v>37</v>
      </c>
      <c r="S2662" s="1" t="n">
        <v>1130101</v>
      </c>
      <c r="T2662" s="1" t="s">
        <v>38</v>
      </c>
      <c r="U2662" s="1" t="n">
        <v>1127.55</v>
      </c>
      <c r="W2662" s="1" t="n">
        <v>0</v>
      </c>
      <c r="X2662" s="1" t="s">
        <v>2860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</row>
    <row r="2663" customFormat="false" ht="12.75" hidden="false" customHeight="true" outlineLevel="0" collapsed="false">
      <c r="A2663" s="1" t="n">
        <v>1</v>
      </c>
      <c r="B2663" s="22" t="n">
        <v>46228</v>
      </c>
      <c r="C2663" s="22" t="n">
        <v>46293</v>
      </c>
      <c r="D2663" s="1" t="n">
        <v>515</v>
      </c>
      <c r="E2663" s="1" t="s">
        <v>106</v>
      </c>
      <c r="F2663" s="1" t="n">
        <v>34</v>
      </c>
      <c r="G2663" s="1" t="s">
        <v>71</v>
      </c>
      <c r="H2663" s="1" t="n">
        <v>1110202</v>
      </c>
      <c r="I2663" s="1" t="s">
        <v>285</v>
      </c>
      <c r="J2663" s="1" t="n">
        <v>1449535</v>
      </c>
      <c r="L2663" s="1" t="n">
        <v>596258</v>
      </c>
      <c r="M2663" s="1" t="s">
        <v>128</v>
      </c>
      <c r="N2663" s="1" t="s">
        <v>42</v>
      </c>
      <c r="P2663" s="1" t="n">
        <v>101</v>
      </c>
      <c r="Q2663" s="1" t="s">
        <v>84</v>
      </c>
      <c r="R2663" s="1" t="s">
        <v>91</v>
      </c>
      <c r="S2663" s="1" t="n">
        <v>4220199</v>
      </c>
      <c r="T2663" s="1" t="s">
        <v>92</v>
      </c>
      <c r="U2663" s="1" t="n">
        <v>3853.23</v>
      </c>
      <c r="W2663" s="1" t="n">
        <v>0</v>
      </c>
      <c r="X2663" s="1" t="s">
        <v>2861</v>
      </c>
      <c r="Z2663" s="1" t="str">
        <f aca="false">IF($T2663="","",IFERROR(INDEX('Resumo Grupos'!$AC$3:$AC$200,MATCH($T2663,'Resumo Grupos'!$AB$3:$AB$200,0)),"n/d"))</f>
        <v>Pagamentos outros não operacionais</v>
      </c>
      <c r="AA2663" s="1" t="str">
        <f aca="false">IF($T2663="","",IF(COUNTIF('Resumo Grupos'!$AE$3:$AE$40,$T2663)&gt;0,"NAO","SIM"))</f>
        <v>SIM</v>
      </c>
    </row>
    <row r="2664" customFormat="false" ht="12.75" hidden="false" customHeight="true" outlineLevel="0" collapsed="false">
      <c r="A2664" s="1" t="n">
        <v>1</v>
      </c>
      <c r="B2664" s="22" t="n">
        <v>46232</v>
      </c>
      <c r="C2664" s="22" t="n">
        <v>46295</v>
      </c>
      <c r="D2664" s="1" t="n">
        <v>815</v>
      </c>
      <c r="E2664" s="1" t="s">
        <v>652</v>
      </c>
      <c r="F2664" s="1" t="n">
        <v>34</v>
      </c>
      <c r="G2664" s="1" t="s">
        <v>71</v>
      </c>
      <c r="H2664" s="1" t="n">
        <v>1110202</v>
      </c>
      <c r="I2664" s="1" t="s">
        <v>285</v>
      </c>
      <c r="J2664" s="1" t="n">
        <v>1470128</v>
      </c>
      <c r="L2664" s="1" t="n">
        <v>604118</v>
      </c>
      <c r="M2664" s="1" t="s">
        <v>34</v>
      </c>
      <c r="N2664" s="1" t="s">
        <v>42</v>
      </c>
      <c r="P2664" s="1" t="n">
        <v>101</v>
      </c>
      <c r="Q2664" s="1" t="s">
        <v>84</v>
      </c>
      <c r="R2664" s="1" t="s">
        <v>108</v>
      </c>
      <c r="S2664" s="1" t="n">
        <v>4210502</v>
      </c>
      <c r="T2664" s="1" t="s">
        <v>901</v>
      </c>
      <c r="U2664" s="1" t="n">
        <v>1000</v>
      </c>
      <c r="W2664" s="1" t="n">
        <v>0</v>
      </c>
      <c r="X2664" s="1" t="s">
        <v>2588</v>
      </c>
      <c r="Z2664" s="1" t="str">
        <f aca="false">IF($T2664="","",IFERROR(INDEX('Resumo Grupos'!$AC$3:$AC$200,MATCH($T2664,'Resumo Grupos'!$AB$3:$AB$200,0)),"n/d"))</f>
        <v>Empréstimo</v>
      </c>
      <c r="AA2664" s="1" t="str">
        <f aca="false">IF($T2664="","",IF(COUNTIF('Resumo Grupos'!$AE$3:$AE$40,$T2664)&gt;0,"NAO","SIM"))</f>
        <v>SIM</v>
      </c>
    </row>
    <row r="2665" customFormat="false" ht="12.75" hidden="false" customHeight="true" outlineLevel="0" collapsed="false">
      <c r="A2665" s="1" t="n">
        <v>1</v>
      </c>
      <c r="B2665" s="22" t="n">
        <v>46240</v>
      </c>
      <c r="C2665" s="22" t="n">
        <v>46298</v>
      </c>
      <c r="D2665" s="1" t="n">
        <v>557</v>
      </c>
      <c r="E2665" s="1" t="s">
        <v>231</v>
      </c>
      <c r="F2665" s="1" t="n">
        <v>34</v>
      </c>
      <c r="G2665" s="1" t="s">
        <v>71</v>
      </c>
      <c r="H2665" s="1" t="n">
        <v>2110405</v>
      </c>
      <c r="I2665" s="1" t="s">
        <v>83</v>
      </c>
      <c r="J2665" s="1" t="n">
        <v>1122744</v>
      </c>
      <c r="L2665" s="1" t="n">
        <v>469459</v>
      </c>
      <c r="M2665" s="1" t="s">
        <v>1696</v>
      </c>
      <c r="N2665" s="1" t="s">
        <v>42</v>
      </c>
      <c r="P2665" s="1" t="n">
        <v>102</v>
      </c>
      <c r="Q2665" s="1" t="s">
        <v>107</v>
      </c>
      <c r="R2665" s="1" t="s">
        <v>60</v>
      </c>
      <c r="S2665" s="1" t="n">
        <v>4210206</v>
      </c>
      <c r="T2665" s="1" t="s">
        <v>232</v>
      </c>
      <c r="U2665" s="1" t="n">
        <v>258.62</v>
      </c>
      <c r="W2665" s="1" t="n">
        <v>0</v>
      </c>
      <c r="X2665" s="1" t="s">
        <v>233</v>
      </c>
      <c r="Z2665" s="1" t="str">
        <f aca="false">IF($T2665="","",IFERROR(INDEX('Resumo Grupos'!$AC$3:$AC$200,MATCH($T2665,'Resumo Grupos'!$AB$3:$AB$200,0)),"n/d"))</f>
        <v>Despesa</v>
      </c>
      <c r="AA2665" s="1" t="str">
        <f aca="false">IF($T2665="","",IF(COUNTIF('Resumo Grupos'!$AE$3:$AE$40,$T2665)&gt;0,"NAO","SIM"))</f>
        <v>SIM</v>
      </c>
    </row>
    <row r="2666" customFormat="false" ht="12.75" hidden="false" customHeight="true" outlineLevel="0" collapsed="false">
      <c r="A2666" s="1" t="n">
        <v>1</v>
      </c>
      <c r="B2666" s="22" t="n">
        <v>46238</v>
      </c>
      <c r="C2666" s="22" t="n">
        <v>46299</v>
      </c>
      <c r="D2666" s="1" t="n">
        <v>862</v>
      </c>
      <c r="E2666" s="1" t="s">
        <v>430</v>
      </c>
      <c r="F2666" s="1" t="n">
        <v>24</v>
      </c>
      <c r="G2666" s="1" t="s">
        <v>32</v>
      </c>
      <c r="H2666" s="1" t="n">
        <v>2110405</v>
      </c>
      <c r="I2666" s="1" t="s">
        <v>83</v>
      </c>
      <c r="J2666" s="1" t="n">
        <v>1498819</v>
      </c>
      <c r="L2666" s="1" t="n">
        <v>614572</v>
      </c>
      <c r="M2666" s="1" t="s">
        <v>128</v>
      </c>
      <c r="N2666" s="1" t="s">
        <v>42</v>
      </c>
      <c r="P2666" s="1" t="n">
        <v>101</v>
      </c>
      <c r="Q2666" s="1" t="s">
        <v>84</v>
      </c>
      <c r="R2666" s="1" t="s">
        <v>60</v>
      </c>
      <c r="S2666" s="1" t="n">
        <v>4210233</v>
      </c>
      <c r="T2666" s="1" t="s">
        <v>275</v>
      </c>
      <c r="U2666" s="1" t="n">
        <v>270.9</v>
      </c>
      <c r="W2666" s="1" t="n">
        <v>0</v>
      </c>
      <c r="X2666" s="1" t="s">
        <v>1952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</row>
    <row r="2667" customFormat="false" ht="12.75" hidden="false" customHeight="true" outlineLevel="0" collapsed="false">
      <c r="A2667" s="1" t="n">
        <v>1</v>
      </c>
      <c r="B2667" s="22" t="n">
        <v>46185</v>
      </c>
      <c r="C2667" s="22" t="n">
        <v>46300</v>
      </c>
      <c r="D2667" s="1" t="n">
        <v>1768</v>
      </c>
      <c r="E2667" s="1" t="s">
        <v>553</v>
      </c>
      <c r="F2667" s="1" t="n">
        <v>34</v>
      </c>
      <c r="G2667" s="1" t="s">
        <v>71</v>
      </c>
      <c r="H2667" s="1" t="n">
        <v>1110202</v>
      </c>
      <c r="I2667" s="1" t="s">
        <v>285</v>
      </c>
      <c r="J2667" s="1" t="n">
        <v>1240158</v>
      </c>
      <c r="L2667" s="1" t="n">
        <v>515079</v>
      </c>
      <c r="M2667" s="1" t="s">
        <v>394</v>
      </c>
      <c r="N2667" s="1" t="s">
        <v>42</v>
      </c>
      <c r="P2667" s="1" t="n">
        <v>102</v>
      </c>
      <c r="Q2667" s="1" t="s">
        <v>107</v>
      </c>
      <c r="R2667" s="1" t="s">
        <v>60</v>
      </c>
      <c r="S2667" s="1" t="n">
        <v>4210202</v>
      </c>
      <c r="T2667" s="1" t="s">
        <v>554</v>
      </c>
      <c r="U2667" s="1" t="n">
        <v>2431.5</v>
      </c>
      <c r="W2667" s="1" t="n">
        <v>0</v>
      </c>
      <c r="X2667" s="1" t="s">
        <v>555</v>
      </c>
      <c r="Z2667" s="1" t="str">
        <f aca="false">IF($T2667="","",IFERROR(INDEX('Resumo Grupos'!$AC$3:$AC$200,MATCH($T2667,'Resumo Grupos'!$AB$3:$AB$200,0)),"n/d"))</f>
        <v>Despesa</v>
      </c>
      <c r="AA2667" s="1" t="str">
        <f aca="false">IF($T2667="","",IF(COUNTIF('Resumo Grupos'!$AE$3:$AE$40,$T2667)&gt;0,"NAO","SIM"))</f>
        <v>SIM</v>
      </c>
    </row>
    <row r="2668" customFormat="false" ht="12.75" hidden="false" customHeight="true" outlineLevel="0" collapsed="false">
      <c r="A2668" s="1" t="n">
        <v>1</v>
      </c>
      <c r="B2668" s="22" t="n">
        <v>46228</v>
      </c>
      <c r="C2668" s="22" t="n">
        <v>46300</v>
      </c>
      <c r="D2668" s="1" t="n">
        <v>1061</v>
      </c>
      <c r="E2668" s="1" t="s">
        <v>284</v>
      </c>
      <c r="F2668" s="1" t="n">
        <v>34</v>
      </c>
      <c r="G2668" s="1" t="s">
        <v>71</v>
      </c>
      <c r="H2668" s="1" t="n">
        <v>1110202</v>
      </c>
      <c r="I2668" s="1" t="s">
        <v>285</v>
      </c>
      <c r="J2668" s="1" t="n">
        <v>1448839</v>
      </c>
      <c r="L2668" s="1" t="n">
        <v>596058</v>
      </c>
      <c r="M2668" s="1" t="s">
        <v>128</v>
      </c>
      <c r="N2668" s="1" t="s">
        <v>42</v>
      </c>
      <c r="P2668" s="1" t="n">
        <v>101</v>
      </c>
      <c r="Q2668" s="1" t="s">
        <v>84</v>
      </c>
      <c r="R2668" s="1" t="s">
        <v>91</v>
      </c>
      <c r="S2668" s="1" t="n">
        <v>4220199</v>
      </c>
      <c r="T2668" s="1" t="s">
        <v>92</v>
      </c>
      <c r="U2668" s="1" t="n">
        <v>1500</v>
      </c>
      <c r="W2668" s="1" t="n">
        <v>0</v>
      </c>
      <c r="X2668" s="1" t="s">
        <v>286</v>
      </c>
      <c r="Z2668" s="1" t="str">
        <f aca="false">IF($T2668="","",IFERROR(INDEX('Resumo Grupos'!$AC$3:$AC$200,MATCH($T2668,'Resumo Grupos'!$AB$3:$AB$200,0)),"n/d"))</f>
        <v>Pagamentos outros não operacionais</v>
      </c>
      <c r="AA2668" s="1" t="str">
        <f aca="false">IF($T2668="","",IF(COUNTIF('Resumo Grupos'!$AE$3:$AE$40,$T2668)&gt;0,"NAO","SIM"))</f>
        <v>SIM</v>
      </c>
    </row>
    <row r="2669" customFormat="false" ht="12.75" hidden="false" customHeight="true" outlineLevel="0" collapsed="false">
      <c r="A2669" s="1" t="n">
        <v>1</v>
      </c>
      <c r="B2669" s="22" t="n">
        <v>46228</v>
      </c>
      <c r="C2669" s="22" t="n">
        <v>46300</v>
      </c>
      <c r="D2669" s="1" t="n">
        <v>16</v>
      </c>
      <c r="E2669" s="1" t="s">
        <v>90</v>
      </c>
      <c r="F2669" s="1" t="n">
        <v>34</v>
      </c>
      <c r="G2669" s="1" t="s">
        <v>71</v>
      </c>
      <c r="H2669" s="1" t="n">
        <v>2110405</v>
      </c>
      <c r="I2669" s="1" t="s">
        <v>83</v>
      </c>
      <c r="J2669" s="1" t="n">
        <v>1448856</v>
      </c>
      <c r="L2669" s="1" t="n">
        <v>596062</v>
      </c>
      <c r="M2669" s="1" t="s">
        <v>128</v>
      </c>
      <c r="N2669" s="1" t="s">
        <v>42</v>
      </c>
      <c r="P2669" s="1" t="n">
        <v>101</v>
      </c>
      <c r="Q2669" s="1" t="s">
        <v>84</v>
      </c>
      <c r="R2669" s="1" t="s">
        <v>85</v>
      </c>
      <c r="S2669" s="1" t="n">
        <v>4210301</v>
      </c>
      <c r="T2669" s="1" t="s">
        <v>295</v>
      </c>
      <c r="U2669" s="1" t="n">
        <v>500</v>
      </c>
      <c r="W2669" s="1" t="n">
        <v>0</v>
      </c>
      <c r="X2669" s="1" t="s">
        <v>2862</v>
      </c>
      <c r="Z2669" s="1" t="str">
        <f aca="false">IF($T2669="","",IFERROR(INDEX('Resumo Grupos'!$AC$3:$AC$200,MATCH($T2669,'Resumo Grupos'!$AB$3:$AB$200,0)),"n/d"))</f>
        <v>Salários</v>
      </c>
      <c r="AA2669" s="1" t="str">
        <f aca="false">IF($T2669="","",IF(COUNTIF('Resumo Grupos'!$AE$3:$AE$40,$T2669)&gt;0,"NAO","SIM"))</f>
        <v>SIM</v>
      </c>
    </row>
    <row r="2670" customFormat="false" ht="12.75" hidden="false" customHeight="true" outlineLevel="0" collapsed="false">
      <c r="A2670" s="1" t="n">
        <v>1</v>
      </c>
      <c r="B2670" s="22" t="n">
        <v>46232</v>
      </c>
      <c r="C2670" s="22" t="n">
        <v>46300</v>
      </c>
      <c r="D2670" s="1" t="n">
        <v>714</v>
      </c>
      <c r="E2670" s="1" t="s">
        <v>330</v>
      </c>
      <c r="F2670" s="1" t="n">
        <v>34</v>
      </c>
      <c r="G2670" s="1" t="s">
        <v>71</v>
      </c>
      <c r="H2670" s="1" t="n">
        <v>2110405</v>
      </c>
      <c r="I2670" s="1" t="s">
        <v>83</v>
      </c>
      <c r="J2670" s="1" t="n">
        <v>1470158</v>
      </c>
      <c r="L2670" s="1" t="n">
        <v>604127</v>
      </c>
      <c r="M2670" s="1" t="s">
        <v>128</v>
      </c>
      <c r="N2670" s="1" t="s">
        <v>42</v>
      </c>
      <c r="P2670" s="1" t="n">
        <v>101</v>
      </c>
      <c r="Q2670" s="1" t="s">
        <v>84</v>
      </c>
      <c r="R2670" s="1" t="s">
        <v>91</v>
      </c>
      <c r="S2670" s="1" t="n">
        <v>4220199</v>
      </c>
      <c r="T2670" s="1" t="s">
        <v>92</v>
      </c>
      <c r="U2670" s="1" t="n">
        <v>6150</v>
      </c>
      <c r="W2670" s="1" t="n">
        <v>0</v>
      </c>
      <c r="X2670" s="1" t="s">
        <v>332</v>
      </c>
      <c r="Z2670" s="1" t="str">
        <f aca="false">IF($T2670="","",IFERROR(INDEX('Resumo Grupos'!$AC$3:$AC$200,MATCH($T2670,'Resumo Grupos'!$AB$3:$AB$200,0)),"n/d"))</f>
        <v>Pagamentos outros não operacionais</v>
      </c>
      <c r="AA2670" s="1" t="str">
        <f aca="false">IF($T2670="","",IF(COUNTIF('Resumo Grupos'!$AE$3:$AE$40,$T2670)&gt;0,"NAO","SIM"))</f>
        <v>SIM</v>
      </c>
    </row>
    <row r="2671" customFormat="false" ht="12.75" hidden="false" customHeight="true" outlineLevel="0" collapsed="false">
      <c r="A2671" s="1" t="n">
        <v>1</v>
      </c>
      <c r="B2671" s="22" t="n">
        <v>46239</v>
      </c>
      <c r="C2671" s="22" t="n">
        <v>46300</v>
      </c>
      <c r="D2671" s="1" t="n">
        <v>17</v>
      </c>
      <c r="E2671" s="1" t="s">
        <v>94</v>
      </c>
      <c r="F2671" s="1" t="n">
        <v>24</v>
      </c>
      <c r="G2671" s="1" t="s">
        <v>32</v>
      </c>
      <c r="H2671" s="1" t="n">
        <v>1110202</v>
      </c>
      <c r="I2671" s="1" t="s">
        <v>285</v>
      </c>
      <c r="J2671" s="1" t="n">
        <v>1359969</v>
      </c>
      <c r="L2671" s="1" t="n">
        <v>561604</v>
      </c>
      <c r="M2671" s="1" t="s">
        <v>394</v>
      </c>
      <c r="N2671" s="1" t="s">
        <v>42</v>
      </c>
      <c r="P2671" s="1" t="n">
        <v>102</v>
      </c>
      <c r="Q2671" s="1" t="s">
        <v>107</v>
      </c>
      <c r="R2671" s="1" t="s">
        <v>91</v>
      </c>
      <c r="S2671" s="1" t="n">
        <v>4220199</v>
      </c>
      <c r="T2671" s="1" t="s">
        <v>92</v>
      </c>
      <c r="U2671" s="1" t="n">
        <v>631.05</v>
      </c>
      <c r="W2671" s="1" t="n">
        <v>0</v>
      </c>
      <c r="X2671" s="1" t="s">
        <v>2692</v>
      </c>
      <c r="Z2671" s="1" t="str">
        <f aca="false">IF($T2671="","",IFERROR(INDEX('Resumo Grupos'!$AC$3:$AC$200,MATCH($T2671,'Resumo Grupos'!$AB$3:$AB$200,0)),"n/d"))</f>
        <v>Pagamentos outros não operacionais</v>
      </c>
      <c r="AA2671" s="1" t="str">
        <f aca="false">IF($T2671="","",IF(COUNTIF('Resumo Grupos'!$AE$3:$AE$40,$T2671)&gt;0,"NAO","SIM"))</f>
        <v>SIM</v>
      </c>
    </row>
    <row r="2672" customFormat="false" ht="12.75" hidden="false" customHeight="true" outlineLevel="0" collapsed="false">
      <c r="A2672" s="1" t="n">
        <v>1</v>
      </c>
      <c r="B2672" s="22" t="n">
        <v>46242</v>
      </c>
      <c r="C2672" s="22" t="n">
        <v>46300</v>
      </c>
      <c r="D2672" s="1" t="n">
        <v>957</v>
      </c>
      <c r="E2672" s="1" t="s">
        <v>132</v>
      </c>
      <c r="F2672" s="1" t="n">
        <v>24</v>
      </c>
      <c r="G2672" s="1" t="s">
        <v>32</v>
      </c>
      <c r="H2672" s="1" t="n">
        <v>2110405</v>
      </c>
      <c r="I2672" s="1" t="s">
        <v>83</v>
      </c>
      <c r="J2672" s="1" t="n">
        <v>1517801</v>
      </c>
      <c r="L2672" s="1" t="n">
        <v>21578</v>
      </c>
      <c r="M2672" s="1" t="s">
        <v>394</v>
      </c>
      <c r="N2672" s="1" t="s">
        <v>42</v>
      </c>
      <c r="P2672" s="1" t="n">
        <v>103</v>
      </c>
      <c r="Q2672" s="1" t="s">
        <v>36</v>
      </c>
      <c r="R2672" s="1" t="s">
        <v>37</v>
      </c>
      <c r="S2672" s="1" t="n">
        <v>1130101</v>
      </c>
      <c r="T2672" s="1" t="s">
        <v>38</v>
      </c>
      <c r="U2672" s="1" t="n">
        <v>3429</v>
      </c>
      <c r="W2672" s="1" t="n">
        <v>0</v>
      </c>
      <c r="X2672" s="1" t="s">
        <v>2863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</row>
    <row r="2673" customFormat="false" ht="12.75" hidden="false" customHeight="true" outlineLevel="0" collapsed="false">
      <c r="A2673" s="1" t="n">
        <v>1</v>
      </c>
      <c r="B2673" s="22" t="n">
        <v>46244</v>
      </c>
      <c r="C2673" s="22" t="n">
        <v>46300</v>
      </c>
      <c r="D2673" s="1" t="n">
        <v>1061</v>
      </c>
      <c r="E2673" s="1" t="s">
        <v>284</v>
      </c>
      <c r="F2673" s="1" t="n">
        <v>34</v>
      </c>
      <c r="G2673" s="1" t="s">
        <v>71</v>
      </c>
      <c r="H2673" s="1" t="n">
        <v>2110405</v>
      </c>
      <c r="I2673" s="1" t="s">
        <v>83</v>
      </c>
      <c r="J2673" s="1" t="n">
        <v>1448819</v>
      </c>
      <c r="L2673" s="1" t="n">
        <v>596052</v>
      </c>
      <c r="M2673" s="1" t="s">
        <v>394</v>
      </c>
      <c r="N2673" s="1" t="s">
        <v>42</v>
      </c>
      <c r="P2673" s="1" t="n">
        <v>101</v>
      </c>
      <c r="Q2673" s="1" t="s">
        <v>84</v>
      </c>
      <c r="R2673" s="1" t="s">
        <v>85</v>
      </c>
      <c r="S2673" s="1" t="n">
        <v>4210301</v>
      </c>
      <c r="T2673" s="1" t="s">
        <v>295</v>
      </c>
      <c r="U2673" s="1" t="n">
        <v>750.97</v>
      </c>
      <c r="W2673" s="1" t="n">
        <v>0</v>
      </c>
      <c r="X2673" s="1" t="s">
        <v>2864</v>
      </c>
      <c r="Z2673" s="1" t="str">
        <f aca="false">IF($T2673="","",IFERROR(INDEX('Resumo Grupos'!$AC$3:$AC$200,MATCH($T2673,'Resumo Grupos'!$AB$3:$AB$200,0)),"n/d"))</f>
        <v>Salários</v>
      </c>
      <c r="AA2673" s="1" t="str">
        <f aca="false">IF($T2673="","",IF(COUNTIF('Resumo Grupos'!$AE$3:$AE$40,$T2673)&gt;0,"NAO","SIM"))</f>
        <v>SIM</v>
      </c>
    </row>
    <row r="2674" customFormat="false" ht="12.75" hidden="false" customHeight="true" outlineLevel="0" collapsed="false">
      <c r="A2674" s="1" t="n">
        <v>1</v>
      </c>
      <c r="B2674" s="22" t="n">
        <v>46247</v>
      </c>
      <c r="C2674" s="22" t="n">
        <v>46300</v>
      </c>
      <c r="D2674" s="1" t="n">
        <v>714</v>
      </c>
      <c r="E2674" s="1" t="s">
        <v>330</v>
      </c>
      <c r="F2674" s="1" t="n">
        <v>34</v>
      </c>
      <c r="G2674" s="1" t="s">
        <v>71</v>
      </c>
      <c r="H2674" s="1" t="n">
        <v>2110405</v>
      </c>
      <c r="I2674" s="1" t="s">
        <v>83</v>
      </c>
      <c r="J2674" s="1" t="n">
        <v>1207135</v>
      </c>
      <c r="L2674" s="1" t="n">
        <v>502146</v>
      </c>
      <c r="M2674" s="1" t="s">
        <v>234</v>
      </c>
      <c r="N2674" s="1" t="s">
        <v>42</v>
      </c>
      <c r="P2674" s="1" t="n">
        <v>101</v>
      </c>
      <c r="Q2674" s="1" t="s">
        <v>84</v>
      </c>
      <c r="R2674" s="1" t="s">
        <v>290</v>
      </c>
      <c r="S2674" s="1" t="n">
        <v>4210111</v>
      </c>
      <c r="T2674" s="1" t="s">
        <v>291</v>
      </c>
      <c r="U2674" s="1" t="n">
        <v>3000</v>
      </c>
      <c r="W2674" s="1" t="n">
        <v>0</v>
      </c>
      <c r="X2674" s="1" t="s">
        <v>331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</row>
    <row r="2675" customFormat="false" ht="12.75" hidden="false" customHeight="true" outlineLevel="0" collapsed="false">
      <c r="A2675" s="1" t="n">
        <v>1</v>
      </c>
      <c r="B2675" s="22" t="n">
        <v>46247</v>
      </c>
      <c r="C2675" s="22" t="n">
        <v>46300</v>
      </c>
      <c r="D2675" s="1" t="n">
        <v>16</v>
      </c>
      <c r="E2675" s="1" t="s">
        <v>90</v>
      </c>
      <c r="F2675" s="1" t="n">
        <v>34</v>
      </c>
      <c r="G2675" s="1" t="s">
        <v>71</v>
      </c>
      <c r="H2675" s="1" t="n">
        <v>2110405</v>
      </c>
      <c r="I2675" s="1" t="s">
        <v>83</v>
      </c>
      <c r="J2675" s="1" t="n">
        <v>1207139</v>
      </c>
      <c r="L2675" s="1" t="n">
        <v>502148</v>
      </c>
      <c r="M2675" s="1" t="s">
        <v>234</v>
      </c>
      <c r="N2675" s="1" t="s">
        <v>42</v>
      </c>
      <c r="P2675" s="1" t="n">
        <v>101</v>
      </c>
      <c r="Q2675" s="1" t="s">
        <v>84</v>
      </c>
      <c r="R2675" s="1" t="s">
        <v>91</v>
      </c>
      <c r="S2675" s="1" t="n">
        <v>4220199</v>
      </c>
      <c r="T2675" s="1" t="s">
        <v>92</v>
      </c>
      <c r="U2675" s="1" t="n">
        <v>350</v>
      </c>
      <c r="W2675" s="1" t="n">
        <v>0</v>
      </c>
      <c r="X2675" s="1" t="s">
        <v>333</v>
      </c>
      <c r="Z2675" s="1" t="str">
        <f aca="false">IF($T2675="","",IFERROR(INDEX('Resumo Grupos'!$AC$3:$AC$200,MATCH($T2675,'Resumo Grupos'!$AB$3:$AB$200,0)),"n/d"))</f>
        <v>Pagamentos outros não operacionais</v>
      </c>
      <c r="AA2675" s="1" t="str">
        <f aca="false">IF($T2675="","",IF(COUNTIF('Resumo Grupos'!$AE$3:$AE$40,$T2675)&gt;0,"NAO","SIM"))</f>
        <v>SIM</v>
      </c>
    </row>
    <row r="2676" customFormat="false" ht="12.75" hidden="false" customHeight="true" outlineLevel="0" collapsed="false">
      <c r="A2676" s="1" t="n">
        <v>1</v>
      </c>
      <c r="B2676" s="22" t="n">
        <v>46224</v>
      </c>
      <c r="C2676" s="22" t="n">
        <v>46301</v>
      </c>
      <c r="D2676" s="1" t="n">
        <v>607</v>
      </c>
      <c r="E2676" s="1" t="s">
        <v>182</v>
      </c>
      <c r="F2676" s="1" t="n">
        <v>24</v>
      </c>
      <c r="G2676" s="1" t="s">
        <v>32</v>
      </c>
      <c r="H2676" s="1" t="n">
        <v>2110405</v>
      </c>
      <c r="I2676" s="1" t="s">
        <v>83</v>
      </c>
      <c r="J2676" s="1" t="n">
        <v>1429152</v>
      </c>
      <c r="L2676" s="1" t="n">
        <v>11134</v>
      </c>
      <c r="M2676" s="1" t="s">
        <v>391</v>
      </c>
      <c r="N2676" s="1" t="s">
        <v>42</v>
      </c>
      <c r="P2676" s="1" t="n">
        <v>103</v>
      </c>
      <c r="Q2676" s="1" t="s">
        <v>36</v>
      </c>
      <c r="R2676" s="1" t="s">
        <v>37</v>
      </c>
      <c r="S2676" s="1" t="n">
        <v>1130101</v>
      </c>
      <c r="T2676" s="1" t="s">
        <v>38</v>
      </c>
      <c r="U2676" s="1" t="n">
        <v>911.8</v>
      </c>
      <c r="W2676" s="1" t="n">
        <v>0</v>
      </c>
      <c r="X2676" s="1" t="s">
        <v>2865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</row>
    <row r="2677" customFormat="false" ht="12.75" hidden="false" customHeight="true" outlineLevel="0" collapsed="false">
      <c r="A2677" s="1" t="n">
        <v>1</v>
      </c>
      <c r="B2677" s="22" t="n">
        <v>46246</v>
      </c>
      <c r="C2677" s="22" t="n">
        <v>46301</v>
      </c>
      <c r="D2677" s="1" t="n">
        <v>17</v>
      </c>
      <c r="E2677" s="1" t="s">
        <v>94</v>
      </c>
      <c r="F2677" s="1" t="n">
        <v>24</v>
      </c>
      <c r="G2677" s="1" t="s">
        <v>32</v>
      </c>
      <c r="H2677" s="1" t="n">
        <v>2110405</v>
      </c>
      <c r="I2677" s="1" t="s">
        <v>83</v>
      </c>
      <c r="J2677" s="1" t="n">
        <v>1323809</v>
      </c>
      <c r="L2677" s="1" t="n">
        <v>548260</v>
      </c>
      <c r="M2677" s="1" t="s">
        <v>394</v>
      </c>
      <c r="N2677" s="1" t="s">
        <v>42</v>
      </c>
      <c r="P2677" s="1" t="n">
        <v>101</v>
      </c>
      <c r="Q2677" s="1" t="s">
        <v>84</v>
      </c>
      <c r="R2677" s="1" t="s">
        <v>91</v>
      </c>
      <c r="S2677" s="1" t="n">
        <v>4220199</v>
      </c>
      <c r="T2677" s="1" t="s">
        <v>92</v>
      </c>
      <c r="U2677" s="1" t="n">
        <v>800</v>
      </c>
      <c r="W2677" s="1" t="n">
        <v>0</v>
      </c>
      <c r="X2677" s="1" t="s">
        <v>2698</v>
      </c>
      <c r="Z2677" s="1" t="str">
        <f aca="false">IF($T2677="","",IFERROR(INDEX('Resumo Grupos'!$AC$3:$AC$200,MATCH($T2677,'Resumo Grupos'!$AB$3:$AB$200,0)),"n/d"))</f>
        <v>Pagamentos outros não operacionais</v>
      </c>
      <c r="AA2677" s="1" t="str">
        <f aca="false">IF($T2677="","",IF(COUNTIF('Resumo Grupos'!$AE$3:$AE$40,$T2677)&gt;0,"NAO","SIM"))</f>
        <v>SIM</v>
      </c>
    </row>
    <row r="2678" customFormat="false" ht="12.75" hidden="false" customHeight="true" outlineLevel="0" collapsed="false">
      <c r="A2678" s="1" t="n">
        <v>1</v>
      </c>
      <c r="B2678" s="22" t="n">
        <v>46256</v>
      </c>
      <c r="C2678" s="22" t="n">
        <v>46301</v>
      </c>
      <c r="D2678" s="1" t="n">
        <v>607</v>
      </c>
      <c r="E2678" s="1" t="s">
        <v>182</v>
      </c>
      <c r="F2678" s="1" t="n">
        <v>24</v>
      </c>
      <c r="G2678" s="1" t="s">
        <v>32</v>
      </c>
      <c r="H2678" s="1" t="n">
        <v>2110405</v>
      </c>
      <c r="I2678" s="1" t="s">
        <v>83</v>
      </c>
      <c r="J2678" s="1" t="n">
        <v>1585319</v>
      </c>
      <c r="L2678" s="1" t="n">
        <v>11473</v>
      </c>
      <c r="M2678" s="1" t="s">
        <v>128</v>
      </c>
      <c r="N2678" s="1" t="s">
        <v>42</v>
      </c>
      <c r="P2678" s="1" t="n">
        <v>103</v>
      </c>
      <c r="Q2678" s="1" t="s">
        <v>36</v>
      </c>
      <c r="R2678" s="1" t="s">
        <v>37</v>
      </c>
      <c r="S2678" s="1" t="n">
        <v>1130101</v>
      </c>
      <c r="T2678" s="1" t="s">
        <v>38</v>
      </c>
      <c r="U2678" s="1" t="n">
        <v>1969.17</v>
      </c>
      <c r="W2678" s="1" t="n">
        <v>0</v>
      </c>
      <c r="X2678" s="1" t="s">
        <v>2866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</row>
    <row r="2679" customFormat="false" ht="12.75" hidden="false" customHeight="true" outlineLevel="0" collapsed="false">
      <c r="A2679" s="1" t="n">
        <v>1</v>
      </c>
      <c r="B2679" s="22" t="n">
        <v>46029</v>
      </c>
      <c r="C2679" s="22" t="n">
        <v>46305</v>
      </c>
      <c r="D2679" s="1" t="n">
        <v>105</v>
      </c>
      <c r="E2679" s="1" t="s">
        <v>427</v>
      </c>
      <c r="F2679" s="1" t="n">
        <v>46</v>
      </c>
      <c r="G2679" s="1" t="s">
        <v>428</v>
      </c>
      <c r="H2679" s="1" t="n">
        <v>2110405</v>
      </c>
      <c r="I2679" s="1" t="s">
        <v>83</v>
      </c>
      <c r="J2679" s="1" t="n">
        <v>651504</v>
      </c>
      <c r="L2679" s="1" t="n">
        <v>287048</v>
      </c>
      <c r="M2679" s="1" t="s">
        <v>558</v>
      </c>
      <c r="N2679" s="1" t="s">
        <v>42</v>
      </c>
      <c r="P2679" s="1" t="n">
        <v>101</v>
      </c>
      <c r="Q2679" s="1" t="s">
        <v>84</v>
      </c>
      <c r="R2679" s="1" t="s">
        <v>91</v>
      </c>
      <c r="S2679" s="1" t="n">
        <v>4220199</v>
      </c>
      <c r="T2679" s="1" t="s">
        <v>92</v>
      </c>
      <c r="U2679" s="1" t="n">
        <v>1567.08</v>
      </c>
      <c r="W2679" s="1" t="n">
        <v>0</v>
      </c>
      <c r="X2679" s="1" t="s">
        <v>2867</v>
      </c>
      <c r="Z2679" s="1" t="str">
        <f aca="false">IF($T2679="","",IFERROR(INDEX('Resumo Grupos'!$AC$3:$AC$200,MATCH($T2679,'Resumo Grupos'!$AB$3:$AB$200,0)),"n/d"))</f>
        <v>Pagamentos outros não operacionais</v>
      </c>
      <c r="AA2679" s="1" t="str">
        <f aca="false">IF($T2679="","",IF(COUNTIF('Resumo Grupos'!$AE$3:$AE$40,$T2679)&gt;0,"NAO","SIM"))</f>
        <v>SIM</v>
      </c>
    </row>
    <row r="2680" customFormat="false" ht="12.75" hidden="false" customHeight="true" outlineLevel="0" collapsed="false">
      <c r="A2680" s="1" t="n">
        <v>1</v>
      </c>
      <c r="B2680" s="22" t="n">
        <v>46135</v>
      </c>
      <c r="C2680" s="22" t="n">
        <v>46305</v>
      </c>
      <c r="D2680" s="1" t="n">
        <v>1758</v>
      </c>
      <c r="E2680" s="1" t="s">
        <v>451</v>
      </c>
      <c r="F2680" s="1" t="n">
        <v>46</v>
      </c>
      <c r="G2680" s="1" t="s">
        <v>428</v>
      </c>
      <c r="H2680" s="1" t="n">
        <v>2110405</v>
      </c>
      <c r="I2680" s="1" t="s">
        <v>83</v>
      </c>
      <c r="J2680" s="1" t="n">
        <v>993744</v>
      </c>
      <c r="L2680" s="1" t="n">
        <v>420093</v>
      </c>
      <c r="M2680" s="1" t="s">
        <v>391</v>
      </c>
      <c r="N2680" s="1" t="s">
        <v>42</v>
      </c>
      <c r="P2680" s="1" t="n">
        <v>101</v>
      </c>
      <c r="Q2680" s="1" t="s">
        <v>84</v>
      </c>
      <c r="R2680" s="1" t="s">
        <v>91</v>
      </c>
      <c r="S2680" s="1" t="n">
        <v>4220199</v>
      </c>
      <c r="T2680" s="1" t="s">
        <v>92</v>
      </c>
      <c r="U2680" s="1" t="n">
        <v>130</v>
      </c>
      <c r="W2680" s="1" t="n">
        <v>0</v>
      </c>
      <c r="X2680" s="1" t="s">
        <v>2868</v>
      </c>
      <c r="Z2680" s="1" t="str">
        <f aca="false">IF($T2680="","",IFERROR(INDEX('Resumo Grupos'!$AC$3:$AC$200,MATCH($T2680,'Resumo Grupos'!$AB$3:$AB$200,0)),"n/d"))</f>
        <v>Pagamentos outros não operacionais</v>
      </c>
      <c r="AA2680" s="1" t="str">
        <f aca="false">IF($T2680="","",IF(COUNTIF('Resumo Grupos'!$AE$3:$AE$40,$T2680)&gt;0,"NAO","SIM"))</f>
        <v>SIM</v>
      </c>
    </row>
    <row r="2681" customFormat="false" ht="12.75" hidden="false" customHeight="true" outlineLevel="0" collapsed="false">
      <c r="A2681" s="1" t="n">
        <v>1</v>
      </c>
      <c r="B2681" s="22" t="n">
        <v>46204</v>
      </c>
      <c r="C2681" s="22" t="n">
        <v>46305</v>
      </c>
      <c r="D2681" s="1" t="n">
        <v>1008</v>
      </c>
      <c r="E2681" s="1" t="s">
        <v>2083</v>
      </c>
      <c r="F2681" s="1" t="n">
        <v>46</v>
      </c>
      <c r="G2681" s="1" t="s">
        <v>428</v>
      </c>
      <c r="H2681" s="1" t="n">
        <v>2110405</v>
      </c>
      <c r="I2681" s="1" t="s">
        <v>83</v>
      </c>
      <c r="J2681" s="1" t="n">
        <v>1336323</v>
      </c>
      <c r="L2681" s="1" t="n">
        <v>1657</v>
      </c>
      <c r="M2681" s="1" t="s">
        <v>128</v>
      </c>
      <c r="N2681" s="1" t="s">
        <v>42</v>
      </c>
      <c r="P2681" s="1" t="n">
        <v>101</v>
      </c>
      <c r="Q2681" s="1" t="s">
        <v>84</v>
      </c>
      <c r="R2681" s="1" t="s">
        <v>60</v>
      </c>
      <c r="S2681" s="1" t="n">
        <v>4210232</v>
      </c>
      <c r="T2681" s="1" t="s">
        <v>431</v>
      </c>
      <c r="U2681" s="1" t="n">
        <v>208</v>
      </c>
      <c r="W2681" s="1" t="n">
        <v>0</v>
      </c>
      <c r="X2681" s="1" t="s">
        <v>2869</v>
      </c>
      <c r="Z2681" s="1" t="str">
        <f aca="false">IF($T2681="","",IFERROR(INDEX('Resumo Grupos'!$AC$3:$AC$200,MATCH($T2681,'Resumo Grupos'!$AB$3:$AB$200,0)),"n/d"))</f>
        <v>Despesa</v>
      </c>
      <c r="AA2681" s="1" t="str">
        <f aca="false">IF($T2681="","",IF(COUNTIF('Resumo Grupos'!$AE$3:$AE$40,$T2681)&gt;0,"NAO","SIM"))</f>
        <v>SIM</v>
      </c>
    </row>
    <row r="2682" customFormat="false" ht="12.75" hidden="false" customHeight="true" outlineLevel="0" collapsed="false">
      <c r="A2682" s="1" t="n">
        <v>1</v>
      </c>
      <c r="B2682" s="22" t="n">
        <v>46211</v>
      </c>
      <c r="C2682" s="22" t="n">
        <v>46305</v>
      </c>
      <c r="D2682" s="1" t="n">
        <v>10026</v>
      </c>
      <c r="E2682" s="1" t="s">
        <v>722</v>
      </c>
      <c r="F2682" s="1" t="n">
        <v>24</v>
      </c>
      <c r="G2682" s="1" t="s">
        <v>32</v>
      </c>
      <c r="H2682" s="1" t="n">
        <v>1110202</v>
      </c>
      <c r="I2682" s="1" t="s">
        <v>285</v>
      </c>
      <c r="J2682" s="1" t="n">
        <v>1370737</v>
      </c>
      <c r="L2682" s="1" t="n">
        <v>565779</v>
      </c>
      <c r="M2682" s="1" t="s">
        <v>128</v>
      </c>
      <c r="N2682" s="1" t="s">
        <v>42</v>
      </c>
      <c r="P2682" s="1" t="n">
        <v>101</v>
      </c>
      <c r="Q2682" s="1" t="s">
        <v>84</v>
      </c>
      <c r="R2682" s="1" t="s">
        <v>60</v>
      </c>
      <c r="S2682" s="1" t="n">
        <v>4210222</v>
      </c>
      <c r="T2682" s="1" t="s">
        <v>1957</v>
      </c>
      <c r="U2682" s="1" t="n">
        <v>666.67</v>
      </c>
      <c r="W2682" s="1" t="n">
        <v>0</v>
      </c>
      <c r="X2682" s="1" t="s">
        <v>2085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</row>
    <row r="2683" customFormat="false" ht="12.75" hidden="false" customHeight="true" outlineLevel="0" collapsed="false">
      <c r="A2683" s="1" t="n">
        <v>1</v>
      </c>
      <c r="B2683" s="22" t="n">
        <v>46211</v>
      </c>
      <c r="C2683" s="22" t="n">
        <v>46305</v>
      </c>
      <c r="D2683" s="1" t="n">
        <v>10026</v>
      </c>
      <c r="E2683" s="1" t="s">
        <v>722</v>
      </c>
      <c r="F2683" s="1" t="n">
        <v>24</v>
      </c>
      <c r="G2683" s="1" t="s">
        <v>32</v>
      </c>
      <c r="H2683" s="1" t="n">
        <v>2110405</v>
      </c>
      <c r="I2683" s="1" t="s">
        <v>83</v>
      </c>
      <c r="J2683" s="1" t="n">
        <v>1370749</v>
      </c>
      <c r="L2683" s="1" t="n">
        <v>565780</v>
      </c>
      <c r="M2683" s="1" t="s">
        <v>128</v>
      </c>
      <c r="N2683" s="1" t="s">
        <v>42</v>
      </c>
      <c r="P2683" s="1" t="n">
        <v>101</v>
      </c>
      <c r="Q2683" s="1" t="s">
        <v>84</v>
      </c>
      <c r="R2683" s="1" t="s">
        <v>91</v>
      </c>
      <c r="S2683" s="1" t="n">
        <v>4220199</v>
      </c>
      <c r="T2683" s="1" t="s">
        <v>92</v>
      </c>
      <c r="U2683" s="1" t="n">
        <v>2000</v>
      </c>
      <c r="W2683" s="1" t="n">
        <v>0</v>
      </c>
      <c r="X2683" s="1" t="s">
        <v>2086</v>
      </c>
      <c r="Z2683" s="1" t="str">
        <f aca="false">IF($T2683="","",IFERROR(INDEX('Resumo Grupos'!$AC$3:$AC$200,MATCH($T2683,'Resumo Grupos'!$AB$3:$AB$200,0)),"n/d"))</f>
        <v>Pagamentos outros não operacionais</v>
      </c>
      <c r="AA2683" s="1" t="str">
        <f aca="false">IF($T2683="","",IF(COUNTIF('Resumo Grupos'!$AE$3:$AE$40,$T2683)&gt;0,"NAO","SIM"))</f>
        <v>SIM</v>
      </c>
    </row>
    <row r="2684" customFormat="false" ht="12.75" hidden="false" customHeight="true" outlineLevel="0" collapsed="false">
      <c r="A2684" s="1" t="n">
        <v>1</v>
      </c>
      <c r="B2684" s="22" t="n">
        <v>46213</v>
      </c>
      <c r="C2684" s="22" t="n">
        <v>46305</v>
      </c>
      <c r="D2684" s="1" t="n">
        <v>1914</v>
      </c>
      <c r="E2684" s="1" t="s">
        <v>2087</v>
      </c>
      <c r="F2684" s="1" t="n">
        <v>46</v>
      </c>
      <c r="G2684" s="1" t="s">
        <v>428</v>
      </c>
      <c r="H2684" s="1" t="n">
        <v>1110202</v>
      </c>
      <c r="I2684" s="1" t="s">
        <v>285</v>
      </c>
      <c r="J2684" s="1" t="n">
        <v>1377369</v>
      </c>
      <c r="L2684" s="1" t="n">
        <v>28968</v>
      </c>
      <c r="M2684" s="1" t="s">
        <v>128</v>
      </c>
      <c r="N2684" s="1" t="s">
        <v>42</v>
      </c>
      <c r="P2684" s="1" t="n">
        <v>101</v>
      </c>
      <c r="Q2684" s="1" t="s">
        <v>84</v>
      </c>
      <c r="R2684" s="1" t="s">
        <v>60</v>
      </c>
      <c r="S2684" s="1" t="n">
        <v>4210232</v>
      </c>
      <c r="T2684" s="1" t="s">
        <v>431</v>
      </c>
      <c r="U2684" s="1" t="n">
        <v>935.28</v>
      </c>
      <c r="W2684" s="1" t="n">
        <v>0</v>
      </c>
      <c r="X2684" s="1" t="s">
        <v>2870</v>
      </c>
      <c r="Z2684" s="1" t="str">
        <f aca="false">IF($T2684="","",IFERROR(INDEX('Resumo Grupos'!$AC$3:$AC$200,MATCH($T2684,'Resumo Grupos'!$AB$3:$AB$200,0)),"n/d"))</f>
        <v>Despesa</v>
      </c>
      <c r="AA2684" s="1" t="str">
        <f aca="false">IF($T2684="","",IF(COUNTIF('Resumo Grupos'!$AE$3:$AE$40,$T2684)&gt;0,"NAO","SIM"))</f>
        <v>SIM</v>
      </c>
    </row>
    <row r="2685" customFormat="false" ht="12.75" hidden="false" customHeight="true" outlineLevel="0" collapsed="false">
      <c r="A2685" s="1" t="n">
        <v>1</v>
      </c>
      <c r="B2685" s="22" t="n">
        <v>46199</v>
      </c>
      <c r="C2685" s="22" t="n">
        <v>46305</v>
      </c>
      <c r="D2685" s="1" t="n">
        <v>1758</v>
      </c>
      <c r="E2685" s="1" t="s">
        <v>451</v>
      </c>
      <c r="F2685" s="1" t="n">
        <v>46</v>
      </c>
      <c r="G2685" s="1" t="s">
        <v>428</v>
      </c>
      <c r="H2685" s="1" t="n">
        <v>1110202</v>
      </c>
      <c r="I2685" s="1" t="s">
        <v>285</v>
      </c>
      <c r="J2685" s="1" t="n">
        <v>1378055</v>
      </c>
      <c r="L2685" s="1" t="n">
        <v>568065</v>
      </c>
      <c r="M2685" s="1" t="s">
        <v>394</v>
      </c>
      <c r="N2685" s="1" t="s">
        <v>42</v>
      </c>
      <c r="P2685" s="1" t="n">
        <v>101</v>
      </c>
      <c r="Q2685" s="1" t="s">
        <v>84</v>
      </c>
      <c r="R2685" s="1" t="s">
        <v>60</v>
      </c>
      <c r="S2685" s="1" t="n">
        <v>4210227</v>
      </c>
      <c r="T2685" s="1" t="s">
        <v>418</v>
      </c>
      <c r="U2685" s="1" t="n">
        <v>429.64</v>
      </c>
      <c r="W2685" s="1" t="n">
        <v>0</v>
      </c>
      <c r="X2685" s="1" t="s">
        <v>2871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</row>
    <row r="2686" customFormat="false" ht="12.75" hidden="false" customHeight="true" outlineLevel="0" collapsed="false">
      <c r="A2686" s="1" t="n">
        <v>1</v>
      </c>
      <c r="B2686" s="22" t="n">
        <v>46216</v>
      </c>
      <c r="C2686" s="22" t="n">
        <v>46305</v>
      </c>
      <c r="D2686" s="1" t="n">
        <v>1717</v>
      </c>
      <c r="E2686" s="1" t="s">
        <v>2095</v>
      </c>
      <c r="F2686" s="1" t="n">
        <v>46</v>
      </c>
      <c r="G2686" s="1" t="s">
        <v>428</v>
      </c>
      <c r="H2686" s="1" t="n">
        <v>1110202</v>
      </c>
      <c r="I2686" s="1" t="s">
        <v>285</v>
      </c>
      <c r="J2686" s="1" t="n">
        <v>1394062</v>
      </c>
      <c r="L2686" s="1" t="n">
        <v>51412</v>
      </c>
      <c r="M2686" s="1" t="s">
        <v>128</v>
      </c>
      <c r="N2686" s="1" t="s">
        <v>42</v>
      </c>
      <c r="P2686" s="1" t="n">
        <v>103</v>
      </c>
      <c r="Q2686" s="1" t="s">
        <v>36</v>
      </c>
      <c r="R2686" s="1" t="s">
        <v>37</v>
      </c>
      <c r="S2686" s="1" t="n">
        <v>1130101</v>
      </c>
      <c r="T2686" s="1" t="s">
        <v>38</v>
      </c>
      <c r="U2686" s="1" t="n">
        <v>319.2</v>
      </c>
      <c r="W2686" s="1" t="n">
        <v>0</v>
      </c>
      <c r="X2686" s="1" t="s">
        <v>2872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</row>
    <row r="2687" customFormat="false" ht="12.75" hidden="false" customHeight="true" outlineLevel="0" collapsed="false">
      <c r="A2687" s="1" t="n">
        <v>1</v>
      </c>
      <c r="B2687" s="22" t="n">
        <v>46234</v>
      </c>
      <c r="C2687" s="22" t="n">
        <v>46305</v>
      </c>
      <c r="D2687" s="1" t="n">
        <v>608</v>
      </c>
      <c r="E2687" s="1" t="s">
        <v>2754</v>
      </c>
      <c r="F2687" s="1" t="n">
        <v>46</v>
      </c>
      <c r="G2687" s="1" t="s">
        <v>428</v>
      </c>
      <c r="H2687" s="1" t="n">
        <v>1110202</v>
      </c>
      <c r="I2687" s="1" t="s">
        <v>285</v>
      </c>
      <c r="J2687" s="1" t="n">
        <v>1477562</v>
      </c>
      <c r="L2687" s="1" t="n">
        <v>1681242</v>
      </c>
      <c r="M2687" s="1" t="s">
        <v>34</v>
      </c>
      <c r="N2687" s="1" t="s">
        <v>42</v>
      </c>
      <c r="P2687" s="1" t="n">
        <v>101</v>
      </c>
      <c r="Q2687" s="1" t="s">
        <v>84</v>
      </c>
      <c r="R2687" s="1" t="s">
        <v>60</v>
      </c>
      <c r="S2687" s="1" t="n">
        <v>4210232</v>
      </c>
      <c r="T2687" s="1" t="s">
        <v>431</v>
      </c>
      <c r="U2687" s="1" t="n">
        <v>315.62</v>
      </c>
      <c r="W2687" s="1" t="n">
        <v>0</v>
      </c>
      <c r="X2687" s="1" t="s">
        <v>2755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12.75" hidden="false" customHeight="true" outlineLevel="0" collapsed="false">
      <c r="A2688" s="1" t="n">
        <v>1</v>
      </c>
      <c r="B2688" s="22" t="n">
        <v>46241</v>
      </c>
      <c r="C2688" s="22" t="n">
        <v>46305</v>
      </c>
      <c r="D2688" s="1" t="n">
        <v>17</v>
      </c>
      <c r="E2688" s="1" t="s">
        <v>94</v>
      </c>
      <c r="F2688" s="1" t="n">
        <v>34</v>
      </c>
      <c r="G2688" s="1" t="s">
        <v>71</v>
      </c>
      <c r="H2688" s="1" t="n">
        <v>2110405</v>
      </c>
      <c r="I2688" s="1" t="s">
        <v>83</v>
      </c>
      <c r="J2688" s="1" t="n">
        <v>1512942</v>
      </c>
      <c r="L2688" s="1" t="n">
        <v>619809</v>
      </c>
      <c r="M2688" s="1" t="s">
        <v>394</v>
      </c>
      <c r="N2688" s="1" t="s">
        <v>42</v>
      </c>
      <c r="P2688" s="1" t="n">
        <v>101</v>
      </c>
      <c r="Q2688" s="1" t="s">
        <v>84</v>
      </c>
      <c r="R2688" s="1" t="s">
        <v>91</v>
      </c>
      <c r="S2688" s="1" t="n">
        <v>4220199</v>
      </c>
      <c r="T2688" s="1" t="s">
        <v>92</v>
      </c>
      <c r="U2688" s="1" t="n">
        <v>150</v>
      </c>
      <c r="W2688" s="1" t="n">
        <v>0</v>
      </c>
      <c r="X2688" s="1" t="s">
        <v>2131</v>
      </c>
      <c r="Z2688" s="1" t="str">
        <f aca="false">IF($T2688="","",IFERROR(INDEX('Resumo Grupos'!$AC$3:$AC$200,MATCH($T2688,'Resumo Grupos'!$AB$3:$AB$200,0)),"n/d"))</f>
        <v>Pagamentos outros não operacionais</v>
      </c>
      <c r="AA2688" s="1" t="str">
        <f aca="false">IF($T2688="","",IF(COUNTIF('Resumo Grupos'!$AE$3:$AE$40,$T2688)&gt;0,"NAO","SIM"))</f>
        <v>SIM</v>
      </c>
    </row>
    <row r="2689" customFormat="false" ht="12.75" hidden="false" customHeight="true" outlineLevel="0" collapsed="false">
      <c r="A2689" s="1" t="n">
        <v>1</v>
      </c>
      <c r="B2689" s="22" t="n">
        <v>46248</v>
      </c>
      <c r="C2689" s="22" t="n">
        <v>46305</v>
      </c>
      <c r="D2689" s="1" t="n">
        <v>862</v>
      </c>
      <c r="E2689" s="1" t="s">
        <v>430</v>
      </c>
      <c r="F2689" s="1" t="n">
        <v>46</v>
      </c>
      <c r="G2689" s="1" t="s">
        <v>428</v>
      </c>
      <c r="H2689" s="1" t="n">
        <v>2110405</v>
      </c>
      <c r="I2689" s="1" t="s">
        <v>83</v>
      </c>
      <c r="J2689" s="1" t="n">
        <v>1551728</v>
      </c>
      <c r="L2689" s="1" t="n">
        <v>634573</v>
      </c>
      <c r="M2689" s="1" t="s">
        <v>34</v>
      </c>
      <c r="N2689" s="1" t="s">
        <v>42</v>
      </c>
      <c r="P2689" s="1" t="n">
        <v>101</v>
      </c>
      <c r="Q2689" s="1" t="s">
        <v>84</v>
      </c>
      <c r="R2689" s="1" t="s">
        <v>60</v>
      </c>
      <c r="S2689" s="1" t="n">
        <v>4210232</v>
      </c>
      <c r="T2689" s="1" t="s">
        <v>431</v>
      </c>
      <c r="U2689" s="1" t="n">
        <v>400</v>
      </c>
      <c r="W2689" s="1" t="n">
        <v>0</v>
      </c>
      <c r="X2689" s="1" t="s">
        <v>2873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12.75" hidden="false" customHeight="true" outlineLevel="0" collapsed="false">
      <c r="A2690" s="1" t="n">
        <v>1</v>
      </c>
      <c r="B2690" s="22" t="n">
        <v>46164</v>
      </c>
      <c r="C2690" s="22" t="n">
        <v>46306</v>
      </c>
      <c r="D2690" s="1" t="n">
        <v>515</v>
      </c>
      <c r="E2690" s="1" t="s">
        <v>106</v>
      </c>
      <c r="F2690" s="1" t="n">
        <v>34</v>
      </c>
      <c r="G2690" s="1" t="s">
        <v>71</v>
      </c>
      <c r="H2690" s="1" t="n">
        <v>2110405</v>
      </c>
      <c r="I2690" s="1" t="s">
        <v>83</v>
      </c>
      <c r="J2690" s="1" t="n">
        <v>1137849</v>
      </c>
      <c r="L2690" s="1" t="n">
        <v>474941</v>
      </c>
      <c r="M2690" s="1" t="s">
        <v>234</v>
      </c>
      <c r="N2690" s="1" t="s">
        <v>42</v>
      </c>
      <c r="P2690" s="1" t="n">
        <v>101</v>
      </c>
      <c r="Q2690" s="1" t="s">
        <v>84</v>
      </c>
      <c r="R2690" s="1" t="s">
        <v>165</v>
      </c>
      <c r="S2690" s="1" t="n">
        <v>2110901</v>
      </c>
      <c r="T2690" s="1" t="s">
        <v>166</v>
      </c>
      <c r="U2690" s="1" t="n">
        <v>15770.14</v>
      </c>
      <c r="W2690" s="1" t="n">
        <v>0</v>
      </c>
      <c r="X2690" s="1" t="s">
        <v>2874</v>
      </c>
      <c r="Z2690" s="1" t="str">
        <f aca="false">IF($T2690="","",IFERROR(INDEX('Resumo Grupos'!$AC$3:$AC$200,MATCH($T2690,'Resumo Grupos'!$AB$3:$AB$200,0)),"n/d"))</f>
        <v>Empréstimo</v>
      </c>
      <c r="AA2690" s="1" t="str">
        <f aca="false">IF($T2690="","",IF(COUNTIF('Resumo Grupos'!$AE$3:$AE$40,$T2690)&gt;0,"NAO","SIM"))</f>
        <v>SIM</v>
      </c>
    </row>
    <row r="2691" customFormat="false" ht="12.75" hidden="false" customHeight="true" outlineLevel="0" collapsed="false">
      <c r="A2691" s="1" t="n">
        <v>1</v>
      </c>
      <c r="B2691" s="22" t="n">
        <v>46241</v>
      </c>
      <c r="C2691" s="22" t="n">
        <v>46307</v>
      </c>
      <c r="D2691" s="1" t="n">
        <v>887</v>
      </c>
      <c r="E2691" s="1" t="s">
        <v>502</v>
      </c>
      <c r="F2691" s="1" t="n">
        <v>24</v>
      </c>
      <c r="G2691" s="1" t="s">
        <v>32</v>
      </c>
      <c r="H2691" s="1" t="n">
        <v>2110405</v>
      </c>
      <c r="I2691" s="1" t="s">
        <v>83</v>
      </c>
      <c r="J2691" s="1" t="n">
        <v>1514434</v>
      </c>
      <c r="L2691" s="1" t="n">
        <v>620151</v>
      </c>
      <c r="M2691" s="1" t="s">
        <v>128</v>
      </c>
      <c r="N2691" s="1" t="s">
        <v>42</v>
      </c>
      <c r="P2691" s="1" t="n">
        <v>101</v>
      </c>
      <c r="Q2691" s="1" t="s">
        <v>84</v>
      </c>
      <c r="R2691" s="1" t="s">
        <v>85</v>
      </c>
      <c r="S2691" s="1" t="n">
        <v>4210315</v>
      </c>
      <c r="T2691" s="1" t="s">
        <v>503</v>
      </c>
      <c r="U2691" s="1" t="n">
        <v>199.8</v>
      </c>
      <c r="W2691" s="1" t="n">
        <v>0</v>
      </c>
      <c r="X2691" s="1" t="s">
        <v>743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12.75" hidden="false" customHeight="true" outlineLevel="0" collapsed="false">
      <c r="A2692" s="1" t="n">
        <v>1</v>
      </c>
      <c r="B2692" s="22" t="n">
        <v>46249</v>
      </c>
      <c r="C2692" s="22" t="n">
        <v>46307</v>
      </c>
      <c r="D2692" s="1" t="n">
        <v>10011</v>
      </c>
      <c r="E2692" s="1" t="s">
        <v>189</v>
      </c>
      <c r="F2692" s="1" t="n">
        <v>24</v>
      </c>
      <c r="G2692" s="1" t="s">
        <v>32</v>
      </c>
      <c r="H2692" s="1" t="n">
        <v>2110405</v>
      </c>
      <c r="I2692" s="1" t="s">
        <v>83</v>
      </c>
      <c r="J2692" s="1" t="n">
        <v>1552267</v>
      </c>
      <c r="L2692" s="1" t="n">
        <v>35160</v>
      </c>
      <c r="M2692" s="1" t="s">
        <v>234</v>
      </c>
      <c r="N2692" s="1" t="s">
        <v>42</v>
      </c>
      <c r="P2692" s="1" t="n">
        <v>103</v>
      </c>
      <c r="Q2692" s="1" t="s">
        <v>36</v>
      </c>
      <c r="R2692" s="1" t="s">
        <v>37</v>
      </c>
      <c r="S2692" s="1" t="n">
        <v>1130101</v>
      </c>
      <c r="T2692" s="1" t="s">
        <v>38</v>
      </c>
      <c r="U2692" s="1" t="n">
        <v>2836.78</v>
      </c>
      <c r="W2692" s="1" t="n">
        <v>0</v>
      </c>
      <c r="X2692" s="1" t="s">
        <v>2875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</row>
    <row r="2693" customFormat="false" ht="12.75" hidden="false" customHeight="true" outlineLevel="0" collapsed="false">
      <c r="A2693" s="1" t="n">
        <v>1</v>
      </c>
      <c r="B2693" s="22" t="n">
        <v>46254</v>
      </c>
      <c r="C2693" s="22" t="n">
        <v>46308</v>
      </c>
      <c r="D2693" s="1" t="n">
        <v>717</v>
      </c>
      <c r="E2693" s="1" t="s">
        <v>113</v>
      </c>
      <c r="F2693" s="1" t="n">
        <v>42</v>
      </c>
      <c r="G2693" s="1" t="s">
        <v>561</v>
      </c>
      <c r="H2693" s="1" t="n">
        <v>2110405</v>
      </c>
      <c r="I2693" s="1" t="s">
        <v>83</v>
      </c>
      <c r="J2693" s="1" t="n">
        <v>1577416</v>
      </c>
      <c r="L2693" s="1" t="n">
        <v>644308</v>
      </c>
      <c r="M2693" s="1" t="s">
        <v>34</v>
      </c>
      <c r="N2693" s="1" t="s">
        <v>42</v>
      </c>
      <c r="P2693" s="1" t="n">
        <v>101</v>
      </c>
      <c r="Q2693" s="1" t="s">
        <v>84</v>
      </c>
      <c r="R2693" s="1" t="s">
        <v>91</v>
      </c>
      <c r="S2693" s="1" t="n">
        <v>4220199</v>
      </c>
      <c r="T2693" s="1" t="s">
        <v>92</v>
      </c>
      <c r="U2693" s="1" t="n">
        <v>522.5</v>
      </c>
      <c r="W2693" s="1" t="n">
        <v>0</v>
      </c>
      <c r="X2693" s="1" t="s">
        <v>2789</v>
      </c>
      <c r="Z2693" s="1" t="str">
        <f aca="false">IF($T2693="","",IFERROR(INDEX('Resumo Grupos'!$AC$3:$AC$200,MATCH($T2693,'Resumo Grupos'!$AB$3:$AB$200,0)),"n/d"))</f>
        <v>Pagamentos outros não operacionais</v>
      </c>
      <c r="AA2693" s="1" t="str">
        <f aca="false">IF($T2693="","",IF(COUNTIF('Resumo Grupos'!$AE$3:$AE$40,$T2693)&gt;0,"NAO","SIM"))</f>
        <v>SIM</v>
      </c>
    </row>
    <row r="2694" customFormat="false" ht="12.75" hidden="false" customHeight="true" outlineLevel="0" collapsed="false">
      <c r="A2694" s="1" t="n">
        <v>1</v>
      </c>
      <c r="B2694" s="22" t="n">
        <v>46254</v>
      </c>
      <c r="C2694" s="22" t="n">
        <v>46308</v>
      </c>
      <c r="D2694" s="1" t="n">
        <v>17</v>
      </c>
      <c r="E2694" s="1" t="s">
        <v>94</v>
      </c>
      <c r="F2694" s="1" t="n">
        <v>24</v>
      </c>
      <c r="G2694" s="1" t="s">
        <v>32</v>
      </c>
      <c r="H2694" s="1" t="n">
        <v>2110405</v>
      </c>
      <c r="I2694" s="1" t="s">
        <v>83</v>
      </c>
      <c r="J2694" s="1" t="n">
        <v>1577496</v>
      </c>
      <c r="L2694" s="1" t="n">
        <v>644323</v>
      </c>
      <c r="M2694" s="1" t="s">
        <v>41</v>
      </c>
      <c r="N2694" s="1" t="s">
        <v>42</v>
      </c>
      <c r="P2694" s="1" t="n">
        <v>101</v>
      </c>
      <c r="Q2694" s="1" t="s">
        <v>84</v>
      </c>
      <c r="R2694" s="1" t="s">
        <v>91</v>
      </c>
      <c r="S2694" s="1" t="n">
        <v>4220199</v>
      </c>
      <c r="T2694" s="1" t="s">
        <v>92</v>
      </c>
      <c r="U2694" s="1" t="n">
        <v>400</v>
      </c>
      <c r="W2694" s="1" t="n">
        <v>0</v>
      </c>
      <c r="X2694" s="1" t="s">
        <v>2876</v>
      </c>
      <c r="Z2694" s="1" t="str">
        <f aca="false">IF($T2694="","",IFERROR(INDEX('Resumo Grupos'!$AC$3:$AC$200,MATCH($T2694,'Resumo Grupos'!$AB$3:$AB$200,0)),"n/d"))</f>
        <v>Pagamentos outros não operacionais</v>
      </c>
      <c r="AA2694" s="1" t="str">
        <f aca="false">IF($T2694="","",IF(COUNTIF('Resumo Grupos'!$AE$3:$AE$40,$T2694)&gt;0,"NAO","SIM"))</f>
        <v>SIM</v>
      </c>
    </row>
    <row r="2695" customFormat="false" ht="12.75" hidden="false" customHeight="true" outlineLevel="0" collapsed="false">
      <c r="A2695" s="1" t="n">
        <v>1</v>
      </c>
      <c r="B2695" s="22" t="n">
        <v>46097</v>
      </c>
      <c r="C2695" s="22" t="n">
        <v>46310</v>
      </c>
      <c r="D2695" s="1" t="n">
        <v>1867</v>
      </c>
      <c r="E2695" s="1" t="s">
        <v>579</v>
      </c>
      <c r="F2695" s="1" t="n">
        <v>24</v>
      </c>
      <c r="G2695" s="1" t="s">
        <v>32</v>
      </c>
      <c r="H2695" s="1" t="n">
        <v>2110405</v>
      </c>
      <c r="I2695" s="1" t="s">
        <v>83</v>
      </c>
      <c r="J2695" s="1" t="n">
        <v>809298</v>
      </c>
      <c r="L2695" s="1" t="n">
        <v>100914</v>
      </c>
      <c r="M2695" s="1" t="s">
        <v>183</v>
      </c>
      <c r="N2695" s="1" t="s">
        <v>42</v>
      </c>
      <c r="P2695" s="1" t="n">
        <v>101</v>
      </c>
      <c r="Q2695" s="1" t="s">
        <v>84</v>
      </c>
      <c r="R2695" s="1" t="s">
        <v>580</v>
      </c>
      <c r="S2695" s="1" t="n">
        <v>4210401</v>
      </c>
      <c r="T2695" s="1" t="s">
        <v>581</v>
      </c>
      <c r="U2695" s="1" t="n">
        <v>134.55</v>
      </c>
      <c r="W2695" s="1" t="n">
        <v>0</v>
      </c>
      <c r="X2695" s="1" t="s">
        <v>2877</v>
      </c>
      <c r="Z2695" s="1" t="str">
        <f aca="false">IF($T2695="","",IFERROR(INDEX('Resumo Grupos'!$AC$3:$AC$200,MATCH($T2695,'Resumo Grupos'!$AB$3:$AB$200,0)),"n/d"))</f>
        <v>Impostos</v>
      </c>
      <c r="AA2695" s="1" t="str">
        <f aca="false">IF($T2695="","",IF(COUNTIF('Resumo Grupos'!$AE$3:$AE$40,$T2695)&gt;0,"NAO","SIM"))</f>
        <v>SIM</v>
      </c>
    </row>
    <row r="2696" customFormat="false" ht="12.75" hidden="false" customHeight="true" outlineLevel="0" collapsed="false">
      <c r="A2696" s="1" t="n">
        <v>1</v>
      </c>
      <c r="B2696" s="22" t="n">
        <v>46097</v>
      </c>
      <c r="C2696" s="22" t="n">
        <v>46310</v>
      </c>
      <c r="D2696" s="1" t="n">
        <v>1867</v>
      </c>
      <c r="E2696" s="1" t="s">
        <v>579</v>
      </c>
      <c r="F2696" s="1" t="n">
        <v>24</v>
      </c>
      <c r="G2696" s="1" t="s">
        <v>32</v>
      </c>
      <c r="H2696" s="1" t="n">
        <v>2110405</v>
      </c>
      <c r="I2696" s="1" t="s">
        <v>83</v>
      </c>
      <c r="J2696" s="1" t="n">
        <v>809315</v>
      </c>
      <c r="L2696" s="1" t="n">
        <v>100910</v>
      </c>
      <c r="M2696" s="1" t="s">
        <v>183</v>
      </c>
      <c r="N2696" s="1" t="s">
        <v>42</v>
      </c>
      <c r="P2696" s="1" t="n">
        <v>101</v>
      </c>
      <c r="Q2696" s="1" t="s">
        <v>84</v>
      </c>
      <c r="R2696" s="1" t="s">
        <v>580</v>
      </c>
      <c r="S2696" s="1" t="n">
        <v>4210401</v>
      </c>
      <c r="T2696" s="1" t="s">
        <v>581</v>
      </c>
      <c r="U2696" s="1" t="n">
        <v>185.89</v>
      </c>
      <c r="W2696" s="1" t="n">
        <v>0</v>
      </c>
      <c r="X2696" s="1" t="s">
        <v>2878</v>
      </c>
      <c r="Z2696" s="1" t="str">
        <f aca="false">IF($T2696="","",IFERROR(INDEX('Resumo Grupos'!$AC$3:$AC$200,MATCH($T2696,'Resumo Grupos'!$AB$3:$AB$200,0)),"n/d"))</f>
        <v>Impostos</v>
      </c>
      <c r="AA2696" s="1" t="str">
        <f aca="false">IF($T2696="","",IF(COUNTIF('Resumo Grupos'!$AE$3:$AE$40,$T2696)&gt;0,"NAO","SIM"))</f>
        <v>SIM</v>
      </c>
    </row>
    <row r="2697" customFormat="false" ht="12.75" hidden="false" customHeight="true" outlineLevel="0" collapsed="false">
      <c r="A2697" s="1" t="n">
        <v>1</v>
      </c>
      <c r="B2697" s="22" t="n">
        <v>46097</v>
      </c>
      <c r="C2697" s="22" t="n">
        <v>46310</v>
      </c>
      <c r="D2697" s="1" t="n">
        <v>17</v>
      </c>
      <c r="E2697" s="1" t="s">
        <v>94</v>
      </c>
      <c r="F2697" s="1" t="n">
        <v>24</v>
      </c>
      <c r="G2697" s="1" t="s">
        <v>32</v>
      </c>
      <c r="H2697" s="1" t="n">
        <v>2110405</v>
      </c>
      <c r="I2697" s="1" t="s">
        <v>83</v>
      </c>
      <c r="J2697" s="1" t="n">
        <v>809413</v>
      </c>
      <c r="L2697" s="1" t="n">
        <v>2115476</v>
      </c>
      <c r="M2697" s="1" t="s">
        <v>183</v>
      </c>
      <c r="N2697" s="1" t="s">
        <v>42</v>
      </c>
      <c r="P2697" s="1" t="n">
        <v>101</v>
      </c>
      <c r="Q2697" s="1" t="s">
        <v>84</v>
      </c>
      <c r="R2697" s="1" t="s">
        <v>91</v>
      </c>
      <c r="S2697" s="1" t="n">
        <v>4220199</v>
      </c>
      <c r="T2697" s="1" t="s">
        <v>92</v>
      </c>
      <c r="U2697" s="1" t="n">
        <v>102.14</v>
      </c>
      <c r="W2697" s="1" t="n">
        <v>0</v>
      </c>
      <c r="X2697" s="1" t="s">
        <v>584</v>
      </c>
      <c r="Z2697" s="1" t="str">
        <f aca="false">IF($T2697="","",IFERROR(INDEX('Resumo Grupos'!$AC$3:$AC$200,MATCH($T2697,'Resumo Grupos'!$AB$3:$AB$200,0)),"n/d"))</f>
        <v>Pagamentos outros não operacionais</v>
      </c>
      <c r="AA2697" s="1" t="str">
        <f aca="false">IF($T2697="","",IF(COUNTIF('Resumo Grupos'!$AE$3:$AE$40,$T2697)&gt;0,"NAO","SIM"))</f>
        <v>SIM</v>
      </c>
    </row>
    <row r="2698" customFormat="false" ht="12.75" hidden="false" customHeight="true" outlineLevel="0" collapsed="false">
      <c r="A2698" s="1" t="n">
        <v>1</v>
      </c>
      <c r="B2698" s="22" t="n">
        <v>46234</v>
      </c>
      <c r="C2698" s="22" t="n">
        <v>46310</v>
      </c>
      <c r="D2698" s="1" t="n">
        <v>513</v>
      </c>
      <c r="E2698" s="1" t="s">
        <v>597</v>
      </c>
      <c r="F2698" s="1" t="n">
        <v>24</v>
      </c>
      <c r="G2698" s="1" t="s">
        <v>32</v>
      </c>
      <c r="H2698" s="1" t="n">
        <v>2110405</v>
      </c>
      <c r="I2698" s="1" t="s">
        <v>83</v>
      </c>
      <c r="J2698" s="1" t="n">
        <v>1478026</v>
      </c>
      <c r="L2698" s="1" t="n">
        <v>607111</v>
      </c>
      <c r="M2698" s="1" t="s">
        <v>128</v>
      </c>
      <c r="N2698" s="1" t="s">
        <v>42</v>
      </c>
      <c r="P2698" s="1" t="n">
        <v>101</v>
      </c>
      <c r="Q2698" s="1" t="s">
        <v>84</v>
      </c>
      <c r="R2698" s="1" t="s">
        <v>85</v>
      </c>
      <c r="S2698" s="1" t="n">
        <v>4210315</v>
      </c>
      <c r="T2698" s="1" t="s">
        <v>503</v>
      </c>
      <c r="U2698" s="1" t="n">
        <v>179.32</v>
      </c>
      <c r="W2698" s="1" t="n">
        <v>0</v>
      </c>
      <c r="X2698" s="1" t="s">
        <v>2287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</row>
    <row r="2699" customFormat="false" ht="12.75" hidden="false" customHeight="true" outlineLevel="0" collapsed="false">
      <c r="A2699" s="1" t="n">
        <v>1</v>
      </c>
      <c r="B2699" s="22" t="n">
        <v>46256</v>
      </c>
      <c r="C2699" s="22" t="n">
        <v>46311</v>
      </c>
      <c r="D2699" s="1" t="n">
        <v>607</v>
      </c>
      <c r="E2699" s="1" t="s">
        <v>182</v>
      </c>
      <c r="F2699" s="1" t="n">
        <v>24</v>
      </c>
      <c r="G2699" s="1" t="s">
        <v>32</v>
      </c>
      <c r="H2699" s="1" t="n">
        <v>2110405</v>
      </c>
      <c r="I2699" s="1" t="s">
        <v>83</v>
      </c>
      <c r="J2699" s="1" t="n">
        <v>1585319</v>
      </c>
      <c r="L2699" s="1" t="n">
        <v>11473</v>
      </c>
      <c r="M2699" s="1" t="s">
        <v>394</v>
      </c>
      <c r="N2699" s="1" t="s">
        <v>42</v>
      </c>
      <c r="P2699" s="1" t="n">
        <v>103</v>
      </c>
      <c r="Q2699" s="1" t="s">
        <v>36</v>
      </c>
      <c r="R2699" s="1" t="s">
        <v>37</v>
      </c>
      <c r="S2699" s="1" t="n">
        <v>1130101</v>
      </c>
      <c r="T2699" s="1" t="s">
        <v>38</v>
      </c>
      <c r="U2699" s="1" t="n">
        <v>1969.17</v>
      </c>
      <c r="W2699" s="1" t="n">
        <v>0</v>
      </c>
      <c r="X2699" s="1" t="s">
        <v>2879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</row>
    <row r="2700" customFormat="false" ht="12.75" hidden="false" customHeight="true" outlineLevel="0" collapsed="false">
      <c r="A2700" s="1" t="n">
        <v>1</v>
      </c>
      <c r="B2700" s="22" t="n">
        <v>46237</v>
      </c>
      <c r="C2700" s="22" t="n">
        <v>46312</v>
      </c>
      <c r="D2700" s="1" t="n">
        <v>815</v>
      </c>
      <c r="E2700" s="1" t="s">
        <v>652</v>
      </c>
      <c r="F2700" s="1" t="n">
        <v>34</v>
      </c>
      <c r="G2700" s="1" t="s">
        <v>71</v>
      </c>
      <c r="H2700" s="1" t="n">
        <v>2110405</v>
      </c>
      <c r="I2700" s="1" t="s">
        <v>83</v>
      </c>
      <c r="J2700" s="1" t="n">
        <v>1493520</v>
      </c>
      <c r="L2700" s="1" t="n">
        <v>612910</v>
      </c>
      <c r="M2700" s="1" t="s">
        <v>128</v>
      </c>
      <c r="N2700" s="1" t="s">
        <v>42</v>
      </c>
      <c r="P2700" s="1" t="n">
        <v>101</v>
      </c>
      <c r="Q2700" s="1" t="s">
        <v>84</v>
      </c>
      <c r="R2700" s="1" t="s">
        <v>2306</v>
      </c>
      <c r="S2700" s="1" t="n">
        <v>2210202</v>
      </c>
      <c r="T2700" s="1" t="s">
        <v>2306</v>
      </c>
      <c r="U2700" s="1" t="n">
        <v>6000</v>
      </c>
      <c r="W2700" s="1" t="n">
        <v>0</v>
      </c>
      <c r="X2700" s="1" t="s">
        <v>653</v>
      </c>
      <c r="Z2700" s="1" t="str">
        <f aca="false">IF($T2700="","",IFERROR(INDEX('Resumo Grupos'!$AC$3:$AC$200,MATCH($T2700,'Resumo Grupos'!$AB$3:$AB$200,0)),"n/d"))</f>
        <v>Empréstimo</v>
      </c>
      <c r="AA2700" s="1" t="str">
        <f aca="false">IF($T2700="","",IF(COUNTIF('Resumo Grupos'!$AE$3:$AE$40,$T2700)&gt;0,"NAO","SIM"))</f>
        <v>SIM</v>
      </c>
    </row>
    <row r="2701" customFormat="false" ht="12.75" hidden="false" customHeight="true" outlineLevel="0" collapsed="false">
      <c r="A2701" s="1" t="n">
        <v>1</v>
      </c>
      <c r="B2701" s="22" t="n">
        <v>46251</v>
      </c>
      <c r="C2701" s="22" t="n">
        <v>46312</v>
      </c>
      <c r="D2701" s="1" t="n">
        <v>10104</v>
      </c>
      <c r="E2701" s="1" t="s">
        <v>2325</v>
      </c>
      <c r="F2701" s="1" t="n">
        <v>34</v>
      </c>
      <c r="G2701" s="1" t="s">
        <v>71</v>
      </c>
      <c r="H2701" s="1" t="n">
        <v>2110405</v>
      </c>
      <c r="I2701" s="1" t="s">
        <v>83</v>
      </c>
      <c r="J2701" s="1" t="n">
        <v>1563387</v>
      </c>
      <c r="L2701" s="1" t="n">
        <v>639275</v>
      </c>
      <c r="M2701" s="1" t="s">
        <v>34</v>
      </c>
      <c r="N2701" s="1" t="s">
        <v>42</v>
      </c>
      <c r="P2701" s="1" t="n">
        <v>101</v>
      </c>
      <c r="Q2701" s="1" t="s">
        <v>84</v>
      </c>
      <c r="R2701" s="1" t="s">
        <v>91</v>
      </c>
      <c r="S2701" s="1" t="n">
        <v>4220199</v>
      </c>
      <c r="T2701" s="1" t="s">
        <v>92</v>
      </c>
      <c r="U2701" s="1" t="n">
        <v>1000</v>
      </c>
      <c r="W2701" s="1" t="n">
        <v>0</v>
      </c>
      <c r="X2701" s="1" t="s">
        <v>2828</v>
      </c>
      <c r="Z2701" s="1" t="str">
        <f aca="false">IF($T2701="","",IFERROR(INDEX('Resumo Grupos'!$AC$3:$AC$200,MATCH($T2701,'Resumo Grupos'!$AB$3:$AB$200,0)),"n/d"))</f>
        <v>Pagamentos outros não operacionais</v>
      </c>
      <c r="AA2701" s="1" t="str">
        <f aca="false">IF($T2701="","",IF(COUNTIF('Resumo Grupos'!$AE$3:$AE$40,$T2701)&gt;0,"NAO","SIM"))</f>
        <v>SIM</v>
      </c>
    </row>
    <row r="2702" customFormat="false" ht="12.75" hidden="false" customHeight="true" outlineLevel="0" collapsed="false">
      <c r="A2702" s="1" t="n">
        <v>1</v>
      </c>
      <c r="B2702" s="22" t="n">
        <v>46191</v>
      </c>
      <c r="C2702" s="22" t="n">
        <v>46313</v>
      </c>
      <c r="D2702" s="1" t="n">
        <v>514</v>
      </c>
      <c r="E2702" s="1" t="s">
        <v>643</v>
      </c>
      <c r="F2702" s="1" t="n">
        <v>34</v>
      </c>
      <c r="G2702" s="1" t="s">
        <v>71</v>
      </c>
      <c r="H2702" s="1" t="n">
        <v>2110405</v>
      </c>
      <c r="I2702" s="1" t="s">
        <v>83</v>
      </c>
      <c r="J2702" s="1" t="n">
        <v>1309516</v>
      </c>
      <c r="L2702" s="1" t="n">
        <v>541968</v>
      </c>
      <c r="M2702" s="1" t="s">
        <v>234</v>
      </c>
      <c r="N2702" s="1" t="s">
        <v>42</v>
      </c>
      <c r="P2702" s="1" t="n">
        <v>101</v>
      </c>
      <c r="Q2702" s="1" t="s">
        <v>84</v>
      </c>
      <c r="R2702" s="1" t="s">
        <v>165</v>
      </c>
      <c r="S2702" s="1" t="n">
        <v>2110901</v>
      </c>
      <c r="T2702" s="1" t="s">
        <v>166</v>
      </c>
      <c r="U2702" s="1" t="n">
        <v>3370.37</v>
      </c>
      <c r="W2702" s="1" t="n">
        <v>0</v>
      </c>
      <c r="X2702" s="1" t="s">
        <v>694</v>
      </c>
      <c r="Z2702" s="1" t="str">
        <f aca="false">IF($T2702="","",IFERROR(INDEX('Resumo Grupos'!$AC$3:$AC$200,MATCH($T2702,'Resumo Grupos'!$AB$3:$AB$200,0)),"n/d"))</f>
        <v>Empréstimo</v>
      </c>
      <c r="AA2702" s="1" t="str">
        <f aca="false">IF($T2702="","",IF(COUNTIF('Resumo Grupos'!$AE$3:$AE$40,$T2702)&gt;0,"NAO","SIM"))</f>
        <v>SIM</v>
      </c>
    </row>
    <row r="2703" customFormat="false" ht="12.75" hidden="false" customHeight="true" outlineLevel="0" collapsed="false">
      <c r="A2703" s="1" t="n">
        <v>1</v>
      </c>
      <c r="B2703" s="22" t="n">
        <v>46206</v>
      </c>
      <c r="C2703" s="22" t="n">
        <v>46313</v>
      </c>
      <c r="D2703" s="1" t="n">
        <v>804</v>
      </c>
      <c r="E2703" s="1" t="s">
        <v>1112</v>
      </c>
      <c r="F2703" s="1" t="n">
        <v>34</v>
      </c>
      <c r="G2703" s="1" t="s">
        <v>71</v>
      </c>
      <c r="H2703" s="1" t="n">
        <v>1110202</v>
      </c>
      <c r="I2703" s="1" t="s">
        <v>285</v>
      </c>
      <c r="J2703" s="1" t="n">
        <v>1345479</v>
      </c>
      <c r="L2703" s="1" t="n">
        <v>555726</v>
      </c>
      <c r="M2703" s="1" t="s">
        <v>394</v>
      </c>
      <c r="N2703" s="1" t="s">
        <v>42</v>
      </c>
      <c r="P2703" s="1" t="n">
        <v>101</v>
      </c>
      <c r="Q2703" s="1" t="s">
        <v>84</v>
      </c>
      <c r="R2703" s="1" t="s">
        <v>60</v>
      </c>
      <c r="S2703" s="1" t="n">
        <v>4210203</v>
      </c>
      <c r="T2703" s="1" t="s">
        <v>1114</v>
      </c>
      <c r="U2703" s="1" t="n">
        <v>764.43</v>
      </c>
      <c r="W2703" s="1" t="n">
        <v>0</v>
      </c>
      <c r="X2703" s="1" t="s">
        <v>1541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</row>
    <row r="2704" customFormat="false" ht="12.75" hidden="false" customHeight="true" outlineLevel="0" collapsed="false">
      <c r="A2704" s="1" t="n">
        <v>1</v>
      </c>
      <c r="B2704" s="22" t="n">
        <v>46206</v>
      </c>
      <c r="C2704" s="22" t="n">
        <v>46313</v>
      </c>
      <c r="D2704" s="1" t="n">
        <v>804</v>
      </c>
      <c r="E2704" s="1" t="s">
        <v>1112</v>
      </c>
      <c r="F2704" s="1" t="n">
        <v>34</v>
      </c>
      <c r="G2704" s="1" t="s">
        <v>71</v>
      </c>
      <c r="H2704" s="1" t="n">
        <v>1110202</v>
      </c>
      <c r="I2704" s="1" t="s">
        <v>285</v>
      </c>
      <c r="J2704" s="1" t="n">
        <v>1345494</v>
      </c>
      <c r="L2704" s="1" t="n">
        <v>555731</v>
      </c>
      <c r="M2704" s="1" t="s">
        <v>394</v>
      </c>
      <c r="N2704" s="1" t="s">
        <v>42</v>
      </c>
      <c r="P2704" s="1" t="n">
        <v>101</v>
      </c>
      <c r="Q2704" s="1" t="s">
        <v>84</v>
      </c>
      <c r="R2704" s="1" t="s">
        <v>91</v>
      </c>
      <c r="S2704" s="1" t="n">
        <v>4220199</v>
      </c>
      <c r="T2704" s="1" t="s">
        <v>92</v>
      </c>
      <c r="U2704" s="1" t="n">
        <v>1621</v>
      </c>
      <c r="W2704" s="1" t="n">
        <v>0</v>
      </c>
      <c r="X2704" s="1" t="s">
        <v>1542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" t="n">
        <v>1</v>
      </c>
      <c r="B2705" s="22" t="n">
        <v>46234</v>
      </c>
      <c r="C2705" s="22" t="n">
        <v>46315</v>
      </c>
      <c r="D2705" s="1" t="n">
        <v>659</v>
      </c>
      <c r="E2705" s="1" t="s">
        <v>733</v>
      </c>
      <c r="F2705" s="1" t="n">
        <v>24</v>
      </c>
      <c r="G2705" s="1" t="s">
        <v>32</v>
      </c>
      <c r="H2705" s="1" t="n">
        <v>2110405</v>
      </c>
      <c r="I2705" s="1" t="s">
        <v>83</v>
      </c>
      <c r="J2705" s="1" t="n">
        <v>1478178</v>
      </c>
      <c r="L2705" s="1" t="n">
        <v>607145</v>
      </c>
      <c r="M2705" s="1" t="s">
        <v>128</v>
      </c>
      <c r="N2705" s="1" t="s">
        <v>42</v>
      </c>
      <c r="P2705" s="1" t="n">
        <v>101</v>
      </c>
      <c r="Q2705" s="1" t="s">
        <v>84</v>
      </c>
      <c r="R2705" s="1" t="s">
        <v>85</v>
      </c>
      <c r="S2705" s="1" t="n">
        <v>4210311</v>
      </c>
      <c r="T2705" s="1" t="s">
        <v>301</v>
      </c>
      <c r="U2705" s="1" t="n">
        <v>6193.08</v>
      </c>
      <c r="W2705" s="1" t="n">
        <v>0</v>
      </c>
      <c r="X2705" s="1" t="s">
        <v>1570</v>
      </c>
      <c r="Z2705" s="1" t="str">
        <f aca="false">IF($T2705="","",IFERROR(INDEX('Resumo Grupos'!$AC$3:$AC$200,MATCH($T2705,'Resumo Grupos'!$AB$3:$AB$200,0)),"n/d"))</f>
        <v>Salários</v>
      </c>
      <c r="AA2705" s="1" t="str">
        <f aca="false">IF($T2705="","",IF(COUNTIF('Resumo Grupos'!$AE$3:$AE$40,$T2705)&gt;0,"NAO","SIM"))</f>
        <v>SIM</v>
      </c>
    </row>
    <row r="2706" customFormat="false" ht="12.75" hidden="false" customHeight="true" outlineLevel="0" collapsed="false">
      <c r="A2706" s="1" t="n">
        <v>1</v>
      </c>
      <c r="B2706" s="22" t="n">
        <v>46246</v>
      </c>
      <c r="C2706" s="22" t="n">
        <v>46315</v>
      </c>
      <c r="D2706" s="1" t="n">
        <v>1932</v>
      </c>
      <c r="E2706" s="1" t="s">
        <v>747</v>
      </c>
      <c r="F2706" s="1" t="n">
        <v>24</v>
      </c>
      <c r="G2706" s="1" t="s">
        <v>32</v>
      </c>
      <c r="H2706" s="1" t="n">
        <v>2110405</v>
      </c>
      <c r="I2706" s="1" t="s">
        <v>83</v>
      </c>
      <c r="J2706" s="1" t="n">
        <v>1370654</v>
      </c>
      <c r="L2706" s="1" t="n">
        <v>565734</v>
      </c>
      <c r="M2706" s="1" t="s">
        <v>394</v>
      </c>
      <c r="N2706" s="1" t="s">
        <v>42</v>
      </c>
      <c r="P2706" s="1" t="n">
        <v>101</v>
      </c>
      <c r="Q2706" s="1" t="s">
        <v>84</v>
      </c>
      <c r="R2706" s="1" t="s">
        <v>85</v>
      </c>
      <c r="S2706" s="1" t="n">
        <v>4210315</v>
      </c>
      <c r="T2706" s="1" t="s">
        <v>503</v>
      </c>
      <c r="U2706" s="1" t="n">
        <v>139.97</v>
      </c>
      <c r="W2706" s="1" t="n">
        <v>0</v>
      </c>
      <c r="X2706" s="1" t="s">
        <v>743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</row>
    <row r="2707" customFormat="false" ht="12.75" hidden="false" customHeight="true" outlineLevel="0" collapsed="false">
      <c r="A2707" s="1" t="n">
        <v>1</v>
      </c>
      <c r="B2707" s="22" t="n">
        <v>46126</v>
      </c>
      <c r="C2707" s="22" t="n">
        <v>46318</v>
      </c>
      <c r="D2707" s="1" t="n">
        <v>17</v>
      </c>
      <c r="E2707" s="1" t="s">
        <v>94</v>
      </c>
      <c r="F2707" s="1" t="n">
        <v>24</v>
      </c>
      <c r="G2707" s="1" t="s">
        <v>32</v>
      </c>
      <c r="H2707" s="1" t="n">
        <v>2110405</v>
      </c>
      <c r="I2707" s="1" t="s">
        <v>83</v>
      </c>
      <c r="J2707" s="1" t="n">
        <v>950724</v>
      </c>
      <c r="L2707" s="1" t="n">
        <v>403362</v>
      </c>
      <c r="M2707" s="1" t="s">
        <v>1696</v>
      </c>
      <c r="N2707" s="1" t="s">
        <v>42</v>
      </c>
      <c r="P2707" s="1" t="n">
        <v>101</v>
      </c>
      <c r="Q2707" s="1" t="s">
        <v>84</v>
      </c>
      <c r="R2707" s="1" t="s">
        <v>91</v>
      </c>
      <c r="S2707" s="1" t="n">
        <v>4220199</v>
      </c>
      <c r="T2707" s="1" t="s">
        <v>92</v>
      </c>
      <c r="U2707" s="1" t="n">
        <v>2720.81</v>
      </c>
      <c r="W2707" s="1" t="n">
        <v>0</v>
      </c>
      <c r="X2707" s="1" t="s">
        <v>2880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</row>
    <row r="2708" customFormat="false" ht="12.75" hidden="false" customHeight="true" outlineLevel="0" collapsed="false">
      <c r="A2708" s="1" t="n">
        <v>1</v>
      </c>
      <c r="B2708" s="22" t="n">
        <v>46038</v>
      </c>
      <c r="C2708" s="22" t="n">
        <v>46320</v>
      </c>
      <c r="D2708" s="1" t="n">
        <v>10039</v>
      </c>
      <c r="E2708" s="1" t="s">
        <v>835</v>
      </c>
      <c r="F2708" s="1" t="n">
        <v>36</v>
      </c>
      <c r="G2708" s="1" t="s">
        <v>445</v>
      </c>
      <c r="H2708" s="1" t="n">
        <v>2110102</v>
      </c>
      <c r="I2708" s="1" t="s">
        <v>59</v>
      </c>
      <c r="J2708" s="1" t="n">
        <v>532309</v>
      </c>
      <c r="L2708" s="1" t="n">
        <v>2543</v>
      </c>
      <c r="M2708" s="1" t="s">
        <v>793</v>
      </c>
      <c r="N2708" s="1" t="s">
        <v>35</v>
      </c>
      <c r="P2708" s="1" t="n">
        <v>101</v>
      </c>
      <c r="Q2708" s="1" t="s">
        <v>84</v>
      </c>
      <c r="R2708" s="1" t="s">
        <v>60</v>
      </c>
      <c r="S2708" s="1" t="n">
        <v>4210204</v>
      </c>
      <c r="T2708" s="1" t="s">
        <v>61</v>
      </c>
      <c r="U2708" s="1" t="n">
        <v>285.77</v>
      </c>
      <c r="W2708" s="1" t="n">
        <v>0</v>
      </c>
      <c r="X2708" s="1" t="s">
        <v>2881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</row>
    <row r="2709" customFormat="false" ht="12.75" hidden="false" customHeight="true" outlineLevel="0" collapsed="false">
      <c r="A2709" s="1" t="n">
        <v>1</v>
      </c>
      <c r="B2709" s="22" t="n">
        <v>46085</v>
      </c>
      <c r="C2709" s="22" t="n">
        <v>46320</v>
      </c>
      <c r="D2709" s="1" t="n">
        <v>500</v>
      </c>
      <c r="E2709" s="1" t="s">
        <v>444</v>
      </c>
      <c r="F2709" s="1" t="n">
        <v>36</v>
      </c>
      <c r="G2709" s="1" t="s">
        <v>445</v>
      </c>
      <c r="H2709" s="1" t="n">
        <v>2110101</v>
      </c>
      <c r="I2709" s="1" t="s">
        <v>33</v>
      </c>
      <c r="J2709" s="1" t="n">
        <v>808801</v>
      </c>
      <c r="L2709" s="1" t="n">
        <v>349045</v>
      </c>
      <c r="M2709" s="1" t="s">
        <v>183</v>
      </c>
      <c r="N2709" s="1" t="s">
        <v>42</v>
      </c>
      <c r="P2709" s="1" t="n">
        <v>103</v>
      </c>
      <c r="Q2709" s="1" t="s">
        <v>36</v>
      </c>
      <c r="R2709" s="1" t="s">
        <v>83</v>
      </c>
      <c r="S2709" s="1" t="n">
        <v>2110405</v>
      </c>
      <c r="T2709" s="1" t="s">
        <v>83</v>
      </c>
      <c r="U2709" s="1" t="n">
        <v>399.1</v>
      </c>
      <c r="W2709" s="1" t="n">
        <v>0</v>
      </c>
      <c r="X2709" s="1" t="s">
        <v>2882</v>
      </c>
      <c r="Z2709" s="1" t="str">
        <f aca="false">IF($T2709="","",IFERROR(INDEX('Resumo Grupos'!$AC$3:$AC$200,MATCH($T2709,'Resumo Grupos'!$AB$3:$AB$200,0)),"n/d"))</f>
        <v>Cobertura de conta</v>
      </c>
      <c r="AA2709" s="1" t="str">
        <f aca="false">IF($T2709="","",IF(COUNTIF('Resumo Grupos'!$AE$3:$AE$40,$T2709)&gt;0,"NAO","SIM"))</f>
        <v>SIM</v>
      </c>
    </row>
    <row r="2710" customFormat="false" ht="12.75" hidden="false" customHeight="true" outlineLevel="0" collapsed="false">
      <c r="A2710" s="1" t="n">
        <v>1</v>
      </c>
      <c r="B2710" s="22" t="n">
        <v>46120</v>
      </c>
      <c r="C2710" s="22" t="n">
        <v>46320</v>
      </c>
      <c r="D2710" s="1" t="n">
        <v>500</v>
      </c>
      <c r="E2710" s="1" t="s">
        <v>444</v>
      </c>
      <c r="F2710" s="1" t="n">
        <v>36</v>
      </c>
      <c r="G2710" s="1" t="s">
        <v>445</v>
      </c>
      <c r="H2710" s="1" t="n">
        <v>2110405</v>
      </c>
      <c r="I2710" s="1" t="s">
        <v>83</v>
      </c>
      <c r="J2710" s="1" t="n">
        <v>920498</v>
      </c>
      <c r="L2710" s="1" t="n">
        <v>391987</v>
      </c>
      <c r="M2710" s="1" t="s">
        <v>1696</v>
      </c>
      <c r="N2710" s="1" t="s">
        <v>42</v>
      </c>
      <c r="P2710" s="1" t="n">
        <v>103</v>
      </c>
      <c r="Q2710" s="1" t="s">
        <v>36</v>
      </c>
      <c r="R2710" s="1" t="s">
        <v>765</v>
      </c>
      <c r="S2710" s="1" t="n">
        <v>1240103</v>
      </c>
      <c r="T2710" s="1" t="s">
        <v>839</v>
      </c>
      <c r="U2710" s="1" t="n">
        <v>4934.34</v>
      </c>
      <c r="W2710" s="1" t="n">
        <v>0</v>
      </c>
      <c r="X2710" s="1" t="s">
        <v>2883</v>
      </c>
      <c r="Z2710" s="1" t="str">
        <f aca="false">IF($T2710="","",IFERROR(INDEX('Resumo Grupos'!$AC$3:$AC$200,MATCH($T2710,'Resumo Grupos'!$AB$3:$AB$200,0)),"n/d"))</f>
        <v>Despesa</v>
      </c>
      <c r="AA2710" s="1" t="str">
        <f aca="false">IF($T2710="","",IF(COUNTIF('Resumo Grupos'!$AE$3:$AE$40,$T2710)&gt;0,"NAO","SIM"))</f>
        <v>SIM</v>
      </c>
    </row>
    <row r="2711" customFormat="false" ht="12.75" hidden="false" customHeight="true" outlineLevel="0" collapsed="false">
      <c r="A2711" s="1" t="n">
        <v>1</v>
      </c>
      <c r="B2711" s="22" t="n">
        <v>46094</v>
      </c>
      <c r="C2711" s="22" t="n">
        <v>46320</v>
      </c>
      <c r="D2711" s="1" t="n">
        <v>468</v>
      </c>
      <c r="E2711" s="1" t="s">
        <v>842</v>
      </c>
      <c r="F2711" s="1" t="n">
        <v>36</v>
      </c>
      <c r="G2711" s="1" t="s">
        <v>445</v>
      </c>
      <c r="H2711" s="1" t="n">
        <v>2110405</v>
      </c>
      <c r="I2711" s="1" t="s">
        <v>83</v>
      </c>
      <c r="J2711" s="1" t="n">
        <v>1024118</v>
      </c>
      <c r="L2711" s="1" t="n">
        <v>14289</v>
      </c>
      <c r="M2711" s="1" t="s">
        <v>1696</v>
      </c>
      <c r="N2711" s="1" t="s">
        <v>42</v>
      </c>
      <c r="P2711" s="1" t="n">
        <v>101</v>
      </c>
      <c r="Q2711" s="1" t="s">
        <v>84</v>
      </c>
      <c r="R2711" s="1" t="s">
        <v>765</v>
      </c>
      <c r="S2711" s="1" t="n">
        <v>1240103</v>
      </c>
      <c r="T2711" s="1" t="s">
        <v>839</v>
      </c>
      <c r="U2711" s="1" t="n">
        <v>1197</v>
      </c>
      <c r="W2711" s="1" t="n">
        <v>0</v>
      </c>
      <c r="X2711" s="1" t="s">
        <v>845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</row>
    <row r="2712" customFormat="false" ht="12.75" hidden="false" customHeight="true" outlineLevel="0" collapsed="false">
      <c r="A2712" s="1" t="n">
        <v>1</v>
      </c>
      <c r="B2712" s="22" t="n">
        <v>46256</v>
      </c>
      <c r="C2712" s="22" t="n">
        <v>46321</v>
      </c>
      <c r="D2712" s="1" t="n">
        <v>607</v>
      </c>
      <c r="E2712" s="1" t="s">
        <v>182</v>
      </c>
      <c r="F2712" s="1" t="n">
        <v>24</v>
      </c>
      <c r="G2712" s="1" t="s">
        <v>32</v>
      </c>
      <c r="H2712" s="1" t="n">
        <v>2110405</v>
      </c>
      <c r="I2712" s="1" t="s">
        <v>83</v>
      </c>
      <c r="J2712" s="1" t="n">
        <v>1585319</v>
      </c>
      <c r="L2712" s="1" t="n">
        <v>11473</v>
      </c>
      <c r="M2712" s="1" t="s">
        <v>234</v>
      </c>
      <c r="N2712" s="1" t="s">
        <v>42</v>
      </c>
      <c r="P2712" s="1" t="n">
        <v>103</v>
      </c>
      <c r="Q2712" s="1" t="s">
        <v>36</v>
      </c>
      <c r="R2712" s="1" t="s">
        <v>37</v>
      </c>
      <c r="S2712" s="1" t="n">
        <v>1130101</v>
      </c>
      <c r="T2712" s="1" t="s">
        <v>38</v>
      </c>
      <c r="U2712" s="1" t="n">
        <v>1969.17</v>
      </c>
      <c r="W2712" s="1" t="n">
        <v>0</v>
      </c>
      <c r="X2712" s="1" t="s">
        <v>2884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</row>
    <row r="2713" customFormat="false" ht="12.75" hidden="false" customHeight="true" outlineLevel="0" collapsed="false">
      <c r="A2713" s="1" t="n">
        <v>1</v>
      </c>
      <c r="B2713" s="22" t="n">
        <v>46228</v>
      </c>
      <c r="C2713" s="22" t="n">
        <v>46323</v>
      </c>
      <c r="D2713" s="1" t="n">
        <v>515</v>
      </c>
      <c r="E2713" s="1" t="s">
        <v>106</v>
      </c>
      <c r="F2713" s="1" t="n">
        <v>34</v>
      </c>
      <c r="G2713" s="1" t="s">
        <v>71</v>
      </c>
      <c r="H2713" s="1" t="n">
        <v>1110202</v>
      </c>
      <c r="I2713" s="1" t="s">
        <v>285</v>
      </c>
      <c r="J2713" s="1" t="n">
        <v>1449535</v>
      </c>
      <c r="L2713" s="1" t="n">
        <v>596258</v>
      </c>
      <c r="M2713" s="1" t="s">
        <v>394</v>
      </c>
      <c r="N2713" s="1" t="s">
        <v>42</v>
      </c>
      <c r="P2713" s="1" t="n">
        <v>101</v>
      </c>
      <c r="Q2713" s="1" t="s">
        <v>84</v>
      </c>
      <c r="R2713" s="1" t="s">
        <v>91</v>
      </c>
      <c r="S2713" s="1" t="n">
        <v>4220199</v>
      </c>
      <c r="T2713" s="1" t="s">
        <v>92</v>
      </c>
      <c r="U2713" s="1" t="n">
        <v>3853.23</v>
      </c>
      <c r="W2713" s="1" t="n">
        <v>0</v>
      </c>
      <c r="X2713" s="1" t="s">
        <v>2885</v>
      </c>
      <c r="Z2713" s="1" t="str">
        <f aca="false">IF($T2713="","",IFERROR(INDEX('Resumo Grupos'!$AC$3:$AC$200,MATCH($T2713,'Resumo Grupos'!$AB$3:$AB$200,0)),"n/d"))</f>
        <v>Pagamentos outros não operacionais</v>
      </c>
      <c r="AA2713" s="1" t="str">
        <f aca="false">IF($T2713="","",IF(COUNTIF('Resumo Grupos'!$AE$3:$AE$40,$T2713)&gt;0,"NAO","SIM"))</f>
        <v>SIM</v>
      </c>
    </row>
    <row r="2714" customFormat="false" ht="12.75" hidden="false" customHeight="true" outlineLevel="0" collapsed="false">
      <c r="A2714" s="1" t="n">
        <v>1</v>
      </c>
      <c r="B2714" s="22" t="n">
        <v>46232</v>
      </c>
      <c r="C2714" s="22" t="n">
        <v>46325</v>
      </c>
      <c r="D2714" s="1" t="n">
        <v>815</v>
      </c>
      <c r="E2714" s="1" t="s">
        <v>652</v>
      </c>
      <c r="F2714" s="1" t="n">
        <v>34</v>
      </c>
      <c r="G2714" s="1" t="s">
        <v>71</v>
      </c>
      <c r="H2714" s="1" t="n">
        <v>1110202</v>
      </c>
      <c r="I2714" s="1" t="s">
        <v>285</v>
      </c>
      <c r="J2714" s="1" t="n">
        <v>1470128</v>
      </c>
      <c r="L2714" s="1" t="n">
        <v>604118</v>
      </c>
      <c r="M2714" s="1" t="s">
        <v>128</v>
      </c>
      <c r="N2714" s="1" t="s">
        <v>42</v>
      </c>
      <c r="P2714" s="1" t="n">
        <v>101</v>
      </c>
      <c r="Q2714" s="1" t="s">
        <v>84</v>
      </c>
      <c r="R2714" s="1" t="s">
        <v>108</v>
      </c>
      <c r="S2714" s="1" t="n">
        <v>4210502</v>
      </c>
      <c r="T2714" s="1" t="s">
        <v>901</v>
      </c>
      <c r="U2714" s="1" t="n">
        <v>1000</v>
      </c>
      <c r="W2714" s="1" t="n">
        <v>0</v>
      </c>
      <c r="X2714" s="1" t="s">
        <v>2588</v>
      </c>
      <c r="Z2714" s="1" t="str">
        <f aca="false">IF($T2714="","",IFERROR(INDEX('Resumo Grupos'!$AC$3:$AC$200,MATCH($T2714,'Resumo Grupos'!$AB$3:$AB$200,0)),"n/d"))</f>
        <v>Empréstimo</v>
      </c>
      <c r="AA2714" s="1" t="str">
        <f aca="false">IF($T2714="","",IF(COUNTIF('Resumo Grupos'!$AE$3:$AE$40,$T2714)&gt;0,"NAO","SIM"))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2886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7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7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7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7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7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7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7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7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7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7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7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7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7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7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7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7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7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7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7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7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7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7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7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7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7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7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7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7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7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7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7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7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7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7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7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7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7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7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7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7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7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7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7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7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7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7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7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7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7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7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7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7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7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7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7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7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7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7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7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7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7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7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7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7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7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7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7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7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7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7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7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7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7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7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7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7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7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7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7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7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7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7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7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7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7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7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7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7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7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7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7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7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7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7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7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7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7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7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7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7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7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7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7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7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7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7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7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7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7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7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7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7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7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7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7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7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7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7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7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7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7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7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7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7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7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7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7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7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7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7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7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7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7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7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7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7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7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7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7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7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7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7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7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7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7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7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7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7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7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7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7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7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7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7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7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7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7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7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7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7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7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7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7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7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7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7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7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7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7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7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7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7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7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7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7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7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7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7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7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7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7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7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7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7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7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7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7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7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7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7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7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7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7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7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7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7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7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7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7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7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7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7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7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7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7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7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7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7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7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7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7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7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7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7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7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7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7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7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7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7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7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7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7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7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7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7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7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7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7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7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7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7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7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7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7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7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7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7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7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7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7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7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7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7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7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7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7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7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7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7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7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7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7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7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7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7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7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7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7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7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7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7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7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7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7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7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7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7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7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7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7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7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7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7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7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7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7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7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7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7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7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7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7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7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7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7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7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7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7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7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7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7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7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7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7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7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7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7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7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7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7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7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7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7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7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7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7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7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7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7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7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7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7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7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7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7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7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7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7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7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7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7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7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7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7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7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7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7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7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7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7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7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7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7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7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7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7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7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7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7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7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7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7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7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7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7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7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7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7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7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7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7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7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7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7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7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7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7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7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7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7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7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7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7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7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7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7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7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7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7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7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7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7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7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7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7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7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7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7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7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7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7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7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7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7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7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7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7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7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7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7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7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7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7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7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7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7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7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7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7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7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7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7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7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7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7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7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7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7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7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7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7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7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7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7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7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7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7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7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7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7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7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7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7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7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7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7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7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7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7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7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7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7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7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7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7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7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7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7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7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7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7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7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7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7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7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7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7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7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7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7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7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7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7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7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7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7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7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7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7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7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7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7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7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7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7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7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7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7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7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7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7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7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7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7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7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7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7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7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7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7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7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7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7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7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7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7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7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7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7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7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7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7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7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7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7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7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7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7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7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7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7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7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7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7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7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7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7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7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7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7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7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7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7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7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7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7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7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7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7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7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7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7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7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7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7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7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7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7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7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7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7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7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7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7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7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7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7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7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7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7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7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7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7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7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7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7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7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7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7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7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7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7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7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7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7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7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7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7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7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7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7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7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7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7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7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7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7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7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7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7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7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7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7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7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7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7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7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7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7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7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7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7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7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7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7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7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7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7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7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7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7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7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7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7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7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7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7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7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7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7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7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7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7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7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7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7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7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7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7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7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7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7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7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7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7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7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7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7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7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7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7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7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7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7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7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7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7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7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7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7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7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7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7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7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7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7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7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7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7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7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7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7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7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7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7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7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7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7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7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7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7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7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7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7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7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7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7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7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7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7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7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7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7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7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7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7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7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7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7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7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7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7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7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7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7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7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7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7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7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7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7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7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7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7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7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7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7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7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7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7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7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7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7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7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7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7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7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7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7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7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7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7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7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7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7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7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7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7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7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7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7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7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7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7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7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7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7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7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7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7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7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7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7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7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7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7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7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7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7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7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7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7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7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7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7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7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7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7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7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7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7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7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7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7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7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7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7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7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7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7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7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7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7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7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7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7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7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7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7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7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7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7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7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7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7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7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7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7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7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7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7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7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7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7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7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7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7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7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7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7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7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7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7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7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7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7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7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7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7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7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7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7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7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7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7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7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7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7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7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7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7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7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7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7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7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7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7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7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7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7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7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7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7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7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7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7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7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7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7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7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7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7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7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7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7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7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7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7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7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7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7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7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7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7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7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7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7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7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7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7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7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7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7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7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7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7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7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7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7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7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7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7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7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7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7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7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7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7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7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7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7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7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7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7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7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7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7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7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7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7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7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7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7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7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7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7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7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7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7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7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7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7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7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7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7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7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7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7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7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7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7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7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7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7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7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7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7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7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7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7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7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7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7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7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7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7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7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7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7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7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7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7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7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7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7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7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7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7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7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7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7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7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7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7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7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7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7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7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7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7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7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7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7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7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7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7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7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7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7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7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7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7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7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7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7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7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7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7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7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7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7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7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7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7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7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46222</v>
      </c>
      <c r="B972" s="1" t="str">
        <f aca="false">Report!E1289</f>
        <v>PRIME PET DISTRIBUIDORA LTDA</v>
      </c>
      <c r="C972" s="17" t="n">
        <f aca="false">Report!U1289</f>
        <v>319.72</v>
      </c>
      <c r="D972" s="1" t="str">
        <f aca="false">Report!X1289</f>
        <v>NF 10643-04/05 MILKA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E. SALES DO NASCIMENTO</v>
      </c>
      <c r="C973" s="17" t="n">
        <f aca="false">Report!U1290</f>
        <v>410.72</v>
      </c>
      <c r="D973" s="1" t="str">
        <f aca="false">Report!X1290</f>
        <v>NF 707 -01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BRF S A</v>
      </c>
      <c r="C974" s="17" t="n">
        <f aca="false">Report!U1291</f>
        <v>650.23</v>
      </c>
      <c r="D974" s="1" t="str">
        <f aca="false">Report!X1291</f>
        <v>NF 1604302-01/02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AMAZON DISTRIBUIDORA DE PRODUTOS ALIMENT</v>
      </c>
      <c r="C975" s="17" t="n">
        <f aca="false">Report!U1292</f>
        <v>436.29</v>
      </c>
      <c r="D975" s="1" t="str">
        <f aca="false">Report!X1292</f>
        <v>NF 89871 AMZ -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ADF DISTRIBUIDORA DE BEBIDAS LTDA</v>
      </c>
      <c r="C976" s="17" t="n">
        <f aca="false">Report!U1293</f>
        <v>374</v>
      </c>
      <c r="D976" s="1" t="str">
        <f aca="false">Report!X1293</f>
        <v>NF 473149 - MILKA</v>
      </c>
    </row>
    <row r="977" customFormat="false" ht="12.75" hidden="false" customHeight="true" outlineLevel="0" collapsed="false">
      <c r="A977" s="15" t="n">
        <f aca="false">Report!C1295</f>
        <v>46223</v>
      </c>
      <c r="B977" s="1" t="str">
        <f aca="false">Report!E1295</f>
        <v>RISADINHA LTDA</v>
      </c>
      <c r="C977" s="17" t="n">
        <f aca="false">Report!U1295</f>
        <v>1755.4</v>
      </c>
      <c r="D977" s="1" t="str">
        <f aca="false">Report!X1295</f>
        <v>NF 657246 -02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DISTRIBUIDORA LOPES LTDA</v>
      </c>
      <c r="C978" s="17" t="n">
        <f aca="false">Report!U1296</f>
        <v>1680.21</v>
      </c>
      <c r="D978" s="1" t="str">
        <f aca="false">Report!X1296</f>
        <v>NF 1677170-2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OESA COMERCIO E REPRESENTACOES S/A</v>
      </c>
      <c r="C979" s="17" t="n">
        <f aca="false">Report!U1297</f>
        <v>1351</v>
      </c>
      <c r="D979" s="1" t="str">
        <f aca="false">Report!X1297</f>
        <v>NF 419583-2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7" t="n">
        <f aca="false">Report!U1298</f>
        <v>1805.4</v>
      </c>
      <c r="D980" s="1" t="str">
        <f aca="false">Report!X1298</f>
        <v>NF 419611 -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ATACADAO S.A.</v>
      </c>
      <c r="C981" s="17" t="n">
        <f aca="false">Report!U1299</f>
        <v>977.5</v>
      </c>
      <c r="D981" s="1" t="str">
        <f aca="false">Report!X1299</f>
        <v>NF 1894398 -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ADRIANA DISTRIBUIDORA DE PRODUTOS ALIMEN</v>
      </c>
      <c r="C982" s="17" t="n">
        <f aca="false">Report!U1300</f>
        <v>1326.93</v>
      </c>
      <c r="D982" s="1" t="str">
        <f aca="false">Report!X1300</f>
        <v>NF 882141 -2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FORTVET DISTRIBUIDORA LTDA</v>
      </c>
      <c r="C983" s="17" t="n">
        <f aca="false">Report!U1301</f>
        <v>663.81</v>
      </c>
      <c r="D983" s="1" t="str">
        <f aca="false">Report!X1301</f>
        <v>NF 2524-2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OPPORTUNITY ALIMENTOS PARA ANIMAIS LTDA</v>
      </c>
      <c r="C984" s="17" t="n">
        <f aca="false">Report!U1302</f>
        <v>3377.6</v>
      </c>
      <c r="D984" s="1" t="str">
        <f aca="false">Report!X1302</f>
        <v>NF 34300-1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ATACADAO S.A.</v>
      </c>
      <c r="C985" s="17" t="n">
        <f aca="false">Report!U1303</f>
        <v>499.5</v>
      </c>
      <c r="D985" s="1" t="str">
        <f aca="false">Report!X1303</f>
        <v>NF 1897392 -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SAO JOSE COMERCIO DE LATICINIOS E FRIOS</v>
      </c>
      <c r="C986" s="17" t="n">
        <f aca="false">Report!U1304</f>
        <v>1584</v>
      </c>
      <c r="D986" s="1" t="str">
        <f aca="false">Report!X1304</f>
        <v>6781037  NF 3552 SABORE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NT INDUSTRIA E COMERCIO DE PANIFICACAO L</v>
      </c>
      <c r="C987" s="17" t="n">
        <f aca="false">Report!U1305</f>
        <v>2754.99</v>
      </c>
      <c r="D987" s="1" t="str">
        <f aca="false">Report!X1305</f>
        <v>NF 40389 - MILKA</v>
      </c>
    </row>
    <row r="988" customFormat="false" ht="12.75" hidden="false" customHeight="true" outlineLevel="0" collapsed="false">
      <c r="A988" s="15" t="n">
        <f aca="false">Report!C1309</f>
        <v>46223</v>
      </c>
      <c r="B988" s="1" t="str">
        <f aca="false">Report!E1309</f>
        <v>T. M. L. DA SILVA LTDA</v>
      </c>
      <c r="C988" s="17" t="n">
        <f aca="false">Report!U1309</f>
        <v>622.5</v>
      </c>
      <c r="D988" s="1" t="str">
        <f aca="false">Report!X1309</f>
        <v>NF 15129 AMAZONGURT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SOUZA CRUZ LTDA.</v>
      </c>
      <c r="C989" s="17" t="n">
        <f aca="false">Report!U1310</f>
        <v>6643.66</v>
      </c>
      <c r="D989" s="1" t="str">
        <f aca="false">Report!X1310</f>
        <v>NF 566688 -01 MILKA</v>
      </c>
    </row>
    <row r="990" customFormat="false" ht="12.75" hidden="false" customHeight="true" outlineLevel="0" collapsed="false">
      <c r="A990" s="15" t="n">
        <f aca="false">Report!C1312</f>
        <v>46223</v>
      </c>
      <c r="B990" s="1" t="str">
        <f aca="false">Report!E1312</f>
        <v>H. L. DO NASCIMENTO</v>
      </c>
      <c r="C990" s="17" t="n">
        <f aca="false">Report!U1312</f>
        <v>1285.3</v>
      </c>
      <c r="D990" s="1" t="str">
        <f aca="false">Report!X1312</f>
        <v>NF 5787 FAZENDINHA -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SAO JOSE COMERCIO DE LATICINIOS E FRIOS</v>
      </c>
      <c r="C991" s="17" t="n">
        <f aca="false">Report!U1313</f>
        <v>448.5</v>
      </c>
      <c r="D991" s="1" t="str">
        <f aca="false">Report!X1313</f>
        <v>NF 3599 SABORE /USO E CONSUMO/ DESPESA PADARIA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KAROLINY RODRIGUES SOUZA VENANCIO 915783</v>
      </c>
      <c r="C992" s="17" t="n">
        <f aca="false">Report!U1314</f>
        <v>250</v>
      </c>
      <c r="D992" s="1" t="str">
        <f aca="false">Report!X1314</f>
        <v>NF1790 BIS.DONA MARIA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C. R. PARENTE ABREU</v>
      </c>
      <c r="C993" s="17" t="n">
        <f aca="false">Report!U1315</f>
        <v>378.43</v>
      </c>
      <c r="D993" s="1" t="str">
        <f aca="false">Report!X1315</f>
        <v>NF 11415-2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MAXFRI DISTRIUIDORA LTDA</v>
      </c>
      <c r="C994" s="17" t="n">
        <f aca="false">Report!U1316</f>
        <v>1607.58</v>
      </c>
      <c r="D994" s="1" t="str">
        <f aca="false">Report!X1316</f>
        <v>NF14695 -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NOVA FRIOS COMERCIO ATACADISTA DE LATICINIOS LTDA</v>
      </c>
      <c r="C995" s="17" t="n">
        <f aca="false">Report!U1317</f>
        <v>358.25</v>
      </c>
      <c r="D995" s="1" t="str">
        <f aca="false">Report!X1317</f>
        <v>NF 4053 BODEGA DO PAO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JAB COMERCIO DE PRODUTOS ALIMENTICIOS LT</v>
      </c>
      <c r="C996" s="17" t="n">
        <f aca="false">Report!U1318</f>
        <v>297</v>
      </c>
      <c r="D996" s="1" t="str">
        <f aca="false">Report!X1318</f>
        <v>NF 3541 SANTO PAO - MILKA</v>
      </c>
    </row>
    <row r="997" customFormat="false" ht="12.75" hidden="false" customHeight="true" outlineLevel="0" collapsed="false">
      <c r="A997" s="15" t="n">
        <f aca="false">Report!C1322</f>
        <v>46223</v>
      </c>
      <c r="B997" s="1" t="str">
        <f aca="false">Report!E1322</f>
        <v>C. R. PARENTE ABREU</v>
      </c>
      <c r="C997" s="17" t="n">
        <f aca="false">Report!U1322</f>
        <v>417.42</v>
      </c>
      <c r="D997" s="1" t="str">
        <f aca="false">Report!X1322</f>
        <v>NF 11430-1 KARU MILKA</v>
      </c>
    </row>
    <row r="998" customFormat="false" ht="12.75" hidden="false" customHeight="true" outlineLevel="0" collapsed="false">
      <c r="A998" s="15" t="n">
        <f aca="false">Report!C1326</f>
        <v>46223</v>
      </c>
      <c r="B998" s="1" t="str">
        <f aca="false">Report!E1326</f>
        <v>GELO DANGELO FABRICACAO DE GELO LTDA</v>
      </c>
      <c r="C998" s="17" t="n">
        <f aca="false">Report!U1326</f>
        <v>405.5</v>
      </c>
      <c r="D998" s="1" t="str">
        <f aca="false">Report!X1326</f>
        <v>NF 381 - DEBORA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RV TECNOLOGIA E SISTEMAS S.A</v>
      </c>
      <c r="C999" s="17" t="n">
        <f aca="false">Report!U1327</f>
        <v>105.45</v>
      </c>
      <c r="D999" s="1" t="str">
        <f aca="false">Report!X1327</f>
        <v>RV RECARGA-ANDREZA</v>
      </c>
    </row>
    <row r="1000" customFormat="false" ht="12.75" hidden="false" customHeight="true" outlineLevel="0" collapsed="false">
      <c r="A1000" s="15" t="n">
        <f aca="false">Report!C1333</f>
        <v>46223</v>
      </c>
      <c r="B1000" s="1" t="str">
        <f aca="false">Report!E1333</f>
        <v>A M A DE LIMA INDUSTRIA E COMERCIO DE PRODUTOS ALIMENTICIOS LTDA</v>
      </c>
      <c r="C1000" s="17" t="n">
        <f aca="false">Report!U1333</f>
        <v>302.5</v>
      </c>
      <c r="D1000" s="1" t="str">
        <f aca="false">Report!X1333</f>
        <v>NF 1140 - DEBORA</v>
      </c>
    </row>
    <row r="1001" customFormat="false" ht="12.75" hidden="false" customHeight="true" outlineLevel="0" collapsed="false">
      <c r="A1001" s="15" t="n">
        <f aca="false">Report!C1334</f>
        <v>46224</v>
      </c>
      <c r="B1001" s="1" t="str">
        <f aca="false">Report!E1334</f>
        <v>SMV COMERCIO DE PRODUTOS ALIMENTICIOS LT</v>
      </c>
      <c r="C1001" s="17" t="n">
        <f aca="false">Report!U1334</f>
        <v>525.06</v>
      </c>
      <c r="D1001" s="1" t="str">
        <f aca="false">Report!X1334</f>
        <v>6860-2/2  NF6597 - MILKA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MARTINS COM SERV DISTR SA</v>
      </c>
      <c r="C1002" s="17" t="n">
        <f aca="false">Report!U1335</f>
        <v>891.38</v>
      </c>
      <c r="D1002" s="1" t="str">
        <f aca="false">Report!X1335</f>
        <v>NF 1775151 / NF 1775152 - MILKA</v>
      </c>
    </row>
    <row r="1003" customFormat="false" ht="12.75" hidden="false" customHeight="true" outlineLevel="0" collapsed="false">
      <c r="A1003" s="15" t="n">
        <f aca="false">Report!C1338</f>
        <v>46224</v>
      </c>
      <c r="B1003" s="1" t="str">
        <f aca="false">Report!E1338</f>
        <v>NATUREZA COMERCIO DE DESCARTAVEIS LTDA</v>
      </c>
      <c r="C1003" s="17" t="n">
        <f aca="false">Report!U1338</f>
        <v>346.8</v>
      </c>
      <c r="D1003" s="1" t="str">
        <f aca="false">Report!X1338</f>
        <v>NF 28355 - MILKA</v>
      </c>
    </row>
    <row r="1004" customFormat="false" ht="12.75" hidden="false" customHeight="true" outlineLevel="0" collapsed="false">
      <c r="A1004" s="15" t="n">
        <f aca="false">Report!C1340</f>
        <v>46224</v>
      </c>
      <c r="B1004" s="1" t="str">
        <f aca="false">Report!E1340</f>
        <v>OESA COMERCIO E REPRESENTACOES S/A</v>
      </c>
      <c r="C1004" s="17" t="n">
        <f aca="false">Report!U1340</f>
        <v>1120.6</v>
      </c>
      <c r="D1004" s="1" t="str">
        <f aca="false">Report!X1340</f>
        <v>NF 423615 -2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NESTLÉ BRASIL LTDA.</v>
      </c>
      <c r="C1005" s="17" t="n">
        <f aca="false">Report!U1341</f>
        <v>1733.25</v>
      </c>
      <c r="D1005" s="1" t="str">
        <f aca="false">Report!X1341</f>
        <v>NF 1423352 -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MARE DISTRIBUIDORA DE BEBIDAS E DE PRODUTOS ALIMENTICIOS LTDA</v>
      </c>
      <c r="C1006" s="17" t="n">
        <f aca="false">Report!U1342</f>
        <v>3494.6</v>
      </c>
      <c r="D1006" s="1" t="str">
        <f aca="false">Report!X1342</f>
        <v>NF 1385956 MAGISTRAL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MARTINS COM SERV DISTR SA</v>
      </c>
      <c r="C1007" s="17" t="n">
        <f aca="false">Report!U1343</f>
        <v>3184.13</v>
      </c>
      <c r="D1007" s="1" t="str">
        <f aca="false">Report!X1343</f>
        <v>18259029 /NF1778370 NF1778371 - 01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NSB COMERCIO ATACADISTA E VAREJISTA DE P</v>
      </c>
      <c r="C1008" s="17" t="n">
        <f aca="false">Report!U1344</f>
        <v>287.8</v>
      </c>
      <c r="D1008" s="1" t="str">
        <f aca="false">Report!X1344</f>
        <v>192333642  NF7876 -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DA FRUTA DISTRIBUIDORA LTDA</v>
      </c>
      <c r="C1009" s="17" t="n">
        <f aca="false">Report!U1345</f>
        <v>799.73</v>
      </c>
      <c r="D1009" s="1" t="str">
        <f aca="false">Report!X1345</f>
        <v>NF 196429 -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BROTHERS  INDUSTRIA DE ALIMENTOS LTDA</v>
      </c>
      <c r="C1010" s="17" t="n">
        <f aca="false">Report!U1346</f>
        <v>869.87</v>
      </c>
      <c r="D1010" s="1" t="str">
        <f aca="false">Report!X1346</f>
        <v>NF1031671 -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RENATO DE O AZEVEDO E CIA LTDA - EPP</v>
      </c>
      <c r="C1011" s="17" t="n">
        <f aca="false">Report!U1347</f>
        <v>2320</v>
      </c>
      <c r="D1011" s="1" t="str">
        <f aca="false">Report!X1347</f>
        <v>FEIRA SR RENATO - DEBORA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ELIAS MARTINS DA SILVA</v>
      </c>
      <c r="C1012" s="17" t="n">
        <f aca="false">Report!U1348</f>
        <v>1592.9</v>
      </c>
      <c r="D1012" s="1" t="str">
        <f aca="false">Report!X1348</f>
        <v>NF 831704 SUINORTE - MILKA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VITAPAN COMERCIO VAREJISTA DE PRODUTOS ALIMENTICIOS LTDA</v>
      </c>
      <c r="C1013" s="17" t="n">
        <f aca="false">Report!U1349</f>
        <v>756</v>
      </c>
      <c r="D1013" s="1" t="str">
        <f aca="false">Report!X1349</f>
        <v>NF 10312 -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PANIFICADORA E CONFEITARIA REAL MADRI LTDA</v>
      </c>
      <c r="C1014" s="17" t="n">
        <f aca="false">Report!U1350</f>
        <v>297.13</v>
      </c>
      <c r="D1014" s="1" t="str">
        <f aca="false">Report!X1350</f>
        <v>NF 718 -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7" t="n">
        <f aca="false">Report!U1351</f>
        <v>700</v>
      </c>
      <c r="D1015" s="1" t="str">
        <f aca="false">Report!X1351</f>
        <v>NF 720 -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ADRIANO FEITOSA OLIVEIRA LTDA</v>
      </c>
      <c r="C1016" s="17" t="n">
        <f aca="false">Report!U1352</f>
        <v>1850</v>
      </c>
      <c r="D1016" s="1" t="str">
        <f aca="false">Report!X1352</f>
        <v>NF 336 -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ADICSO FABIAN GONZALEZ MONTILLA 70302186</v>
      </c>
      <c r="C1017" s="17" t="n">
        <f aca="false">Report!U1353</f>
        <v>960</v>
      </c>
      <c r="D1017" s="1" t="str">
        <f aca="false">Report!X1353</f>
        <v>NF534 BLOOM - MILKA</v>
      </c>
    </row>
    <row r="1018" customFormat="false" ht="12.75" hidden="false" customHeight="true" outlineLevel="0" collapsed="false">
      <c r="A1018" s="15" t="n">
        <f aca="false">Report!C1356</f>
        <v>46224</v>
      </c>
      <c r="B1018" s="1" t="str">
        <f aca="false">Report!E1356</f>
        <v>RENATO DE O AZEVEDO E CIA LTDA - EPP</v>
      </c>
      <c r="C1018" s="17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5" t="n">
        <f aca="false">Report!C1359</f>
        <v>46224</v>
      </c>
      <c r="B1019" s="1" t="str">
        <f aca="false">Report!E1359</f>
        <v>H L M PADARIA E CONFEITARIA LTDA</v>
      </c>
      <c r="C1019" s="17" t="n">
        <f aca="false">Report!U1359</f>
        <v>420</v>
      </c>
      <c r="D1019" s="1" t="str">
        <f aca="false">Report!X1359</f>
        <v>NF 66 - DEBORA</v>
      </c>
    </row>
    <row r="1020" customFormat="false" ht="12.75" hidden="false" customHeight="true" outlineLevel="0" collapsed="false">
      <c r="A1020" s="15" t="n">
        <f aca="false">Report!C1360</f>
        <v>46225</v>
      </c>
      <c r="B1020" s="1" t="str">
        <f aca="false">Report!E1360</f>
        <v>OPPORTUNITY ALIMENTOS PARA ANIMAIS LTDA</v>
      </c>
      <c r="C1020" s="17" t="n">
        <f aca="false">Report!U1360</f>
        <v>1975</v>
      </c>
      <c r="D1020" s="1" t="str">
        <f aca="false">Report!X1360</f>
        <v>NF 34212-2 MILKA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DISTRIBUIDORA LOPES LTDA</v>
      </c>
      <c r="C1021" s="17" t="n">
        <f aca="false">Report!U1361</f>
        <v>1065.06</v>
      </c>
      <c r="D1021" s="1" t="str">
        <f aca="false">Report!X1361</f>
        <v>NF 1679265-2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ADRIANA DISTRIBUIDORA DE PRODUTOS ALIMEN</v>
      </c>
      <c r="C1022" s="17" t="n">
        <f aca="false">Report!U1362</f>
        <v>1028.46</v>
      </c>
      <c r="D1022" s="1" t="str">
        <f aca="false">Report!X1362</f>
        <v>NF 880066-1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DISTRIBUIDORA LOPES LTDA</v>
      </c>
      <c r="C1023" s="17" t="n">
        <f aca="false">Report!U1363</f>
        <v>1271.28</v>
      </c>
      <c r="D1023" s="1" t="str">
        <f aca="false">Report!X1363</f>
        <v>NF 1679646-2 MILKA 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TAPAJOS COM DE PERFUMARIA COSMETICOS E G</v>
      </c>
      <c r="C1024" s="17" t="n">
        <f aca="false">Report!U1364</f>
        <v>1499.41</v>
      </c>
      <c r="D1024" s="1" t="str">
        <f aca="false">Report!X1364</f>
        <v>NF 576439-2 MILKA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ATACADAO S.A.</v>
      </c>
      <c r="C1025" s="17" t="n">
        <f aca="false">Report!U1365</f>
        <v>1367.5</v>
      </c>
      <c r="D1025" s="1" t="str">
        <f aca="false">Report!X1365</f>
        <v>NF 1895763 -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7" t="n">
        <f aca="false">Report!U1366</f>
        <v>495.45</v>
      </c>
      <c r="D1026" s="1" t="str">
        <f aca="false">Report!X1366</f>
        <v>NF 1895810 -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BRASIL NORTE BEBIDAS S/A</v>
      </c>
      <c r="C1027" s="17" t="n">
        <f aca="false">Report!U1367</f>
        <v>257.85</v>
      </c>
      <c r="D1027" s="1" t="str">
        <f aca="false">Report!X1367</f>
        <v>NF 1174709 -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RISADINHA LTDA</v>
      </c>
      <c r="C1028" s="17" t="n">
        <f aca="false">Report!U1368</f>
        <v>660</v>
      </c>
      <c r="D1028" s="1" t="str">
        <f aca="false">Report!X1368</f>
        <v>NF 660505-01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DISTRIBUIDORA LOPES LTDA</v>
      </c>
      <c r="C1029" s="17" t="n">
        <f aca="false">Report!U1369</f>
        <v>1862.4</v>
      </c>
      <c r="D1029" s="1" t="str">
        <f aca="false">Report!X1369</f>
        <v>NF 1685233-1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L S M COMERCIO DE ALIMENTOS E NAVEGACAO</v>
      </c>
      <c r="C1030" s="17" t="n">
        <f aca="false">Report!U1370</f>
        <v>1613.93</v>
      </c>
      <c r="D1030" s="1" t="str">
        <f aca="false">Report!X1370</f>
        <v>NF 306058-2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AMAZON MILK IND. E COMERCIO LTDA</v>
      </c>
      <c r="C1031" s="17" t="n">
        <f aca="false">Report!U1371</f>
        <v>1438.2</v>
      </c>
      <c r="D1031" s="1" t="str">
        <f aca="false">Report!X1371</f>
        <v>NF 203761 -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BRF S A</v>
      </c>
      <c r="C1032" s="17" t="n">
        <f aca="false">Report!U1372</f>
        <v>2368.51</v>
      </c>
      <c r="D1032" s="1" t="str">
        <f aca="false">Report!X1372</f>
        <v>NF 1603506-02/02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BRASIL NORTE BEBIDAS S/A</v>
      </c>
      <c r="C1033" s="17" t="n">
        <f aca="false">Report!U1373</f>
        <v>897.72</v>
      </c>
      <c r="D1033" s="1" t="str">
        <f aca="false">Report!X1373</f>
        <v>NF 1191435 -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7" t="n">
        <f aca="false">Report!U1374</f>
        <v>1827.23</v>
      </c>
      <c r="D1034" s="1" t="str">
        <f aca="false">Report!X1374</f>
        <v>NF 1922435 -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7" t="n">
        <f aca="false">Report!U1375</f>
        <v>365.08</v>
      </c>
      <c r="D1035" s="1" t="str">
        <f aca="false">Report!X1375</f>
        <v>NF 1922459 -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NESTLÉ BRASIL LTDA.</v>
      </c>
      <c r="C1036" s="17" t="n">
        <f aca="false">Report!U1376</f>
        <v>1051.26</v>
      </c>
      <c r="D1036" s="1" t="str">
        <f aca="false">Report!X1376</f>
        <v>NF1425692-02/03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BRF S A</v>
      </c>
      <c r="C1037" s="17" t="n">
        <f aca="false">Report!U1377</f>
        <v>3073.81</v>
      </c>
      <c r="D1037" s="1" t="str">
        <f aca="false">Report!X1377</f>
        <v>NF1605894-01/02 -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L S M COMERCIO DE ALIMENTOS E NAVEGACAO</v>
      </c>
      <c r="C1038" s="17" t="n">
        <f aca="false">Report!U1378</f>
        <v>732.47</v>
      </c>
      <c r="D1038" s="1" t="str">
        <f aca="false">Report!X1378</f>
        <v>NF 307805-1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JAB COMERCIO DE PRODUTOS ALIMENTICIOS LT</v>
      </c>
      <c r="C1039" s="17" t="n">
        <f aca="false">Report!U1379</f>
        <v>315</v>
      </c>
      <c r="D1039" s="1" t="str">
        <f aca="false">Report!X1379</f>
        <v>NF 10312 SANTOPAO -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LELE FABRICACAO DE MASSAS LTDA</v>
      </c>
      <c r="C1040" s="17" t="n">
        <f aca="false">Report!U1380</f>
        <v>450</v>
      </c>
      <c r="D1040" s="1" t="str">
        <f aca="false">Report!X1380</f>
        <v>NF 16646 -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PANIFICADORA E CONFEITARIA REAL MADRI LTDA</v>
      </c>
      <c r="C1041" s="17" t="n">
        <f aca="false">Report!U1381</f>
        <v>602.15</v>
      </c>
      <c r="D1041" s="1" t="str">
        <f aca="false">Report!X1381</f>
        <v>NF 721 -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RENATO DE O AZEVEDO E CIA LTDA - EPP</v>
      </c>
      <c r="C1042" s="17" t="n">
        <f aca="false">Report!U1382</f>
        <v>1529</v>
      </c>
      <c r="D1042" s="1" t="str">
        <f aca="false">Report!X1382</f>
        <v>FEIRA CARLOS - DEBORA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COMERCIO E TRANSPORTE BRANDAO LTDA</v>
      </c>
      <c r="C1043" s="17" t="n">
        <f aca="false">Report!U1383</f>
        <v>850</v>
      </c>
      <c r="D1043" s="1" t="str">
        <f aca="false">Report!X1383</f>
        <v>NF 14911 -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RENATO DE O AZEVEDO E CIA LTDA - EPP</v>
      </c>
      <c r="C1044" s="17" t="n">
        <f aca="false">Report!U1384</f>
        <v>70</v>
      </c>
      <c r="D1044" s="1" t="str">
        <f aca="false">Report!X1384</f>
        <v>FEIRA CARLOS - CAMARAO COM CASCA - DEBORA</v>
      </c>
    </row>
    <row r="1045" customFormat="false" ht="12.75" hidden="false" customHeight="true" outlineLevel="0" collapsed="false">
      <c r="A1045" s="15" t="n">
        <f aca="false">Report!C1387</f>
        <v>46226</v>
      </c>
      <c r="B1045" s="1" t="str">
        <f aca="false">Report!E1387</f>
        <v>SB COMERCIO LTDA</v>
      </c>
      <c r="C1045" s="17" t="n">
        <f aca="false">Report!U1387</f>
        <v>3937.78</v>
      </c>
      <c r="D1045" s="1" t="str">
        <f aca="false">Report!X1387</f>
        <v>NF 1957890-4 MILKA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DISTRIBUIDORA LOPES LTDA</v>
      </c>
      <c r="C1046" s="17" t="n">
        <f aca="false">Report!U1388</f>
        <v>1310.04</v>
      </c>
      <c r="D1046" s="1" t="str">
        <f aca="false">Report!X1388</f>
        <v>NF 1680082-2 MILKA 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FENNIX BRASIL DISTRIBUIDORA DE PRODUTOS</v>
      </c>
      <c r="C1047" s="17" t="n">
        <f aca="false">Report!U1389</f>
        <v>2048.68</v>
      </c>
      <c r="D1047" s="1" t="str">
        <f aca="false">Report!X1389</f>
        <v>NF 311084 -3 MILKA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PIARARA COMERCIO, IMPORTACAO E EXPORTACAO LTDA</v>
      </c>
      <c r="C1048" s="17" t="n">
        <f aca="false">Report!U1390</f>
        <v>1024.54</v>
      </c>
      <c r="D1048" s="1" t="str">
        <f aca="false">Report!X1390</f>
        <v>NF 193797 -3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OCIDENTAL COMERCIO DE FRIOS LTDA</v>
      </c>
      <c r="C1049" s="17" t="n">
        <f aca="false">Report!U1391</f>
        <v>983.78</v>
      </c>
      <c r="D1049" s="1" t="str">
        <f aca="false">Report!X1391</f>
        <v>NF 1240896-2/2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7" t="n">
        <f aca="false">Report!U1392</f>
        <v>972.3</v>
      </c>
      <c r="D1050" s="1" t="str">
        <f aca="false">Report!X1392</f>
        <v>NF 1243403-1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FENNIX BRASIL DISTRIBUIDORA DE PRODUTOS</v>
      </c>
      <c r="C1051" s="17" t="n">
        <f aca="false">Report!U1393</f>
        <v>917.86</v>
      </c>
      <c r="D1051" s="1" t="str">
        <f aca="false">Report!X1393</f>
        <v>NF396010 -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AMAZONIA INDUSTRIA E COMERCIO DE POLPAS</v>
      </c>
      <c r="C1052" s="17" t="n">
        <f aca="false">Report!U1394</f>
        <v>478</v>
      </c>
      <c r="D1052" s="1" t="str">
        <f aca="false">Report!X1394</f>
        <v>NF 271007 AMAZONIA POLPAS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FENNIX BRASIL DISTRIBUIDORA DE PRODUTOS</v>
      </c>
      <c r="C1053" s="17" t="n">
        <f aca="false">Report!U1395</f>
        <v>1643.76</v>
      </c>
      <c r="D1053" s="1" t="str">
        <f aca="false">Report!X1395</f>
        <v>NF 312590-1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SOUZA CRUZ LTDA.</v>
      </c>
      <c r="C1054" s="17" t="n">
        <f aca="false">Report!U1396</f>
        <v>5877.9</v>
      </c>
      <c r="D1054" s="1" t="str">
        <f aca="false">Report!X1396</f>
        <v>NF 566298 -02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NT INDUSTRIA E COMERCIO DE PANIFICACAO L</v>
      </c>
      <c r="C1055" s="17" t="n">
        <f aca="false">Report!U1397</f>
        <v>4978.85</v>
      </c>
      <c r="D1055" s="1" t="str">
        <f aca="false">Report!X1397</f>
        <v>NF40749 -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C. R. PARENTE ABREU</v>
      </c>
      <c r="C1056" s="17" t="n">
        <f aca="false">Report!U1398</f>
        <v>417.42</v>
      </c>
      <c r="D1056" s="1" t="str">
        <f aca="false">Report!X1398</f>
        <v>NF 11430-2 KARU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REAL BEBIDAS DA AMAZONIA LTDA</v>
      </c>
      <c r="C1057" s="17" t="n">
        <f aca="false">Report!U1399</f>
        <v>704</v>
      </c>
      <c r="D1057" s="1" t="str">
        <f aca="false">Report!X1399</f>
        <v>NF 604178 -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MAXFRI DISTRIUIDORA LTDA</v>
      </c>
      <c r="C1058" s="17" t="n">
        <f aca="false">Report!U1400</f>
        <v>6254.1</v>
      </c>
      <c r="D1058" s="1" t="str">
        <f aca="false">Report!X1400</f>
        <v>NF14727 -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C. R. PARENTE ABREU</v>
      </c>
      <c r="C1059" s="17" t="n">
        <f aca="false">Report!U1401</f>
        <v>624.28</v>
      </c>
      <c r="D1059" s="1" t="str">
        <f aca="false">Report!X1401</f>
        <v>NF 11447 -1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PANIFICADORA E CONFEITARIA REAL MADRI LTDA</v>
      </c>
      <c r="C1060" s="17" t="n">
        <f aca="false">Report!U1402</f>
        <v>149.85</v>
      </c>
      <c r="D1060" s="1" t="str">
        <f aca="false">Report!X1402</f>
        <v>NF 723 -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VITAPAN COMERCIO VAREJISTA DE PRODUTOS ALIMENTICIOS LTDA</v>
      </c>
      <c r="C1061" s="17" t="n">
        <f aca="false">Report!U1403</f>
        <v>972</v>
      </c>
      <c r="D1061" s="1" t="str">
        <f aca="false">Report!X1403</f>
        <v>NF 10334 -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LIMA E BARANDA COMERCIO DE PRODUTOS REGI</v>
      </c>
      <c r="C1062" s="17" t="n">
        <f aca="false">Report!U1404</f>
        <v>233.5</v>
      </c>
      <c r="D1062" s="1" t="str">
        <f aca="false">Report!X1404</f>
        <v>NF 31493 -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ADICSO FABIAN GONZALEZ MONTILLA 70302186</v>
      </c>
      <c r="C1063" s="17" t="n">
        <f aca="false">Report!U1405</f>
        <v>480</v>
      </c>
      <c r="D1063" s="1" t="str">
        <f aca="false">Report!X1405</f>
        <v>NF 539 BLOOM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NESTLÉ BRASIL LTDA.</v>
      </c>
      <c r="C1064" s="17" t="n">
        <f aca="false">Report!U1406</f>
        <v>986.86</v>
      </c>
      <c r="D1064" s="1" t="str">
        <f aca="false">Report!X1406</f>
        <v>NF 1428642-01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PANIFICADORA E CONFEITARIA REAL MADRI LTDA</v>
      </c>
      <c r="C1065" s="17" t="n">
        <f aca="false">Report!U1407</f>
        <v>501.9</v>
      </c>
      <c r="D1065" s="1" t="str">
        <f aca="false">Report!X1407</f>
        <v>NF 722 -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RV TECNOLOGIA E SISTEMAS S.A</v>
      </c>
      <c r="C1066" s="17" t="n">
        <f aca="false">Report!U1408</f>
        <v>55.95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7" t="n">
        <f aca="false">Report!U1409</f>
        <v>421.5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H L M PADARIA E CONFEITARIA LTDA</v>
      </c>
      <c r="C1068" s="17" t="n">
        <f aca="false">Report!U1410</f>
        <v>420</v>
      </c>
      <c r="D1068" s="1" t="str">
        <f aca="false">Report!X1410</f>
        <v>NF 71 - DEBORA</v>
      </c>
    </row>
    <row r="1069" customFormat="false" ht="12.75" hidden="false" customHeight="true" outlineLevel="0" collapsed="false">
      <c r="A1069" s="15" t="n">
        <f aca="false">Report!C1411</f>
        <v>46227</v>
      </c>
      <c r="B1069" s="1" t="str">
        <f aca="false">Report!E1411</f>
        <v>PRIME PET DISTRIBUIDORA LTDA</v>
      </c>
      <c r="C1069" s="17" t="n">
        <f aca="false">Report!U1411</f>
        <v>1060.88</v>
      </c>
      <c r="D1069" s="1" t="str">
        <f aca="false">Report!X1411</f>
        <v>NF 10589-05/05 MILKA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EDMARA COMERCIO DE HIGIENE PESSOAL LTDA</v>
      </c>
      <c r="C1070" s="17" t="n">
        <f aca="false">Report!U1412</f>
        <v>526.88</v>
      </c>
      <c r="D1070" s="1" t="str">
        <f aca="false">Report!X1412</f>
        <v>5120-C/C  NF8208 - MILKA</v>
      </c>
    </row>
    <row r="1071" customFormat="false" ht="12.75" hidden="false" customHeight="true" outlineLevel="0" collapsed="false">
      <c r="A1071" s="15" t="n">
        <f aca="false">Report!C1414</f>
        <v>46227</v>
      </c>
      <c r="B1071" s="1" t="str">
        <f aca="false">Report!E1414</f>
        <v>OCIDENTAL COMERCIO DE FRIOS LTDA</v>
      </c>
      <c r="C1071" s="17" t="n">
        <f aca="false">Report!U1414</f>
        <v>537.72</v>
      </c>
      <c r="D1071" s="1" t="str">
        <f aca="false">Report!X1414</f>
        <v>NF 1241434-3/3 -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J W N DOS SANTOS</v>
      </c>
      <c r="C1072" s="17" t="n">
        <f aca="false">Report!U1415</f>
        <v>560</v>
      </c>
      <c r="D1072" s="1" t="str">
        <f aca="false">Report!X1415</f>
        <v>NF 377 - DEBORA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G COMERCIO DE PRODUTOS ALIMENTICIOS LTDA</v>
      </c>
      <c r="C1073" s="17" t="n">
        <f aca="false">Report!U1416</f>
        <v>2340.64</v>
      </c>
      <c r="D1073" s="1" t="str">
        <f aca="false">Report!X1416</f>
        <v>454446-C/C  NF390550 - MILKA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BRAGA TABACARIA EIRELI ME</v>
      </c>
      <c r="C1074" s="17" t="n">
        <f aca="false">Report!U1417</f>
        <v>595</v>
      </c>
      <c r="D1074" s="1" t="str">
        <f aca="false">Report!X1417</f>
        <v>NF 19022-03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NESTLÉ BRASIL LTDA.</v>
      </c>
      <c r="C1075" s="17" t="n">
        <f aca="false">Report!U1418</f>
        <v>868.87</v>
      </c>
      <c r="D1075" s="1" t="str">
        <f aca="false">Report!X1418</f>
        <v>NF 1424401-03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AMAZONIA COMERCIO DE MASSAS LTDA</v>
      </c>
      <c r="C1076" s="17" t="n">
        <f aca="false">Report!U1419</f>
        <v>550</v>
      </c>
      <c r="D1076" s="1" t="str">
        <f aca="false">Report!X1419</f>
        <v>NF 3299 IMPERIO DO CANUDINHO -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FORTVET DISTRIBUIDORA LTDA</v>
      </c>
      <c r="C1077" s="17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DISTRIBUIDORA FARIAS LTDA.</v>
      </c>
      <c r="C1078" s="17" t="n">
        <f aca="false">Report!U1421</f>
        <v>871.13</v>
      </c>
      <c r="D1078" s="1" t="str">
        <f aca="false">Report!X1421</f>
        <v>804856-A/C  NF681131 -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SOUZA CRUZ LTDA.</v>
      </c>
      <c r="C1079" s="17" t="n">
        <f aca="false">Report!U1422</f>
        <v>6643.67</v>
      </c>
      <c r="D1079" s="1" t="str">
        <f aca="false">Report!X1422</f>
        <v>NF 566688 -02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H L M PADARIA E CONFEITARIA LTDA</v>
      </c>
      <c r="C1080" s="17" t="n">
        <f aca="false">Report!U1423</f>
        <v>300</v>
      </c>
      <c r="D1080" s="1" t="str">
        <f aca="false">Report!X1423</f>
        <v>NF 75 - DEBORA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J. S. MOREIRA ALVES LTDA</v>
      </c>
      <c r="C1081" s="17" t="n">
        <f aca="false">Report!U1424</f>
        <v>493</v>
      </c>
      <c r="D1081" s="1" t="str">
        <f aca="false">Report!X1424</f>
        <v>NF2634 MESA FARTA - MILKA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 G COMERCIO DE PRODUTOS ALIMENTICIOS LTDA</v>
      </c>
      <c r="C1082" s="17" t="n">
        <f aca="false">Report!U1425</f>
        <v>785.66</v>
      </c>
      <c r="D1082" s="1" t="str">
        <f aca="false">Report!X1425</f>
        <v>455810-B/C  NF391785 MASTERFRIGO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EDMARA COMERCIO DE HIGIENE PESSOAL LTDA</v>
      </c>
      <c r="C1083" s="17" t="n">
        <f aca="false">Report!U1426</f>
        <v>550</v>
      </c>
      <c r="D1083" s="1" t="str">
        <f aca="false">Report!X1426</f>
        <v>NF8365 USO E CONSUMO/DESPESA LOJA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COMERCIO DE FRIOS MANAUS LTDA</v>
      </c>
      <c r="C1084" s="17" t="n">
        <f aca="false">Report!U1427</f>
        <v>5478.8</v>
      </c>
      <c r="D1084" s="1" t="str">
        <f aca="false">Report!X1427</f>
        <v>NF173143 -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VIA CERTA INDUSTRIA E COMERCIO DE SANEANTES LTDA</v>
      </c>
      <c r="C1085" s="17" t="n">
        <f aca="false">Report!U1428</f>
        <v>304.8</v>
      </c>
      <c r="D1085" s="1" t="str">
        <f aca="false">Report!X1428</f>
        <v>NF 42934 -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SAO JOSE COMERCIO DE LATICINIOS E FRIOS</v>
      </c>
      <c r="C1086" s="17" t="n">
        <f aca="false">Report!U1429</f>
        <v>2108.5</v>
      </c>
      <c r="D1086" s="1" t="str">
        <f aca="false">Report!X1429</f>
        <v>NF3634 SABORE FATIADO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NOVA FRIOS COMERCIO ATACADISTA DE LATICINIOS LTDA</v>
      </c>
      <c r="C1087" s="17" t="n">
        <f aca="false">Report!U1430</f>
        <v>422</v>
      </c>
      <c r="D1087" s="1" t="str">
        <f aca="false">Report!X1430</f>
        <v>NF 4110 BODEGA DO PAO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BROTHERS  INDUSTRIA DE ALIMENTOS LTDA</v>
      </c>
      <c r="C1088" s="17" t="n">
        <f aca="false">Report!U1431</f>
        <v>653.6</v>
      </c>
      <c r="D1088" s="1" t="str">
        <f aca="false">Report!X1431</f>
        <v>NF 1032212 -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NORTELAC DISTRIBUIDORA DE FRIOS LTDA</v>
      </c>
      <c r="C1089" s="17" t="n">
        <f aca="false">Report!U1432</f>
        <v>1840</v>
      </c>
      <c r="D1089" s="1" t="str">
        <f aca="false">Report!X1432</f>
        <v>NF 43986 -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REAL BEBIDAS DA AMAZONIA LTDA</v>
      </c>
      <c r="C1090" s="17" t="n">
        <f aca="false">Report!U1433</f>
        <v>210</v>
      </c>
      <c r="D1090" s="1" t="str">
        <f aca="false">Report!X1433</f>
        <v>NF 605021 -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PRIMICIA DISTRIBUIDORA DE FRIOS LTDA</v>
      </c>
      <c r="C1091" s="17" t="n">
        <f aca="false">Report!U1434</f>
        <v>1393.5</v>
      </c>
      <c r="D1091" s="1" t="str">
        <f aca="false">Report!X1434</f>
        <v>NF 3067 -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PANIFICADORA E CONFEITARIA REAL MADRI LTDA</v>
      </c>
      <c r="C1092" s="17" t="n">
        <f aca="false">Report!U1435</f>
        <v>1120</v>
      </c>
      <c r="D1092" s="1" t="str">
        <f aca="false">Report!X1435</f>
        <v>NF 725 -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L. J. DA SILVA LTDA</v>
      </c>
      <c r="C1093" s="17" t="n">
        <f aca="false">Report!U1436</f>
        <v>2838.97</v>
      </c>
      <c r="D1093" s="1" t="str">
        <f aca="false">Report!X1436</f>
        <v>NF 34608-01 C/ ACRESCIMO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RENATO DE O AZEVEDO E CIA LTDA - EPP</v>
      </c>
      <c r="C1094" s="17" t="n">
        <f aca="false">Report!U1437</f>
        <v>2970</v>
      </c>
      <c r="D1094" s="1" t="str">
        <f aca="false">Report!X1437</f>
        <v>FEIRA SR RENATO - DEBORA</v>
      </c>
    </row>
    <row r="1095" customFormat="false" ht="12.75" hidden="false" customHeight="true" outlineLevel="0" collapsed="false">
      <c r="A1095" s="15" t="n">
        <f aca="false">Report!C1440</f>
        <v>46228</v>
      </c>
      <c r="B1095" s="1" t="str">
        <f aca="false">Report!E1440</f>
        <v>MELISSA COMERCIO E DISTRIBUIDORA DE GAS</v>
      </c>
      <c r="C1095" s="17" t="n">
        <f aca="false">Report!U1440</f>
        <v>180</v>
      </c>
      <c r="D1095" s="1" t="str">
        <f aca="false">Report!X1440</f>
        <v>NF 1036 - DEBORA</v>
      </c>
    </row>
    <row r="1096" customFormat="false" ht="12.75" hidden="false" customHeight="true" outlineLevel="0" collapsed="false">
      <c r="A1096" s="15" t="n">
        <f aca="false">Report!C1442</f>
        <v>46228</v>
      </c>
      <c r="B1096" s="1" t="str">
        <f aca="false">Report!E1442</f>
        <v>A C DUARTE DE CASTRO EPP.</v>
      </c>
      <c r="C1096" s="17" t="n">
        <f aca="false">Report!U1442</f>
        <v>666.65</v>
      </c>
      <c r="D1096" s="1" t="str">
        <f aca="false">Report!X1442</f>
        <v>NF 6277 / PARC 06/06 - MILKA</v>
      </c>
    </row>
    <row r="1097" customFormat="false" ht="12.75" hidden="false" customHeight="true" outlineLevel="0" collapsed="false">
      <c r="A1097" s="15" t="n">
        <f aca="false">Report!C1445</f>
        <v>46228</v>
      </c>
      <c r="B1097" s="1" t="str">
        <f aca="false">Report!E1445</f>
        <v>M.R.G COMERCIO DE MAQUINAS EIRELI.</v>
      </c>
      <c r="C1097" s="17" t="n">
        <f aca="false">Report!U1445</f>
        <v>233.33</v>
      </c>
      <c r="D1097" s="1" t="str">
        <f aca="false">Report!X1445</f>
        <v>NF 14298 / 4PARC / REFORMA PADARIA - MILKA</v>
      </c>
    </row>
    <row r="1098" customFormat="false" ht="12.75" hidden="false" customHeight="true" outlineLevel="0" collapsed="false">
      <c r="A1098" s="15" t="n">
        <f aca="false">Report!C1448</f>
        <v>46228</v>
      </c>
      <c r="B1098" s="1" t="str">
        <f aca="false">Report!E1448</f>
        <v>A. CORREA JUNIOR</v>
      </c>
      <c r="C1098" s="17" t="n">
        <f aca="false">Report!U1448</f>
        <v>2564.18</v>
      </c>
      <c r="D1098" s="1" t="str">
        <f aca="false">Report!X1448</f>
        <v>MP JRACESSORIOS 01/3-ANDREZA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ORIENTE COM. ATACADISTA E REPRES. LTDA</v>
      </c>
      <c r="C1099" s="17" t="n">
        <f aca="false">Report!U1449</f>
        <v>689.5</v>
      </c>
      <c r="D1099" s="1" t="str">
        <f aca="false">Report!X1449</f>
        <v>2477/2  NF2053 - MILKA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PRIME PET DISTRIBUIDORA LTDA</v>
      </c>
      <c r="C1100" s="17" t="n">
        <f aca="false">Report!U1450</f>
        <v>1849.57</v>
      </c>
      <c r="D1100" s="1" t="str">
        <f aca="false">Report!X1450</f>
        <v>NF 11002-01/07 MILKA 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DISTRIBUIDORA LOPES LTDA</v>
      </c>
      <c r="C1101" s="17" t="n">
        <f aca="false">Report!U1451</f>
        <v>1731.24</v>
      </c>
      <c r="D1101" s="1" t="str">
        <f aca="false">Report!X1451</f>
        <v>NF 1686012 -1 MILKA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ALEXSANDRO BEZERRA DA SILVA</v>
      </c>
      <c r="C1102" s="17" t="n">
        <f aca="false">Report!U1452</f>
        <v>1646.64</v>
      </c>
      <c r="D1102" s="1" t="str">
        <f aca="false">Report!X1452</f>
        <v>192925188  NF271 COMERCIAL POTIGUAR -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BRASIL NORTE BEBIDAS S/A</v>
      </c>
      <c r="C1103" s="17" t="n">
        <f aca="false">Report!U1453</f>
        <v>5949.9</v>
      </c>
      <c r="D1103" s="1" t="str">
        <f aca="false">Report!X1453</f>
        <v>NF1929170 COCA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7" t="n">
        <f aca="false">Report!U1454</f>
        <v>1291.62</v>
      </c>
      <c r="D1104" s="1" t="str">
        <f aca="false">Report!X1454</f>
        <v>NF1198018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7" t="n">
        <f aca="false">Report!U1455</f>
        <v>224.97</v>
      </c>
      <c r="D1105" s="1" t="str">
        <f aca="false">Report!X1455</f>
        <v>NF1928560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DINÂMICA SOLUÇÕES EM SUPRIMENTOS E GESTÃ</v>
      </c>
      <c r="C1106" s="17" t="n">
        <f aca="false">Report!U1456</f>
        <v>607.5</v>
      </c>
      <c r="D1106" s="1" t="str">
        <f aca="false">Report!X1456</f>
        <v>NF 742-02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GELO DANGELO FABRICACAO DE GELO LTDA</v>
      </c>
      <c r="C1107" s="17" t="n">
        <f aca="false">Report!U1457</f>
        <v>518</v>
      </c>
      <c r="D1107" s="1" t="str">
        <f aca="false">Report!X1457</f>
        <v>NF 394 - DEBORA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COMERCIO DE FRIOS MANAUS LTDA</v>
      </c>
      <c r="C1108" s="17" t="n">
        <f aca="false">Report!U1458</f>
        <v>3528.5</v>
      </c>
      <c r="D1108" s="1" t="str">
        <f aca="false">Report!X1458</f>
        <v>NF173212 - MILKA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MAXFRI DISTRIUIDORA LTDA</v>
      </c>
      <c r="C1109" s="17" t="n">
        <f aca="false">Report!U1459</f>
        <v>8621</v>
      </c>
      <c r="D1109" s="1" t="str">
        <f aca="false">Report!X1459</f>
        <v>NF14750 -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JAB COMERCIO DE PRODUTOS ALIMENTICIOS LT</v>
      </c>
      <c r="C1110" s="17" t="n">
        <f aca="false">Report!U1460</f>
        <v>274</v>
      </c>
      <c r="D1110" s="1" t="str">
        <f aca="false">Report!X1460</f>
        <v>NF 3576 SANTO PAO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H L M PADARIA E CONFEITARIA LTDA</v>
      </c>
      <c r="C1111" s="17" t="n">
        <f aca="false">Report!U1461</f>
        <v>420</v>
      </c>
      <c r="D1111" s="1" t="str">
        <f aca="false">Report!X1461</f>
        <v>NF 80 - DEBORA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RENATO DE O AZEVEDO E CIA LTDA - EPP</v>
      </c>
      <c r="C1112" s="17" t="n">
        <f aca="false">Report!U1462</f>
        <v>2759</v>
      </c>
      <c r="D1112" s="1" t="str">
        <f aca="false">Report!X1462</f>
        <v>FEIRA CARLOS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COMERCIO E TRANSPORTE BRANDAO LTDA</v>
      </c>
      <c r="C1113" s="17" t="n">
        <f aca="false">Report!U1463</f>
        <v>490</v>
      </c>
      <c r="D1113" s="1" t="str">
        <f aca="false">Report!X1463</f>
        <v>NF 14945 -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RENATO DE O AZEVEDO E CIA LTDA - EPP</v>
      </c>
      <c r="C1114" s="17" t="n">
        <f aca="false">Report!U1464</f>
        <v>165</v>
      </c>
      <c r="D1114" s="1" t="str">
        <f aca="false">Report!X1464</f>
        <v>FEIRA CARLOS - CAMARAO COM E SEM CASCA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52.017.917 IRANCELIO LIRA DE CASTRO</v>
      </c>
      <c r="C1115" s="17" t="n">
        <f aca="false">Report!U1465</f>
        <v>309.99</v>
      </c>
      <c r="D1115" s="1" t="str">
        <f aca="false">Report!X1465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Report!C1469</f>
        <v>46229</v>
      </c>
      <c r="B1116" s="1" t="str">
        <f aca="false">Report!E1469</f>
        <v>PRIME PET DISTRIBUIDORA LTDA</v>
      </c>
      <c r="C1116" s="17" t="n">
        <f aca="false">Report!U1469</f>
        <v>1488.3</v>
      </c>
      <c r="D1116" s="1" t="str">
        <f aca="false">Report!X1469</f>
        <v>NF 10262 -07/09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FUNNY PET DISTRIBUIDORA DE ALIMENTOS PAR</v>
      </c>
      <c r="C1117" s="17" t="n">
        <f aca="false">Report!U1470</f>
        <v>1263.3</v>
      </c>
      <c r="D1117" s="1" t="str">
        <f aca="false">Report!X1470</f>
        <v>NF 20352-3 MILKA</v>
      </c>
    </row>
    <row r="1118" customFormat="false" ht="12.75" hidden="false" customHeight="true" outlineLevel="0" collapsed="false">
      <c r="A1118" s="15" t="n">
        <f aca="false">Report!C1472</f>
        <v>46229</v>
      </c>
      <c r="B1118" s="1" t="str">
        <f aca="false">Report!E1472</f>
        <v>E. SALES DO NASCIMENTO</v>
      </c>
      <c r="C1118" s="17" t="n">
        <f aca="false">Report!U1472</f>
        <v>410.7</v>
      </c>
      <c r="D1118" s="1" t="str">
        <f aca="false">Report!X1472</f>
        <v>NF 707 -02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BRF S A</v>
      </c>
      <c r="C1119" s="17" t="n">
        <f aca="false">Report!U1473</f>
        <v>650.23</v>
      </c>
      <c r="D1119" s="1" t="str">
        <f aca="false">Report!X1473</f>
        <v>NF 1604302-02/02 MILKA</v>
      </c>
    </row>
    <row r="1120" customFormat="false" ht="12.75" hidden="false" customHeight="true" outlineLevel="0" collapsed="false">
      <c r="A1120" s="15" t="n">
        <f aca="false">Report!C1477</f>
        <v>46230</v>
      </c>
      <c r="B1120" s="1" t="str">
        <f aca="false">Report!E1477</f>
        <v>OESA COMERCIO E REPRESENTACOES S/A</v>
      </c>
      <c r="C1120" s="17" t="n">
        <f aca="false">Report!U1477</f>
        <v>1351</v>
      </c>
      <c r="D1120" s="1" t="str">
        <f aca="false">Report!X1477</f>
        <v>NF 419583-3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MARTINS COM SERV DISTR SA</v>
      </c>
      <c r="C1121" s="17" t="n">
        <f aca="false">Report!U1478</f>
        <v>3224.65</v>
      </c>
      <c r="D1121" s="1" t="str">
        <f aca="false">Report!X1478</f>
        <v>NF 1773396/ NF 1773397 -02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ADRIANA DISTRIBUIDORA DE PRODUTOS ALIMEN</v>
      </c>
      <c r="C1122" s="17" t="n">
        <f aca="false">Report!U1479</f>
        <v>1326.93</v>
      </c>
      <c r="D1122" s="1" t="str">
        <f aca="false">Report!X1479</f>
        <v>NF 882141 -3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FORTVET DISTRIBUIDORA LTDA</v>
      </c>
      <c r="C1123" s="17" t="n">
        <f aca="false">Report!U1480</f>
        <v>663.82</v>
      </c>
      <c r="D1123" s="1" t="str">
        <f aca="false">Report!X1480</f>
        <v>NF 2524-3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DISTRIBUIDORA LOPES LTDA</v>
      </c>
      <c r="C1124" s="17" t="n">
        <f aca="false">Report!U1481</f>
        <v>2652.75</v>
      </c>
      <c r="D1124" s="1" t="str">
        <f aca="false">Report!X1481</f>
        <v>NF 1686926 -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7" t="n">
        <f aca="false">Report!U1482</f>
        <v>1039.08</v>
      </c>
      <c r="D1125" s="1" t="str">
        <f aca="false">Report!X1482</f>
        <v>NF 1690878-1 MILKA / DESCONTO NO BOLETO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FC COMERCIO VAREJISTA DE OUTROS PRODUTOS</v>
      </c>
      <c r="C1126" s="17" t="n">
        <f aca="false">Report!U1483</f>
        <v>260</v>
      </c>
      <c r="D1126" s="1" t="str">
        <f aca="false">Report!X1483</f>
        <v>NF 385 FRUTA CAFE - MILKA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NT INDUSTRIA E COMERCIO DE PANIFICACAO L</v>
      </c>
      <c r="C1127" s="17" t="n">
        <f aca="false">Report!U1484</f>
        <v>3889.11</v>
      </c>
      <c r="D1127" s="1" t="str">
        <f aca="false">Report!X1484</f>
        <v>NF 40994 -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RENATO DE O AZEVEDO E CIA LTDA - EPP</v>
      </c>
      <c r="C1128" s="17" t="n">
        <f aca="false">Report!U1485</f>
        <v>1420</v>
      </c>
      <c r="D1128" s="1" t="str">
        <f aca="false">Report!X1485</f>
        <v>FAR.CRUZEIRO/PGTO JOSE CLAUDIO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7" t="n">
        <f aca="false">Report!U1486</f>
        <v>1470</v>
      </c>
      <c r="D1129" s="1" t="str">
        <f aca="false">Report!X1486</f>
        <v>FARINHA 3 IRMAOS/ PGTO JULIETE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7" t="n">
        <f aca="false">Report!U1487</f>
        <v>600</v>
      </c>
      <c r="D1130" s="1" t="str">
        <f aca="false">Report!X1487</f>
        <v>FARINHA 3 IRAMOS 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C. R. PARENTE ABREU</v>
      </c>
      <c r="C1131" s="17" t="n">
        <f aca="false">Report!U1488</f>
        <v>624.28</v>
      </c>
      <c r="D1131" s="1" t="str">
        <f aca="false">Report!X1488</f>
        <v>NF 11447 -2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MAXFRI DISTRIUIDORA LTDA</v>
      </c>
      <c r="C1132" s="17" t="n">
        <f aca="false">Report!U1489</f>
        <v>1314</v>
      </c>
      <c r="D1132" s="1" t="str">
        <f aca="false">Report!X1489</f>
        <v>NF 14759 -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T. M. L. DA SILVA LTDA</v>
      </c>
      <c r="C1133" s="17" t="n">
        <f aca="false">Report!U1490</f>
        <v>742.4</v>
      </c>
      <c r="D1133" s="1" t="str">
        <f aca="false">Report!X1490</f>
        <v>NF 15153 AMAZONGURT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NORTELAC DISTRIBUIDORA DE FRIOS LTDA</v>
      </c>
      <c r="C1134" s="17" t="n">
        <f aca="false">Report!U1491</f>
        <v>1380</v>
      </c>
      <c r="D1134" s="1" t="str">
        <f aca="false">Report!X1491</f>
        <v>NF 44115 -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FRUTAL INDUSTRIA E COMERCIO LTDA</v>
      </c>
      <c r="C1135" s="17" t="n">
        <f aca="false">Report!U1492</f>
        <v>505.19</v>
      </c>
      <c r="D1135" s="1" t="str">
        <f aca="false">Report!X1492</f>
        <v>NF 226411 -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SOUZA CRUZ LTDA.</v>
      </c>
      <c r="C1136" s="17" t="n">
        <f aca="false">Report!U1493</f>
        <v>5880.89</v>
      </c>
      <c r="D1136" s="1" t="str">
        <f aca="false">Report!X1493</f>
        <v>NF 567587 -01 C/TAIFA MILKA</v>
      </c>
    </row>
    <row r="1137" customFormat="false" ht="12.75" hidden="false" customHeight="true" outlineLevel="0" collapsed="false">
      <c r="A1137" s="15" t="n">
        <f aca="false">Report!C1495</f>
        <v>46230</v>
      </c>
      <c r="B1137" s="1" t="str">
        <f aca="false">Report!E1495</f>
        <v>PANIFICADORA E CONFEITARIA REAL MADRI LTDA</v>
      </c>
      <c r="C1137" s="17" t="n">
        <f aca="false">Report!U1495</f>
        <v>424.6</v>
      </c>
      <c r="D1137" s="1" t="str">
        <f aca="false">Report!X1495</f>
        <v>NF 727 -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7" t="n">
        <f aca="false">Report!U1496</f>
        <v>840</v>
      </c>
      <c r="D1138" s="1" t="str">
        <f aca="false">Report!X1496</f>
        <v>NF 729 - DEBORA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RV TECNOLOGIA E SISTEMAS S.A</v>
      </c>
      <c r="C1139" s="17" t="n">
        <f aca="false">Report!U1497</f>
        <v>135.15</v>
      </c>
      <c r="D1139" s="1" t="str">
        <f aca="false">Report!X1497</f>
        <v>RV RECARGA -ANDREZA</v>
      </c>
    </row>
    <row r="1140" customFormat="false" ht="12.75" hidden="false" customHeight="true" outlineLevel="0" collapsed="false">
      <c r="A1140" s="15" t="n">
        <f aca="false">Report!C1500</f>
        <v>46230</v>
      </c>
      <c r="B1140" s="1" t="str">
        <f aca="false">Report!E1500</f>
        <v>COMERCIO DE FRIOS MANAUS LTDA</v>
      </c>
      <c r="C1140" s="17" t="n">
        <f aca="false">Report!U1500</f>
        <v>3632.9</v>
      </c>
      <c r="D1140" s="1" t="str">
        <f aca="false">Report!X1500</f>
        <v>NF 173326 - MILKA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H L M PADARIA E CONFEITARIA LTDA</v>
      </c>
      <c r="C1141" s="17" t="n">
        <f aca="false">Report!U1501</f>
        <v>420</v>
      </c>
      <c r="D1141" s="1" t="str">
        <f aca="false">Report!X1501</f>
        <v>NF 85 - DEBORA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GELO DANGELO FABRICACAO DE GELO LTDA</v>
      </c>
      <c r="C1142" s="17" t="n">
        <f aca="false">Report!U1502</f>
        <v>424</v>
      </c>
      <c r="D1142" s="1" t="str">
        <f aca="false">Report!X1502</f>
        <v>NF 396 - DEBORA</v>
      </c>
    </row>
    <row r="1143" customFormat="false" ht="12.75" hidden="false" customHeight="true" outlineLevel="0" collapsed="false">
      <c r="A1143" s="15" t="n">
        <f aca="false">Report!C1505</f>
        <v>46231</v>
      </c>
      <c r="B1143" s="1" t="str">
        <f aca="false">Report!E1505</f>
        <v>PRIME PET DISTRIBUIDORA LTDA</v>
      </c>
      <c r="C1143" s="17" t="n">
        <f aca="false">Report!U1505</f>
        <v>250.35</v>
      </c>
      <c r="D1143" s="1" t="str">
        <f aca="false">Report!X1505</f>
        <v>NF 10336 -07 MILKA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OESA COMERCIO E REPRESENTACOES S/A</v>
      </c>
      <c r="C1144" s="17" t="n">
        <f aca="false">Report!U1506</f>
        <v>1120.6</v>
      </c>
      <c r="D1144" s="1" t="str">
        <f aca="false">Report!X1506</f>
        <v>NF 423615 -3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MARTINS COM SERV DISTR SA</v>
      </c>
      <c r="C1145" s="17" t="n">
        <f aca="false">Report!U1507</f>
        <v>3184.12</v>
      </c>
      <c r="D1145" s="1" t="str">
        <f aca="false">Report!X1507</f>
        <v>18259030 /NF1778370 NF1778371 - 02 MILKA</v>
      </c>
    </row>
    <row r="1146" customFormat="false" ht="12.75" hidden="false" customHeight="true" outlineLevel="0" collapsed="false">
      <c r="A1146" s="15" t="n">
        <f aca="false">Report!C1510</f>
        <v>46231</v>
      </c>
      <c r="B1146" s="1" t="str">
        <f aca="false">Report!E1510</f>
        <v>NSB COMERCIO ATACADISTA E VAREJISTA DE P</v>
      </c>
      <c r="C1146" s="17" t="n">
        <f aca="false">Report!U1510</f>
        <v>287.8</v>
      </c>
      <c r="D1146" s="1" t="str">
        <f aca="false">Report!X1510</f>
        <v>192333643  NF7876 -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BROTHERS  INDUSTRIA DE ALIMENTOS LTDA</v>
      </c>
      <c r="C1147" s="17" t="n">
        <f aca="false">Report!U1511</f>
        <v>538.17</v>
      </c>
      <c r="D1147" s="1" t="str">
        <f aca="false">Report!X1511</f>
        <v>NF 1032774 -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VITAPAN COMERCIO VAREJISTA DE PRODUTOS ALIMENTICIOS LTDA</v>
      </c>
      <c r="C1148" s="17" t="n">
        <f aca="false">Report!U1512</f>
        <v>702</v>
      </c>
      <c r="D1148" s="1" t="str">
        <f aca="false">Report!X1512</f>
        <v>NF 10372 -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RENATO DE O AZEVEDO E CIA LTDA - EPP</v>
      </c>
      <c r="C1149" s="17" t="n">
        <f aca="false">Report!U1513</f>
        <v>280</v>
      </c>
      <c r="D1149" s="1" t="str">
        <f aca="false">Report!X1513</f>
        <v>ACAI DE ANORI - 15/07 - DEBORA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ADRIANO FEITOSA OLIVEIRA LTDA</v>
      </c>
      <c r="C1150" s="17" t="n">
        <f aca="false">Report!U1514</f>
        <v>2119</v>
      </c>
      <c r="D1150" s="1" t="str">
        <f aca="false">Report!X1514</f>
        <v>NF 343 - PGTO NO PIX P/ DISTRIB. OLIVEIRA - MILKA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ADICSO FABIAN GONZALEZ MONTILLA 70302186</v>
      </c>
      <c r="C1151" s="17" t="n">
        <f aca="false">Report!U1515</f>
        <v>792</v>
      </c>
      <c r="D1151" s="1" t="str">
        <f aca="false">Report!X1515</f>
        <v>NF 543 BLOOM - MILKA</v>
      </c>
    </row>
    <row r="1152" customFormat="false" ht="12.75" hidden="false" customHeight="true" outlineLevel="0" collapsed="false">
      <c r="A1152" s="15" t="n">
        <f aca="false">Report!C1517</f>
        <v>46231</v>
      </c>
      <c r="B1152" s="1" t="str">
        <f aca="false">Report!E1517</f>
        <v>PANIFICADORA E CONFEITARIA REAL MADRI LTDA</v>
      </c>
      <c r="C1152" s="17" t="n">
        <f aca="false">Report!U1517</f>
        <v>498.96</v>
      </c>
      <c r="D1152" s="1" t="str">
        <f aca="false">Report!X1517</f>
        <v>NF 732 - MILKA</v>
      </c>
    </row>
    <row r="1153" customFormat="false" ht="12.75" hidden="false" customHeight="true" outlineLevel="0" collapsed="false">
      <c r="A1153" s="15" t="n">
        <f aca="false">Report!C1519</f>
        <v>46231</v>
      </c>
      <c r="B1153" s="1" t="str">
        <f aca="false">Report!E1519</f>
        <v>RENATO DE O AZEVEDO E CIA LTDA - EPP</v>
      </c>
      <c r="C1153" s="17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7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7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7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7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7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5" t="n">
        <f aca="false">Report!C1526</f>
        <v>46232</v>
      </c>
      <c r="B1159" s="1" t="str">
        <f aca="false">Report!E1526</f>
        <v>PRIME PET DISTRIBUIDORA LTDA</v>
      </c>
      <c r="C1159" s="17" t="n">
        <f aca="false">Report!U1526</f>
        <v>319.7</v>
      </c>
      <c r="D1159" s="1" t="str">
        <f aca="false">Report!X1526</f>
        <v>NF 10643-05/05 MILKA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RENATO DE O AZEVEDO E CIA LTDA - EPP</v>
      </c>
      <c r="C1160" s="17" t="n">
        <f aca="false">Report!U1527</f>
        <v>1183</v>
      </c>
      <c r="D1160" s="1" t="str">
        <f aca="false">Report!X1527</f>
        <v>FEIRA CARLOS - DEBORA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DISTRIBUIDORA LOPES LTDA</v>
      </c>
      <c r="C1161" s="17" t="n">
        <f aca="false">Report!U1528</f>
        <v>1862.4</v>
      </c>
      <c r="D1161" s="1" t="str">
        <f aca="false">Report!X1528</f>
        <v>NF 1685233-2 MILKA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7" t="n">
        <f aca="false">Report!U1529</f>
        <v>2148.41</v>
      </c>
      <c r="D1162" s="1" t="str">
        <f aca="false">Report!X1529</f>
        <v>NF 1685064 -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L S M COMERCIO DE ALIMENTOS E NAVEGACAO</v>
      </c>
      <c r="C1163" s="17" t="n">
        <f aca="false">Report!U1530</f>
        <v>1613.94</v>
      </c>
      <c r="D1163" s="1" t="str">
        <f aca="false">Report!X1530</f>
        <v>NF 306058-3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AMAZON MILK IND. E COMERCIO LTDA</v>
      </c>
      <c r="C1164" s="17" t="n">
        <f aca="false">Report!U1531</f>
        <v>1896.53</v>
      </c>
      <c r="D1164" s="1" t="str">
        <f aca="false">Report!X1531</f>
        <v>NF 203762-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MARQUES &amp; MELO LTDA - FILIAL</v>
      </c>
      <c r="C1165" s="17" t="n">
        <f aca="false">Report!U1532</f>
        <v>395.5</v>
      </c>
      <c r="D1165" s="1" t="str">
        <f aca="false">Report!X1532</f>
        <v>NF 499471 -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INNOVAR DISTRIBUIDORA DE COSMETICOS E MEDICAMENTOS LTDA</v>
      </c>
      <c r="C1166" s="17" t="n">
        <f aca="false">Report!U1533</f>
        <v>698.4</v>
      </c>
      <c r="D1166" s="1" t="str">
        <f aca="false">Report!X1533</f>
        <v>NF 104122 -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NESTLÉ BRASIL LTDA.</v>
      </c>
      <c r="C1167" s="17" t="n">
        <f aca="false">Report!U1534</f>
        <v>1051.26</v>
      </c>
      <c r="D1167" s="1" t="str">
        <f aca="false">Report!X1534</f>
        <v>NF1425692-03/03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BRF S A</v>
      </c>
      <c r="C1168" s="17" t="n">
        <f aca="false">Report!U1535</f>
        <v>3073.8</v>
      </c>
      <c r="D1168" s="1" t="str">
        <f aca="false">Report!X1535</f>
        <v>NF1605894-02/02 -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L S M COMERCIO DE ALIMENTOS E NAVEGACAO</v>
      </c>
      <c r="C1169" s="17" t="n">
        <f aca="false">Report!U1536</f>
        <v>732.47</v>
      </c>
      <c r="D1169" s="1" t="str">
        <f aca="false">Report!X1536</f>
        <v>NF 307805-2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BRASIL NORTE BEBIDAS S/A</v>
      </c>
      <c r="C1170" s="17" t="n">
        <f aca="false">Report!U1537</f>
        <v>417.71</v>
      </c>
      <c r="D1170" s="1" t="str">
        <f aca="false">Report!X1537</f>
        <v>NF 1933730 C/ TARIFA -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BRF S A</v>
      </c>
      <c r="C1171" s="17" t="n">
        <f aca="false">Report!U1538</f>
        <v>4171.51</v>
      </c>
      <c r="D1171" s="1" t="str">
        <f aca="false">Report!X1538</f>
        <v>NF 1608648 -01/02 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JAB COMERCIO DE PRODUTOS ALIMENTICIOS LT</v>
      </c>
      <c r="C1172" s="17" t="n">
        <f aca="false">Report!U1539</f>
        <v>274</v>
      </c>
      <c r="D1172" s="1" t="str">
        <f aca="false">Report!X1539</f>
        <v>NF 3590 SANTO PAO -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H. L. DO NASCIMENTO</v>
      </c>
      <c r="C1173" s="17" t="n">
        <f aca="false">Report!U1540</f>
        <v>933.95</v>
      </c>
      <c r="D1173" s="1" t="str">
        <f aca="false">Report!X1540</f>
        <v>NF 5843 FAZENDINHA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COMERCIO E TRANSPORTE BRANDAO LTDA</v>
      </c>
      <c r="C1174" s="17" t="n">
        <f aca="false">Report!U1541</f>
        <v>720</v>
      </c>
      <c r="D1174" s="1" t="str">
        <f aca="false">Report!X1541</f>
        <v>14967 - DEBORA</v>
      </c>
    </row>
    <row r="1175" customFormat="false" ht="12.75" hidden="false" customHeight="true" outlineLevel="0" collapsed="false">
      <c r="A1175" s="15" t="n">
        <f aca="false">Report!C1543</f>
        <v>46232</v>
      </c>
      <c r="B1175" s="1" t="str">
        <f aca="false">Report!E1543</f>
        <v>RENATO DE O AZEVEDO E CIA LTDA - EPP</v>
      </c>
      <c r="C1175" s="17" t="n">
        <f aca="false">Report!U1543</f>
        <v>420</v>
      </c>
      <c r="D1175" s="1" t="str">
        <f aca="false">Report!X1543</f>
        <v>ACAI DE ANORI - 18/07 -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7" t="n">
        <f aca="false">Report!U1544</f>
        <v>350</v>
      </c>
      <c r="D1176" s="1" t="str">
        <f aca="false">Report!X1544</f>
        <v>ACAI DE ANORI - 20/07 -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7" t="n">
        <f aca="false">Report!U1545</f>
        <v>280</v>
      </c>
      <c r="D1177" s="1" t="str">
        <f aca="false">Report!X1545</f>
        <v>ACAI DE ANORI - 21/07 -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7" t="n">
        <f aca="false">Report!U1546</f>
        <v>280</v>
      </c>
      <c r="D1178" s="1" t="str">
        <f aca="false">Report!X1546</f>
        <v>ACAI DE ANORI - 22/07 -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7" t="n">
        <f aca="false">Report!U1547</f>
        <v>280</v>
      </c>
      <c r="D1179" s="1" t="str">
        <f aca="false">Report!X1547</f>
        <v>ACAI DE ANORI - 23/07 -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7" t="n">
        <f aca="false">Report!U1548</f>
        <v>280</v>
      </c>
      <c r="D1180" s="1" t="str">
        <f aca="false">Report!X1548</f>
        <v>ACAI DE ANORI - 24/07 -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7" t="n">
        <f aca="false">Report!U1549</f>
        <v>420</v>
      </c>
      <c r="D1181" s="1" t="str">
        <f aca="false">Report!X1549</f>
        <v>ACAI DE ANORI - 25/07 -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7" t="n">
        <f aca="false">Report!U1550</f>
        <v>350</v>
      </c>
      <c r="D1182" s="1" t="str">
        <f aca="false">Report!X1550</f>
        <v>ACAI DE ANORI - 27/07 -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7" t="n">
        <f aca="false">Report!U1551</f>
        <v>350</v>
      </c>
      <c r="D1183" s="1" t="str">
        <f aca="false">Report!X1551</f>
        <v>ACAI DE ANORI - 28/07 - DEBORA</v>
      </c>
    </row>
    <row r="1184" customFormat="false" ht="12.75" hidden="false" customHeight="true" outlineLevel="0" collapsed="false">
      <c r="A1184" s="15" t="n">
        <f aca="false">Report!C1553</f>
        <v>46232</v>
      </c>
      <c r="B1184" s="1" t="str">
        <f aca="false">Report!E1553</f>
        <v>D N COMERCIO ATACADISTA DE EMBALAGENS E</v>
      </c>
      <c r="C1184" s="17" t="n">
        <f aca="false">Report!U1553</f>
        <v>612</v>
      </c>
      <c r="D1184" s="1" t="str">
        <f aca="false">Report!X1553</f>
        <v>NF 413 - DEBORA</v>
      </c>
    </row>
    <row r="1185" customFormat="false" ht="12.75" hidden="false" customHeight="true" outlineLevel="0" collapsed="false">
      <c r="A1185" s="15" t="n">
        <f aca="false">Report!C1554</f>
        <v>46233</v>
      </c>
      <c r="B1185" s="1" t="str">
        <f aca="false">Report!E1554</f>
        <v>C. R. PARENTE ABREU</v>
      </c>
      <c r="C1185" s="17" t="n">
        <f aca="false">Report!U1554</f>
        <v>713.31</v>
      </c>
      <c r="D1185" s="1" t="str">
        <f aca="false">Report!X1554</f>
        <v>NF 11479-1 KARU - MILKA 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ADRIANO FEITOSA OLIVEIRA LTDA</v>
      </c>
      <c r="C1186" s="17" t="n">
        <f aca="false">Report!U1555</f>
        <v>570</v>
      </c>
      <c r="D1186" s="1" t="str">
        <f aca="false">Report!X1555</f>
        <v>NF 346 PGTO. P/ ADRIANO DISTRIB. - MILKA</v>
      </c>
    </row>
    <row r="1187" customFormat="false" ht="12.75" hidden="false" customHeight="true" outlineLevel="0" collapsed="false">
      <c r="A1187" s="15" t="n">
        <f aca="false">Report!C1558</f>
        <v>46233</v>
      </c>
      <c r="B1187" s="1" t="str">
        <f aca="false">Report!E1558</f>
        <v>SB COMERCIO LTDA</v>
      </c>
      <c r="C1187" s="17" t="n">
        <f aca="false">Report!U1558</f>
        <v>3937.79</v>
      </c>
      <c r="D1187" s="1" t="str">
        <f aca="false">Report!X1558</f>
        <v>NF 1957890-5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OPPORTUNITY ALIMENTOS PARA ANIMAIS LTDA</v>
      </c>
      <c r="C1188" s="17" t="n">
        <f aca="false">Report!U1559</f>
        <v>3377.6</v>
      </c>
      <c r="D1188" s="1" t="str">
        <f aca="false">Report!X1559</f>
        <v>NF 34300-2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OCIDENTAL COMERCIO DE FRIOS LTDA</v>
      </c>
      <c r="C1189" s="17" t="n">
        <f aca="false">Report!U1560</f>
        <v>972.31</v>
      </c>
      <c r="D1189" s="1" t="str">
        <f aca="false">Report!X1560</f>
        <v>NF 1243403-2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BF COMERCIO DE ALIMENTOS REPRESENTACAO L</v>
      </c>
      <c r="C1190" s="17" t="n">
        <f aca="false">Report!U1561</f>
        <v>1317.6</v>
      </c>
      <c r="D1190" s="1" t="str">
        <f aca="false">Report!X1561</f>
        <v>NF 20994 - MILKA</v>
      </c>
    </row>
    <row r="1191" customFormat="false" ht="12.75" hidden="false" customHeight="true" outlineLevel="0" collapsed="false">
      <c r="A1191" s="15" t="n">
        <f aca="false">Report!C1563</f>
        <v>46233</v>
      </c>
      <c r="B1191" s="1" t="str">
        <f aca="false">Report!E1563</f>
        <v>FENNIX BRASIL DISTRIBUIDORA DE PRODUTOS</v>
      </c>
      <c r="C1191" s="17" t="n">
        <f aca="false">Report!U1563</f>
        <v>1643.75</v>
      </c>
      <c r="D1191" s="1" t="str">
        <f aca="false">Report!X1563</f>
        <v>NF 312590-2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OCIDENTAL COMERCIO DE FRIOS LTDA</v>
      </c>
      <c r="C1192" s="17" t="n">
        <f aca="false">Report!U1564</f>
        <v>828.44</v>
      </c>
      <c r="D1192" s="1" t="str">
        <f aca="false">Report!X1564</f>
        <v>NF 1245715-1/2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CB COMERCIO E DISTRIBUIDORA DE ALIMENTOS</v>
      </c>
      <c r="C1193" s="17" t="n">
        <f aca="false">Report!U1565</f>
        <v>748.7</v>
      </c>
      <c r="D1193" s="1" t="str">
        <f aca="false">Report!X1565</f>
        <v>952611-A/C  NF854275 -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BRASIL NORTE BEBIDAS S/A</v>
      </c>
      <c r="C1194" s="17" t="n">
        <f aca="false">Report!U1566</f>
        <v>1638.55</v>
      </c>
      <c r="D1194" s="1" t="str">
        <f aca="false">Report!X1566</f>
        <v>NF 1203714 C/ TARIFA INCLUSA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7" t="n">
        <f aca="false">Report!U1567</f>
        <v>2622.9</v>
      </c>
      <c r="D1195" s="1" t="str">
        <f aca="false">Report!X1567</f>
        <v>NF 1936376 COCA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7" t="n">
        <f aca="false">Report!U1568</f>
        <v>160.78</v>
      </c>
      <c r="D1196" s="1" t="str">
        <f aca="false">Report!X1568</f>
        <v>NF 1936062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A K LIMA DE ANDRADE</v>
      </c>
      <c r="C1197" s="17" t="n">
        <f aca="false">Report!U1569</f>
        <v>879</v>
      </c>
      <c r="D1197" s="1" t="str">
        <f aca="false">Report!X1569</f>
        <v>NF 2741 SP CEREAL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DA FRUTA DISTRIBUIDORA LTDA</v>
      </c>
      <c r="C1198" s="17" t="n">
        <f aca="false">Report!U1570</f>
        <v>950.4</v>
      </c>
      <c r="D1198" s="1" t="str">
        <f aca="false">Report!X1570</f>
        <v>NF 196700 -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NESTLÉ BRASIL LTDA.</v>
      </c>
      <c r="C1199" s="17" t="n">
        <f aca="false">Report!U1571</f>
        <v>957.84</v>
      </c>
      <c r="D1199" s="1" t="str">
        <f aca="false">Report!X1571</f>
        <v>NF 1428642-02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BONNA VITTA INDUSTRIA E COMERCIO LTDA.</v>
      </c>
      <c r="C1200" s="17" t="n">
        <f aca="false">Report!U1572</f>
        <v>1399.86</v>
      </c>
      <c r="D1200" s="1" t="str">
        <f aca="false">Report!X1572</f>
        <v>NF 1350 -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FORTVET DISTRIBUIDORA LTDA</v>
      </c>
      <c r="C1201" s="17" t="n">
        <f aca="false">Report!U1573</f>
        <v>445.38</v>
      </c>
      <c r="D1201" s="1" t="str">
        <f aca="false">Report!X1573</f>
        <v>NF 2808-1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REAL BEBIDAS DA AMAZONIA LTDA</v>
      </c>
      <c r="C1202" s="17" t="n">
        <f aca="false">Report!U1574</f>
        <v>420</v>
      </c>
      <c r="D1202" s="1" t="str">
        <f aca="false">Report!X1574</f>
        <v>NF 608658 - DEBORA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NESTLÉ BRASIL LTDA.</v>
      </c>
      <c r="C1203" s="17" t="n">
        <f aca="false">Report!U1575</f>
        <v>1773.63</v>
      </c>
      <c r="D1203" s="1" t="str">
        <f aca="false">Report!X1575</f>
        <v>NF 1431708-01/03 MILKA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LIMA E BARANDA COMERCIO DE PRODUTOS REGI</v>
      </c>
      <c r="C1204" s="17" t="n">
        <f aca="false">Report!U1576</f>
        <v>266</v>
      </c>
      <c r="D1204" s="1" t="str">
        <f aca="false">Report!X1576</f>
        <v>NF 31601 -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ADICSO FABIAN GONZALEZ MONTILLA 70302186</v>
      </c>
      <c r="C1205" s="17" t="n">
        <f aca="false">Report!U1577</f>
        <v>816</v>
      </c>
      <c r="D1205" s="1" t="str">
        <f aca="false">Report!X1577</f>
        <v>NF 550 BLOOM 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RV TECNOLOGIA E SISTEMAS S.A</v>
      </c>
      <c r="C1206" s="17" t="n">
        <f aca="false">Report!U1578</f>
        <v>131.3</v>
      </c>
      <c r="D1206" s="1" t="str">
        <f aca="false">Report!X1578</f>
        <v>RV RECARGA CELULAR-ANDREZA</v>
      </c>
    </row>
    <row r="1207" customFormat="false" ht="12.75" hidden="false" customHeight="true" outlineLevel="0" collapsed="false">
      <c r="A1207" s="15" t="n">
        <f aca="false">Report!C1582</f>
        <v>46233</v>
      </c>
      <c r="B1207" s="1" t="str">
        <f aca="false">Report!E1582</f>
        <v>H L M PADARIA E CONFEITARIA LTDA</v>
      </c>
      <c r="C1207" s="17" t="n">
        <f aca="false">Report!U1582</f>
        <v>440</v>
      </c>
      <c r="D1207" s="1" t="str">
        <f aca="false">Report!X1582</f>
        <v>NF 98 - DEBORA</v>
      </c>
    </row>
    <row r="1208" customFormat="false" ht="12.75" hidden="false" customHeight="true" outlineLevel="0" collapsed="false">
      <c r="A1208" s="15" t="n">
        <f aca="false">Report!C1585</f>
        <v>46233</v>
      </c>
      <c r="B1208" s="1" t="str">
        <f aca="false">Report!E1585</f>
        <v>H L M PADARIA E CONFEITARIA LTDA</v>
      </c>
      <c r="C1208" s="17" t="n">
        <f aca="false">Report!U1585</f>
        <v>420</v>
      </c>
      <c r="D1208" s="1" t="str">
        <f aca="false">Report!X1585</f>
        <v>NF 97 -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7" t="n">
        <f aca="false">Report!U1586</f>
        <v>420</v>
      </c>
      <c r="D1209" s="1" t="str">
        <f aca="false">Report!X1586</f>
        <v>NF 96 - DEBORA</v>
      </c>
    </row>
    <row r="1210" customFormat="false" ht="12.75" hidden="false" customHeight="true" outlineLevel="0" collapsed="false">
      <c r="A1210" s="15" t="n">
        <f aca="false">Report!C1587</f>
        <v>46234</v>
      </c>
      <c r="B1210" s="1" t="str">
        <f aca="false">Report!E1587</f>
        <v>DISTRIBUIDORA FARIAS LTDA.</v>
      </c>
      <c r="C1210" s="17" t="n">
        <f aca="false">Report!U1587</f>
        <v>871.13</v>
      </c>
      <c r="D1210" s="1" t="str">
        <f aca="false">Report!X1587</f>
        <v>804856-B/C  NF681131 - MILKA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VOVO DIZA COMERCIO VAREJISTA DE HORTALICAS LTDA</v>
      </c>
      <c r="C1211" s="17" t="n">
        <f aca="false">Report!U1588</f>
        <v>176</v>
      </c>
      <c r="D1211" s="1" t="str">
        <f aca="false">Report!X1588</f>
        <v>NF 3896 - DEBORA</v>
      </c>
    </row>
    <row r="1212" customFormat="false" ht="12.75" hidden="false" customHeight="true" outlineLevel="0" collapsed="false">
      <c r="A1212" s="15" t="n">
        <f aca="false">Report!C1590</f>
        <v>46234</v>
      </c>
      <c r="B1212" s="1" t="str">
        <f aca="false">Report!E1590</f>
        <v>VOVO DIZA COMERCIO VAREJISTA DE HORTALICAS LTDA</v>
      </c>
      <c r="C1212" s="17" t="n">
        <f aca="false">Report!U1590</f>
        <v>88</v>
      </c>
      <c r="D1212" s="1" t="str">
        <f aca="false">Report!X1590</f>
        <v>NF 3742 -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EDMARA COMERCIO DE HIGIENE PESSOAL LTDA</v>
      </c>
      <c r="C1213" s="17" t="n">
        <f aca="false">Report!U1591</f>
        <v>523.67</v>
      </c>
      <c r="D1213" s="1" t="str">
        <f aca="false">Report!X1591</f>
        <v>5350-A/C  NF8364 - MILKA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J G COMERCIO DE PRODUTOS ALIMENTICIOS LTDA</v>
      </c>
      <c r="C1214" s="17" t="n">
        <f aca="false">Report!U1592</f>
        <v>785.66</v>
      </c>
      <c r="D1214" s="1" t="str">
        <f aca="false">Report!X1592</f>
        <v>455810-C/C  NF391785 MASTERFRIGO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VOVO DIZA COMERCIO VAREJISTA DE HORTALICAS LTDA</v>
      </c>
      <c r="C1215" s="17" t="n">
        <f aca="false">Report!U1593</f>
        <v>200</v>
      </c>
      <c r="D1215" s="1" t="str">
        <f aca="false">Report!X1593</f>
        <v>NF 3806 - DEBORA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7" t="n">
        <f aca="false">Report!U1594</f>
        <v>200</v>
      </c>
      <c r="D1216" s="1" t="str">
        <f aca="false">Report!X1594</f>
        <v>NF 3931 -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OESA COMERCIO E REPRESENTACOES S/A</v>
      </c>
      <c r="C1217" s="17" t="n">
        <f aca="false">Report!U1595</f>
        <v>1180.5</v>
      </c>
      <c r="D1217" s="1" t="str">
        <f aca="false">Report!X1595</f>
        <v>NF 430879-1 DELLY'S - MILKA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VOVO DIZA COMERCIO VAREJISTA DE HORTALICAS LTDA</v>
      </c>
      <c r="C1218" s="17" t="n">
        <f aca="false">Report!U1596</f>
        <v>200</v>
      </c>
      <c r="D1218" s="1" t="str">
        <f aca="false">Report!X1596</f>
        <v>NF 3844 - DEBORA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NT INDUSTRIA E COMERCIO DE PANIFICACAO L</v>
      </c>
      <c r="C1219" s="17" t="n">
        <f aca="false">Report!U1597</f>
        <v>3866.95</v>
      </c>
      <c r="D1219" s="1" t="str">
        <f aca="false">Report!X1597</f>
        <v>NF 41360 - MILKA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J. S. MOREIRA ALVES LTDA</v>
      </c>
      <c r="C1220" s="17" t="n">
        <f aca="false">Report!U1598</f>
        <v>638.5</v>
      </c>
      <c r="D1220" s="1" t="str">
        <f aca="false">Report!X1598</f>
        <v>NF 2667 MESA FARTA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PIARARA COMERCIO, IMPORTACAO E EXPORTACAO LTDA</v>
      </c>
      <c r="C1221" s="17" t="n">
        <f aca="false">Report!U1599</f>
        <v>808.44</v>
      </c>
      <c r="D1221" s="1" t="str">
        <f aca="false">Report!X1599</f>
        <v>NF 194574 -1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COMERCIO DE FRIOS MANAUS LTDA</v>
      </c>
      <c r="C1222" s="17" t="n">
        <f aca="false">Report!U1600</f>
        <v>4683.5</v>
      </c>
      <c r="D1222" s="1" t="str">
        <f aca="false">Report!X1600</f>
        <v>NF 173548 -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SOUZA CRUZ LTDA.</v>
      </c>
      <c r="C1223" s="17" t="n">
        <f aca="false">Report!U1601</f>
        <v>7635.42</v>
      </c>
      <c r="D1223" s="1" t="str">
        <f aca="false">Report!X1601</f>
        <v>NF 568312-1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L. J. DA SILVA LTDA</v>
      </c>
      <c r="C1224" s="17" t="n">
        <f aca="false">Report!U1602</f>
        <v>2838.97</v>
      </c>
      <c r="D1224" s="1" t="str">
        <f aca="false">Report!X1602</f>
        <v>NF 34608-02 C/ ACRESCIMO -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BROTHERS  INDUSTRIA DE ALIMENTOS LTDA</v>
      </c>
      <c r="C1225" s="17" t="n">
        <f aca="false">Report!U1603</f>
        <v>455.45</v>
      </c>
      <c r="D1225" s="1" t="str">
        <f aca="false">Report!X1603</f>
        <v>NF 1033389 -MILKA</v>
      </c>
    </row>
    <row r="1226" customFormat="false" ht="12.75" hidden="false" customHeight="true" outlineLevel="0" collapsed="false">
      <c r="A1226" s="15" t="n">
        <f aca="false">Report!C1605</f>
        <v>46234</v>
      </c>
      <c r="B1226" s="1" t="str">
        <f aca="false">Report!E1605</f>
        <v>CRBS S/A</v>
      </c>
      <c r="C1226" s="17" t="n">
        <f aca="false">Report!U1605</f>
        <v>337.06</v>
      </c>
      <c r="D1226" s="1" t="str">
        <f aca="false">Report!X1605</f>
        <v>NF 920837 C/TARIFA INCLUSA - 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VITAPAN COMERCIO VAREJISTA DE PRODUTOS ALIMENTICIOS LTDA</v>
      </c>
      <c r="C1227" s="17" t="n">
        <f aca="false">Report!U1606</f>
        <v>1026</v>
      </c>
      <c r="D1227" s="1" t="str">
        <f aca="false">Report!X1606</f>
        <v>NF 10389 -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NOVA FRIOS COMERCIO ATACADISTA DE LATICINIOS LTDA</v>
      </c>
      <c r="C1228" s="17" t="n">
        <f aca="false">Report!U1607</f>
        <v>257</v>
      </c>
      <c r="D1228" s="1" t="str">
        <f aca="false">Report!X1607</f>
        <v>NF 4183 BODEGA DO PAO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PANIFICADORA E CONFEITARIA REAL MADRI LTDA</v>
      </c>
      <c r="C1229" s="17" t="n">
        <f aca="false">Report!U1608</f>
        <v>855.5</v>
      </c>
      <c r="D1229" s="1" t="str">
        <f aca="false">Report!X1608</f>
        <v>NF 733 -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7" t="n">
        <f aca="false">Report!U1609</f>
        <v>1120</v>
      </c>
      <c r="D1230" s="1" t="str">
        <f aca="false">Report!X1609</f>
        <v>NF 734 -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EDSON AGUIAR DE SOUZA</v>
      </c>
      <c r="C1231" s="17" t="n">
        <f aca="false">Report!U1610</f>
        <v>126</v>
      </c>
      <c r="D1231" s="1" t="str">
        <f aca="false">Report!X1610</f>
        <v>NF 1655915 - DEBORA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7" t="n">
        <f aca="false">Report!U1611</f>
        <v>225</v>
      </c>
      <c r="D1232" s="1" t="str">
        <f aca="false">Report!X1611</f>
        <v>NF 1655918 -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7" t="n">
        <f aca="false">Report!U1612</f>
        <v>210</v>
      </c>
      <c r="D1233" s="1" t="str">
        <f aca="false">Report!X1612</f>
        <v>NF 1655921 -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7" t="n">
        <f aca="false">Report!U1613</f>
        <v>315</v>
      </c>
      <c r="D1234" s="1" t="str">
        <f aca="false">Report!X1613</f>
        <v>NF 1655928 -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7" t="n">
        <f aca="false">Report!U1614</f>
        <v>126</v>
      </c>
      <c r="D1235" s="1" t="str">
        <f aca="false">Report!X1614</f>
        <v>NF 1655930 -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7" t="n">
        <f aca="false">Report!U1615</f>
        <v>261</v>
      </c>
      <c r="D1236" s="1" t="str">
        <f aca="false">Report!X1615</f>
        <v>NF 1655931 -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7" t="n">
        <f aca="false">Report!U1616</f>
        <v>126</v>
      </c>
      <c r="D1237" s="1" t="str">
        <f aca="false">Report!X1616</f>
        <v>NF 1655934 -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7" t="n">
        <f aca="false">Report!U1617</f>
        <v>261</v>
      </c>
      <c r="D1238" s="1" t="str">
        <f aca="false">Report!X1617</f>
        <v>NF 1655935 -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7" t="n">
        <f aca="false">Report!U1618</f>
        <v>210</v>
      </c>
      <c r="D1239" s="1" t="str">
        <f aca="false">Report!X1618</f>
        <v>NF 1656236 -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RENATO DE O AZEVEDO E CIA LTDA - EPP</v>
      </c>
      <c r="C1240" s="17" t="n">
        <f aca="false">Report!U1619</f>
        <v>2731</v>
      </c>
      <c r="D1240" s="1" t="str">
        <f aca="false">Report!X1619</f>
        <v>FEIRA CARLOS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COMERCIO E TRANSPORTE BRANDAO LTDA</v>
      </c>
      <c r="C1241" s="17" t="n">
        <f aca="false">Report!U1620</f>
        <v>1010</v>
      </c>
      <c r="D1241" s="1" t="str">
        <f aca="false">Report!X1620</f>
        <v>NF 14996 -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RENATO DE O AZEVEDO E CIA LTDA - EPP</v>
      </c>
      <c r="C1242" s="17" t="n">
        <f aca="false">Report!U1621</f>
        <v>35</v>
      </c>
      <c r="D1242" s="1" t="str">
        <f aca="false">Report!X1621</f>
        <v>FEIRA CARLOS - UVAS PASSAS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7" t="n">
        <f aca="false">Report!U1622</f>
        <v>2682.43</v>
      </c>
      <c r="D1243" s="1" t="str">
        <f aca="false">Report!X1622</f>
        <v>FEIRA SR RENATO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GELO DANGELO FABRICACAO DE GELO LTDA</v>
      </c>
      <c r="C1244" s="17" t="n">
        <f aca="false">Report!U1623</f>
        <v>603</v>
      </c>
      <c r="D1244" s="1" t="str">
        <f aca="false">Report!X1623</f>
        <v>NF 413 -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J W N DOS SANTOS</v>
      </c>
      <c r="C1245" s="17" t="n">
        <f aca="false">Report!U1624</f>
        <v>572</v>
      </c>
      <c r="D1245" s="1" t="str">
        <f aca="false">Report!X1624</f>
        <v>NF 387 -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VOVO DIZA COMERCIO VAREJISTA DE HORTALICAS LTDA</v>
      </c>
      <c r="C1246" s="17" t="n">
        <f aca="false">Report!U1625</f>
        <v>200</v>
      </c>
      <c r="D1246" s="1" t="str">
        <f aca="false">Report!X1625</f>
        <v>NF 3978 - DEBORA</v>
      </c>
    </row>
    <row r="1247" customFormat="false" ht="12.75" hidden="false" customHeight="true" outlineLevel="0" collapsed="false">
      <c r="A1247" s="15" t="n">
        <f aca="false">Report!C1629</f>
        <v>46235</v>
      </c>
      <c r="B1247" s="1" t="str">
        <f aca="false">Report!E1629</f>
        <v>OPPORTUNITY ALIMENTOS PARA ANIMAIS LTDA</v>
      </c>
      <c r="C1247" s="17" t="n">
        <f aca="false">Report!U1629</f>
        <v>1975</v>
      </c>
      <c r="D1247" s="1" t="str">
        <f aca="false">Report!X1629</f>
        <v>NF 34212-3 MILKA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SILVA E SANTOS FRIGORIFICO LTDA</v>
      </c>
      <c r="C1248" s="17" t="n">
        <f aca="false">Report!U1630</f>
        <v>1760</v>
      </c>
      <c r="D1248" s="1" t="str">
        <f aca="false">Report!X1630</f>
        <v>NF 32051 -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DISTRIBUIDORA LOPES LTDA</v>
      </c>
      <c r="C1249" s="17" t="n">
        <f aca="false">Report!U1631</f>
        <v>1731.26</v>
      </c>
      <c r="D1249" s="1" t="str">
        <f aca="false">Report!X1631</f>
        <v>NF 1686012 -2 MILKA</v>
      </c>
    </row>
    <row r="1250" customFormat="false" ht="12.75" hidden="false" customHeight="true" outlineLevel="0" collapsed="false">
      <c r="A1250" s="15" t="n">
        <f aca="false">Report!C1633</f>
        <v>46235</v>
      </c>
      <c r="B1250" s="1" t="str">
        <f aca="false">Report!E1633</f>
        <v>COMERCIO DE FRIOS MANAUS LTDA</v>
      </c>
      <c r="C1250" s="17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BRASIL NORTE BEBIDAS S/A</v>
      </c>
      <c r="C1251" s="17" t="n">
        <f aca="false">Report!U1634</f>
        <v>1253.43</v>
      </c>
      <c r="D1251" s="1" t="str">
        <f aca="false">Report!X1634</f>
        <v>NF1942481 COCA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7" t="n">
        <f aca="false">Report!U1635</f>
        <v>1459.28</v>
      </c>
      <c r="D1252" s="1" t="str">
        <f aca="false">Report!X1635</f>
        <v>NF 1209351 COCA C/TARIFA - MILKA</v>
      </c>
    </row>
    <row r="1253" customFormat="false" ht="12.75" hidden="false" customHeight="true" outlineLevel="0" collapsed="false">
      <c r="A1253" s="15" t="n">
        <f aca="false">Report!C1637</f>
        <v>46235</v>
      </c>
      <c r="B1253" s="1" t="str">
        <f aca="false">Report!E1637</f>
        <v>MAXFRI DISTRIUIDORA LTDA</v>
      </c>
      <c r="C1253" s="17" t="n">
        <f aca="false">Report!U1637</f>
        <v>4716.8</v>
      </c>
      <c r="D1253" s="1" t="str">
        <f aca="false">Report!X1637</f>
        <v>NF 14815 -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SILVA E SANTOS FRIGORIFICO LTDA</v>
      </c>
      <c r="C1254" s="17" t="n">
        <f aca="false">Report!U1638</f>
        <v>2967.5</v>
      </c>
      <c r="D1254" s="1" t="str">
        <f aca="false">Report!X1638</f>
        <v>NF32050 -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RENATO DE O AZEVEDO E CIA LTDA - EPP</v>
      </c>
      <c r="C1255" s="17" t="n">
        <f aca="false">Report!U1639</f>
        <v>280</v>
      </c>
      <c r="D1255" s="1" t="str">
        <f aca="false">Report!X1639</f>
        <v>ACAI DE ANORI - DEBORA</v>
      </c>
    </row>
    <row r="1256" customFormat="false" ht="12.75" hidden="false" customHeight="true" outlineLevel="0" collapsed="false">
      <c r="A1256" s="15" t="n">
        <f aca="false">Report!C1642</f>
        <v>46235</v>
      </c>
      <c r="B1256" s="1" t="str">
        <f aca="false">Report!E1642</f>
        <v>H L M PADARIA E CONFEITARIA LTDA</v>
      </c>
      <c r="C1256" s="17" t="n">
        <f aca="false">Report!U1642</f>
        <v>600</v>
      </c>
      <c r="D1256" s="1" t="str">
        <f aca="false">Report!X1642</f>
        <v>NF 107 - DEBORA</v>
      </c>
    </row>
    <row r="1257" customFormat="false" ht="12.75" hidden="false" customHeight="true" outlineLevel="0" collapsed="false">
      <c r="A1257" s="15" t="n">
        <f aca="false">Report!C1644</f>
        <v>46236</v>
      </c>
      <c r="B1257" s="1" t="str">
        <f aca="false">Report!E1644</f>
        <v>FORTVET DISTRIBUIDORA LTDA</v>
      </c>
      <c r="C1257" s="17" t="n">
        <f aca="false">Report!U1644</f>
        <v>1098.8</v>
      </c>
      <c r="D1257" s="1" t="str">
        <f aca="false">Report!X1644</f>
        <v>NF 2494-2 MILKA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E. SALES DO NASCIMENTO</v>
      </c>
      <c r="C1258" s="17" t="n">
        <f aca="false">Report!U1645</f>
        <v>410.7</v>
      </c>
      <c r="D1258" s="1" t="str">
        <f aca="false">Report!X1645</f>
        <v>NF 707 -03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COMERCIO DE FRIOS MANAUS LTDA</v>
      </c>
      <c r="C1259" s="17" t="n">
        <f aca="false">Report!U1646</f>
        <v>3547.2</v>
      </c>
      <c r="D1259" s="1" t="str">
        <f aca="false">Report!X1646</f>
        <v>NF173664 - MILKA</v>
      </c>
    </row>
    <row r="1260" customFormat="false" ht="12.75" hidden="false" customHeight="true" outlineLevel="0" collapsed="false">
      <c r="A1260" s="15" t="n">
        <f aca="false">Report!C1648</f>
        <v>46237</v>
      </c>
      <c r="B1260" s="1" t="str">
        <f aca="false">Report!E1648</f>
        <v>C. R. PARENTE ABREU</v>
      </c>
      <c r="C1260" s="17" t="n">
        <f aca="false">Report!U1648</f>
        <v>713.31</v>
      </c>
      <c r="D1260" s="1" t="str">
        <f aca="false">Report!X1648</f>
        <v>NF 11479-2 KARU - MILKA 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T. M. L. DA SILVA LTDA</v>
      </c>
      <c r="C1261" s="17" t="n">
        <f aca="false">Report!U1649</f>
        <v>730</v>
      </c>
      <c r="D1261" s="1" t="str">
        <f aca="false">Report!X1649</f>
        <v>NF 15181 AMAZONGURT - MILKA</v>
      </c>
    </row>
    <row r="1262" customFormat="false" ht="12.75" hidden="false" customHeight="true" outlineLevel="0" collapsed="false">
      <c r="A1262" s="15" t="n">
        <f aca="false">Report!C1651</f>
        <v>46237</v>
      </c>
      <c r="B1262" s="1" t="str">
        <f aca="false">Report!E1651</f>
        <v>DISTRIBUIDORA LOPES LTDA</v>
      </c>
      <c r="C1262" s="17" t="n">
        <f aca="false">Report!U1651</f>
        <v>1039.09</v>
      </c>
      <c r="D1262" s="1" t="str">
        <f aca="false">Report!X1651</f>
        <v>NF 1690878-2 MILKA / DESCONTO NO BOLETO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MARCLEY MACHADO CHAVES</v>
      </c>
      <c r="C1263" s="17" t="n">
        <f aca="false">Report!U1652</f>
        <v>1630.16</v>
      </c>
      <c r="D1263" s="1" t="str">
        <f aca="false">Report!X1652</f>
        <v>NF 3541 - MILKA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L S M COMERCIO DE ALIMENTOS E NAVEGACAO</v>
      </c>
      <c r="C1264" s="17" t="n">
        <f aca="false">Report!U1653</f>
        <v>1529.2</v>
      </c>
      <c r="D1264" s="1" t="str">
        <f aca="false">Report!X1653</f>
        <v>NF 308176 -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OCIDENTAL COMERCIO DE FRIOS LTDA</v>
      </c>
      <c r="C1265" s="17" t="n">
        <f aca="false">Report!U1654</f>
        <v>2044.9</v>
      </c>
      <c r="D1265" s="1" t="str">
        <f aca="false">Report!X1654</f>
        <v>NF 1249231-1/3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SOUZA CRUZ LTDA.</v>
      </c>
      <c r="C1266" s="17" t="n">
        <f aca="false">Report!U1655</f>
        <v>5740.89</v>
      </c>
      <c r="D1266" s="1" t="str">
        <f aca="false">Report!X1655</f>
        <v>NF 567587 -02 MILKA</v>
      </c>
    </row>
    <row r="1267" customFormat="false" ht="12.75" hidden="false" customHeight="true" outlineLevel="0" collapsed="false">
      <c r="A1267" s="15" t="n">
        <f aca="false">Report!C1657</f>
        <v>46237</v>
      </c>
      <c r="B1267" s="1" t="str">
        <f aca="false">Report!E1657</f>
        <v>COMERCIO DE FRIOS MANAUS LTDA</v>
      </c>
      <c r="C1267" s="17" t="n">
        <f aca="false">Report!U1657</f>
        <v>5892.2</v>
      </c>
      <c r="D1267" s="1" t="str">
        <f aca="false">Report!X1657</f>
        <v>NF173742 -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FRUTAL INDUSTRIA E COMERCIO LTDA</v>
      </c>
      <c r="C1268" s="17" t="n">
        <f aca="false">Report!U1658</f>
        <v>331.14</v>
      </c>
      <c r="D1268" s="1" t="str">
        <f aca="false">Report!X1658</f>
        <v>NF 227030 -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NORTELAC DISTRIBUIDORA DE FRIOS LTDA</v>
      </c>
      <c r="C1269" s="17" t="n">
        <f aca="false">Report!U1659</f>
        <v>1380</v>
      </c>
      <c r="D1269" s="1" t="str">
        <f aca="false">Report!X1659</f>
        <v>NF44711 -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PRIMICIA DISTRIBUIDORA DE FRIOS LTDA</v>
      </c>
      <c r="C1270" s="17" t="n">
        <f aca="false">Report!U1660</f>
        <v>1408.5</v>
      </c>
      <c r="D1270" s="1" t="str">
        <f aca="false">Report!X1660</f>
        <v>NF 3104 -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MAXFRI DISTRIUIDORA LTDA</v>
      </c>
      <c r="C1271" s="17" t="n">
        <f aca="false">Report!U1661</f>
        <v>2393.6</v>
      </c>
      <c r="D1271" s="1" t="str">
        <f aca="false">Report!X1661</f>
        <v>NF 14838 -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NJF INDUSTRIA E COMERCIO LTDA</v>
      </c>
      <c r="C1272" s="17" t="n">
        <f aca="false">Report!U1662</f>
        <v>184.5</v>
      </c>
      <c r="D1272" s="1" t="str">
        <f aca="false">Report!X1662</f>
        <v>NF 85345 -1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NOVA FRIOS COMERCIO ATACADISTA DE LATICINIOS LTDA</v>
      </c>
      <c r="C1273" s="17" t="n">
        <f aca="false">Report!U1663</f>
        <v>299.5</v>
      </c>
      <c r="D1273" s="1" t="str">
        <f aca="false">Report!X1663</f>
        <v>NF 4203 BODEGA DO PAO -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FORT COMERCIO DE BEBIDA LTDA</v>
      </c>
      <c r="C1274" s="17" t="n">
        <f aca="false">Report!U1664</f>
        <v>728.4</v>
      </c>
      <c r="D1274" s="1" t="str">
        <f aca="false">Report!X1664</f>
        <v>NF 145468 TOYA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PANIFICADORA E CONFEITARIA REAL MADRI LTDA</v>
      </c>
      <c r="C1275" s="17" t="n">
        <f aca="false">Report!U1665</f>
        <v>329.7</v>
      </c>
      <c r="D1275" s="1" t="str">
        <f aca="false">Report!X1665</f>
        <v>NF 736 -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C. R. PARENTE ABREU</v>
      </c>
      <c r="C1276" s="17" t="n">
        <f aca="false">Report!U1666</f>
        <v>285.48</v>
      </c>
      <c r="D1276" s="1" t="str">
        <f aca="false">Report!X1666</f>
        <v>NF 11493-1 KARU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ADRIANO FEITOSA OLIVEIRA LTDA</v>
      </c>
      <c r="C1277" s="17" t="n">
        <f aca="false">Report!U1667</f>
        <v>4244.34</v>
      </c>
      <c r="D1277" s="1" t="str">
        <f aca="false">Report!X1667</f>
        <v>NF 352 /PGTO PARA DIST. OLIVEIRA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RENATO DE O AZEVEDO E CIA LTDA - EPP</v>
      </c>
      <c r="C1278" s="17" t="n">
        <f aca="false">Report!U1668</f>
        <v>600</v>
      </c>
      <c r="D1278" s="1" t="str">
        <f aca="false">Report!X1668</f>
        <v>FARINHA 3 IRMAOS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RV TECNOLOGIA E SISTEMAS S.A</v>
      </c>
      <c r="C1279" s="17" t="n">
        <f aca="false">Report!U1669</f>
        <v>600.5</v>
      </c>
      <c r="D1279" s="1" t="str">
        <f aca="false">Report!X1669</f>
        <v>RV RECARGA CELULAR  CHIPS-ANDREZA</v>
      </c>
    </row>
    <row r="1280" customFormat="false" ht="12.75" hidden="false" customHeight="true" outlineLevel="0" collapsed="false">
      <c r="A1280" s="15" t="n">
        <f aca="false">Report!C1673</f>
        <v>46237</v>
      </c>
      <c r="B1280" s="1" t="str">
        <f aca="false">Report!E1673</f>
        <v>H L M PADARIA E CONFEITARIA LTDA</v>
      </c>
      <c r="C1280" s="17" t="n">
        <f aca="false">Report!U1673</f>
        <v>300</v>
      </c>
      <c r="D1280" s="1" t="str">
        <f aca="false">Report!X1673</f>
        <v>NF 114 - DEBORA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GELO DANGELO FABRICACAO DE GELO LTDA</v>
      </c>
      <c r="C1281" s="17" t="n">
        <f aca="false">Report!U1674</f>
        <v>564</v>
      </c>
      <c r="D1281" s="1" t="str">
        <f aca="false">Report!X1674</f>
        <v>NF 426 - DEBORA</v>
      </c>
    </row>
    <row r="1282" customFormat="false" ht="12.75" hidden="false" customHeight="true" outlineLevel="0" collapsed="false">
      <c r="A1282" s="15" t="n">
        <f aca="false">Report!C1676</f>
        <v>46238</v>
      </c>
      <c r="B1282" s="1" t="str">
        <f aca="false">Report!E1676</f>
        <v>PRIME PET DISTRIBUIDORA LTDA</v>
      </c>
      <c r="C1282" s="17" t="n">
        <f aca="false">Report!U1676</f>
        <v>1849.57</v>
      </c>
      <c r="D1282" s="1" t="str">
        <f aca="false">Report!X1676</f>
        <v>NF 11002-02/07 MILKA 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MARTINS COM SERV DISTR SA</v>
      </c>
      <c r="C1283" s="17" t="n">
        <f aca="false">Report!U1677</f>
        <v>3184.12</v>
      </c>
      <c r="D1283" s="1" t="str">
        <f aca="false">Report!X1677</f>
        <v>18259031 /NF1778370 NF1778371 - 03 MILKA</v>
      </c>
    </row>
    <row r="1284" customFormat="false" ht="12.75" hidden="false" customHeight="true" outlineLevel="0" collapsed="false">
      <c r="A1284" s="15" t="n">
        <f aca="false">Report!C1679</f>
        <v>46238</v>
      </c>
      <c r="B1284" s="1" t="str">
        <f aca="false">Report!E1679</f>
        <v>BRASIL NORTE BEBIDAS S/A</v>
      </c>
      <c r="C1284" s="17" t="n">
        <f aca="false">Report!U1679</f>
        <v>94.32</v>
      </c>
      <c r="D1284" s="1" t="str">
        <f aca="false">Report!X1679</f>
        <v>NF 1190625 -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DUNORTE DISTRIBUIDORA DE PRODUTOS DE CONSUMO LTDA</v>
      </c>
      <c r="C1285" s="17" t="n">
        <f aca="false">Report!U1680</f>
        <v>2406.33</v>
      </c>
      <c r="D1285" s="1" t="str">
        <f aca="false">Report!X1680</f>
        <v>NF 3216535 -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RISADINHA LTDA</v>
      </c>
      <c r="C1286" s="17" t="n">
        <f aca="false">Report!U1681</f>
        <v>823.64</v>
      </c>
      <c r="D1286" s="1" t="str">
        <f aca="false">Report!X1681</f>
        <v>NF 662479-01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BETA INDUSTRIA E COMERCIO DE ALIMENTOS</v>
      </c>
      <c r="C1287" s="17" t="n">
        <f aca="false">Report!U1682</f>
        <v>909.9</v>
      </c>
      <c r="D1287" s="1" t="str">
        <f aca="false">Report!X1682</f>
        <v>NF10861 PAPAGUARA -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EMPRESA BRASILEIRA DE DISTRIBUICAO LTDA</v>
      </c>
      <c r="C1288" s="17" t="n">
        <f aca="false">Report!U1683</f>
        <v>2237.12</v>
      </c>
      <c r="D1288" s="1" t="str">
        <f aca="false">Report!X1683</f>
        <v>NF 2300748 EBD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7" t="n">
        <f aca="false">Report!U1684</f>
        <v>555.15</v>
      </c>
      <c r="D1289" s="1" t="str">
        <f aca="false">Report!X1684</f>
        <v>NF 2300749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FENNIX BRASIL DISTRIBUIDORA DE PRODUTOS</v>
      </c>
      <c r="C1290" s="17" t="n">
        <f aca="false">Report!U1685</f>
        <v>1224.01</v>
      </c>
      <c r="D1290" s="1" t="str">
        <f aca="false">Report!X1685</f>
        <v>NF 396457 C/ TARIFA INCLUSA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ATACADAO S.A.</v>
      </c>
      <c r="C1291" s="17" t="n">
        <f aca="false">Report!U1686</f>
        <v>479.64</v>
      </c>
      <c r="D1291" s="1" t="str">
        <f aca="false">Report!X1686</f>
        <v>NF 1905834 -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NT INDUSTRIA E COMERCIO DE PANIFICACAO L</v>
      </c>
      <c r="C1292" s="17" t="n">
        <f aca="false">Report!U1687</f>
        <v>3510.17</v>
      </c>
      <c r="D1292" s="1" t="str">
        <f aca="false">Report!X1687</f>
        <v>NF 41617 -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TAPAJOS COM DE PERFUMARIA COSMETICOS E G</v>
      </c>
      <c r="C1293" s="17" t="n">
        <f aca="false">Report!U1688</f>
        <v>621.07</v>
      </c>
      <c r="D1293" s="1" t="str">
        <f aca="false">Report!X1688</f>
        <v>NF 581016-1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MARE DISTRIBUIDORA DE BEBIDAS E DE PRODUTOS ALIMENTICIOS LTDA</v>
      </c>
      <c r="C1294" s="17" t="n">
        <f aca="false">Report!U1689</f>
        <v>2113.2</v>
      </c>
      <c r="D1294" s="1" t="str">
        <f aca="false">Report!X1689</f>
        <v>NF 1398219 MAGISTRAL -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H.V.M. XAVIER ALIMENTOS</v>
      </c>
      <c r="C1295" s="17" t="n">
        <f aca="false">Report!U1690</f>
        <v>194.4</v>
      </c>
      <c r="D1295" s="1" t="str">
        <f aca="false">Report!X1690</f>
        <v>NF 134892 MULTI QUEIJO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T A DE MATTOS COMIM EIRELI</v>
      </c>
      <c r="C1296" s="17" t="n">
        <f aca="false">Report!U1691</f>
        <v>228</v>
      </c>
      <c r="D1296" s="1" t="str">
        <f aca="false">Report!X1691</f>
        <v>NF 10753 CASA NOSTRA - MILKA</v>
      </c>
    </row>
    <row r="1297" customFormat="false" ht="12.75" hidden="false" customHeight="true" outlineLevel="0" collapsed="false">
      <c r="A1297" s="15" t="n">
        <f aca="false">Report!C1693</f>
        <v>46238</v>
      </c>
      <c r="B1297" s="1" t="str">
        <f aca="false">Report!E1693</f>
        <v>BROTHERS  INDUSTRIA DE ALIMENTOS LTDA</v>
      </c>
      <c r="C1297" s="17" t="n">
        <f aca="false">Report!U1693</f>
        <v>554.3</v>
      </c>
      <c r="D1297" s="1" t="str">
        <f aca="false">Report!X1693</f>
        <v>NF 1033944 -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VITAPAN COMERCIO VAREJISTA DE PRODUTOS ALIMENTICIOS LTDA</v>
      </c>
      <c r="C1298" s="17" t="n">
        <f aca="false">Report!U1694</f>
        <v>864</v>
      </c>
      <c r="D1298" s="1" t="str">
        <f aca="false">Report!X1694</f>
        <v>NF 10419 -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PANIFICADORA E CONFEITARIA REAL MADRI LTDA</v>
      </c>
      <c r="C1299" s="17" t="n">
        <f aca="false">Report!U1695</f>
        <v>700</v>
      </c>
      <c r="D1299" s="1" t="str">
        <f aca="false">Report!X1695</f>
        <v>NF 738 -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ADICSO FABIAN GONZALEZ MONTILLA 70302186</v>
      </c>
      <c r="C1300" s="17" t="n">
        <f aca="false">Report!U1696</f>
        <v>840</v>
      </c>
      <c r="D1300" s="1" t="str">
        <f aca="false">Report!X1696</f>
        <v>NF 568 BLOOM - MILKA</v>
      </c>
    </row>
    <row r="1301" customFormat="false" ht="12.75" hidden="false" customHeight="true" outlineLevel="0" collapsed="false">
      <c r="A1301" s="15" t="n">
        <f aca="false">Report!C1699</f>
        <v>46238</v>
      </c>
      <c r="B1301" s="1" t="str">
        <f aca="false">Report!E1699</f>
        <v>RENATO DE O AZEVEDO E CIA LTDA - EPP</v>
      </c>
      <c r="C1301" s="17" t="n">
        <f aca="false">Report!U1699</f>
        <v>200</v>
      </c>
      <c r="D1301" s="1" t="str">
        <f aca="false">Report!X1699</f>
        <v>10 KG PITAYA - DEBORA</v>
      </c>
    </row>
    <row r="1302" customFormat="false" ht="12.75" hidden="false" customHeight="true" outlineLevel="0" collapsed="false">
      <c r="A1302" s="15" t="n">
        <f aca="false">Report!C1703</f>
        <v>46238</v>
      </c>
      <c r="B1302" s="1" t="str">
        <f aca="false">Report!E1703</f>
        <v>RENATO DE O AZEVEDO E CIA LTDA - EPP</v>
      </c>
      <c r="C1302" s="17" t="n">
        <f aca="false">Report!U1703</f>
        <v>2770</v>
      </c>
      <c r="D1302" s="1" t="str">
        <f aca="false">Report!X1703</f>
        <v>FEIRA RENATO - DEBORA</v>
      </c>
    </row>
    <row r="1303" customFormat="false" ht="12.75" hidden="false" customHeight="true" outlineLevel="0" collapsed="false">
      <c r="A1303" s="15" t="n">
        <f aca="false">Report!C1705</f>
        <v>46238</v>
      </c>
      <c r="B1303" s="1" t="str">
        <f aca="false">Report!E1705</f>
        <v>RENATO DE O AZEVEDO E CIA LTDA - EPP</v>
      </c>
      <c r="C1303" s="17" t="n">
        <f aca="false">Report!U1705</f>
        <v>710</v>
      </c>
      <c r="D1303" s="1" t="str">
        <f aca="false">Report!X1705</f>
        <v>BANANA PACOVAN - 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A L DE ALMEIDA NETO MINIMERCADOS-ME</v>
      </c>
      <c r="C1304" s="17" t="n">
        <f aca="false">Report!U1706</f>
        <v>205</v>
      </c>
      <c r="D1304" s="1" t="str">
        <f aca="false">Report!X1706</f>
        <v>NF 7322 - DEBORA</v>
      </c>
    </row>
    <row r="1305" customFormat="false" ht="12.75" hidden="false" customHeight="true" outlineLevel="0" collapsed="false">
      <c r="A1305" s="15" t="n">
        <f aca="false">Report!C1712</f>
        <v>46239</v>
      </c>
      <c r="B1305" s="1" t="str">
        <f aca="false">Report!E1712</f>
        <v>PRIME PET DISTRIBUIDORA LTDA</v>
      </c>
      <c r="C1305" s="17" t="n">
        <f aca="false">Report!U1712</f>
        <v>1488.3</v>
      </c>
      <c r="D1305" s="1" t="str">
        <f aca="false">Report!X1712</f>
        <v>NF 10262 -08/09 MILKA</v>
      </c>
    </row>
    <row r="1306" customFormat="false" ht="12.75" hidden="false" customHeight="true" outlineLevel="0" collapsed="false">
      <c r="A1306" s="15" t="n">
        <f aca="false">Report!C1718</f>
        <v>46239</v>
      </c>
      <c r="B1306" s="1" t="str">
        <f aca="false">Report!E1718</f>
        <v>FEMAR IND E COM DE BEBIDAS LTDA</v>
      </c>
      <c r="C1306" s="17" t="n">
        <f aca="false">Report!U1718</f>
        <v>990.72</v>
      </c>
      <c r="D1306" s="1" t="str">
        <f aca="false">Report!X1718</f>
        <v>NF 53383 - MILKA</v>
      </c>
    </row>
    <row r="1307" customFormat="false" ht="12.75" hidden="false" customHeight="true" outlineLevel="0" collapsed="false">
      <c r="A1307" s="15" t="n">
        <f aca="false">Report!C1720</f>
        <v>46239</v>
      </c>
      <c r="B1307" s="1" t="str">
        <f aca="false">Report!E1720</f>
        <v>L S M COMERCIO DE ALIMENTOS E NAVEGACAO</v>
      </c>
      <c r="C1307" s="17" t="n">
        <f aca="false">Report!U1720</f>
        <v>732.46</v>
      </c>
      <c r="D1307" s="1" t="str">
        <f aca="false">Report!X1720</f>
        <v>NF 307805-3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FUNNY PET DISTRIBUIDORA DE ALIMENTOS PAR</v>
      </c>
      <c r="C1308" s="17" t="n">
        <f aca="false">Report!U1721</f>
        <v>1475.42</v>
      </c>
      <c r="D1308" s="1" t="str">
        <f aca="false">Report!X1721</f>
        <v>NF 21048-1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RCL COMERCIO DE PRODUTOS ALIMENTICIOS LT</v>
      </c>
      <c r="C1309" s="17" t="n">
        <f aca="false">Report!U1722</f>
        <v>527.04</v>
      </c>
      <c r="D1309" s="1" t="str">
        <f aca="false">Report!X1722</f>
        <v>NF 218815 -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EMPRESA BRASILEIRA DE DISTRIBUICAO LTDA</v>
      </c>
      <c r="C1310" s="17" t="n">
        <f aca="false">Report!U1723</f>
        <v>1828.54</v>
      </c>
      <c r="D1310" s="1" t="str">
        <f aca="false">Report!X1723</f>
        <v>NF 2301161 EBD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CB COMERCIO E DISTRIBUIDORA DE ALIMENTOS</v>
      </c>
      <c r="C1311" s="17" t="n">
        <f aca="false">Report!U1724</f>
        <v>546.17</v>
      </c>
      <c r="D1311" s="1" t="str">
        <f aca="false">Report!X1724</f>
        <v>NF 854259 -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BRF S A</v>
      </c>
      <c r="C1312" s="17" t="n">
        <f aca="false">Report!U1725</f>
        <v>4171.51</v>
      </c>
      <c r="D1312" s="1" t="str">
        <f aca="false">Report!X1725</f>
        <v>NF 1608648 -02/02  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ATACADAO S.A.</v>
      </c>
      <c r="C1313" s="17" t="n">
        <f aca="false">Report!U1726</f>
        <v>832.4</v>
      </c>
      <c r="D1313" s="1" t="str">
        <f aca="false">Report!X1726</f>
        <v>NF 1906316 -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ADRIANA DISTRIBUIDORA DE PRODUTOS ALIMEN</v>
      </c>
      <c r="C1314" s="17" t="n">
        <f aca="false">Report!U1727</f>
        <v>1420.57</v>
      </c>
      <c r="D1314" s="1" t="str">
        <f aca="false">Report!X1727</f>
        <v>NF 886068-1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TAPAJOS COM DE PERFUMARIA COSMETICOS E G</v>
      </c>
      <c r="C1315" s="17" t="n">
        <f aca="false">Report!U1728</f>
        <v>1471.39</v>
      </c>
      <c r="D1315" s="1" t="str">
        <f aca="false">Report!X1728</f>
        <v>NF 581288 - DEBORA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ORIENTE COM. ATACADISTA E REPRES. LTDA</v>
      </c>
      <c r="C1316" s="17" t="n">
        <f aca="false">Report!U1729</f>
        <v>2195.6</v>
      </c>
      <c r="D1316" s="1" t="str">
        <f aca="false">Report!X1729</f>
        <v>3344/1  NF2785 - MILKA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DISTRIBUIDORA LOPES LTDA</v>
      </c>
      <c r="C1317" s="17" t="n">
        <f aca="false">Report!U1730</f>
        <v>1790.09</v>
      </c>
      <c r="D1317" s="1" t="str">
        <f aca="false">Report!X1730</f>
        <v>NF 1696462 C/DESCONTO NO BOLETO - DEBORA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TRES CORACOES ALIMENTOS S.A.</v>
      </c>
      <c r="C1318" s="17" t="n">
        <f aca="false">Report!U1731</f>
        <v>2063.42</v>
      </c>
      <c r="D1318" s="1" t="str">
        <f aca="false">Report!X1731</f>
        <v>NF353326-01 MILKA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BRF S A</v>
      </c>
      <c r="C1319" s="17" t="n">
        <f aca="false">Report!U1732</f>
        <v>447.25</v>
      </c>
      <c r="D1319" s="1" t="str">
        <f aca="false">Report!X1732</f>
        <v>NF 1611343-01/02 MILKA</v>
      </c>
    </row>
    <row r="1320" customFormat="false" ht="12.75" hidden="false" customHeight="true" outlineLevel="0" collapsed="false">
      <c r="A1320" s="15" t="n">
        <f aca="false">Report!C1736</f>
        <v>46239</v>
      </c>
      <c r="B1320" s="1" t="str">
        <f aca="false">Report!E1736</f>
        <v>RENATO DE O AZEVEDO E CIA LTDA - EPP</v>
      </c>
      <c r="C1320" s="17" t="n">
        <f aca="false">Report!U1736</f>
        <v>280</v>
      </c>
      <c r="D1320" s="1" t="str">
        <f aca="false">Report!X1736</f>
        <v>DOC.:157430/1 /VISCERA SR.RENATO -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SILVA E SANTOS FRIGORIFICO LTDA</v>
      </c>
      <c r="C1321" s="17" t="n">
        <f aca="false">Report!U1737</f>
        <v>3642.5</v>
      </c>
      <c r="D1321" s="1" t="str">
        <f aca="false">Report!X1737</f>
        <v>NF32114 - MILKA</v>
      </c>
    </row>
    <row r="1322" customFormat="false" ht="12.75" hidden="false" customHeight="true" outlineLevel="0" collapsed="false">
      <c r="A1322" s="15" t="n">
        <f aca="false">Report!C1739</f>
        <v>46239</v>
      </c>
      <c r="B1322" s="1" t="str">
        <f aca="false">Report!E1739</f>
        <v>JAB COMERCIO DE PRODUTOS ALIMENTICIOS LT</v>
      </c>
      <c r="C1322" s="17" t="n">
        <f aca="false">Report!U1739</f>
        <v>287</v>
      </c>
      <c r="D1322" s="1" t="str">
        <f aca="false">Report!X1739</f>
        <v>NF 3624 SANTO PAO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RENATO DE O AZEVEDO E CIA LTDA - EPP</v>
      </c>
      <c r="C1323" s="17" t="n">
        <f aca="false">Report!U1740</f>
        <v>1581</v>
      </c>
      <c r="D1323" s="1" t="str">
        <f aca="false">Report!X1740</f>
        <v>FEIRA CARLOS - DEBORA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COMERCIO E TRANSPORTE BRANDAO LTDA</v>
      </c>
      <c r="C1324" s="17" t="n">
        <f aca="false">Report!U1741</f>
        <v>750</v>
      </c>
      <c r="D1324" s="1" t="str">
        <f aca="false">Report!X1741</f>
        <v>NF 15021 -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RENATO DE O AZEVEDO E CIA LTDA - EPP</v>
      </c>
      <c r="C1325" s="17" t="n">
        <f aca="false">Report!U1742</f>
        <v>70</v>
      </c>
      <c r="D1325" s="1" t="str">
        <f aca="false">Report!X1742</f>
        <v>CAMARAO COM CASCA - FEIRA CARLOS - DEBORA</v>
      </c>
    </row>
    <row r="1326" customFormat="false" ht="12.75" hidden="false" customHeight="true" outlineLevel="0" collapsed="false">
      <c r="A1326" s="15" t="n">
        <f aca="false">Report!C1745</f>
        <v>46239</v>
      </c>
      <c r="B1326" s="1" t="str">
        <f aca="false">Report!E1745</f>
        <v>RENATO DE O AZEVEDO E CIA LTDA - EPP</v>
      </c>
      <c r="C1326" s="17" t="n">
        <f aca="false">Report!U1745</f>
        <v>500</v>
      </c>
      <c r="D1326" s="1" t="str">
        <f aca="false">Report!X1745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H L M PADARIA E CONFEITARIA LTDA</v>
      </c>
      <c r="C1327" s="17" t="n">
        <f aca="false">Report!U1746</f>
        <v>280</v>
      </c>
      <c r="D1327" s="1" t="str">
        <f aca="false">Report!X1746</f>
        <v>NF 122 - DEBORA</v>
      </c>
    </row>
    <row r="1328" customFormat="false" ht="12.75" hidden="false" customHeight="true" outlineLevel="0" collapsed="false">
      <c r="A1328" s="15" t="n">
        <f aca="false">Report!C1750</f>
        <v>46240</v>
      </c>
      <c r="B1328" s="1" t="str">
        <f aca="false">Report!E1750</f>
        <v>FENNIX BRASIL DISTRIBUIDORA DE PRODUTOS</v>
      </c>
      <c r="C1328" s="17" t="n">
        <f aca="false">Report!U1750</f>
        <v>1643.75</v>
      </c>
      <c r="D1328" s="1" t="str">
        <f aca="false">Report!X1750</f>
        <v>NF 312590-3 MILKA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OCIDENTAL COMERCIO DE FRIOS LTDA</v>
      </c>
      <c r="C1329" s="17" t="n">
        <f aca="false">Report!U1751</f>
        <v>828.44</v>
      </c>
      <c r="D1329" s="1" t="str">
        <f aca="false">Report!X1751</f>
        <v>NF 1245715-2/2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DUNORTE DISTRIBUIDORA DE PRODUTOS DE CONSUMO LTDA</v>
      </c>
      <c r="C1330" s="17" t="n">
        <f aca="false">Report!U1752</f>
        <v>1757.52</v>
      </c>
      <c r="D1330" s="1" t="str">
        <f aca="false">Report!X1752</f>
        <v>NF 3220224 -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CB COMERCIO E DISTRIBUIDORA DE ALIMENTOS</v>
      </c>
      <c r="C1331" s="17" t="n">
        <f aca="false">Report!U1753</f>
        <v>748.7</v>
      </c>
      <c r="D1331" s="1" t="str">
        <f aca="false">Report!X1753</f>
        <v>952611-B/C  NF854275 -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DISTRIBUIDORA LOPES LTDA</v>
      </c>
      <c r="C1332" s="17" t="n">
        <f aca="false">Report!U1754</f>
        <v>2799.83</v>
      </c>
      <c r="D1332" s="1" t="str">
        <f aca="false">Report!X1754</f>
        <v>NF 1693814 DESCONTO EM BOLETO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MARQUES &amp; MELO LTDA - FILIAL</v>
      </c>
      <c r="C1333" s="17" t="n">
        <f aca="false">Report!U1755</f>
        <v>1181.96</v>
      </c>
      <c r="D1333" s="1" t="str">
        <f aca="false">Report!X1755</f>
        <v>NF 502189 -01 DISMELO - 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SL DISTRIBUIDORA COM. DE PROD. ALIMENTIC</v>
      </c>
      <c r="C1334" s="17" t="n">
        <f aca="false">Report!U1756</f>
        <v>1608.44</v>
      </c>
      <c r="D1334" s="1" t="str">
        <f aca="false">Report!X1756</f>
        <v>NF 10857 -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DISTRIBUIDORA FARIAS LTDA.</v>
      </c>
      <c r="C1335" s="17" t="n">
        <f aca="false">Report!U1757</f>
        <v>698.48</v>
      </c>
      <c r="D1335" s="1" t="str">
        <f aca="false">Report!X1757</f>
        <v>NF 682525 -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NESTLÉ BRASIL LTDA.</v>
      </c>
      <c r="C1336" s="17" t="n">
        <f aca="false">Report!U1758</f>
        <v>957.84</v>
      </c>
      <c r="D1336" s="1" t="str">
        <f aca="false">Report!X1758</f>
        <v>NF 1428642-03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EDMARA COMERCIO DE HIGIENE PESSOAL LTDA</v>
      </c>
      <c r="C1337" s="17" t="n">
        <f aca="false">Report!U1759</f>
        <v>2621.74</v>
      </c>
      <c r="D1337" s="1" t="str">
        <f aca="false">Report!X1759</f>
        <v>5431-A/D  NF8403 -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OCIDENTAL COMERCIO DE FRIOS LTDA</v>
      </c>
      <c r="C1338" s="17" t="n">
        <f aca="false">Report!U1760</f>
        <v>662.72</v>
      </c>
      <c r="D1338" s="1" t="str">
        <f aca="false">Report!X1760</f>
        <v>NF 1248470-01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FENNIX BRASIL DISTRIBUIDORA DE PRODUTOS</v>
      </c>
      <c r="C1339" s="17" t="n">
        <f aca="false">Report!U1761</f>
        <v>398.7</v>
      </c>
      <c r="D1339" s="1" t="str">
        <f aca="false">Report!X1761</f>
        <v>NF 396990 C/ ACRESCIMO -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DURAES DISTRIBUIDORA DE ESTIVAS LTDA</v>
      </c>
      <c r="C1340" s="17" t="n">
        <f aca="false">Report!U1762</f>
        <v>605.92</v>
      </c>
      <c r="D1340" s="1" t="str">
        <f aca="false">Report!X1762</f>
        <v>NF 651360 -1 DEBORA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FORTVET DISTRIBUIDORA LTDA</v>
      </c>
      <c r="C1341" s="17" t="n">
        <f aca="false">Report!U1763</f>
        <v>445.37</v>
      </c>
      <c r="D1341" s="1" t="str">
        <f aca="false">Report!X1763</f>
        <v>NF 2808-2 MILKA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DURAES DISTRIBUIDORA DE ESTIVAS LTDA</v>
      </c>
      <c r="C1342" s="17" t="n">
        <f aca="false">Report!U1764</f>
        <v>434.05</v>
      </c>
      <c r="D1342" s="1" t="str">
        <f aca="false">Report!X1764</f>
        <v>NF 651362 - DEBORA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FENNIX BRASIL DISTRIBUIDORA DE PRODUTOS</v>
      </c>
      <c r="C1343" s="17" t="n">
        <f aca="false">Report!U1765</f>
        <v>907.87</v>
      </c>
      <c r="D1343" s="1" t="str">
        <f aca="false">Report!X1765</f>
        <v>NF 314382 - COM TARIFA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NATUREZA COMERCIO DE DESCARTAVEIS LTDA</v>
      </c>
      <c r="C1344" s="17" t="n">
        <f aca="false">Report!U1766</f>
        <v>340</v>
      </c>
      <c r="D1344" s="1" t="str">
        <f aca="false">Report!X1766</f>
        <v>NF 739552 - MILKA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NESTLÉ BRASIL LTDA.</v>
      </c>
      <c r="C1345" s="17" t="n">
        <f aca="false">Report!U1767</f>
        <v>1721.47</v>
      </c>
      <c r="D1345" s="1" t="str">
        <f aca="false">Report!X1767</f>
        <v>NF 1431708-02/03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C. R. PARENTE ABREU</v>
      </c>
      <c r="C1346" s="17" t="n">
        <f aca="false">Report!U1768</f>
        <v>285.48</v>
      </c>
      <c r="D1346" s="1" t="str">
        <f aca="false">Report!X1768</f>
        <v>NF 11493-2 KARU -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H. L. DO NASCIMENTO</v>
      </c>
      <c r="C1347" s="17" t="n">
        <f aca="false">Report!U1769</f>
        <v>365</v>
      </c>
      <c r="D1347" s="1" t="str">
        <f aca="false">Report!X1769</f>
        <v>NF 5888 FAZENDINHA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MAXFRI DISTRIUIDORA LTDA</v>
      </c>
      <c r="C1348" s="17" t="n">
        <f aca="false">Report!U1770</f>
        <v>4726.7</v>
      </c>
      <c r="D1348" s="1" t="str">
        <f aca="false">Report!X1770</f>
        <v>NF 14881 -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PANIFICADORA E CONFEITARIA REAL MADRI LTDA</v>
      </c>
      <c r="C1349" s="17" t="n">
        <f aca="false">Report!U1771</f>
        <v>739.15</v>
      </c>
      <c r="D1349" s="1" t="str">
        <f aca="false">Report!X1771</f>
        <v>NF 739 -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ADICSO FABIAN GONZALEZ MONTILLA 70302186</v>
      </c>
      <c r="C1350" s="17" t="n">
        <f aca="false">Report!U1772</f>
        <v>816</v>
      </c>
      <c r="D1350" s="1" t="str">
        <f aca="false">Report!X1772</f>
        <v>NF 576 BLOOM - MILKA</v>
      </c>
    </row>
    <row r="1351" customFormat="false" ht="12.75" hidden="false" customHeight="true" outlineLevel="0" collapsed="false">
      <c r="A1351" s="15" t="n">
        <f aca="false">Report!C1776</f>
        <v>46240</v>
      </c>
      <c r="B1351" s="1" t="str">
        <f aca="false">Report!E1776</f>
        <v>RENATO DE O AZEVEDO E CIA LTDA - EPP</v>
      </c>
      <c r="C1351" s="17" t="n">
        <f aca="false">Report!U1776</f>
        <v>350</v>
      </c>
      <c r="D1351" s="1" t="str">
        <f aca="false">Report!X1776</f>
        <v>ACAI DE ANORI - DEBORA - 30/07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7" t="n">
        <f aca="false">Report!U1777</f>
        <v>420</v>
      </c>
      <c r="D1352" s="1" t="str">
        <f aca="false">Report!X1777</f>
        <v>ACAI DE ANORI - DEBORA - DIA 01/08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7" t="n">
        <f aca="false">Report!U1778</f>
        <v>350</v>
      </c>
      <c r="D1353" s="1" t="str">
        <f aca="false">Report!X1778</f>
        <v>ACAI DE ANORI - DEBORA - 03/08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7" t="n">
        <f aca="false">Report!U1779</f>
        <v>350</v>
      </c>
      <c r="D1354" s="1" t="str">
        <f aca="false">Report!X1779</f>
        <v>ACAI DE ANORI - DEBORA - DIA 05/08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GELO DANGELO FABRICACAO DE GELO LTDA</v>
      </c>
      <c r="C1355" s="17" t="n">
        <f aca="false">Report!U1780</f>
        <v>405.5</v>
      </c>
      <c r="D1355" s="1" t="str">
        <f aca="false">Report!X1780</f>
        <v>NF 443 - DEBORA</v>
      </c>
    </row>
    <row r="1356" customFormat="false" ht="12.75" hidden="false" customHeight="true" outlineLevel="0" collapsed="false">
      <c r="A1356" s="15" t="n">
        <f aca="false">Report!C1782</f>
        <v>46240</v>
      </c>
      <c r="B1356" s="1" t="str">
        <f aca="false">Report!E1782</f>
        <v>RV TECNOLOGIA E SISTEMAS S.A</v>
      </c>
      <c r="C1356" s="17" t="n">
        <f aca="false">Report!U1782</f>
        <v>626.05</v>
      </c>
      <c r="D1356" s="1" t="str">
        <f aca="false">Report!X1782</f>
        <v>RV RECARGA CELULAR -ANDREZA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JACKSON ROCHA NUNES</v>
      </c>
      <c r="C1357" s="17" t="n">
        <f aca="false">Report!U1783</f>
        <v>750</v>
      </c>
      <c r="D1357" s="1" t="str">
        <f aca="false">Report!X1783</f>
        <v>NF 237 - DEBORA</v>
      </c>
    </row>
    <row r="1358" customFormat="false" ht="12.75" hidden="false" customHeight="true" outlineLevel="0" collapsed="false">
      <c r="A1358" s="15" t="n">
        <f aca="false">Report!C1784</f>
        <v>46241</v>
      </c>
      <c r="B1358" s="1" t="str">
        <f aca="false">Report!E1784</f>
        <v>PRIME PET DISTRIBUIDORA LTDA</v>
      </c>
      <c r="C1358" s="17" t="n">
        <f aca="false">Report!U1784</f>
        <v>250.38</v>
      </c>
      <c r="D1358" s="1" t="str">
        <f aca="false">Report!X1784</f>
        <v>NF 10336 -08 MILKA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BRASIL NORTE BEBIDAS S/A</v>
      </c>
      <c r="C1359" s="17" t="n">
        <f aca="false">Report!U1785</f>
        <v>65.93</v>
      </c>
      <c r="D1359" s="1" t="str">
        <f aca="false">Report!X1785</f>
        <v>NF 1950823 COCA / DESCONTO COMODATO -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OPPORTUNITY ALIMENTOS PARA ANIMAIS LTDA</v>
      </c>
      <c r="C1360" s="17" t="n">
        <f aca="false">Report!U1786</f>
        <v>1091.08</v>
      </c>
      <c r="D1360" s="1" t="str">
        <f aca="false">Report!X1786</f>
        <v>NF 34611 -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DISTRIBUIDORA FARIAS LTDA.</v>
      </c>
      <c r="C1361" s="17" t="n">
        <f aca="false">Report!U1787</f>
        <v>871.12</v>
      </c>
      <c r="D1361" s="1" t="str">
        <f aca="false">Report!X1787</f>
        <v>804856-C/C  NF681131 -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EDMARA COMERCIO DE HIGIENE PESSOAL LTDA</v>
      </c>
      <c r="C1362" s="17" t="n">
        <f aca="false">Report!U1788</f>
        <v>523.67</v>
      </c>
      <c r="D1362" s="1" t="str">
        <f aca="false">Report!X1788</f>
        <v>5350-B/C  NF8364 -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BRASIL NORTE BEBIDAS S/A</v>
      </c>
      <c r="C1363" s="17" t="n">
        <f aca="false">Report!U1789</f>
        <v>215.52</v>
      </c>
      <c r="D1363" s="1" t="str">
        <f aca="false">Report!X1789</f>
        <v>NF1197029 COCA / TARIFA INCLUSA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OPPORTUNITY ALIMENTOS PARA ANIMAIS LTDA</v>
      </c>
      <c r="C1364" s="17" t="n">
        <f aca="false">Report!U1790</f>
        <v>2006</v>
      </c>
      <c r="D1364" s="1" t="str">
        <f aca="false">Report!X1790</f>
        <v>NF 34663-3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OESA COMERCIO E REPRESENTACOES S/A</v>
      </c>
      <c r="C1365" s="17" t="n">
        <f aca="false">Report!U1791</f>
        <v>1180.51</v>
      </c>
      <c r="D1365" s="1" t="str">
        <f aca="false">Report!X1791</f>
        <v>NF 430879-2 DELLY'S -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PIARARA COMERCIO, IMPORTACAO E EXPORTACAO LTDA</v>
      </c>
      <c r="C1366" s="17" t="n">
        <f aca="false">Report!U1792</f>
        <v>808.45</v>
      </c>
      <c r="D1366" s="1" t="str">
        <f aca="false">Report!X1792</f>
        <v>NF 194574 -2 MILKA</v>
      </c>
    </row>
    <row r="1367" customFormat="false" ht="12.75" hidden="false" customHeight="true" outlineLevel="0" collapsed="false">
      <c r="A1367" s="15" t="n">
        <f aca="false">Report!C1794</f>
        <v>46241</v>
      </c>
      <c r="B1367" s="1" t="str">
        <f aca="false">Report!E1794</f>
        <v>SOUZA CRUZ LTDA.</v>
      </c>
      <c r="C1367" s="17" t="n">
        <f aca="false">Report!U1794</f>
        <v>7635.42</v>
      </c>
      <c r="D1367" s="1" t="str">
        <f aca="false">Report!X1794</f>
        <v>NF 568312-2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PIARARA COMERCIO, IMPORTACAO E EXPORTACAO LTDA</v>
      </c>
      <c r="C1368" s="17" t="n">
        <f aca="false">Report!U1795</f>
        <v>868.36</v>
      </c>
      <c r="D1368" s="1" t="str">
        <f aca="false">Report!X1795</f>
        <v>NF 194785 - DEBORA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J. S. MOREIRA ALVES LTDA</v>
      </c>
      <c r="C1369" s="17" t="n">
        <f aca="false">Report!U1796</f>
        <v>581.5</v>
      </c>
      <c r="D1369" s="1" t="str">
        <f aca="false">Report!X1796</f>
        <v>NF 2702 MESA FARTA - MILKA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IRMÃOS LIMA  ATACADO  DE ALIMENTOS LTDA</v>
      </c>
      <c r="C1370" s="17" t="n">
        <f aca="false">Report!U1797</f>
        <v>925.97</v>
      </c>
      <c r="D1370" s="1" t="str">
        <f aca="false">Report!X1797</f>
        <v>377101 -A/C  NF296100 -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NT INDUSTRIA E COMERCIO DE PANIFICACAO L</v>
      </c>
      <c r="C1371" s="17" t="n">
        <f aca="false">Report!U1798</f>
        <v>5054.39</v>
      </c>
      <c r="D1371" s="1" t="str">
        <f aca="false">Report!X1798</f>
        <v>NF 41958 -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BRASIL NORTE BEBIDAS S/A</v>
      </c>
      <c r="C1372" s="17" t="n">
        <f aca="false">Report!U1799</f>
        <v>5518.6</v>
      </c>
      <c r="D1372" s="1" t="str">
        <f aca="false">Report!X1799</f>
        <v>NF 1951962 COCA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7" t="n">
        <f aca="false">Report!U1800</f>
        <v>3459.51</v>
      </c>
      <c r="D1373" s="1" t="str">
        <f aca="false">Report!X1800</f>
        <v>NF 1217731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7" t="n">
        <f aca="false">Report!U1801</f>
        <v>152.38</v>
      </c>
      <c r="D1374" s="1" t="str">
        <f aca="false">Report!X1801</f>
        <v>NF 1216466 C/DESCONTO DO COMODATO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BRF S A</v>
      </c>
      <c r="C1375" s="17" t="n">
        <f aca="false">Report!U1802</f>
        <v>676.2</v>
      </c>
      <c r="D1375" s="1" t="str">
        <f aca="false">Report!X1802</f>
        <v>NF 1611963 -01/02 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COMERCIO DE FRIOS MANAUS LTDA</v>
      </c>
      <c r="C1376" s="17" t="n">
        <f aca="false">Report!U1803</f>
        <v>5242.4</v>
      </c>
      <c r="D1376" s="1" t="str">
        <f aca="false">Report!X1803</f>
        <v>NF 173886 -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RENATO DE O AZEVEDO E CIA LTDA - EPP</v>
      </c>
      <c r="C1377" s="17" t="n">
        <f aca="false">Report!U1804</f>
        <v>1560</v>
      </c>
      <c r="D1377" s="1" t="str">
        <f aca="false">Report!X1804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BROTHERS  INDUSTRIA DE ALIMENTOS LTDA</v>
      </c>
      <c r="C1378" s="17" t="n">
        <f aca="false">Report!U1805</f>
        <v>556.5</v>
      </c>
      <c r="D1378" s="1" t="str">
        <f aca="false">Report!X1805</f>
        <v>NF 1034623 - MILKA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VITAPAN COMERCIO VAREJISTA DE PRODUTOS ALIMENTICIOS LTDA</v>
      </c>
      <c r="C1379" s="17" t="n">
        <f aca="false">Report!U1806</f>
        <v>1026</v>
      </c>
      <c r="D1379" s="1" t="str">
        <f aca="false">Report!X1806</f>
        <v>NF 10438 - MILKA</v>
      </c>
    </row>
    <row r="1380" customFormat="false" ht="12.75" hidden="false" customHeight="true" outlineLevel="0" collapsed="false">
      <c r="A1380" s="15" t="n">
        <f aca="false">Report!C1808</f>
        <v>46241</v>
      </c>
      <c r="B1380" s="1" t="str">
        <f aca="false">Report!E1808</f>
        <v>PANIFICADORA E CONFEITARIA REAL MADRI LTDA</v>
      </c>
      <c r="C1380" s="17" t="n">
        <f aca="false">Report!U1808</f>
        <v>700</v>
      </c>
      <c r="D1380" s="1" t="str">
        <f aca="false">Report!X1808</f>
        <v>NF 741 -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7" t="n">
        <f aca="false">Report!U1809</f>
        <v>474.5</v>
      </c>
      <c r="D1381" s="1" t="str">
        <f aca="false">Report!X1809</f>
        <v>NF 742 - MILKA</v>
      </c>
    </row>
    <row r="1382" customFormat="false" ht="12.75" hidden="false" customHeight="true" outlineLevel="0" collapsed="false">
      <c r="A1382" s="15" t="n">
        <f aca="false">Report!C1815</f>
        <v>46241</v>
      </c>
      <c r="B1382" s="1" t="str">
        <f aca="false">Report!E1815</f>
        <v>RENATO DE O AZEVEDO E CIA LTDA - EPP</v>
      </c>
      <c r="C1382" s="17" t="n">
        <f aca="false">Report!U1815</f>
        <v>3404</v>
      </c>
      <c r="D1382" s="1" t="str">
        <f aca="false">Report!X1815</f>
        <v>FEIRA SR RENATO - DEBORA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7" t="n">
        <f aca="false">Report!U1816</f>
        <v>830</v>
      </c>
      <c r="D1383" s="1" t="str">
        <f aca="false">Report!X1816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H L M PADARIA E CONFEITARIA LTDA</v>
      </c>
      <c r="C1384" s="17" t="n">
        <f aca="false">Report!U1817</f>
        <v>420</v>
      </c>
      <c r="D1384" s="1" t="str">
        <f aca="false">Report!X1817</f>
        <v>NF 131 -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LOURIVAL ALMEIDA DA SILVA 17128784845</v>
      </c>
      <c r="C1385" s="17" t="n">
        <f aca="false">Report!U1818</f>
        <v>160.32</v>
      </c>
      <c r="D1385" s="1" t="str">
        <f aca="false">Report!X1818</f>
        <v>NF 526 -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J W N DOS SANTOS</v>
      </c>
      <c r="C1386" s="17" t="n">
        <f aca="false">Report!U1819</f>
        <v>470</v>
      </c>
      <c r="D1386" s="1" t="str">
        <f aca="false">Report!X1819</f>
        <v>NF 396 -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MELISSA COMERCIO E DISTRIBUIDORA DE GAS</v>
      </c>
      <c r="C1387" s="17" t="n">
        <f aca="false">Report!U1820</f>
        <v>180</v>
      </c>
      <c r="D1387" s="1" t="str">
        <f aca="false">Report!X1820</f>
        <v>NF 1046 -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D N COMERCIO ATACADISTA DE EMBALAGENS E</v>
      </c>
      <c r="C1388" s="17" t="n">
        <f aca="false">Report!U1821</f>
        <v>360</v>
      </c>
      <c r="D1388" s="1" t="str">
        <f aca="false">Report!X1821</f>
        <v>NF414 VULCANO 2L / PGTO WARISON LUIZ - MILKA</v>
      </c>
    </row>
    <row r="1389" customFormat="false" ht="12.75" hidden="false" customHeight="true" outlineLevel="0" collapsed="false">
      <c r="A1389" s="15" t="n">
        <f aca="false">Report!C1822</f>
        <v>46242</v>
      </c>
      <c r="B1389" s="1" t="str">
        <f aca="false">Report!E1822</f>
        <v>RISADINHA LTDA</v>
      </c>
      <c r="C1389" s="17" t="n">
        <f aca="false">Report!U1822</f>
        <v>660</v>
      </c>
      <c r="D1389" s="1" t="str">
        <f aca="false">Report!X1822</f>
        <v>NF 660505-02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FORTVET DISTRIBUIDORA LTDA</v>
      </c>
      <c r="C1390" s="17" t="n">
        <f aca="false">Report!U1823</f>
        <v>527.3</v>
      </c>
      <c r="D1390" s="1" t="str">
        <f aca="false">Report!X1823</f>
        <v>NF 2737-2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SILVA E SANTOS FRIGORIFICO LTDA</v>
      </c>
      <c r="C1391" s="17" t="n">
        <f aca="false">Report!U1824</f>
        <v>3557.5</v>
      </c>
      <c r="D1391" s="1" t="str">
        <f aca="false">Report!X1824</f>
        <v>NF32187 -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MAXFRI DISTRIUIDORA LTDA</v>
      </c>
      <c r="C1392" s="17" t="n">
        <f aca="false">Report!U1825</f>
        <v>4044.8</v>
      </c>
      <c r="D1392" s="1" t="str">
        <f aca="false">Report!X1825</f>
        <v>NF14907 -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RENATO DE O AZEVEDO E CIA LTDA - EPP</v>
      </c>
      <c r="C1393" s="17" t="n">
        <f aca="false">Report!U1826</f>
        <v>3382</v>
      </c>
      <c r="D1393" s="1" t="str">
        <f aca="false">Report!X1826</f>
        <v>FEIRA CARLOS - DEBORA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COMERCIO E TRANSPORTE BRANDAO LTDA</v>
      </c>
      <c r="C1394" s="17" t="n">
        <f aca="false">Report!U1827</f>
        <v>1610</v>
      </c>
      <c r="D1394" s="1" t="str">
        <f aca="false">Report!X1827</f>
        <v>NF 15054 -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RENATO DE O AZEVEDO E CIA LTDA - EPP</v>
      </c>
      <c r="C1395" s="17" t="n">
        <f aca="false">Report!U1828</f>
        <v>70</v>
      </c>
      <c r="D1395" s="1" t="str">
        <f aca="false">Report!X1828</f>
        <v>CAMARAO COM CASCA - FEIRA CARLOS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GELO DANGELO FABRICACAO DE GELO LTDA</v>
      </c>
      <c r="C1396" s="17" t="n">
        <f aca="false">Report!U1829</f>
        <v>390</v>
      </c>
      <c r="D1396" s="1" t="str">
        <f aca="false">Report!X1829</f>
        <v>NF 455 -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H L M PADARIA E CONFEITARIA LTDA</v>
      </c>
      <c r="C1397" s="17" t="n">
        <f aca="false">Report!U1830</f>
        <v>840</v>
      </c>
      <c r="D1397" s="1" t="str">
        <f aca="false">Report!X1830</f>
        <v>NF 140 - DEBORA</v>
      </c>
    </row>
    <row r="1398" customFormat="false" ht="12.75" hidden="false" customHeight="true" outlineLevel="0" collapsed="false">
      <c r="A1398" s="15" t="n">
        <f aca="false">Report!C1831</f>
        <v>46243</v>
      </c>
      <c r="B1398" s="1" t="str">
        <f aca="false">Report!E1831</f>
        <v>OPPORTUNITY ALIMENTOS PARA ANIMAIS LTDA</v>
      </c>
      <c r="C1398" s="17" t="n">
        <f aca="false">Report!U1831</f>
        <v>3377.6</v>
      </c>
      <c r="D1398" s="1" t="str">
        <f aca="false">Report!X1831</f>
        <v>NF 34300-3 MILKA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E. SALES DO NASCIMENTO</v>
      </c>
      <c r="C1399" s="17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5" t="n">
        <f aca="false">Report!C1851</f>
        <v>46244</v>
      </c>
      <c r="B1400" s="1" t="str">
        <f aca="false">Report!E1851</f>
        <v>DISTRIBUIDORA LOPES LTDA</v>
      </c>
      <c r="C1400" s="17" t="n">
        <f aca="false">Report!U1851</f>
        <v>2819.44</v>
      </c>
      <c r="D1400" s="1" t="str">
        <f aca="false">Report!X1851</f>
        <v>NF 1690976 / DESCONTO NO BOLETO -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7" t="n">
        <f aca="false">Report!U1852</f>
        <v>1039.09</v>
      </c>
      <c r="D1401" s="1" t="str">
        <f aca="false">Report!X1852</f>
        <v>NF 1690878-3 MILKA / DESCONTO NO BOLETO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SUPERMERCADOS DB LTDA</v>
      </c>
      <c r="C1402" s="17" t="n">
        <f aca="false">Report!U1853</f>
        <v>319.2</v>
      </c>
      <c r="D1402" s="1" t="str">
        <f aca="false">Report!X1853</f>
        <v>NF51412 / PARC. 01/03  - MILKA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FUNNY PET DISTRIBUIDORA DE ALIMENTOS PAR</v>
      </c>
      <c r="C1403" s="17" t="n">
        <f aca="false">Report!U1854</f>
        <v>2186.18</v>
      </c>
      <c r="D1403" s="1" t="str">
        <f aca="false">Report!X1854</f>
        <v>NF 21047-1 MILKA</v>
      </c>
    </row>
    <row r="1404" customFormat="false" ht="12.75" hidden="false" customHeight="true" outlineLevel="0" collapsed="false">
      <c r="A1404" s="15" t="n">
        <f aca="false">Report!C1856</f>
        <v>46244</v>
      </c>
      <c r="B1404" s="1" t="str">
        <f aca="false">Report!E1856</f>
        <v>OCIDENTAL COMERCIO DE FRIOS LTDA</v>
      </c>
      <c r="C1404" s="17" t="n">
        <f aca="false">Report!U1856</f>
        <v>2044.89</v>
      </c>
      <c r="D1404" s="1" t="str">
        <f aca="false">Report!X1856</f>
        <v>NF 1249231-2/3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INNOVAR DISTRIBUIDORA DE COSMETICOS E MEDICAMENTOS LTDA</v>
      </c>
      <c r="C1405" s="17" t="n">
        <f aca="false">Report!U1857</f>
        <v>1958.46</v>
      </c>
      <c r="D1405" s="1" t="str">
        <f aca="false">Report!X1857</f>
        <v>NF 104754 - DEBORA</v>
      </c>
    </row>
    <row r="1406" customFormat="false" ht="12.75" hidden="false" customHeight="true" outlineLevel="0" collapsed="false">
      <c r="A1406" s="15" t="n">
        <f aca="false">Report!C1861</f>
        <v>46244</v>
      </c>
      <c r="B1406" s="1" t="str">
        <f aca="false">Report!E1861</f>
        <v>NJF INDUSTRIA E COMERCIO LTDA</v>
      </c>
      <c r="C1406" s="17" t="n">
        <f aca="false">Report!U1861</f>
        <v>184.5</v>
      </c>
      <c r="D1406" s="1" t="str">
        <f aca="false">Report!X1861</f>
        <v>NF 85345 -2 MILKA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7" t="n">
        <f aca="false">Report!U1862</f>
        <v>1164.5</v>
      </c>
      <c r="D1407" s="1" t="str">
        <f aca="false">Report!X1862</f>
        <v>NF 85346 -1 MILKA</v>
      </c>
    </row>
    <row r="1408" customFormat="false" ht="12.75" hidden="false" customHeight="true" outlineLevel="0" collapsed="false">
      <c r="A1408" s="15" t="n">
        <f aca="false">Report!C1865</f>
        <v>46244</v>
      </c>
      <c r="B1408" s="1" t="str">
        <f aca="false">Report!E1865</f>
        <v>CRBS S/A</v>
      </c>
      <c r="C1408" s="17" t="n">
        <f aca="false">Report!U1865</f>
        <v>4669.12</v>
      </c>
      <c r="D1408" s="1" t="str">
        <f aca="false">Report!X1865</f>
        <v>NF 931981 C/DESCONTO DE BONIFICACAO NA NF -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7" t="n">
        <f aca="false">Report!U1866</f>
        <v>223.09</v>
      </c>
      <c r="D1409" s="1" t="str">
        <f aca="false">Report!X1866</f>
        <v>NF 931982 AMBEV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7" t="n">
        <f aca="false">Report!U1867</f>
        <v>157.71</v>
      </c>
      <c r="D1410" s="1" t="str">
        <f aca="false">Report!X1867</f>
        <v>NF 931983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COMERCIO DE FRIOS MANAUS LTDA</v>
      </c>
      <c r="C1411" s="17" t="n">
        <f aca="false">Report!U1868</f>
        <v>3288.4</v>
      </c>
      <c r="D1411" s="1" t="str">
        <f aca="false">Report!X1868</f>
        <v>NF 174095 -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CRBS S/A</v>
      </c>
      <c r="C1412" s="17" t="n">
        <f aca="false">Report!U1869</f>
        <v>242.43</v>
      </c>
      <c r="D1412" s="1" t="str">
        <f aca="false">Report!X1869</f>
        <v>NF 933625 AMBEV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7" t="n">
        <f aca="false">Report!U1870</f>
        <v>938.92</v>
      </c>
      <c r="D1413" s="1" t="str">
        <f aca="false">Report!X1870</f>
        <v>NF 933624 - 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T. M. L. DA SILVA LTDA</v>
      </c>
      <c r="C1414" s="17" t="n">
        <f aca="false">Report!U1871</f>
        <v>659.7</v>
      </c>
      <c r="D1414" s="1" t="str">
        <f aca="false">Report!X1871</f>
        <v>NF 15204 AMAZONGURT -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SAO JOSE COMERCIO DE LATICINIOS E FRIOS</v>
      </c>
      <c r="C1415" s="17" t="n">
        <f aca="false">Report!U1872</f>
        <v>965</v>
      </c>
      <c r="D1415" s="1" t="str">
        <f aca="false">Report!X1872</f>
        <v>NF3752 SABORE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LIMA E BARANDA COMERCIO DE PRODUTOS REGI</v>
      </c>
      <c r="C1416" s="17" t="n">
        <f aca="false">Report!U1873</f>
        <v>363.5</v>
      </c>
      <c r="D1416" s="1" t="str">
        <f aca="false">Report!X1873</f>
        <v>NF 31724 -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FABRICA RAINHA ISABEL LTDA</v>
      </c>
      <c r="C1417" s="17" t="n">
        <f aca="false">Report!U1874</f>
        <v>841.5</v>
      </c>
      <c r="D1417" s="1" t="str">
        <f aca="false">Report!X1874</f>
        <v>NF 142307 -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FRUTAL INDUSTRIA E COMERCIO LTDA</v>
      </c>
      <c r="C1418" s="17" t="n">
        <f aca="false">Report!U1875</f>
        <v>592.01</v>
      </c>
      <c r="D1418" s="1" t="str">
        <f aca="false">Report!X1875</f>
        <v>NF 227628 -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JAB COMERCIO DE PRODUTOS ALIMENTICIOS LT</v>
      </c>
      <c r="C1419" s="17" t="n">
        <f aca="false">Report!U1876</f>
        <v>370</v>
      </c>
      <c r="D1419" s="1" t="str">
        <f aca="false">Report!X1876</f>
        <v>NF 3658 SANTO PAO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KAROLINY RODRIGUES SOUZA VENANCIO 915783</v>
      </c>
      <c r="C1420" s="17" t="n">
        <f aca="false">Report!U1877</f>
        <v>570</v>
      </c>
      <c r="D1420" s="1" t="str">
        <f aca="false">Report!X1877</f>
        <v>NF 1957 BIS.DONA MARIA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64.225.624 ROBERTO REIS AROUCHE</v>
      </c>
      <c r="C1421" s="17" t="n">
        <f aca="false">Report!U1878</f>
        <v>288</v>
      </c>
      <c r="D1421" s="1" t="str">
        <f aca="false">Report!X1878</f>
        <v>NF 78 -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ESDRAS COMERCIO DE MATERIAIS ELETRICOS E</v>
      </c>
      <c r="C1422" s="17" t="n">
        <f aca="false">Report!U1879</f>
        <v>280</v>
      </c>
      <c r="D1422" s="1" t="str">
        <f aca="false">Report!X1879</f>
        <v>NF 1399 -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PANIFICADORA E CONFEITARIA REAL MADRI LTDA</v>
      </c>
      <c r="C1423" s="17" t="n">
        <f aca="false">Report!U1880</f>
        <v>524.4</v>
      </c>
      <c r="D1423" s="1" t="str">
        <f aca="false">Report!X1880</f>
        <v>NF  748 -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7" t="n">
        <f aca="false">Report!U1881</f>
        <v>490</v>
      </c>
      <c r="D1424" s="1" t="str">
        <f aca="false">Report!X1881</f>
        <v>NF 750 -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7" t="n">
        <f aca="false">Report!U1882</f>
        <v>420</v>
      </c>
      <c r="D1425" s="1" t="str">
        <f aca="false">Report!X1882</f>
        <v>NF 749 -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C. R. PARENTE ABREU</v>
      </c>
      <c r="C1426" s="17" t="n">
        <f aca="false">Report!U1883</f>
        <v>695.21</v>
      </c>
      <c r="D1426" s="1" t="str">
        <f aca="false">Report!X1883</f>
        <v>NF 11530 -1 KARU - MILKA</v>
      </c>
    </row>
    <row r="1427" customFormat="false" ht="12.75" hidden="false" customHeight="true" outlineLevel="0" collapsed="false">
      <c r="A1427" s="15" t="n">
        <f aca="false">Report!C1885</f>
        <v>46244</v>
      </c>
      <c r="B1427" s="1" t="str">
        <f aca="false">Report!E1885</f>
        <v>ADRIANO FEITOSA OLIVEIRA LTDA</v>
      </c>
      <c r="C1427" s="17" t="n">
        <f aca="false">Report!U1885</f>
        <v>3354.4</v>
      </c>
      <c r="D1427" s="1" t="str">
        <f aca="false">Report!X1885</f>
        <v>NF 354 / PGTO DISTRIBUIDORA ADRIANO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ADICSO FABIAN GONZALEZ MONTILLA 70302186</v>
      </c>
      <c r="C1428" s="17" t="n">
        <f aca="false">Report!U1886</f>
        <v>1152</v>
      </c>
      <c r="D1428" s="1" t="str">
        <f aca="false">Report!X1886</f>
        <v>NF 578 BLOOM - MILKA</v>
      </c>
    </row>
    <row r="1429" customFormat="false" ht="12.75" hidden="false" customHeight="true" outlineLevel="0" collapsed="false">
      <c r="A1429" s="15" t="n">
        <f aca="false">Report!C1894</f>
        <v>46244</v>
      </c>
      <c r="B1429" s="1" t="str">
        <f aca="false">Report!E1894</f>
        <v>RENATO DE O AZEVEDO E CIA LTDA - EPP</v>
      </c>
      <c r="C1429" s="17" t="n">
        <f aca="false">Report!U1894</f>
        <v>300</v>
      </c>
      <c r="D1429" s="1" t="str">
        <f aca="false">Report!X1894</f>
        <v>ACAI DE ANORI - DEBORA 06/08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7" t="n">
        <f aca="false">Report!U1895</f>
        <v>525</v>
      </c>
      <c r="D1430" s="1" t="str">
        <f aca="false">Report!X1895</f>
        <v>ACAI DE ANORI - DEBORA 08/08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7" t="n">
        <f aca="false">Report!U1896</f>
        <v>300</v>
      </c>
      <c r="D1431" s="1" t="str">
        <f aca="false">Report!X1896</f>
        <v>ACAI DE ANORI - DEBORA 07/08</v>
      </c>
    </row>
    <row r="1432" customFormat="false" ht="12.75" hidden="false" customHeight="true" outlineLevel="0" collapsed="false">
      <c r="A1432" s="15" t="n">
        <f aca="false">Report!C1899</f>
        <v>46244</v>
      </c>
      <c r="B1432" s="1" t="str">
        <f aca="false">Report!E1899</f>
        <v>RV TECNOLOGIA E SISTEMAS S.A</v>
      </c>
      <c r="C1432" s="17" t="n">
        <f aca="false">Report!U1899</f>
        <v>700</v>
      </c>
      <c r="D1432" s="1" t="str">
        <f aca="false">Report!X1899</f>
        <v>rv chip/ recarga celular-andreza</v>
      </c>
    </row>
    <row r="1433" customFormat="false" ht="12.75" hidden="false" customHeight="true" outlineLevel="0" collapsed="false">
      <c r="A1433" s="15" t="n">
        <f aca="false">Report!C1907</f>
        <v>46244</v>
      </c>
      <c r="B1433" s="1" t="str">
        <f aca="false">Report!E1907</f>
        <v>GELO DANGELO FABRICACAO DE GELO LTDA</v>
      </c>
      <c r="C1433" s="17" t="n">
        <f aca="false">Report!U1907</f>
        <v>448</v>
      </c>
      <c r="D1433" s="1" t="str">
        <f aca="false">Report!X1907</f>
        <v>NF 458 - DEBORA</v>
      </c>
    </row>
    <row r="1434" customFormat="false" ht="12.75" hidden="false" customHeight="true" outlineLevel="0" collapsed="false">
      <c r="A1434" s="15" t="n">
        <f aca="false">Report!C1910</f>
        <v>46245</v>
      </c>
      <c r="B1434" s="1" t="str">
        <f aca="false">Report!E1910</f>
        <v>RISADINHA LTDA</v>
      </c>
      <c r="C1434" s="17" t="n">
        <f aca="false">Report!U1910</f>
        <v>823.62</v>
      </c>
      <c r="D1434" s="1" t="str">
        <f aca="false">Report!X1910</f>
        <v>NF 662479-02 MILKA</v>
      </c>
    </row>
    <row r="1435" customFormat="false" ht="12.75" hidden="false" customHeight="true" outlineLevel="0" collapsed="false">
      <c r="A1435" s="15" t="n">
        <f aca="false">Report!C1911</f>
        <v>46245</v>
      </c>
      <c r="B1435" s="1" t="str">
        <f aca="false">Report!E1911</f>
        <v>ATACADAO S.A.</v>
      </c>
      <c r="C1435" s="17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5" t="n">
        <f aca="false">Report!C1912</f>
        <v>46245</v>
      </c>
      <c r="B1436" s="1" t="str">
        <f aca="false">Report!E1912</f>
        <v>TAPAJOS COM DE PERFUMARIA COSMETICOS E G</v>
      </c>
      <c r="C1436" s="17" t="n">
        <f aca="false">Report!U1912</f>
        <v>612.71</v>
      </c>
      <c r="D1436" s="1" t="str">
        <f aca="false">Report!X1912</f>
        <v>NF 581015 -1 MILKA</v>
      </c>
    </row>
    <row r="1437" customFormat="false" ht="12.75" hidden="false" customHeight="true" outlineLevel="0" collapsed="false">
      <c r="A1437" s="15" t="n">
        <f aca="false">Report!C1913</f>
        <v>46245</v>
      </c>
      <c r="B1437" s="1" t="str">
        <f aca="false">Report!E1913</f>
        <v>EMPRESA BRASILEIRA DE DISTRIBUICAO LTDA</v>
      </c>
      <c r="C1437" s="17" t="n">
        <f aca="false">Report!U1913</f>
        <v>683.04</v>
      </c>
      <c r="D1437" s="1" t="str">
        <f aca="false">Report!X1913</f>
        <v>NF 2302521 - DEBORA</v>
      </c>
    </row>
    <row r="1438" customFormat="false" ht="12.75" hidden="false" customHeight="true" outlineLevel="0" collapsed="false">
      <c r="A1438" s="15" t="n">
        <f aca="false">Report!C1917</f>
        <v>46245</v>
      </c>
      <c r="B1438" s="1" t="str">
        <f aca="false">Report!E1917</f>
        <v>NT INDUSTRIA E COMERCIO DE PANIFICACAO L</v>
      </c>
      <c r="C1438" s="17" t="n">
        <f aca="false">Report!U1917</f>
        <v>3523.17</v>
      </c>
      <c r="D1438" s="1" t="str">
        <f aca="false">Report!X1917</f>
        <v>NF 42217- MILKA</v>
      </c>
    </row>
    <row r="1439" customFormat="false" ht="12.75" hidden="false" customHeight="true" outlineLevel="0" collapsed="false">
      <c r="A1439" s="15" t="n">
        <f aca="false">Report!C1918</f>
        <v>46245</v>
      </c>
      <c r="B1439" s="1" t="str">
        <f aca="false">Report!E1918</f>
        <v>VITAPAN COMERCIO VAREJISTA DE PRODUTOS ALIMENTICIOS LTDA</v>
      </c>
      <c r="C1439" s="17" t="n">
        <f aca="false">Report!U1918</f>
        <v>648</v>
      </c>
      <c r="D1439" s="1" t="str">
        <f aca="false">Report!X1918</f>
        <v>NF 10468 - MILKA</v>
      </c>
    </row>
    <row r="1440" customFormat="false" ht="12.75" hidden="false" customHeight="true" outlineLevel="0" collapsed="false">
      <c r="A1440" s="15" t="n">
        <f aca="false">Report!C1919</f>
        <v>46245</v>
      </c>
      <c r="B1440" s="1" t="str">
        <f aca="false">Report!E1919</f>
        <v>BROTHERS  INDUSTRIA DE ALIMENTOS LTDA</v>
      </c>
      <c r="C1440" s="17" t="n">
        <f aca="false">Report!U1919</f>
        <v>706.95</v>
      </c>
      <c r="D1440" s="1" t="str">
        <f aca="false">Report!X1919</f>
        <v>NF 1035089 - MILKA</v>
      </c>
    </row>
    <row r="1441" customFormat="false" ht="12.75" hidden="false" customHeight="true" outlineLevel="0" collapsed="false">
      <c r="A1441" s="15" t="n">
        <f aca="false">Report!C1920</f>
        <v>46245</v>
      </c>
      <c r="B1441" s="1" t="str">
        <f aca="false">Report!E1920</f>
        <v>PANIFICADORA E CONFEITARIA REAL MADRI LTDA</v>
      </c>
      <c r="C1441" s="17" t="n">
        <f aca="false">Report!U1920</f>
        <v>519.78</v>
      </c>
      <c r="D1441" s="1" t="str">
        <f aca="false">Report!X1920</f>
        <v>NF 753 -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SILVA E SANTOS FRIGORIFICO LTDA</v>
      </c>
      <c r="C1442" s="17" t="n">
        <f aca="false">Report!U1922</f>
        <v>3157.5</v>
      </c>
      <c r="D1442" s="1" t="str">
        <f aca="false">Report!X1922</f>
        <v>NF 32221 - MILKA</v>
      </c>
    </row>
    <row r="1443" customFormat="false" ht="12.75" hidden="false" customHeight="true" outlineLevel="0" collapsed="false">
      <c r="A1443" s="15" t="n">
        <f aca="false">Report!C1923</f>
        <v>46245</v>
      </c>
      <c r="B1443" s="1" t="str">
        <f aca="false">Report!E1923</f>
        <v>RENATO DE O AZEVEDO E CIA LTDA - EPP</v>
      </c>
      <c r="C1443" s="17" t="n">
        <f aca="false">Report!U1923</f>
        <v>2580</v>
      </c>
      <c r="D1443" s="1" t="str">
        <f aca="false">Report!X1923</f>
        <v>FEIRA SR RENATO - C6 BANK -  DEBORA</v>
      </c>
    </row>
    <row r="1444" customFormat="false" ht="12.75" hidden="false" customHeight="true" outlineLevel="0" collapsed="false">
      <c r="A1444" s="15" t="n">
        <f aca="false">Report!C1924</f>
        <v>46245</v>
      </c>
      <c r="B1444" s="1" t="str">
        <f aca="false">Report!E1924</f>
        <v>RENATO DE O AZEVEDO E CIA LTDA - EPP</v>
      </c>
      <c r="C1444" s="17" t="n">
        <f aca="false">Report!U1924</f>
        <v>1100</v>
      </c>
      <c r="D1444" s="1" t="str">
        <f aca="false">Report!X1924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H L M PADARIA E CONFEITARIA LTDA</v>
      </c>
      <c r="C1445" s="17" t="n">
        <f aca="false">Report!U1926</f>
        <v>280</v>
      </c>
      <c r="D1445" s="1" t="str">
        <f aca="false">Report!X1926</f>
        <v>NF 150 - DEBORA</v>
      </c>
    </row>
    <row r="1446" customFormat="false" ht="12.75" hidden="false" customHeight="true" outlineLevel="0" collapsed="false">
      <c r="A1446" s="15" t="n">
        <f aca="false">Report!C1927</f>
        <v>46246</v>
      </c>
      <c r="B1446" s="1" t="str">
        <f aca="false">Report!E1927</f>
        <v>FUNNY PET DISTRIBUIDORA DE ALIMENTOS PAR</v>
      </c>
      <c r="C1446" s="17" t="n">
        <f aca="false">Report!U1927</f>
        <v>8427.07</v>
      </c>
      <c r="D1446" s="1" t="str">
        <f aca="false">Report!X1927</f>
        <v>NF 20498-2 MILKA</v>
      </c>
    </row>
    <row r="1447" customFormat="false" ht="12.75" hidden="false" customHeight="true" outlineLevel="0" collapsed="false">
      <c r="A1447" s="15" t="n">
        <f aca="false">Report!C1928</f>
        <v>46246</v>
      </c>
      <c r="B1447" s="1" t="str">
        <f aca="false">Report!E1928</f>
        <v>SMV COMERCIO DE PRODUTOS ALIMENTICIOS LT</v>
      </c>
      <c r="C1447" s="17" t="n">
        <f aca="false">Report!U1928</f>
        <v>548.94</v>
      </c>
      <c r="D1447" s="1" t="str">
        <f aca="false">Report!X1928</f>
        <v>7226-1/2  NF6933 - MILKA</v>
      </c>
    </row>
    <row r="1448" customFormat="false" ht="12.75" hidden="false" customHeight="true" outlineLevel="0" collapsed="false">
      <c r="A1448" s="15" t="n">
        <f aca="false">Report!C1929</f>
        <v>46246</v>
      </c>
      <c r="B1448" s="1" t="str">
        <f aca="false">Report!E1929</f>
        <v>ATACADAO S.A.</v>
      </c>
      <c r="C1448" s="17" t="n">
        <f aca="false">Report!U1929</f>
        <v>958.5</v>
      </c>
      <c r="D1448" s="1" t="str">
        <f aca="false">Report!X1929</f>
        <v>NF 1906317 - MILKA</v>
      </c>
    </row>
    <row r="1449" customFormat="false" ht="12.75" hidden="false" customHeight="true" outlineLevel="0" collapsed="false">
      <c r="A1449" s="15" t="n">
        <f aca="false">Report!C1930</f>
        <v>46246</v>
      </c>
      <c r="B1449" s="1" t="str">
        <f aca="false">Report!E1930</f>
        <v>OPPORTUNITY ALIMENTOS PARA ANIMAIS LTDA</v>
      </c>
      <c r="C1449" s="17" t="n">
        <f aca="false">Report!U1930</f>
        <v>807.05</v>
      </c>
      <c r="D1449" s="1" t="str">
        <f aca="false">Report!X1930</f>
        <v>NF 34737-1 MILKA</v>
      </c>
    </row>
    <row r="1450" customFormat="false" ht="12.75" hidden="false" customHeight="true" outlineLevel="0" collapsed="false">
      <c r="A1450" s="15" t="n">
        <f aca="false">Report!C1931</f>
        <v>46246</v>
      </c>
      <c r="B1450" s="1" t="str">
        <f aca="false">Report!E1931</f>
        <v>ADRIANA DISTRIBUIDORA DE PRODUTOS ALIMEN</v>
      </c>
      <c r="C1450" s="17" t="n">
        <f aca="false">Report!U1931</f>
        <v>1420.58</v>
      </c>
      <c r="D1450" s="1" t="str">
        <f aca="false">Report!X1931</f>
        <v>NF 886068-2 MILKA</v>
      </c>
    </row>
    <row r="1451" customFormat="false" ht="12.75" hidden="false" customHeight="true" outlineLevel="0" collapsed="false">
      <c r="A1451" s="15" t="n">
        <f aca="false">Report!C1932</f>
        <v>46246</v>
      </c>
      <c r="B1451" s="1" t="str">
        <f aca="false">Report!E1932</f>
        <v>TAPAJOS COM DE PERFUMARIA COSMETICOS E G</v>
      </c>
      <c r="C1451" s="17" t="n">
        <f aca="false">Report!U1932</f>
        <v>1473.38</v>
      </c>
      <c r="D1451" s="1" t="str">
        <f aca="false">Report!X1932</f>
        <v>NF 581288 - COM TAXA - DEBORA</v>
      </c>
    </row>
    <row r="1452" customFormat="false" ht="12.75" hidden="false" customHeight="true" outlineLevel="0" collapsed="false">
      <c r="A1452" s="15" t="n">
        <f aca="false">Report!C1933</f>
        <v>46246</v>
      </c>
      <c r="B1452" s="1" t="str">
        <f aca="false">Report!E1933</f>
        <v>FUNNY PET DISTRIBUIDORA DE ALIMENTOS PAR</v>
      </c>
      <c r="C1452" s="17" t="n">
        <f aca="false">Report!U1933</f>
        <v>3458.9</v>
      </c>
      <c r="D1452" s="1" t="str">
        <f aca="false">Report!X1933</f>
        <v>NF 21188 -1 MILKA</v>
      </c>
    </row>
    <row r="1453" customFormat="false" ht="12.75" hidden="false" customHeight="true" outlineLevel="0" collapsed="false">
      <c r="A1453" s="15" t="n">
        <f aca="false">Report!C1934</f>
        <v>46246</v>
      </c>
      <c r="B1453" s="1" t="str">
        <f aca="false">Report!E1934</f>
        <v>ORIENTE COM. ATACADISTA E REPRES. LTDA</v>
      </c>
      <c r="C1453" s="17" t="n">
        <f aca="false">Report!U1934</f>
        <v>2195.6</v>
      </c>
      <c r="D1453" s="1" t="str">
        <f aca="false">Report!X1934</f>
        <v>3344/2  NF2785 - MILKA</v>
      </c>
    </row>
    <row r="1454" customFormat="false" ht="12.75" hidden="false" customHeight="true" outlineLevel="0" collapsed="false">
      <c r="A1454" s="15" t="n">
        <f aca="false">Report!C1935</f>
        <v>46246</v>
      </c>
      <c r="B1454" s="1" t="str">
        <f aca="false">Report!E1935</f>
        <v>DISTRIBUIDORA LOPES LTDA</v>
      </c>
      <c r="C1454" s="17" t="n">
        <f aca="false">Report!U1935</f>
        <v>1790.11</v>
      </c>
      <c r="D1454" s="1" t="str">
        <f aca="false">Report!X1935</f>
        <v>NF 1696462 C/DESCONTO NO BOLETO - DEBORA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TRES CORACOES ALIMENTOS S.A.</v>
      </c>
      <c r="C1455" s="17" t="n">
        <f aca="false">Report!U1937</f>
        <v>2063.42</v>
      </c>
      <c r="D1455" s="1" t="str">
        <f aca="false">Report!X1937</f>
        <v>NF353326-02 MILKA</v>
      </c>
    </row>
    <row r="1456" customFormat="false" ht="12.75" hidden="false" customHeight="true" outlineLevel="0" collapsed="false">
      <c r="A1456" s="15" t="n">
        <f aca="false">Report!C1938</f>
        <v>46246</v>
      </c>
      <c r="B1456" s="1" t="str">
        <f aca="false">Report!E1938</f>
        <v>RISADINHA LTDA</v>
      </c>
      <c r="C1456" s="17" t="n">
        <f aca="false">Report!U1938</f>
        <v>853.9</v>
      </c>
      <c r="D1456" s="1" t="str">
        <f aca="false">Report!X1938</f>
        <v>NF 665164 -1 MILKA</v>
      </c>
    </row>
    <row r="1457" customFormat="false" ht="12.75" hidden="false" customHeight="true" outlineLevel="0" collapsed="false">
      <c r="A1457" s="15" t="n">
        <f aca="false">Report!C1939</f>
        <v>46246</v>
      </c>
      <c r="B1457" s="1" t="str">
        <f aca="false">Report!E1939</f>
        <v>BRF S A</v>
      </c>
      <c r="C1457" s="17" t="n">
        <f aca="false">Report!U1939</f>
        <v>447.25</v>
      </c>
      <c r="D1457" s="1" t="str">
        <f aca="false">Report!X1939</f>
        <v>NF 1611343-02/02 MILKA</v>
      </c>
    </row>
    <row r="1458" customFormat="false" ht="12.75" hidden="false" customHeight="true" outlineLevel="0" collapsed="false">
      <c r="A1458" s="15" t="n">
        <f aca="false">Report!C1940</f>
        <v>46246</v>
      </c>
      <c r="B1458" s="1" t="str">
        <f aca="false">Report!E1940</f>
        <v>DUNORTE DISTRIBUIDORA DE PRODUTOS DE CONSUMO LTDA</v>
      </c>
      <c r="C1458" s="17" t="n">
        <f aca="false">Report!U1940</f>
        <v>1641.4</v>
      </c>
      <c r="D1458" s="1" t="str">
        <f aca="false">Report!X1940</f>
        <v>NF 3223292-1 MILKA</v>
      </c>
    </row>
    <row r="1459" customFormat="false" ht="12.75" hidden="false" customHeight="true" outlineLevel="0" collapsed="false">
      <c r="A1459" s="15" t="n">
        <f aca="false">Report!C1941</f>
        <v>46246</v>
      </c>
      <c r="B1459" s="1" t="str">
        <f aca="false">Report!E1941</f>
        <v>BRF S A</v>
      </c>
      <c r="C1459" s="17" t="n">
        <f aca="false">Report!U1941</f>
        <v>1798.15</v>
      </c>
      <c r="D1459" s="1" t="str">
        <f aca="false">Report!X1941</f>
        <v>NF 1614419-1 DESCONTO NO BOLETO - MILKA</v>
      </c>
    </row>
    <row r="1460" customFormat="false" ht="12.75" hidden="false" customHeight="true" outlineLevel="0" collapsed="false">
      <c r="A1460" s="15" t="n">
        <f aca="false">Report!C1942</f>
        <v>46246</v>
      </c>
      <c r="B1460" s="1" t="str">
        <f aca="false">Report!E1942</f>
        <v>NORTELAC DISTRIBUIDORA DE FRIOS LTDA</v>
      </c>
      <c r="C1460" s="17" t="n">
        <f aca="false">Report!U1942</f>
        <v>1380</v>
      </c>
      <c r="D1460" s="1" t="str">
        <f aca="false">Report!X1942</f>
        <v>NF 45442 - MILKA</v>
      </c>
    </row>
    <row r="1461" customFormat="false" ht="12.75" hidden="false" customHeight="true" outlineLevel="0" collapsed="false">
      <c r="A1461" s="15" t="n">
        <f aca="false">Report!C1943</f>
        <v>46246</v>
      </c>
      <c r="B1461" s="1" t="str">
        <f aca="false">Report!E1943</f>
        <v>REAL BEBIDAS DA AMAZONIA LTDA</v>
      </c>
      <c r="C1461" s="17" t="n">
        <f aca="false">Report!U1943</f>
        <v>630</v>
      </c>
      <c r="D1461" s="1" t="str">
        <f aca="false">Report!X1943</f>
        <v>NF 615120 - MILKA</v>
      </c>
    </row>
    <row r="1462" customFormat="false" ht="12.75" hidden="false" customHeight="true" outlineLevel="0" collapsed="false">
      <c r="A1462" s="15" t="n">
        <f aca="false">Report!C1944</f>
        <v>46246</v>
      </c>
      <c r="B1462" s="1" t="str">
        <f aca="false">Report!E1944</f>
        <v>RENATO DE O AZEVEDO E CIA LTDA - EPP</v>
      </c>
      <c r="C1462" s="17" t="n">
        <f aca="false">Report!U1944</f>
        <v>1800</v>
      </c>
      <c r="D1462" s="1" t="str">
        <f aca="false">Report!X1944</f>
        <v>PGTO P/ JULIETE / 92985524785 SANTANDER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7" t="n">
        <f aca="false">Report!U1946</f>
        <v>695</v>
      </c>
      <c r="D1463" s="1" t="str">
        <f aca="false">Report!X1946</f>
        <v>FEIRA CARLOS - DEBORA</v>
      </c>
    </row>
    <row r="1464" customFormat="false" ht="12.75" hidden="false" customHeight="true" outlineLevel="0" collapsed="false">
      <c r="A1464" s="15" t="n">
        <f aca="false">Report!C1947</f>
        <v>46246</v>
      </c>
      <c r="B1464" s="1" t="str">
        <f aca="false">Report!E1947</f>
        <v>RENATO DE O AZEVEDO E CIA LTDA - EPP</v>
      </c>
      <c r="C1464" s="17" t="n">
        <f aca="false">Report!U1947</f>
        <v>160</v>
      </c>
      <c r="D1464" s="1" t="str">
        <f aca="false">Report!X1947</f>
        <v>FEIRA CARLOS - CAMARAO COM E SEM CASCA - DEBORA</v>
      </c>
    </row>
    <row r="1465" customFormat="false" ht="12.75" hidden="false" customHeight="true" outlineLevel="0" collapsed="false">
      <c r="A1465" s="15" t="n">
        <f aca="false">Report!C1948</f>
        <v>46246</v>
      </c>
      <c r="B1465" s="1" t="str">
        <f aca="false">Report!E1948</f>
        <v>COMERCIO E TRANSPORTE BRANDAO LTDA</v>
      </c>
      <c r="C1465" s="17" t="n">
        <f aca="false">Report!U1948</f>
        <v>470</v>
      </c>
      <c r="D1465" s="1" t="str">
        <f aca="false">Report!X1948</f>
        <v>NF 15076 - DEBORA</v>
      </c>
    </row>
    <row r="1466" customFormat="false" ht="12.75" hidden="false" customHeight="true" outlineLevel="0" collapsed="false">
      <c r="A1466" s="15" t="n">
        <f aca="false">Report!C1954</f>
        <v>46246</v>
      </c>
      <c r="B1466" s="1" t="str">
        <f aca="false">Report!E1954</f>
        <v>RENATO DE O AZEVEDO E CIA LTDA - EPP</v>
      </c>
      <c r="C1466" s="17" t="n">
        <f aca="false">Report!U1954</f>
        <v>375</v>
      </c>
      <c r="D1466" s="1" t="str">
        <f aca="false">Report!X1954</f>
        <v>ACAI DE ANORI - DEBORA 10/08</v>
      </c>
    </row>
    <row r="1467" customFormat="false" ht="12.75" hidden="false" customHeight="true" outlineLevel="0" collapsed="false">
      <c r="A1467" s="15" t="n">
        <f aca="false">Report!C1955</f>
        <v>46246</v>
      </c>
      <c r="B1467" s="1" t="str">
        <f aca="false">Report!E1955</f>
        <v>RENATO DE O AZEVEDO E CIA LTDA - EPP</v>
      </c>
      <c r="C1467" s="17" t="n">
        <f aca="false">Report!U1955</f>
        <v>300</v>
      </c>
      <c r="D1467" s="1" t="str">
        <f aca="false">Report!X1955</f>
        <v>ACAI DE ANORI - DEBORA 11/08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H L M PADARIA E CONFEITARIA LTDA</v>
      </c>
      <c r="C1468" s="17" t="n">
        <f aca="false">Report!U1957</f>
        <v>280</v>
      </c>
      <c r="D1468" s="1" t="str">
        <f aca="false">Report!X1957</f>
        <v>NF 152 - DEBORA</v>
      </c>
    </row>
    <row r="1469" customFormat="false" ht="12.75" hidden="false" customHeight="true" outlineLevel="0" collapsed="false">
      <c r="A1469" s="15" t="n">
        <f aca="false">Report!C1959</f>
        <v>46247</v>
      </c>
      <c r="B1469" s="1" t="str">
        <f aca="false">Report!E1959</f>
        <v>CB COMERCIO E DISTRIBUIDORA DE ALIMENTOS</v>
      </c>
      <c r="C1469" s="17" t="n">
        <f aca="false">Report!U1959</f>
        <v>748.69</v>
      </c>
      <c r="D1469" s="1" t="str">
        <f aca="false">Report!X1959</f>
        <v>952611-C/C  NF854275 - MILKA</v>
      </c>
    </row>
    <row r="1470" customFormat="false" ht="12.75" hidden="false" customHeight="true" outlineLevel="0" collapsed="false">
      <c r="A1470" s="15" t="n">
        <f aca="false">Report!C1960</f>
        <v>46247</v>
      </c>
      <c r="B1470" s="1" t="str">
        <f aca="false">Report!E1960</f>
        <v>SB COMERCIO LTDA</v>
      </c>
      <c r="C1470" s="17" t="n">
        <f aca="false">Report!U1960</f>
        <v>1129.22</v>
      </c>
      <c r="D1470" s="1" t="str">
        <f aca="false">Report!X1960</f>
        <v>NF 1964147-1 MILKA</v>
      </c>
    </row>
    <row r="1471" customFormat="false" ht="12.75" hidden="false" customHeight="true" outlineLevel="0" collapsed="false">
      <c r="A1471" s="15" t="n">
        <f aca="false">Report!C1961</f>
        <v>46247</v>
      </c>
      <c r="B1471" s="1" t="str">
        <f aca="false">Report!E1961</f>
        <v>MARQUES &amp; MELO LTDA - FILIAL</v>
      </c>
      <c r="C1471" s="17" t="n">
        <f aca="false">Report!U1961</f>
        <v>1181.96</v>
      </c>
      <c r="D1471" s="1" t="str">
        <f aca="false">Report!X1961</f>
        <v>NF 502189 -02 DISMELO - 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EDMARA COMERCIO DE HIGIENE PESSOAL LTDA</v>
      </c>
      <c r="C1472" s="17" t="n">
        <f aca="false">Report!U1963</f>
        <v>2621.74</v>
      </c>
      <c r="D1472" s="1" t="str">
        <f aca="false">Report!X1963</f>
        <v>5431-B/D  NF8403 - MILKA</v>
      </c>
    </row>
    <row r="1473" customFormat="false" ht="12.75" hidden="false" customHeight="true" outlineLevel="0" collapsed="false">
      <c r="A1473" s="15" t="n">
        <f aca="false">Report!C1964</f>
        <v>46247</v>
      </c>
      <c r="B1473" s="1" t="str">
        <f aca="false">Report!E1964</f>
        <v>OCIDENTAL COMERCIO DE FRIOS LTDA</v>
      </c>
      <c r="C1473" s="17" t="n">
        <f aca="false">Report!U1964</f>
        <v>662.72</v>
      </c>
      <c r="D1473" s="1" t="str">
        <f aca="false">Report!X1964</f>
        <v>NF 1248470-02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DURAES DISTRIBUIDORA DE ESTIVAS LTDA</v>
      </c>
      <c r="C1474" s="17" t="n">
        <f aca="false">Report!U1966</f>
        <v>605.93</v>
      </c>
      <c r="D1474" s="1" t="str">
        <f aca="false">Report!X1966</f>
        <v>NF 651360 -2 DEBORA</v>
      </c>
    </row>
    <row r="1475" customFormat="false" ht="12.75" hidden="false" customHeight="true" outlineLevel="0" collapsed="false">
      <c r="A1475" s="15" t="n">
        <f aca="false">Report!C1967</f>
        <v>46247</v>
      </c>
      <c r="B1475" s="1" t="str">
        <f aca="false">Report!E1967</f>
        <v>DISTRIBUIDORA PRIME LTDA</v>
      </c>
      <c r="C1475" s="17" t="n">
        <f aca="false">Report!U1967</f>
        <v>774.49</v>
      </c>
      <c r="D1475" s="1" t="str">
        <f aca="false">Report!X1967</f>
        <v>NF 134703-1 MILKA</v>
      </c>
    </row>
    <row r="1476" customFormat="false" ht="12.75" hidden="false" customHeight="true" outlineLevel="0" collapsed="false">
      <c r="A1476" s="15" t="n">
        <f aca="false">Report!C1968</f>
        <v>46247</v>
      </c>
      <c r="B1476" s="1" t="str">
        <f aca="false">Report!E1968</f>
        <v>DURAES DISTRIBUIDORA DE ESTIVAS LTDA</v>
      </c>
      <c r="C1476" s="17" t="n">
        <f aca="false">Report!U1968</f>
        <v>434.06</v>
      </c>
      <c r="D1476" s="1" t="str">
        <f aca="false">Report!X1968</f>
        <v>NF 651362 - DEBORA</v>
      </c>
    </row>
    <row r="1477" customFormat="false" ht="12.75" hidden="false" customHeight="true" outlineLevel="0" collapsed="false">
      <c r="A1477" s="15" t="n">
        <f aca="false">Report!C1969</f>
        <v>46247</v>
      </c>
      <c r="B1477" s="1" t="str">
        <f aca="false">Report!E1969</f>
        <v>FENNIX BRASIL DISTRIBUIDORA DE PRODUTOS</v>
      </c>
      <c r="C1477" s="17" t="n">
        <f aca="false">Report!U1969</f>
        <v>907.88</v>
      </c>
      <c r="D1477" s="1" t="str">
        <f aca="false">Report!X1969</f>
        <v>NF 314382 - COM TARIFA - DEBORA</v>
      </c>
    </row>
    <row r="1478" customFormat="false" ht="12.75" hidden="false" customHeight="true" outlineLevel="0" collapsed="false">
      <c r="A1478" s="15" t="n">
        <f aca="false">Report!C1970</f>
        <v>46247</v>
      </c>
      <c r="B1478" s="1" t="str">
        <f aca="false">Report!E1970</f>
        <v>G P FERESIN LTDA</v>
      </c>
      <c r="C1478" s="17" t="n">
        <f aca="false">Report!U1970</f>
        <v>518.41</v>
      </c>
      <c r="D1478" s="1" t="str">
        <f aca="false">Report!X1970</f>
        <v>NF 19144 RACAO MO1 - KEILA</v>
      </c>
    </row>
    <row r="1479" customFormat="false" ht="12.75" hidden="false" customHeight="true" outlineLevel="0" collapsed="false">
      <c r="A1479" s="15" t="n">
        <f aca="false">Report!C1971</f>
        <v>46247</v>
      </c>
      <c r="B1479" s="1" t="str">
        <f aca="false">Report!E1971</f>
        <v>OCIDENTAL COMERCIO DE FRIOS LTDA</v>
      </c>
      <c r="C1479" s="17" t="n">
        <f aca="false">Report!U1971</f>
        <v>762.96</v>
      </c>
      <c r="D1479" s="1" t="str">
        <f aca="false">Report!X1971</f>
        <v>NF 1250798 - MILKA</v>
      </c>
    </row>
    <row r="1480" customFormat="false" ht="12.75" hidden="false" customHeight="true" outlineLevel="0" collapsed="false">
      <c r="A1480" s="15" t="n">
        <f aca="false">Report!C1972</f>
        <v>46247</v>
      </c>
      <c r="B1480" s="1" t="str">
        <f aca="false">Report!E1972</f>
        <v>NESTLÉ BRASIL LTDA.</v>
      </c>
      <c r="C1480" s="17" t="n">
        <f aca="false">Report!U1972</f>
        <v>1721.47</v>
      </c>
      <c r="D1480" s="1" t="str">
        <f aca="false">Report!X1972</f>
        <v>NF 1431708-03/03 MILKA</v>
      </c>
    </row>
    <row r="1481" customFormat="false" ht="12.75" hidden="false" customHeight="true" outlineLevel="0" collapsed="false">
      <c r="A1481" s="15" t="n">
        <f aca="false">Report!C1973</f>
        <v>46247</v>
      </c>
      <c r="B1481" s="1" t="str">
        <f aca="false">Report!E1973</f>
        <v>NESTLÉ BRASIL LTDA.</v>
      </c>
      <c r="C1481" s="17" t="n">
        <f aca="false">Report!U1973</f>
        <v>637.5</v>
      </c>
      <c r="D1481" s="1" t="str">
        <f aca="false">Report!X1973</f>
        <v>NF 1431398 - MILKA</v>
      </c>
    </row>
    <row r="1482" customFormat="false" ht="12.75" hidden="false" customHeight="true" outlineLevel="0" collapsed="false">
      <c r="A1482" s="15" t="n">
        <f aca="false">Report!C1974</f>
        <v>46247</v>
      </c>
      <c r="B1482" s="1" t="str">
        <f aca="false">Report!E1974</f>
        <v>ATACADAO S.A.</v>
      </c>
      <c r="C1482" s="17" t="n">
        <f aca="false">Report!U1974</f>
        <v>1009.05</v>
      </c>
      <c r="D1482" s="1" t="str">
        <f aca="false">Report!X1974</f>
        <v>NF 1910465 - MILKA</v>
      </c>
    </row>
    <row r="1483" customFormat="false" ht="12.75" hidden="false" customHeight="true" outlineLevel="0" collapsed="false">
      <c r="A1483" s="15" t="n">
        <f aca="false">Report!C1975</f>
        <v>46247</v>
      </c>
      <c r="B1483" s="1" t="str">
        <f aca="false">Report!E1975</f>
        <v>MARTINS COM SERV DISTR SA</v>
      </c>
      <c r="C1483" s="17" t="n">
        <f aca="false">Report!U1975</f>
        <v>955.52</v>
      </c>
      <c r="D1483" s="1" t="str">
        <f aca="false">Report!X1975</f>
        <v>NF1784397 / NF1784398 C/TARIFA INCLUSA - MILKA</v>
      </c>
    </row>
    <row r="1484" customFormat="false" ht="12.75" hidden="false" customHeight="true" outlineLevel="0" collapsed="false">
      <c r="A1484" s="15" t="n">
        <f aca="false">Report!C1976</f>
        <v>46247</v>
      </c>
      <c r="B1484" s="1" t="str">
        <f aca="false">Report!E1976</f>
        <v>AMERICANA DISTRIBUIDORA DE BEBIDAS E MERCADORIAS LTDA</v>
      </c>
      <c r="C1484" s="17" t="n">
        <f aca="false">Report!U1976</f>
        <v>3261.6</v>
      </c>
      <c r="D1484" s="1" t="str">
        <f aca="false">Report!X1976</f>
        <v>NF 79231 BALY C/ NF(79232) DE BONIFICACAO - MILKA</v>
      </c>
    </row>
    <row r="1485" customFormat="false" ht="12.75" hidden="false" customHeight="true" outlineLevel="0" collapsed="false">
      <c r="A1485" s="15" t="n">
        <f aca="false">Report!C1977</f>
        <v>46247</v>
      </c>
      <c r="B1485" s="1" t="str">
        <f aca="false">Report!E1977</f>
        <v>BRASIL NORTE BEBIDAS S/A</v>
      </c>
      <c r="C1485" s="17" t="n">
        <f aca="false">Report!U1977</f>
        <v>291.66</v>
      </c>
      <c r="D1485" s="1" t="str">
        <f aca="false">Report!X1977</f>
        <v>NF 1224519 COCA - MILKA</v>
      </c>
    </row>
    <row r="1486" customFormat="false" ht="12.75" hidden="false" customHeight="true" outlineLevel="0" collapsed="false">
      <c r="A1486" s="15" t="n">
        <f aca="false">Report!C1978</f>
        <v>46247</v>
      </c>
      <c r="B1486" s="1" t="str">
        <f aca="false">Report!E1978</f>
        <v>BRASIL NORTE BEBIDAS S/A</v>
      </c>
      <c r="C1486" s="17" t="n">
        <f aca="false">Report!U1978</f>
        <v>2841.78</v>
      </c>
      <c r="D1486" s="1" t="str">
        <f aca="false">Report!X1978</f>
        <v>NF 1225932 COCA - MILKA</v>
      </c>
    </row>
    <row r="1487" customFormat="false" ht="12.75" hidden="false" customHeight="true" outlineLevel="0" collapsed="false">
      <c r="A1487" s="15" t="n">
        <f aca="false">Report!C1979</f>
        <v>46247</v>
      </c>
      <c r="B1487" s="1" t="str">
        <f aca="false">Report!E1979</f>
        <v>BRASIL NORTE BEBIDAS S/A</v>
      </c>
      <c r="C1487" s="17" t="n">
        <f aca="false">Report!U1979</f>
        <v>7097.53</v>
      </c>
      <c r="D1487" s="1" t="str">
        <f aca="false">Report!X1979</f>
        <v>NF 1959703 COCA - MILKA</v>
      </c>
    </row>
    <row r="1488" customFormat="false" ht="12.75" hidden="false" customHeight="true" outlineLevel="0" collapsed="false">
      <c r="A1488" s="15" t="n">
        <f aca="false">Report!C1980</f>
        <v>46247</v>
      </c>
      <c r="B1488" s="1" t="str">
        <f aca="false">Report!E1980</f>
        <v>COMERCIO DE FRIOS MANAUS LTDA</v>
      </c>
      <c r="C1488" s="17" t="n">
        <f aca="false">Report!U1980</f>
        <v>5869.6</v>
      </c>
      <c r="D1488" s="1" t="str">
        <f aca="false">Report!X1980</f>
        <v>NF174223 - MILKA</v>
      </c>
    </row>
    <row r="1489" customFormat="false" ht="12.75" hidden="false" customHeight="true" outlineLevel="0" collapsed="false">
      <c r="A1489" s="15" t="n">
        <f aca="false">Report!C1981</f>
        <v>46247</v>
      </c>
      <c r="B1489" s="1" t="str">
        <f aca="false">Report!E1981</f>
        <v>SILVA E SANTOS FRIGORIFICO LTDA</v>
      </c>
      <c r="C1489" s="17" t="n">
        <f aca="false">Report!U1981</f>
        <v>1968.7</v>
      </c>
      <c r="D1489" s="1" t="str">
        <f aca="false">Report!X1981</f>
        <v>NF 32272 - MILKA</v>
      </c>
    </row>
    <row r="1490" customFormat="false" ht="12.75" hidden="false" customHeight="true" outlineLevel="0" collapsed="false">
      <c r="A1490" s="15" t="n">
        <f aca="false">Report!C1982</f>
        <v>46247</v>
      </c>
      <c r="B1490" s="1" t="str">
        <f aca="false">Report!E1982</f>
        <v>MAXFRI DISTRIUIDORA LTDA</v>
      </c>
      <c r="C1490" s="17" t="n">
        <f aca="false">Report!U1982</f>
        <v>3860.7</v>
      </c>
      <c r="D1490" s="1" t="str">
        <f aca="false">Report!X1982</f>
        <v>NF 14959 - MILKA</v>
      </c>
    </row>
    <row r="1491" customFormat="false" ht="12.75" hidden="false" customHeight="true" outlineLevel="0" collapsed="false">
      <c r="A1491" s="15" t="n">
        <f aca="false">Report!C1983</f>
        <v>46247</v>
      </c>
      <c r="B1491" s="1" t="str">
        <f aca="false">Report!E1983</f>
        <v>C. R. PARENTE ABREU</v>
      </c>
      <c r="C1491" s="17" t="n">
        <f aca="false">Report!U1983</f>
        <v>695.21</v>
      </c>
      <c r="D1491" s="1" t="str">
        <f aca="false">Report!X1983</f>
        <v>NF 11530 -2 KARU - MILKA</v>
      </c>
    </row>
    <row r="1492" customFormat="false" ht="12.75" hidden="false" customHeight="true" outlineLevel="0" collapsed="false">
      <c r="A1492" s="15" t="n">
        <f aca="false">Report!C1986</f>
        <v>46247</v>
      </c>
      <c r="B1492" s="1" t="str">
        <f aca="false">Report!E1986</f>
        <v>FALCAO INDUSTRIA DE ALIMENTOS LTDA</v>
      </c>
      <c r="C1492" s="17" t="n">
        <f aca="false">Report!U1986</f>
        <v>4154.08</v>
      </c>
      <c r="D1492" s="1" t="str">
        <f aca="false">Report!X1986</f>
        <v>80802/1  NF32287 - MILKA</v>
      </c>
    </row>
    <row r="1493" customFormat="false" ht="12.75" hidden="false" customHeight="true" outlineLevel="0" collapsed="false">
      <c r="A1493" s="15" t="n">
        <f aca="false">Report!C1987</f>
        <v>46247</v>
      </c>
      <c r="B1493" s="1" t="str">
        <f aca="false">Report!E1987</f>
        <v>JAB COMERCIO DE PRODUTOS ALIMENTICIOS LT</v>
      </c>
      <c r="C1493" s="17" t="n">
        <f aca="false">Report!U1987</f>
        <v>426</v>
      </c>
      <c r="D1493" s="1" t="str">
        <f aca="false">Report!X1987</f>
        <v>NF3683 SANTO PAO - MILKA</v>
      </c>
    </row>
    <row r="1494" customFormat="false" ht="12.75" hidden="false" customHeight="true" outlineLevel="0" collapsed="false">
      <c r="A1494" s="15" t="n">
        <f aca="false">Report!C1988</f>
        <v>46247</v>
      </c>
      <c r="B1494" s="1" t="str">
        <f aca="false">Report!E1988</f>
        <v>NOVA FRIOS COMERCIO ATACADISTA DE LATICINIOS LTDA</v>
      </c>
      <c r="C1494" s="17" t="n">
        <f aca="false">Report!U1988</f>
        <v>290</v>
      </c>
      <c r="D1494" s="1" t="str">
        <f aca="false">Report!X1988</f>
        <v>NF 4312 BODEGA DO PAO - MILKA</v>
      </c>
    </row>
    <row r="1495" customFormat="false" ht="12.75" hidden="false" customHeight="true" outlineLevel="0" collapsed="false">
      <c r="A1495" s="15" t="n">
        <f aca="false">Report!C1989</f>
        <v>46247</v>
      </c>
      <c r="B1495" s="1" t="str">
        <f aca="false">Report!E1989</f>
        <v>PRIMICIA DISTRIBUIDORA DE FRIOS LTDA</v>
      </c>
      <c r="C1495" s="17" t="n">
        <f aca="false">Report!U1989</f>
        <v>1254</v>
      </c>
      <c r="D1495" s="1" t="str">
        <f aca="false">Report!X1989</f>
        <v>NF 3146 -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REAL BEBIDAS DA AMAZONIA LTDA</v>
      </c>
      <c r="C1496" s="17" t="n">
        <f aca="false">Report!U1991</f>
        <v>855</v>
      </c>
      <c r="D1496" s="1" t="str">
        <f aca="false">Report!X1991</f>
        <v>NF 616331 - MILKA</v>
      </c>
    </row>
    <row r="1497" customFormat="false" ht="12.75" hidden="false" customHeight="true" outlineLevel="0" collapsed="false">
      <c r="A1497" s="15" t="n">
        <f aca="false">Report!C1992</f>
        <v>46247</v>
      </c>
      <c r="B1497" s="1" t="str">
        <f aca="false">Report!E1992</f>
        <v>PANIFICADORA E CONFEITARIA REAL MADRI LTDA</v>
      </c>
      <c r="C1497" s="17" t="n">
        <f aca="false">Report!U1992</f>
        <v>770</v>
      </c>
      <c r="D1497" s="1" t="str">
        <f aca="false">Report!X1992</f>
        <v>NF 754 - MILKA</v>
      </c>
    </row>
    <row r="1498" customFormat="false" ht="12.75" hidden="false" customHeight="true" outlineLevel="0" collapsed="false">
      <c r="A1498" s="15" t="n">
        <f aca="false">Report!C1993</f>
        <v>46247</v>
      </c>
      <c r="B1498" s="1" t="str">
        <f aca="false">Report!E1993</f>
        <v>C. R. PARENTE ABREU</v>
      </c>
      <c r="C1498" s="17" t="n">
        <f aca="false">Report!U1993</f>
        <v>472.44</v>
      </c>
      <c r="D1498" s="1" t="str">
        <f aca="false">Report!X1993</f>
        <v>NF 11542-1 KARU - MILKA</v>
      </c>
    </row>
    <row r="1499" customFormat="false" ht="12.75" hidden="false" customHeight="true" outlineLevel="0" collapsed="false">
      <c r="A1499" s="15" t="n">
        <f aca="false">Report!C1994</f>
        <v>46247</v>
      </c>
      <c r="B1499" s="1" t="str">
        <f aca="false">Report!E1994</f>
        <v>ADICSO FABIAN GONZALEZ MONTILLA 70302186</v>
      </c>
      <c r="C1499" s="17" t="n">
        <f aca="false">Report!U1994</f>
        <v>240</v>
      </c>
      <c r="D1499" s="1" t="str">
        <f aca="false">Report!X1994</f>
        <v>NF 595 BLOOM - MILKA</v>
      </c>
    </row>
    <row r="1500" customFormat="false" ht="12.75" hidden="false" customHeight="true" outlineLevel="0" collapsed="false">
      <c r="A1500" s="15" t="n">
        <f aca="false">Report!C1995</f>
        <v>46247</v>
      </c>
      <c r="B1500" s="1" t="str">
        <f aca="false">Report!E1995</f>
        <v>NESTLÉ BRASIL LTDA.</v>
      </c>
      <c r="C1500" s="17" t="n">
        <f aca="false">Report!U1995</f>
        <v>1032.24</v>
      </c>
      <c r="D1500" s="1" t="str">
        <f aca="false">Report!X1995</f>
        <v>NF 1436399 -01/03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RV TECNOLOGIA E SISTEMAS S.A</v>
      </c>
      <c r="C1501" s="17" t="n">
        <f aca="false">Report!U1997</f>
        <v>115.35</v>
      </c>
      <c r="D1501" s="1" t="str">
        <f aca="false">Report!X1997</f>
        <v>rv recarga celular-andreza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RENATO DE O AZEVEDO E CIA LTDA - EPP</v>
      </c>
      <c r="C1502" s="17" t="n">
        <f aca="false">Report!U1999</f>
        <v>375</v>
      </c>
      <c r="D1502" s="1" t="str">
        <f aca="false">Report!X1999</f>
        <v>ACAI DE ANORI - DEBORA 12/08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7" t="n">
        <f aca="false">Report!U2001</f>
        <v>300</v>
      </c>
      <c r="D1503" s="1" t="str">
        <f aca="false">Report!X2001</f>
        <v>ACAI DE ANORI - DEBORA </v>
      </c>
    </row>
    <row r="1504" customFormat="false" ht="12.75" hidden="false" customHeight="true" outlineLevel="0" collapsed="false">
      <c r="A1504" s="15" t="n">
        <f aca="false">Report!C2002</f>
        <v>46247</v>
      </c>
      <c r="B1504" s="1" t="str">
        <f aca="false">Report!E2002</f>
        <v>H L M PADARIA E CONFEITARIA LTDA</v>
      </c>
      <c r="C1504" s="17" t="n">
        <f aca="false">Report!U2002</f>
        <v>316</v>
      </c>
      <c r="D1504" s="1" t="str">
        <f aca="false">Report!X2002</f>
        <v>NF 157 - DEBORA</v>
      </c>
    </row>
    <row r="1505" customFormat="false" ht="12.75" hidden="false" customHeight="true" outlineLevel="0" collapsed="false">
      <c r="A1505" s="15" t="n">
        <f aca="false">Report!C2003</f>
        <v>46247</v>
      </c>
      <c r="B1505" s="1" t="str">
        <f aca="false">Report!E2003</f>
        <v>GELO DANGELO FABRICACAO DE GELO LTDA</v>
      </c>
      <c r="C1505" s="17" t="n">
        <f aca="false">Report!U2003</f>
        <v>480</v>
      </c>
      <c r="D1505" s="1" t="str">
        <f aca="false">Report!X2003</f>
        <v>NF 479 - DEBORA</v>
      </c>
    </row>
    <row r="1506" customFormat="false" ht="12.75" hidden="false" customHeight="true" outlineLevel="0" collapsed="false">
      <c r="A1506" s="15" t="n">
        <f aca="false">Report!C2004</f>
        <v>46247</v>
      </c>
      <c r="B1506" s="1" t="str">
        <f aca="false">Report!E2004</f>
        <v>D N COMERCIO ATACADISTA DE EMBALAGENS E</v>
      </c>
      <c r="C1506" s="17" t="n">
        <f aca="false">Report!U2004</f>
        <v>108</v>
      </c>
      <c r="D1506" s="1" t="str">
        <f aca="false">Report!X2004</f>
        <v>NF 415 - DEBORA</v>
      </c>
    </row>
    <row r="1507" customFormat="false" ht="12.75" hidden="false" customHeight="true" outlineLevel="0" collapsed="false">
      <c r="A1507" s="15" t="n">
        <f aca="false">Report!C2006</f>
        <v>46248</v>
      </c>
      <c r="B1507" s="1" t="str">
        <f aca="false">Report!E2006</f>
        <v>PRIME PET DISTRIBUIDORA LTDA</v>
      </c>
      <c r="C1507" s="17" t="n">
        <f aca="false">Report!U2006</f>
        <v>1849.57</v>
      </c>
      <c r="D1507" s="1" t="str">
        <f aca="false">Report!X2006</f>
        <v>NF 11002-03/07 MILKA </v>
      </c>
    </row>
    <row r="1508" customFormat="false" ht="12.75" hidden="false" customHeight="true" outlineLevel="0" collapsed="false">
      <c r="A1508" s="15" t="n">
        <f aca="false">Report!C2007</f>
        <v>46248</v>
      </c>
      <c r="B1508" s="1" t="str">
        <f aca="false">Report!E2007</f>
        <v>EDMARA COMERCIO DE HIGIENE PESSOAL LTDA</v>
      </c>
      <c r="C1508" s="17" t="n">
        <f aca="false">Report!U2007</f>
        <v>523.66</v>
      </c>
      <c r="D1508" s="1" t="str">
        <f aca="false">Report!X2007</f>
        <v>5350-C/C  NF8364 - MILKA</v>
      </c>
    </row>
    <row r="1509" customFormat="false" ht="12.75" hidden="false" customHeight="true" outlineLevel="0" collapsed="false">
      <c r="A1509" s="15" t="n">
        <f aca="false">Report!C2008</f>
        <v>46248</v>
      </c>
      <c r="B1509" s="1" t="str">
        <f aca="false">Report!E2008</f>
        <v>SB COMERCIO LTDA</v>
      </c>
      <c r="C1509" s="17" t="n">
        <f aca="false">Report!U2008</f>
        <v>945.12</v>
      </c>
      <c r="D1509" s="1" t="str">
        <f aca="false">Report!X2008</f>
        <v>NF 1964247 - MILKA</v>
      </c>
    </row>
    <row r="1510" customFormat="false" ht="12.75" hidden="false" customHeight="true" outlineLevel="0" collapsed="false">
      <c r="A1510" s="15" t="n">
        <f aca="false">Report!C2009</f>
        <v>46248</v>
      </c>
      <c r="B1510" s="1" t="str">
        <f aca="false">Report!E2009</f>
        <v>DISTRIBUIDORA LOPES LTDA</v>
      </c>
      <c r="C1510" s="17" t="n">
        <f aca="false">Report!U2009</f>
        <v>2010.78</v>
      </c>
      <c r="D1510" s="1" t="str">
        <f aca="false">Report!X2009</f>
        <v>NF 1698036 C/ DESC. NO BOLETO - MILKA</v>
      </c>
    </row>
    <row r="1511" customFormat="false" ht="12.75" hidden="false" customHeight="true" outlineLevel="0" collapsed="false">
      <c r="A1511" s="15" t="n">
        <f aca="false">Report!C2010</f>
        <v>46248</v>
      </c>
      <c r="B1511" s="1" t="str">
        <f aca="false">Report!E2010</f>
        <v>SOUZA CRUZ LTDA.</v>
      </c>
      <c r="C1511" s="17" t="n">
        <f aca="false">Report!U2010</f>
        <v>7866.8</v>
      </c>
      <c r="D1511" s="1" t="str">
        <f aca="false">Report!X2010</f>
        <v>NF 568312-3 MILKA</v>
      </c>
    </row>
    <row r="1512" customFormat="false" ht="12.75" hidden="false" customHeight="true" outlineLevel="0" collapsed="false">
      <c r="A1512" s="15" t="n">
        <f aca="false">Report!C2011</f>
        <v>46248</v>
      </c>
      <c r="B1512" s="1" t="str">
        <f aca="false">Report!E2011</f>
        <v>PIARARA COMERCIO, IMPORTACAO E EXPORTACAO LTDA</v>
      </c>
      <c r="C1512" s="17" t="n">
        <f aca="false">Report!U2011</f>
        <v>868.36</v>
      </c>
      <c r="D1512" s="1" t="str">
        <f aca="false">Report!X2011</f>
        <v>NF 194785 - DEBORA</v>
      </c>
    </row>
    <row r="1513" customFormat="false" ht="12.75" hidden="false" customHeight="true" outlineLevel="0" collapsed="false">
      <c r="A1513" s="15" t="n">
        <f aca="false">Report!C2012</f>
        <v>46248</v>
      </c>
      <c r="B1513" s="1" t="str">
        <f aca="false">Report!E2012</f>
        <v>IRMÃOS LIMA  ATACADO  DE ALIMENTOS LTDA</v>
      </c>
      <c r="C1513" s="17" t="n">
        <f aca="false">Report!U2012</f>
        <v>925.97</v>
      </c>
      <c r="D1513" s="1" t="str">
        <f aca="false">Report!X2012</f>
        <v>377101 -B/C  NF296100 - MILKA</v>
      </c>
    </row>
    <row r="1514" customFormat="false" ht="12.75" hidden="false" customHeight="true" outlineLevel="0" collapsed="false">
      <c r="A1514" s="15" t="n">
        <f aca="false">Report!C2013</f>
        <v>46248</v>
      </c>
      <c r="B1514" s="1" t="str">
        <f aca="false">Report!E2013</f>
        <v>BRF S A</v>
      </c>
      <c r="C1514" s="17" t="n">
        <f aca="false">Report!U2013</f>
        <v>676.2</v>
      </c>
      <c r="D1514" s="1" t="str">
        <f aca="false">Report!X2013</f>
        <v>NF 1611963 -02/02  MILKA</v>
      </c>
    </row>
    <row r="1515" customFormat="false" ht="12.75" hidden="false" customHeight="true" outlineLevel="0" collapsed="false">
      <c r="A1515" s="15" t="n">
        <f aca="false">Report!C2014</f>
        <v>46248</v>
      </c>
      <c r="B1515" s="1" t="str">
        <f aca="false">Report!E2014</f>
        <v>J. S. MOREIRA ALVES LTDA</v>
      </c>
      <c r="C1515" s="17" t="n">
        <f aca="false">Report!U2014</f>
        <v>555</v>
      </c>
      <c r="D1515" s="1" t="str">
        <f aca="false">Report!X2014</f>
        <v>NF 2736 MESA FARTA - MILKA</v>
      </c>
    </row>
    <row r="1516" customFormat="false" ht="12.75" hidden="false" customHeight="true" outlineLevel="0" collapsed="false">
      <c r="A1516" s="15" t="n">
        <f aca="false">Report!C2015</f>
        <v>46248</v>
      </c>
      <c r="B1516" s="1" t="str">
        <f aca="false">Report!E2015</f>
        <v>NT INDUSTRIA E COMERCIO DE PANIFICACAO L</v>
      </c>
      <c r="C1516" s="17" t="n">
        <f aca="false">Report!U2015</f>
        <v>4614.83</v>
      </c>
      <c r="D1516" s="1" t="str">
        <f aca="false">Report!X2015</f>
        <v>NF 42703 - MILKA</v>
      </c>
    </row>
    <row r="1517" customFormat="false" ht="12.75" hidden="false" customHeight="true" outlineLevel="0" collapsed="false">
      <c r="A1517" s="15" t="n">
        <f aca="false">Report!C2016</f>
        <v>46248</v>
      </c>
      <c r="B1517" s="1" t="str">
        <f aca="false">Report!E2016</f>
        <v>J G COMERCIO DE PRODUTOS ALIMENTICIOS LTDA</v>
      </c>
      <c r="C1517" s="17" t="n">
        <f aca="false">Report!U2016</f>
        <v>1143.83</v>
      </c>
      <c r="D1517" s="1" t="str">
        <f aca="false">Report!X2016</f>
        <v>459602-A/B  NF395526 - MILKA</v>
      </c>
    </row>
    <row r="1518" customFormat="false" ht="12.75" hidden="false" customHeight="true" outlineLevel="0" collapsed="false">
      <c r="A1518" s="15" t="n">
        <f aca="false">Report!C2017</f>
        <v>46248</v>
      </c>
      <c r="B1518" s="1" t="str">
        <f aca="false">Report!E2017</f>
        <v>COMERCIO DE FRIOS MANAUS LTDA</v>
      </c>
      <c r="C1518" s="17" t="n">
        <f aca="false">Report!U2017</f>
        <v>2334.4</v>
      </c>
      <c r="D1518" s="1" t="str">
        <f aca="false">Report!X2017</f>
        <v>NF174276 - MILKA</v>
      </c>
    </row>
    <row r="1519" customFormat="false" ht="12.75" hidden="false" customHeight="true" outlineLevel="0" collapsed="false">
      <c r="A1519" s="15" t="n">
        <f aca="false">Report!C2018</f>
        <v>46248</v>
      </c>
      <c r="B1519" s="1" t="str">
        <f aca="false">Report!E2018</f>
        <v>FRUTAL INDUSTRIA E COMERCIO LTDA</v>
      </c>
      <c r="C1519" s="17" t="n">
        <f aca="false">Report!U2018</f>
        <v>205.32</v>
      </c>
      <c r="D1519" s="1" t="str">
        <f aca="false">Report!X2018</f>
        <v>NF 228213 - MILKA</v>
      </c>
    </row>
    <row r="1520" customFormat="false" ht="12.75" hidden="false" customHeight="true" outlineLevel="0" collapsed="false">
      <c r="A1520" s="15" t="n">
        <f aca="false">Report!C2019</f>
        <v>46248</v>
      </c>
      <c r="B1520" s="1" t="str">
        <f aca="false">Report!E2019</f>
        <v>J G COMERCIO DE PRODUTOS ALIMENTICIOS LTDA</v>
      </c>
      <c r="C1520" s="17" t="n">
        <f aca="false">Report!U2019</f>
        <v>1052.37</v>
      </c>
      <c r="D1520" s="1" t="str">
        <f aca="false">Report!X2019</f>
        <v>460966-A/C  NF396666 - MILKA</v>
      </c>
    </row>
    <row r="1521" customFormat="false" ht="12.75" hidden="false" customHeight="true" outlineLevel="0" collapsed="false">
      <c r="A1521" s="15" t="n">
        <f aca="false">Report!C2020</f>
        <v>46248</v>
      </c>
      <c r="B1521" s="1" t="str">
        <f aca="false">Report!E2020</f>
        <v>EDSON AGUIAR DE SOUZA</v>
      </c>
      <c r="C1521" s="17" t="n">
        <f aca="false">Report!U2020</f>
        <v>225</v>
      </c>
      <c r="D1521" s="1" t="str">
        <f aca="false">Report!X2020</f>
        <v>NF 1659689 - DEBORA</v>
      </c>
    </row>
    <row r="1522" customFormat="false" ht="12.75" hidden="false" customHeight="true" outlineLevel="0" collapsed="false">
      <c r="A1522" s="15" t="n">
        <f aca="false">Report!C2021</f>
        <v>46248</v>
      </c>
      <c r="B1522" s="1" t="str">
        <f aca="false">Report!E2021</f>
        <v>EDSON AGUIAR DE SOUZA</v>
      </c>
      <c r="C1522" s="17" t="n">
        <f aca="false">Report!U2021</f>
        <v>217.5</v>
      </c>
      <c r="D1522" s="1" t="str">
        <f aca="false">Report!X2021</f>
        <v>NF 1659694 - DEBORA</v>
      </c>
    </row>
    <row r="1523" customFormat="false" ht="12.75" hidden="false" customHeight="true" outlineLevel="0" collapsed="false">
      <c r="A1523" s="15" t="n">
        <f aca="false">Report!C2022</f>
        <v>46248</v>
      </c>
      <c r="B1523" s="1" t="str">
        <f aca="false">Report!E2022</f>
        <v>EDSON AGUIAR DE SOUZA</v>
      </c>
      <c r="C1523" s="17" t="n">
        <f aca="false">Report!U2022</f>
        <v>171</v>
      </c>
      <c r="D1523" s="1" t="str">
        <f aca="false">Report!X2022</f>
        <v>NF 1659706 - DEBORA</v>
      </c>
    </row>
    <row r="1524" customFormat="false" ht="12.75" hidden="false" customHeight="true" outlineLevel="0" collapsed="false">
      <c r="A1524" s="15" t="n">
        <f aca="false">Report!C2023</f>
        <v>46248</v>
      </c>
      <c r="B1524" s="1" t="str">
        <f aca="false">Report!E2023</f>
        <v>EDSON AGUIAR DE SOUZA</v>
      </c>
      <c r="C1524" s="17" t="n">
        <f aca="false">Report!U2023</f>
        <v>261</v>
      </c>
      <c r="D1524" s="1" t="str">
        <f aca="false">Report!X2023</f>
        <v>NF 1660615 - DEBORA</v>
      </c>
    </row>
    <row r="1525" customFormat="false" ht="12.75" hidden="false" customHeight="true" outlineLevel="0" collapsed="false">
      <c r="A1525" s="15" t="n">
        <f aca="false">Report!C2024</f>
        <v>46248</v>
      </c>
      <c r="B1525" s="1" t="str">
        <f aca="false">Report!E2024</f>
        <v>VITAPAN COMERCIO VAREJISTA DE PRODUTOS ALIMENTICIOS LTDA</v>
      </c>
      <c r="C1525" s="17" t="n">
        <f aca="false">Report!U2024</f>
        <v>1350</v>
      </c>
      <c r="D1525" s="1" t="str">
        <f aca="false">Report!X2024</f>
        <v>NF 10502 - MILKA</v>
      </c>
    </row>
    <row r="1526" customFormat="false" ht="12.75" hidden="false" customHeight="true" outlineLevel="0" collapsed="false">
      <c r="A1526" s="15" t="n">
        <f aca="false">Report!C2025</f>
        <v>46248</v>
      </c>
      <c r="B1526" s="1" t="str">
        <f aca="false">Report!E2025</f>
        <v>EDSON AGUIAR DE SOUZA</v>
      </c>
      <c r="C1526" s="17" t="n">
        <f aca="false">Report!U2025</f>
        <v>180</v>
      </c>
      <c r="D1526" s="1" t="str">
        <f aca="false">Report!X2025</f>
        <v>NF 1660616 - DEBORA</v>
      </c>
    </row>
    <row r="1527" customFormat="false" ht="12.75" hidden="false" customHeight="true" outlineLevel="0" collapsed="false">
      <c r="A1527" s="15" t="n">
        <f aca="false">Report!C2026</f>
        <v>46248</v>
      </c>
      <c r="B1527" s="1" t="str">
        <f aca="false">Report!E2026</f>
        <v>LIMA E BARANDA COMERCIO DE PRODUTOS REGI</v>
      </c>
      <c r="C1527" s="17" t="n">
        <f aca="false">Report!U2026</f>
        <v>363.5</v>
      </c>
      <c r="D1527" s="1" t="str">
        <f aca="false">Report!X2026</f>
        <v>NF 31383 - MILKA</v>
      </c>
    </row>
    <row r="1528" customFormat="false" ht="12.75" hidden="false" customHeight="true" outlineLevel="0" collapsed="false">
      <c r="A1528" s="15" t="n">
        <f aca="false">Report!C2027</f>
        <v>46248</v>
      </c>
      <c r="B1528" s="1" t="str">
        <f aca="false">Report!E2027</f>
        <v>LELE FABRICACAO DE MASSAS LTDA</v>
      </c>
      <c r="C1528" s="17" t="n">
        <f aca="false">Report!U2027</f>
        <v>250</v>
      </c>
      <c r="D1528" s="1" t="str">
        <f aca="false">Report!X2027</f>
        <v>NF 17015 - MILKA</v>
      </c>
    </row>
    <row r="1529" customFormat="false" ht="12.75" hidden="false" customHeight="true" outlineLevel="0" collapsed="false">
      <c r="A1529" s="15" t="n">
        <f aca="false">Report!C2028</f>
        <v>46248</v>
      </c>
      <c r="B1529" s="1" t="str">
        <f aca="false">Report!E2028</f>
        <v>BROTHERS  INDUSTRIA DE ALIMENTOS LTDA</v>
      </c>
      <c r="C1529" s="17" t="n">
        <f aca="false">Report!U2028</f>
        <v>949.68</v>
      </c>
      <c r="D1529" s="1" t="str">
        <f aca="false">Report!X2028</f>
        <v>NF 1035724 - MILKA</v>
      </c>
    </row>
    <row r="1530" customFormat="false" ht="12.75" hidden="false" customHeight="true" outlineLevel="0" collapsed="false">
      <c r="A1530" s="15" t="n">
        <f aca="false">Report!C2029</f>
        <v>46248</v>
      </c>
      <c r="B1530" s="1" t="str">
        <f aca="false">Report!E2029</f>
        <v>MAXFRI DISTRIUIDORA LTDA</v>
      </c>
      <c r="C1530" s="17" t="n">
        <f aca="false">Report!U2029</f>
        <v>6688</v>
      </c>
      <c r="D1530" s="1" t="str">
        <f aca="false">Report!X2029</f>
        <v>NF 14969 - MILKA</v>
      </c>
    </row>
    <row r="1531" customFormat="false" ht="12.75" hidden="false" customHeight="true" outlineLevel="0" collapsed="false">
      <c r="A1531" s="15" t="n">
        <f aca="false">Report!C2030</f>
        <v>46248</v>
      </c>
      <c r="B1531" s="1" t="str">
        <f aca="false">Report!E2030</f>
        <v>EDSON AGUIAR DE SOUZA</v>
      </c>
      <c r="C1531" s="17" t="n">
        <f aca="false">Report!U2030</f>
        <v>210</v>
      </c>
      <c r="D1531" s="1" t="str">
        <f aca="false">Report!X2030</f>
        <v>NF 1661046 - DEBORA</v>
      </c>
    </row>
    <row r="1532" customFormat="false" ht="12.75" hidden="false" customHeight="true" outlineLevel="0" collapsed="false">
      <c r="A1532" s="15" t="n">
        <f aca="false">Report!C2031</f>
        <v>46248</v>
      </c>
      <c r="B1532" s="1" t="str">
        <f aca="false">Report!E2031</f>
        <v>PANIFICADORA E CONFEITARIA REAL MADRI LTDA</v>
      </c>
      <c r="C1532" s="17" t="n">
        <f aca="false">Report!U2031</f>
        <v>700</v>
      </c>
      <c r="D1532" s="1" t="str">
        <f aca="false">Report!X2031</f>
        <v>NF 756 - MILKA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EDSON AGUIAR DE SOUZA</v>
      </c>
      <c r="C1533" s="17" t="n">
        <f aca="false">Report!U2033</f>
        <v>225</v>
      </c>
      <c r="D1533" s="1" t="str">
        <f aca="false">Report!X2033</f>
        <v>NF 1662615 - DEBORA</v>
      </c>
    </row>
    <row r="1534" customFormat="false" ht="12.75" hidden="false" customHeight="true" outlineLevel="0" collapsed="false">
      <c r="A1534" s="15" t="n">
        <f aca="false">Report!C2034</f>
        <v>46248</v>
      </c>
      <c r="B1534" s="1" t="str">
        <f aca="false">Report!E2034</f>
        <v>RENATO DE O AZEVEDO E CIA LTDA - EPP</v>
      </c>
      <c r="C1534" s="17" t="n">
        <f aca="false">Report!U2034</f>
        <v>690</v>
      </c>
      <c r="D1534" s="1" t="str">
        <f aca="false">Report!X2034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Report!C2035</f>
        <v>46248</v>
      </c>
      <c r="B1535" s="1" t="str">
        <f aca="false">Report!E2035</f>
        <v>RENATO DE O AZEVEDO E CIA LTDA - EPP</v>
      </c>
      <c r="C1535" s="17" t="n">
        <f aca="false">Report!U2035</f>
        <v>3247.75</v>
      </c>
      <c r="D1535" s="1" t="str">
        <f aca="false">Report!X2035</f>
        <v>FEIRA SR RENATO - PGTO C6 BANK P/ RENATO - DEBORA</v>
      </c>
    </row>
    <row r="1536" customFormat="false" ht="12.75" hidden="false" customHeight="true" outlineLevel="0" collapsed="false">
      <c r="A1536" s="15" t="n">
        <f aca="false">Report!C2036</f>
        <v>46248</v>
      </c>
      <c r="B1536" s="1" t="str">
        <f aca="false">Report!E2036</f>
        <v>RENATO DE O AZEVEDO E CIA LTDA - EPP</v>
      </c>
      <c r="C1536" s="17" t="n">
        <f aca="false">Report!U2036</f>
        <v>3089</v>
      </c>
      <c r="D1536" s="1" t="str">
        <f aca="false">Report!X2036</f>
        <v>FEIRA CARLOS - DEBORA</v>
      </c>
    </row>
    <row r="1537" customFormat="false" ht="12.75" hidden="false" customHeight="true" outlineLevel="0" collapsed="false">
      <c r="A1537" s="15" t="n">
        <f aca="false">Report!C2037</f>
        <v>46248</v>
      </c>
      <c r="B1537" s="1" t="str">
        <f aca="false">Report!E2037</f>
        <v>RENATO DE O AZEVEDO E CIA LTDA - EPP</v>
      </c>
      <c r="C1537" s="17" t="n">
        <f aca="false">Report!U2037</f>
        <v>140</v>
      </c>
      <c r="D1537" s="1" t="str">
        <f aca="false">Report!X2037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Report!C2040</f>
        <v>46248</v>
      </c>
      <c r="B1538" s="1" t="str">
        <f aca="false">Report!E2040</f>
        <v>COMERCIO E TRANSPORTE BRANDAO LTDA</v>
      </c>
      <c r="C1538" s="17" t="n">
        <f aca="false">Report!U2040</f>
        <v>1440</v>
      </c>
      <c r="D1538" s="1" t="str">
        <f aca="false">Report!X2040</f>
        <v>NF 15114 - DEBORA</v>
      </c>
    </row>
    <row r="1539" customFormat="false" ht="12.75" hidden="false" customHeight="true" outlineLevel="0" collapsed="false">
      <c r="A1539" s="15" t="n">
        <f aca="false">Report!C2041</f>
        <v>46248</v>
      </c>
      <c r="B1539" s="1" t="str">
        <f aca="false">Report!E2041</f>
        <v>H L M PADARIA E CONFEITARIA LTDA</v>
      </c>
      <c r="C1539" s="17" t="n">
        <f aca="false">Report!U2041</f>
        <v>408</v>
      </c>
      <c r="D1539" s="1" t="str">
        <f aca="false">Report!X2041</f>
        <v>NF 163 - DEBORA</v>
      </c>
    </row>
    <row r="1540" customFormat="false" ht="12.75" hidden="false" customHeight="true" outlineLevel="0" collapsed="false">
      <c r="A1540" s="15" t="n">
        <f aca="false">Report!C2042</f>
        <v>46248</v>
      </c>
      <c r="B1540" s="1" t="str">
        <f aca="false">Report!E2042</f>
        <v>EDSON AGUIAR DE SOUZA</v>
      </c>
      <c r="C1540" s="17" t="n">
        <f aca="false">Report!U2042</f>
        <v>135</v>
      </c>
      <c r="D1540" s="1" t="str">
        <f aca="false">Report!X2042</f>
        <v>NF 1664299 - DEBORA</v>
      </c>
    </row>
    <row r="1541" customFormat="false" ht="12.75" hidden="false" customHeight="true" outlineLevel="0" collapsed="false">
      <c r="A1541" s="15" t="n">
        <f aca="false">Report!C2043</f>
        <v>46248</v>
      </c>
      <c r="B1541" s="1" t="str">
        <f aca="false">Report!E2043</f>
        <v>J W N DOS SANTOS</v>
      </c>
      <c r="C1541" s="17" t="n">
        <f aca="false">Report!U2043</f>
        <v>614</v>
      </c>
      <c r="D1541" s="1" t="str">
        <f aca="false">Report!X2043</f>
        <v>NF 404 - DEBORA</v>
      </c>
    </row>
    <row r="1542" customFormat="false" ht="12.75" hidden="false" customHeight="true" outlineLevel="0" collapsed="false">
      <c r="A1542" s="15" t="n">
        <f aca="false">Report!C2047</f>
        <v>46249</v>
      </c>
      <c r="B1542" s="1" t="str">
        <f aca="false">Report!E2047</f>
        <v>PRIME PET DISTRIBUIDORA LTDA</v>
      </c>
      <c r="C1542" s="17" t="n">
        <f aca="false">Report!U2047</f>
        <v>1488.41</v>
      </c>
      <c r="D1542" s="1" t="str">
        <f aca="false">Report!X2047</f>
        <v>NF 10262 -09/09 MILKA</v>
      </c>
    </row>
    <row r="1543" customFormat="false" ht="12.75" hidden="false" customHeight="true" outlineLevel="0" collapsed="false">
      <c r="A1543" s="15" t="n">
        <f aca="false">Report!C2048</f>
        <v>46249</v>
      </c>
      <c r="B1543" s="1" t="str">
        <f aca="false">Report!E2048</f>
        <v>FUNNY PET DISTRIBUIDORA DE ALIMENTOS PAR</v>
      </c>
      <c r="C1543" s="17" t="n">
        <f aca="false">Report!U2048</f>
        <v>1475.42</v>
      </c>
      <c r="D1543" s="1" t="str">
        <f aca="false">Report!X2048</f>
        <v>NF 21048-2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MARE DISTRIBUIDORA DE BEBIDAS E DE PRODUTOS ALIMENTICIOS LTDA</v>
      </c>
      <c r="C1544" s="17" t="n">
        <f aca="false">Report!U2050</f>
        <v>2781.8</v>
      </c>
      <c r="D1544" s="1" t="str">
        <f aca="false">Report!X2050</f>
        <v>NF 1408028 MAGISTRAL - MILKA</v>
      </c>
    </row>
    <row r="1545" customFormat="false" ht="12.75" hidden="false" customHeight="true" outlineLevel="0" collapsed="false">
      <c r="A1545" s="15" t="n">
        <f aca="false">Report!C2051</f>
        <v>46249</v>
      </c>
      <c r="B1545" s="1" t="str">
        <f aca="false">Report!E2051</f>
        <v>COMERCIO DE FRIOS MANAUS LTDA</v>
      </c>
      <c r="C1545" s="17" t="n">
        <f aca="false">Report!U2051</f>
        <v>3322.1</v>
      </c>
      <c r="D1545" s="1" t="str">
        <f aca="false">Report!X2051</f>
        <v>NF 174356 - MILKA</v>
      </c>
    </row>
    <row r="1546" customFormat="false" ht="12.75" hidden="false" customHeight="true" outlineLevel="0" collapsed="false">
      <c r="A1546" s="15" t="n">
        <f aca="false">Report!C2052</f>
        <v>46249</v>
      </c>
      <c r="B1546" s="1" t="str">
        <f aca="false">Report!E2052</f>
        <v>J. R. L. NASCIMENTO PANIFICADORA</v>
      </c>
      <c r="C1546" s="17" t="n">
        <f aca="false">Report!U2052</f>
        <v>1050</v>
      </c>
      <c r="D1546" s="1" t="str">
        <f aca="false">Report!X2052</f>
        <v>NF 1300 CASA ITALIA - MILKA</v>
      </c>
    </row>
    <row r="1547" customFormat="false" ht="12.75" hidden="false" customHeight="true" outlineLevel="0" collapsed="false">
      <c r="A1547" s="15" t="n">
        <f aca="false">Report!C2053</f>
        <v>46249</v>
      </c>
      <c r="B1547" s="1" t="str">
        <f aca="false">Report!E2053</f>
        <v>SILVA E SANTOS FRIGORIFICO LTDA</v>
      </c>
      <c r="C1547" s="17" t="n">
        <f aca="false">Report!U2053</f>
        <v>1760</v>
      </c>
      <c r="D1547" s="1" t="str">
        <f aca="false">Report!X2053</f>
        <v>NF 32338 - MILKA</v>
      </c>
    </row>
    <row r="1548" customFormat="false" ht="12.75" hidden="false" customHeight="true" outlineLevel="0" collapsed="false">
      <c r="A1548" s="15" t="n">
        <f aca="false">Report!C2054</f>
        <v>46249</v>
      </c>
      <c r="B1548" s="1" t="str">
        <f aca="false">Report!E2054</f>
        <v>MAXFRI DISTRIUIDORA LTDA</v>
      </c>
      <c r="C1548" s="17" t="n">
        <f aca="false">Report!U2054</f>
        <v>2412.8</v>
      </c>
      <c r="D1548" s="1" t="str">
        <f aca="false">Report!X2054</f>
        <v>NF 15000 - MILKA</v>
      </c>
    </row>
    <row r="1549" customFormat="false" ht="12.75" hidden="false" customHeight="true" outlineLevel="0" collapsed="false">
      <c r="A1549" s="15" t="n">
        <f aca="false">Report!C2055</f>
        <v>46249</v>
      </c>
      <c r="B1549" s="1" t="str">
        <f aca="false">Report!E2055</f>
        <v>MAXFRI DISTRIUIDORA LTDA</v>
      </c>
      <c r="C1549" s="17" t="n">
        <f aca="false">Report!U2055</f>
        <v>4403.2</v>
      </c>
      <c r="D1549" s="1" t="str">
        <f aca="false">Report!X2055</f>
        <v>NF 14992 -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H L M PADARIA E CONFEITARIA LTDA</v>
      </c>
      <c r="C1550" s="17" t="n">
        <f aca="false">Report!U2057</f>
        <v>680</v>
      </c>
      <c r="D1550" s="1" t="str">
        <f aca="false">Report!X2057</f>
        <v>NF 173 - DEBORA</v>
      </c>
    </row>
    <row r="1551" customFormat="false" ht="12.75" hidden="false" customHeight="true" outlineLevel="0" collapsed="false">
      <c r="A1551" s="15" t="n">
        <f aca="false">Report!C2058</f>
        <v>46249</v>
      </c>
      <c r="B1551" s="1" t="str">
        <f aca="false">Report!E2058</f>
        <v>GELO DANGELO FABRICACAO DE GELO LTDA</v>
      </c>
      <c r="C1551" s="17" t="n">
        <f aca="false">Report!U2058</f>
        <v>359.5</v>
      </c>
      <c r="D1551" s="1" t="str">
        <f aca="false">Report!X2058</f>
        <v>NF 487 - DEBORA</v>
      </c>
    </row>
    <row r="1552" customFormat="false" ht="12.75" hidden="false" customHeight="true" outlineLevel="0" collapsed="false">
      <c r="A1552" s="15" t="n">
        <f aca="false">Report!C2059</f>
        <v>46250</v>
      </c>
      <c r="B1552" s="1" t="str">
        <f aca="false">Report!E2059</f>
        <v>MARTINS COM SERV DISTR SA</v>
      </c>
      <c r="C1552" s="17" t="n">
        <f aca="false">Report!U2059</f>
        <v>3224.65</v>
      </c>
      <c r="D1552" s="1" t="str">
        <f aca="false">Report!X2059</f>
        <v>NF 1773396/ NF 1773397 -03 MILKA</v>
      </c>
    </row>
    <row r="1553" customFormat="false" ht="12.75" hidden="false" customHeight="true" outlineLevel="0" collapsed="false">
      <c r="A1553" s="15" t="n">
        <f aca="false">Report!C2060</f>
        <v>46250</v>
      </c>
      <c r="B1553" s="1" t="str">
        <f aca="false">Report!E2060</f>
        <v>OPPORTUNITY ALIMENTOS PARA ANIMAIS LTDA</v>
      </c>
      <c r="C1553" s="17" t="n">
        <f aca="false">Report!U2060</f>
        <v>562.94</v>
      </c>
      <c r="D1553" s="1" t="str">
        <f aca="false">Report!X2060</f>
        <v>NF 34780 - DEBORA</v>
      </c>
    </row>
    <row r="1554" customFormat="false" ht="12.75" hidden="false" customHeight="true" outlineLevel="0" collapsed="false">
      <c r="A1554" s="15" t="n">
        <f aca="false">Report!C2061</f>
        <v>46251</v>
      </c>
      <c r="B1554" s="1" t="str">
        <f aca="false">Report!E2061</f>
        <v>FH DISTRIBUIDORA DE ALIM. E BEBIDAS LTDA</v>
      </c>
      <c r="C1554" s="17" t="n">
        <f aca="false">Report!U2061</f>
        <v>810.35</v>
      </c>
      <c r="D1554" s="1" t="str">
        <f aca="false">Report!X2061</f>
        <v>NF 329028-1 MILKA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OPPORTUNITY ALIMENTOS PARA ANIMAIS LTDA</v>
      </c>
      <c r="C1555" s="17" t="n">
        <f aca="false">Report!U2063</f>
        <v>2006</v>
      </c>
      <c r="D1555" s="1" t="str">
        <f aca="false">Report!X2063</f>
        <v>NF 34663-1 MILKA</v>
      </c>
    </row>
    <row r="1556" customFormat="false" ht="12.75" hidden="false" customHeight="true" outlineLevel="0" collapsed="false">
      <c r="A1556" s="15" t="n">
        <f aca="false">Report!C2064</f>
        <v>46251</v>
      </c>
      <c r="B1556" s="1" t="str">
        <f aca="false">Report!E2064</f>
        <v>PRIME PET DISTRIBUIDORA LTDA</v>
      </c>
      <c r="C1556" s="17" t="n">
        <f aca="false">Report!U2064</f>
        <v>911.85</v>
      </c>
      <c r="D1556" s="1" t="str">
        <f aca="false">Report!X2064</f>
        <v>NF 11134 -01/06  MILKA</v>
      </c>
    </row>
    <row r="1557" customFormat="false" ht="12.75" hidden="false" customHeight="true" outlineLevel="0" collapsed="false">
      <c r="A1557" s="15" t="n">
        <f aca="false">Report!C2065</f>
        <v>46251</v>
      </c>
      <c r="B1557" s="1" t="str">
        <f aca="false">Report!E2065</f>
        <v>OCIDENTAL COMERCIO DE FRIOS LTDA</v>
      </c>
      <c r="C1557" s="17" t="n">
        <f aca="false">Report!U2065</f>
        <v>2044.89</v>
      </c>
      <c r="D1557" s="1" t="str">
        <f aca="false">Report!X2065</f>
        <v>NF 1249231-3/3 MILKA</v>
      </c>
    </row>
    <row r="1558" customFormat="false" ht="12.75" hidden="false" customHeight="true" outlineLevel="0" collapsed="false">
      <c r="A1558" s="15" t="n">
        <f aca="false">Report!C2066</f>
        <v>46251</v>
      </c>
      <c r="B1558" s="1" t="str">
        <f aca="false">Report!E2066</f>
        <v>NJF INDUSTRIA E COMERCIO LTDA</v>
      </c>
      <c r="C1558" s="17" t="n">
        <f aca="false">Report!U2066</f>
        <v>1164.5</v>
      </c>
      <c r="D1558" s="1" t="str">
        <f aca="false">Report!X2066</f>
        <v>NF 85346 -2 MILKA</v>
      </c>
    </row>
    <row r="1559" customFormat="false" ht="12.75" hidden="false" customHeight="true" outlineLevel="0" collapsed="false">
      <c r="A1559" s="15" t="n">
        <f aca="false">Report!C2067</f>
        <v>46251</v>
      </c>
      <c r="B1559" s="1" t="str">
        <f aca="false">Report!E2067</f>
        <v>L S M COMERCIO DE ALIMENTOS E NAVEGACAO</v>
      </c>
      <c r="C1559" s="17" t="n">
        <f aca="false">Report!U2067</f>
        <v>1633.1</v>
      </c>
      <c r="D1559" s="1" t="str">
        <f aca="false">Report!X2067</f>
        <v>NF 309642-1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7" t="n">
        <f aca="false">Report!U2069</f>
        <v>403.5</v>
      </c>
      <c r="D1560" s="1" t="str">
        <f aca="false">Report!X2069</f>
        <v>NF 309757-1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CRBS S/A</v>
      </c>
      <c r="C1561" s="17" t="n">
        <f aca="false">Report!U2071</f>
        <v>4870.45</v>
      </c>
      <c r="D1561" s="1" t="str">
        <f aca="false">Report!X2071</f>
        <v>NF 942898 C/ BONIFICACAO - MILKA</v>
      </c>
    </row>
    <row r="1562" customFormat="false" ht="12.75" hidden="false" customHeight="true" outlineLevel="0" collapsed="false">
      <c r="A1562" s="15" t="n">
        <f aca="false">Report!C2072</f>
        <v>46251</v>
      </c>
      <c r="B1562" s="1" t="str">
        <f aca="false">Report!E2072</f>
        <v>CRBS S/A</v>
      </c>
      <c r="C1562" s="17" t="n">
        <f aca="false">Report!U2072</f>
        <v>424.55</v>
      </c>
      <c r="D1562" s="1" t="str">
        <f aca="false">Report!X2072</f>
        <v>NF 942899 AMBEV - MILKA</v>
      </c>
    </row>
    <row r="1563" customFormat="false" ht="12.75" hidden="false" customHeight="true" outlineLevel="0" collapsed="false">
      <c r="A1563" s="15" t="n">
        <f aca="false">Report!C2073</f>
        <v>46251</v>
      </c>
      <c r="B1563" s="1" t="str">
        <f aca="false">Report!E2073</f>
        <v>C. R. PARENTE ABREU</v>
      </c>
      <c r="C1563" s="17" t="n">
        <f aca="false">Report!U2073</f>
        <v>472.45</v>
      </c>
      <c r="D1563" s="1" t="str">
        <f aca="false">Report!X2073</f>
        <v>NF 11542-2 KARU - MILKA</v>
      </c>
    </row>
    <row r="1564" customFormat="false" ht="12.75" hidden="false" customHeight="true" outlineLevel="0" collapsed="false">
      <c r="A1564" s="15" t="n">
        <f aca="false">Report!C2074</f>
        <v>46251</v>
      </c>
      <c r="B1564" s="1" t="str">
        <f aca="false">Report!E2074</f>
        <v>SILVA E SANTOS FRIGORIFICO LTDA</v>
      </c>
      <c r="C1564" s="17" t="n">
        <f aca="false">Report!U2074</f>
        <v>3325</v>
      </c>
      <c r="D1564" s="1" t="str">
        <f aca="false">Report!X2074</f>
        <v>NF 32360 - MILKA</v>
      </c>
    </row>
    <row r="1565" customFormat="false" ht="12.75" hidden="false" customHeight="true" outlineLevel="0" collapsed="false">
      <c r="A1565" s="15" t="n">
        <f aca="false">Report!C2075</f>
        <v>46251</v>
      </c>
      <c r="B1565" s="1" t="str">
        <f aca="false">Report!E2075</f>
        <v>T. M. L. DA SILVA LTDA</v>
      </c>
      <c r="C1565" s="17" t="n">
        <f aca="false">Report!U2075</f>
        <v>721.74</v>
      </c>
      <c r="D1565" s="1" t="str">
        <f aca="false">Report!X2075</f>
        <v>NF 15235 AMAZONGURT - MILKA</v>
      </c>
    </row>
    <row r="1566" customFormat="false" ht="12.75" hidden="false" customHeight="true" outlineLevel="0" collapsed="false">
      <c r="A1566" s="15" t="n">
        <f aca="false">Report!C2076</f>
        <v>46251</v>
      </c>
      <c r="B1566" s="1" t="str">
        <f aca="false">Report!E2076</f>
        <v>SAO JOSE COMERCIO DE LATICINIOS E FRIOS</v>
      </c>
      <c r="C1566" s="17" t="n">
        <f aca="false">Report!U2076</f>
        <v>2313.5</v>
      </c>
      <c r="D1566" s="1" t="str">
        <f aca="false">Report!X2076</f>
        <v>NF 3798 SABORE - MILKA</v>
      </c>
    </row>
    <row r="1567" customFormat="false" ht="12.75" hidden="false" customHeight="true" outlineLevel="0" collapsed="false">
      <c r="A1567" s="15" t="n">
        <f aca="false">Report!C2077</f>
        <v>46251</v>
      </c>
      <c r="B1567" s="1" t="str">
        <f aca="false">Report!E2077</f>
        <v>NOVA FRIOS COMERCIO ATACADISTA DE LATICINIOS LTDA</v>
      </c>
      <c r="C1567" s="17" t="n">
        <f aca="false">Report!U2077</f>
        <v>255</v>
      </c>
      <c r="D1567" s="1" t="str">
        <f aca="false">Report!X2077</f>
        <v>NF 43493 BODEGA DO PAO - MILKA</v>
      </c>
    </row>
    <row r="1568" customFormat="false" ht="12.75" hidden="false" customHeight="true" outlineLevel="0" collapsed="false">
      <c r="A1568" s="15" t="n">
        <f aca="false">Report!C2078</f>
        <v>46251</v>
      </c>
      <c r="B1568" s="1" t="str">
        <f aca="false">Report!E2078</f>
        <v>FRUTAL INDUSTRIA E COMERCIO LTDA</v>
      </c>
      <c r="C1568" s="17" t="n">
        <f aca="false">Report!U2078</f>
        <v>661.21</v>
      </c>
      <c r="D1568" s="1" t="str">
        <f aca="false">Report!X2078</f>
        <v>NF 228288 -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PANIFICADORA E CONFEITARIA REAL MADRI LTDA</v>
      </c>
      <c r="C1569" s="17" t="n">
        <f aca="false">Report!U2080</f>
        <v>452</v>
      </c>
      <c r="D1569" s="1" t="str">
        <f aca="false">Report!X2080</f>
        <v>NF 758 - MILKA</v>
      </c>
    </row>
    <row r="1570" customFormat="false" ht="12.75" hidden="false" customHeight="true" outlineLevel="0" collapsed="false">
      <c r="A1570" s="15" t="n">
        <f aca="false">Report!C2081</f>
        <v>46251</v>
      </c>
      <c r="B1570" s="1" t="str">
        <f aca="false">Report!E2081</f>
        <v>PANIFICADORA E CONFEITARIA REAL MADRI LTDA</v>
      </c>
      <c r="C1570" s="17" t="n">
        <f aca="false">Report!U2081</f>
        <v>840</v>
      </c>
      <c r="D1570" s="1" t="str">
        <f aca="false">Report!X2081</f>
        <v>NF 759 - MILKA</v>
      </c>
    </row>
    <row r="1571" customFormat="false" ht="12.75" hidden="false" customHeight="true" outlineLevel="0" collapsed="false">
      <c r="A1571" s="15" t="n">
        <f aca="false">Report!C2082</f>
        <v>46251</v>
      </c>
      <c r="B1571" s="1" t="str">
        <f aca="false">Report!E2082</f>
        <v>RENATO DE O AZEVEDO E CIA LTDA - EPP</v>
      </c>
      <c r="C1571" s="17" t="n">
        <f aca="false">Report!U2082</f>
        <v>510</v>
      </c>
      <c r="D1571" s="1" t="str">
        <f aca="false">Report!X2082</f>
        <v>ACAI DE ANORI - DEBORA 15/08</v>
      </c>
    </row>
    <row r="1572" customFormat="false" ht="12.75" hidden="false" customHeight="true" outlineLevel="0" collapsed="false">
      <c r="A1572" s="15" t="n">
        <f aca="false">Report!C2087</f>
        <v>46251</v>
      </c>
      <c r="B1572" s="1" t="str">
        <f aca="false">Report!E2087</f>
        <v>RV TECNOLOGIA E SISTEMAS S.A</v>
      </c>
      <c r="C1572" s="17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5" t="n">
        <f aca="false">Report!C2088</f>
        <v>46251</v>
      </c>
      <c r="B1573" s="1" t="str">
        <f aca="false">Report!E2088</f>
        <v>GELO DANGELO FABRICACAO DE GELO LTDA</v>
      </c>
      <c r="C1573" s="17" t="n">
        <f aca="false">Report!U2088</f>
        <v>324.5</v>
      </c>
      <c r="D1573" s="1" t="str">
        <f aca="false">Report!X2088</f>
        <v>NF 491 - DEBORA</v>
      </c>
    </row>
    <row r="1574" customFormat="false" ht="12.75" hidden="false" customHeight="true" outlineLevel="0" collapsed="false">
      <c r="A1574" s="15" t="n">
        <f aca="false">Report!C2089</f>
        <v>46251</v>
      </c>
      <c r="B1574" s="1" t="str">
        <f aca="false">Report!E2089</f>
        <v>H L M PADARIA E CONFEITARIA LTDA</v>
      </c>
      <c r="C1574" s="17" t="n">
        <f aca="false">Report!U2089</f>
        <v>240</v>
      </c>
      <c r="D1574" s="1" t="str">
        <f aca="false">Report!X2089</f>
        <v>NF 177 - DEBORA</v>
      </c>
    </row>
    <row r="1575" customFormat="false" ht="12.75" hidden="false" customHeight="true" outlineLevel="0" collapsed="false">
      <c r="A1575" s="15" t="n">
        <f aca="false">Report!C2093</f>
        <v>46252</v>
      </c>
      <c r="B1575" s="1" t="str">
        <f aca="false">Report!E2093</f>
        <v>RISADINHA LTDA</v>
      </c>
      <c r="C1575" s="17" t="n">
        <f aca="false">Report!U2093</f>
        <v>823.62</v>
      </c>
      <c r="D1575" s="1" t="str">
        <f aca="false">Report!X2093</f>
        <v>NF 662479-03 MILKA</v>
      </c>
    </row>
    <row r="1576" customFormat="false" ht="12.75" hidden="false" customHeight="true" outlineLevel="0" collapsed="false">
      <c r="A1576" s="15" t="n">
        <f aca="false">Report!C2094</f>
        <v>46252</v>
      </c>
      <c r="B1576" s="1" t="str">
        <f aca="false">Report!E2094</f>
        <v>ATACADAO S.A.</v>
      </c>
      <c r="C1576" s="17" t="n">
        <f aca="false">Report!U2094</f>
        <v>479.64</v>
      </c>
      <c r="D1576" s="1" t="str">
        <f aca="false">Report!X2094</f>
        <v>NF 1905836 - MILKA</v>
      </c>
    </row>
    <row r="1577" customFormat="false" ht="12.75" hidden="false" customHeight="true" outlineLevel="0" collapsed="false">
      <c r="A1577" s="15" t="n">
        <f aca="false">Report!C2095</f>
        <v>46252</v>
      </c>
      <c r="B1577" s="1" t="str">
        <f aca="false">Report!E2095</f>
        <v>TAPAJOS COM DE PERFUMARIA COSMETICOS E G</v>
      </c>
      <c r="C1577" s="17" t="n">
        <f aca="false">Report!U2095</f>
        <v>614.72</v>
      </c>
      <c r="D1577" s="1" t="str">
        <f aca="false">Report!X2095</f>
        <v>NF 581015 -2 C/TAXA - MILKA</v>
      </c>
    </row>
    <row r="1578" customFormat="false" ht="12.75" hidden="false" customHeight="true" outlineLevel="0" collapsed="false">
      <c r="A1578" s="15" t="n">
        <f aca="false">Report!C2096</f>
        <v>46252</v>
      </c>
      <c r="B1578" s="1" t="str">
        <f aca="false">Report!E2096</f>
        <v>TAPAJOS COM DE PERFUMARIA COSMETICOS E G</v>
      </c>
      <c r="C1578" s="17" t="n">
        <f aca="false">Report!U2096</f>
        <v>623.07</v>
      </c>
      <c r="D1578" s="1" t="str">
        <f aca="false">Report!X2096</f>
        <v>NF 581016-2 C/ TAXA - MILKA</v>
      </c>
    </row>
    <row r="1579" customFormat="false" ht="12.75" hidden="false" customHeight="true" outlineLevel="0" collapsed="false">
      <c r="A1579" s="15" t="n">
        <f aca="false">Report!C2097</f>
        <v>46252</v>
      </c>
      <c r="B1579" s="1" t="str">
        <f aca="false">Report!E2097</f>
        <v>NATUREZA COMERCIO DE DESCARTAVEIS LTDA</v>
      </c>
      <c r="C1579" s="17" t="n">
        <f aca="false">Report!U2097</f>
        <v>425.94</v>
      </c>
      <c r="D1579" s="1" t="str">
        <f aca="false">Report!X2097</f>
        <v>NF 29536 QUEIROZ - MILKA</v>
      </c>
    </row>
    <row r="1580" customFormat="false" ht="12.75" hidden="false" customHeight="true" outlineLevel="0" collapsed="false">
      <c r="A1580" s="15" t="n">
        <f aca="false">Report!C2098</f>
        <v>46252</v>
      </c>
      <c r="B1580" s="1" t="str">
        <f aca="false">Report!E2098</f>
        <v>DISTRIBUIDORA LOPES LTDA</v>
      </c>
      <c r="C1580" s="17" t="n">
        <f aca="false">Report!U2098</f>
        <v>1610.06</v>
      </c>
      <c r="D1580" s="1" t="str">
        <f aca="false">Report!X2098</f>
        <v>NF 1696209 C/ DESCONTO NO BOLETO  - MILKA</v>
      </c>
    </row>
    <row r="1581" customFormat="false" ht="12.75" hidden="false" customHeight="true" outlineLevel="0" collapsed="false">
      <c r="A1581" s="15" t="n">
        <f aca="false">Report!C2099</f>
        <v>46252</v>
      </c>
      <c r="B1581" s="1" t="str">
        <f aca="false">Report!E2099</f>
        <v>NATUREZA COMERCIO DE DESCARTAVEIS LTDA</v>
      </c>
      <c r="C1581" s="17" t="n">
        <f aca="false">Report!U2099</f>
        <v>1437.93</v>
      </c>
      <c r="D1581" s="1" t="str">
        <f aca="false">Report!X2099</f>
        <v>NF 740923 - MILKA</v>
      </c>
    </row>
    <row r="1582" customFormat="false" ht="12.75" hidden="false" customHeight="true" outlineLevel="0" collapsed="false">
      <c r="A1582" s="15" t="n">
        <f aca="false">Report!C2100</f>
        <v>46252</v>
      </c>
      <c r="B1582" s="1" t="str">
        <f aca="false">Report!E2100</f>
        <v>DUNORTE DISTRIBUIDORA DE PRODUTOS DE CONSUMO LTDA</v>
      </c>
      <c r="C1582" s="17" t="n">
        <f aca="false">Report!U2100</f>
        <v>1399.98</v>
      </c>
      <c r="D1582" s="1" t="str">
        <f aca="false">Report!X2100</f>
        <v>NF 3226195 -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BRASIL NORTE BEBIDAS S/A</v>
      </c>
      <c r="C1583" s="17" t="n">
        <f aca="false">Report!U2102</f>
        <v>4547.54</v>
      </c>
      <c r="D1583" s="1" t="str">
        <f aca="false">Report!X2102</f>
        <v>NF 1966628 COCA - MILKA</v>
      </c>
    </row>
    <row r="1584" customFormat="false" ht="12.75" hidden="false" customHeight="true" outlineLevel="0" collapsed="false">
      <c r="A1584" s="15" t="n">
        <f aca="false">Report!C2103</f>
        <v>46252</v>
      </c>
      <c r="B1584" s="1" t="str">
        <f aca="false">Report!E2103</f>
        <v>BRASIL NORTE BEBIDAS S/A</v>
      </c>
      <c r="C1584" s="17" t="n">
        <f aca="false">Report!U2103</f>
        <v>1763.36</v>
      </c>
      <c r="D1584" s="1" t="str">
        <f aca="false">Report!X2103</f>
        <v>NF 1230481 COCA C/TARIFA INCLUSA - MILKA</v>
      </c>
    </row>
    <row r="1585" customFormat="false" ht="12.75" hidden="false" customHeight="true" outlineLevel="0" collapsed="false">
      <c r="A1585" s="15" t="n">
        <f aca="false">Report!C2104</f>
        <v>46252</v>
      </c>
      <c r="B1585" s="1" t="str">
        <f aca="false">Report!E2104</f>
        <v>OCIDENTAL COMERCIO DE FRIOS LTDA</v>
      </c>
      <c r="C1585" s="17" t="n">
        <f aca="false">Report!U2104</f>
        <v>1343.02</v>
      </c>
      <c r="D1585" s="1" t="str">
        <f aca="false">Report!X2104</f>
        <v>NF 1254539-1/2 MILKA</v>
      </c>
    </row>
    <row r="1586" customFormat="false" ht="12.75" hidden="false" customHeight="true" outlineLevel="0" collapsed="false">
      <c r="A1586" s="15" t="n">
        <f aca="false">Report!C2105</f>
        <v>46252</v>
      </c>
      <c r="B1586" s="1" t="str">
        <f aca="false">Report!E2105</f>
        <v>NT INDUSTRIA E COMERCIO DE PANIFICACAO L</v>
      </c>
      <c r="C1586" s="17" t="n">
        <f aca="false">Report!U2105</f>
        <v>3136.93</v>
      </c>
      <c r="D1586" s="1" t="str">
        <f aca="false">Report!X2105</f>
        <v>NF 42976 - MILKA</v>
      </c>
    </row>
    <row r="1587" customFormat="false" ht="12.75" hidden="false" customHeight="true" outlineLevel="0" collapsed="false">
      <c r="A1587" s="15" t="n">
        <f aca="false">Report!C2106</f>
        <v>46252</v>
      </c>
      <c r="B1587" s="1" t="str">
        <f aca="false">Report!E2106</f>
        <v>CRBS S/A</v>
      </c>
      <c r="C1587" s="17" t="n">
        <f aca="false">Report!U2106</f>
        <v>523.94</v>
      </c>
      <c r="D1587" s="1" t="str">
        <f aca="false">Report!X2106</f>
        <v>NF 946596 - MILKA</v>
      </c>
    </row>
    <row r="1588" customFormat="false" ht="12.75" hidden="false" customHeight="true" outlineLevel="0" collapsed="false">
      <c r="A1588" s="15" t="n">
        <f aca="false">Report!C2107</f>
        <v>46252</v>
      </c>
      <c r="B1588" s="1" t="str">
        <f aca="false">Report!E2107</f>
        <v>CRBS S/A</v>
      </c>
      <c r="C1588" s="17" t="n">
        <f aca="false">Report!U2107</f>
        <v>599.4</v>
      </c>
      <c r="D1588" s="1" t="str">
        <f aca="false">Report!X2107</f>
        <v>NF 946596 C/TARIFA INCLUSA - MILKA</v>
      </c>
    </row>
    <row r="1589" customFormat="false" ht="12.75" hidden="false" customHeight="true" outlineLevel="0" collapsed="false">
      <c r="A1589" s="15" t="n">
        <f aca="false">Report!C2108</f>
        <v>46252</v>
      </c>
      <c r="B1589" s="1" t="str">
        <f aca="false">Report!E2108</f>
        <v>BROTHERS  INDUSTRIA DE ALIMENTOS LTDA</v>
      </c>
      <c r="C1589" s="17" t="n">
        <f aca="false">Report!U2108</f>
        <v>524.6</v>
      </c>
      <c r="D1589" s="1" t="str">
        <f aca="false">Report!X2108</f>
        <v>NF 1036253  - MILKA</v>
      </c>
    </row>
    <row r="1590" customFormat="false" ht="12.75" hidden="false" customHeight="true" outlineLevel="0" collapsed="false">
      <c r="A1590" s="15" t="n">
        <f aca="false">Report!C2109</f>
        <v>46252</v>
      </c>
      <c r="B1590" s="1" t="str">
        <f aca="false">Report!E2109</f>
        <v>VITAPAN COMERCIO VAREJISTA DE PRODUTOS ALIMENTICIOS LTDA</v>
      </c>
      <c r="C1590" s="17" t="n">
        <f aca="false">Report!U2109</f>
        <v>972</v>
      </c>
      <c r="D1590" s="1" t="str">
        <f aca="false">Report!X2109</f>
        <v>NF 10524 -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ADICSO FABIAN GONZALEZ MONTILLA 70302186</v>
      </c>
      <c r="C1591" s="17" t="n">
        <f aca="false">Report!U2111</f>
        <v>648</v>
      </c>
      <c r="D1591" s="1" t="str">
        <f aca="false">Report!X2111</f>
        <v>NF 599 BLOOM - MILKA</v>
      </c>
    </row>
    <row r="1592" customFormat="false" ht="12.75" hidden="false" customHeight="true" outlineLevel="0" collapsed="false">
      <c r="A1592" s="15" t="n">
        <f aca="false">Report!C2112</f>
        <v>46252</v>
      </c>
      <c r="B1592" s="1" t="str">
        <f aca="false">Report!E2112</f>
        <v>RENATO DE O AZEVEDO E CIA LTDA - EPP</v>
      </c>
      <c r="C1592" s="17" t="n">
        <f aca="false">Report!U2112</f>
        <v>1175</v>
      </c>
      <c r="D1592" s="1" t="str">
        <f aca="false">Report!X2112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Report!C2113</f>
        <v>46252</v>
      </c>
      <c r="B1593" s="1" t="str">
        <f aca="false">Report!E2113</f>
        <v>RENATO DE O AZEVEDO E CIA LTDA - EPP</v>
      </c>
      <c r="C1593" s="17" t="n">
        <f aca="false">Report!U2113</f>
        <v>3283</v>
      </c>
      <c r="D1593" s="1" t="str">
        <f aca="false">Report!X2113</f>
        <v>FEIRA SR RENATO - DEBORA</v>
      </c>
    </row>
    <row r="1594" customFormat="false" ht="12.75" hidden="false" customHeight="true" outlineLevel="0" collapsed="false">
      <c r="A1594" s="15" t="n">
        <f aca="false">Report!C2114</f>
        <v>46252</v>
      </c>
      <c r="B1594" s="1" t="str">
        <f aca="false">Report!E2114</f>
        <v>RENATO DE O AZEVEDO E CIA LTDA - EPP</v>
      </c>
      <c r="C1594" s="17" t="n">
        <f aca="false">Report!U2114</f>
        <v>375</v>
      </c>
      <c r="D1594" s="1" t="str">
        <f aca="false">Report!X2114</f>
        <v>ACAI DE ANORI - DEBORA 17/08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D N COMERCIO ATACADISTA DE EMBALAGENS E</v>
      </c>
      <c r="C1595" s="17" t="n">
        <f aca="false">Report!U2116</f>
        <v>464</v>
      </c>
      <c r="D1595" s="1" t="str">
        <f aca="false">Report!X2116</f>
        <v>NF 416 - DEBORA</v>
      </c>
    </row>
    <row r="1596" customFormat="false" ht="12.75" hidden="false" customHeight="true" outlineLevel="0" collapsed="false">
      <c r="A1596" s="15" t="n">
        <f aca="false">Report!C2117</f>
        <v>46253</v>
      </c>
      <c r="B1596" s="1" t="str">
        <f aca="false">Report!E2117</f>
        <v>ADRIANA DISTRIBUIDORA DE PRODUTOS ALIMEN</v>
      </c>
      <c r="C1596" s="17" t="n">
        <f aca="false">Report!U2117</f>
        <v>1420.58</v>
      </c>
      <c r="D1596" s="1" t="str">
        <f aca="false">Report!X2117</f>
        <v>NF 886068-3 MILKA</v>
      </c>
    </row>
    <row r="1597" customFormat="false" ht="12.75" hidden="false" customHeight="true" outlineLevel="0" collapsed="false">
      <c r="A1597" s="15" t="n">
        <f aca="false">Report!C2118</f>
        <v>46253</v>
      </c>
      <c r="B1597" s="1" t="str">
        <f aca="false">Report!E2118</f>
        <v>TAPAJOS COM DE PERFUMARIA COSMETICOS E G</v>
      </c>
      <c r="C1597" s="17" t="n">
        <f aca="false">Report!U2118</f>
        <v>1473.38</v>
      </c>
      <c r="D1597" s="1" t="str">
        <f aca="false">Report!X2118</f>
        <v>NF 581288 - COM TAXA - DEBORA</v>
      </c>
    </row>
    <row r="1598" customFormat="false" ht="12.75" hidden="false" customHeight="true" outlineLevel="0" collapsed="false">
      <c r="A1598" s="15" t="n">
        <f aca="false">Report!C2119</f>
        <v>46253</v>
      </c>
      <c r="B1598" s="1" t="str">
        <f aca="false">Report!E2119</f>
        <v>BF COMERCIO DE ALIMENTOS REPRESENTACAO L</v>
      </c>
      <c r="C1598" s="17" t="n">
        <f aca="false">Report!U2119</f>
        <v>2021.39</v>
      </c>
      <c r="D1598" s="1" t="str">
        <f aca="false">Report!X2119</f>
        <v>NF 21118 - DEBORA</v>
      </c>
    </row>
    <row r="1599" customFormat="false" ht="12.75" hidden="false" customHeight="true" outlineLevel="0" collapsed="false">
      <c r="A1599" s="15" t="n">
        <f aca="false">Report!C2120</f>
        <v>46253</v>
      </c>
      <c r="B1599" s="1" t="str">
        <f aca="false">Report!E2120</f>
        <v>ADRIANA DISTRIBUIDORA DE PRODUTOS ALIMEN</v>
      </c>
      <c r="C1599" s="17" t="n">
        <f aca="false">Report!U2120</f>
        <v>1039.32</v>
      </c>
      <c r="D1599" s="1" t="str">
        <f aca="false">Report!X2120</f>
        <v>NF 885524 - DEBORA</v>
      </c>
    </row>
    <row r="1600" customFormat="false" ht="12.75" hidden="false" customHeight="true" outlineLevel="0" collapsed="false">
      <c r="A1600" s="15" t="n">
        <f aca="false">Report!C2121</f>
        <v>46253</v>
      </c>
      <c r="B1600" s="1" t="str">
        <f aca="false">Report!E2121</f>
        <v>DISTRIBUIDORA LOPES LTDA</v>
      </c>
      <c r="C1600" s="17" t="n">
        <f aca="false">Report!U2121</f>
        <v>1790.11</v>
      </c>
      <c r="D1600" s="1" t="str">
        <f aca="false">Report!X2121</f>
        <v>NF 1696462 C/DESCONTO NO BOLETO - DEBORA</v>
      </c>
    </row>
    <row r="1601" customFormat="false" ht="12.75" hidden="false" customHeight="true" outlineLevel="0" collapsed="false">
      <c r="A1601" s="15" t="n">
        <f aca="false">Report!C2122</f>
        <v>46253</v>
      </c>
      <c r="B1601" s="1" t="str">
        <f aca="false">Report!E2122</f>
        <v>TRES CORACOES ALIMENTOS S.A.</v>
      </c>
      <c r="C1601" s="17" t="n">
        <f aca="false">Report!U2122</f>
        <v>2063.47</v>
      </c>
      <c r="D1601" s="1" t="str">
        <f aca="false">Report!X2122</f>
        <v>NF353326-03 MILKA</v>
      </c>
    </row>
    <row r="1602" customFormat="false" ht="12.75" hidden="false" customHeight="true" outlineLevel="0" collapsed="false">
      <c r="A1602" s="15" t="n">
        <f aca="false">Report!C2123</f>
        <v>46253</v>
      </c>
      <c r="B1602" s="1" t="str">
        <f aca="false">Report!E2123</f>
        <v>RISADINHA LTDA</v>
      </c>
      <c r="C1602" s="17" t="n">
        <f aca="false">Report!U2123</f>
        <v>853.9</v>
      </c>
      <c r="D1602" s="1" t="str">
        <f aca="false">Report!X2123</f>
        <v>NF 665164 -2 MILKA</v>
      </c>
    </row>
    <row r="1603" customFormat="false" ht="12.75" hidden="false" customHeight="true" outlineLevel="0" collapsed="false">
      <c r="A1603" s="15" t="n">
        <f aca="false">Report!C2124</f>
        <v>46253</v>
      </c>
      <c r="B1603" s="1" t="str">
        <f aca="false">Report!E2124</f>
        <v>DUNORTE DISTRIBUIDORA DE PRODUTOS DE CONSUMO LTDA</v>
      </c>
      <c r="C1603" s="17" t="n">
        <f aca="false">Report!U2124</f>
        <v>1643.31</v>
      </c>
      <c r="D1603" s="1" t="str">
        <f aca="false">Report!X2124</f>
        <v>NF 3223292-2 C/TAXA PARC. - MILKA</v>
      </c>
    </row>
    <row r="1604" customFormat="false" ht="12.75" hidden="false" customHeight="true" outlineLevel="0" collapsed="false">
      <c r="A1604" s="15" t="n">
        <f aca="false">Report!C2125</f>
        <v>46253</v>
      </c>
      <c r="B1604" s="1" t="str">
        <f aca="false">Report!E2125</f>
        <v>BRF S A</v>
      </c>
      <c r="C1604" s="17" t="n">
        <f aca="false">Report!U2125</f>
        <v>1798.15</v>
      </c>
      <c r="D1604" s="1" t="str">
        <f aca="false">Report!X2125</f>
        <v>NF 1614419-2 DESCONTO NO BOLETO - MILKA</v>
      </c>
    </row>
    <row r="1605" customFormat="false" ht="12.75" hidden="false" customHeight="true" outlineLevel="0" collapsed="false">
      <c r="A1605" s="15" t="n">
        <f aca="false">Report!C2126</f>
        <v>46253</v>
      </c>
      <c r="B1605" s="1" t="str">
        <f aca="false">Report!E2126</f>
        <v>T A DE MATTOS COMIM EIRELI</v>
      </c>
      <c r="C1605" s="17" t="n">
        <f aca="false">Report!U2126</f>
        <v>228</v>
      </c>
      <c r="D1605" s="1" t="str">
        <f aca="false">Report!X2126</f>
        <v>NF 10800 CASA NOSTRA - MILKA</v>
      </c>
    </row>
    <row r="1606" customFormat="false" ht="12.75" hidden="false" customHeight="true" outlineLevel="0" collapsed="false">
      <c r="A1606" s="15" t="n">
        <f aca="false">Report!C2127</f>
        <v>46253</v>
      </c>
      <c r="B1606" s="1" t="str">
        <f aca="false">Report!E2127</f>
        <v>AMAZONIA INDUSTRIA E COMERCIO DE POLPAS</v>
      </c>
      <c r="C1606" s="17" t="n">
        <f aca="false">Report!U2127</f>
        <v>758</v>
      </c>
      <c r="D1606" s="1" t="str">
        <f aca="false">Report!X2127</f>
        <v>NF 271909 - MILKA</v>
      </c>
    </row>
    <row r="1607" customFormat="false" ht="12.75" hidden="false" customHeight="true" outlineLevel="0" collapsed="false">
      <c r="A1607" s="15" t="n">
        <f aca="false">Report!C2128</f>
        <v>46253</v>
      </c>
      <c r="B1607" s="1" t="str">
        <f aca="false">Report!E2128</f>
        <v>BRF S A</v>
      </c>
      <c r="C1607" s="17" t="n">
        <f aca="false">Report!U2128</f>
        <v>3101.67</v>
      </c>
      <c r="D1607" s="1" t="str">
        <f aca="false">Report!X2128</f>
        <v>NF 1616799-01/02 MILKA</v>
      </c>
    </row>
    <row r="1608" customFormat="false" ht="12.75" hidden="false" customHeight="true" outlineLevel="0" collapsed="false">
      <c r="A1608" s="15" t="n">
        <f aca="false">Report!C2129</f>
        <v>46253</v>
      </c>
      <c r="B1608" s="1" t="str">
        <f aca="false">Report!E2129</f>
        <v>BRF S A</v>
      </c>
      <c r="C1608" s="17" t="n">
        <f aca="false">Report!U2129</f>
        <v>634.73</v>
      </c>
      <c r="D1608" s="1" t="str">
        <f aca="false">Report!X2129</f>
        <v>NF 1616568-01/02 - MILKA</v>
      </c>
    </row>
    <row r="1609" customFormat="false" ht="12.75" hidden="false" customHeight="true" outlineLevel="0" collapsed="false">
      <c r="A1609" s="15" t="n">
        <f aca="false">Report!C2130</f>
        <v>46253</v>
      </c>
      <c r="B1609" s="1" t="str">
        <f aca="false">Report!E2130</f>
        <v>ADRIANO FEITOSA OLIVEIRA LTDA</v>
      </c>
      <c r="C1609" s="17" t="n">
        <f aca="false">Report!U2130</f>
        <v>899.5</v>
      </c>
      <c r="D1609" s="1" t="str">
        <f aca="false">Report!X2130</f>
        <v>NF 359 - MILKA</v>
      </c>
    </row>
    <row r="1610" customFormat="false" ht="12.75" hidden="false" customHeight="true" outlineLevel="0" collapsed="false">
      <c r="A1610" s="15" t="n">
        <f aca="false">Report!C2131</f>
        <v>46253</v>
      </c>
      <c r="B1610" s="1" t="str">
        <f aca="false">Report!E2131</f>
        <v>JAB COMERCIO DE PRODUTOS ALIMENTICIOS LT</v>
      </c>
      <c r="C1610" s="17" t="n">
        <f aca="false">Report!U2131</f>
        <v>266</v>
      </c>
      <c r="D1610" s="1" t="str">
        <f aca="false">Report!X2131</f>
        <v>NF 3722 SANTO PAO - MILKA</v>
      </c>
    </row>
    <row r="1611" customFormat="false" ht="12.75" hidden="false" customHeight="true" outlineLevel="0" collapsed="false">
      <c r="A1611" s="15" t="n">
        <f aca="false">Report!C2132</f>
        <v>46253</v>
      </c>
      <c r="B1611" s="1" t="str">
        <f aca="false">Report!E2132</f>
        <v>RENATO DE O AZEVEDO E CIA LTDA - EPP</v>
      </c>
      <c r="C1611" s="17" t="n">
        <f aca="false">Report!U2132</f>
        <v>1259</v>
      </c>
      <c r="D1611" s="1" t="str">
        <f aca="false">Report!X2132</f>
        <v>FEIRA CARLOS - DEBORA</v>
      </c>
    </row>
    <row r="1612" customFormat="false" ht="12.75" hidden="false" customHeight="true" outlineLevel="0" collapsed="false">
      <c r="A1612" s="15" t="n">
        <f aca="false">Report!C2133</f>
        <v>46253</v>
      </c>
      <c r="B1612" s="1" t="str">
        <f aca="false">Report!E2133</f>
        <v>COMERCIO E TRANSPORTE BRANDAO LTDA</v>
      </c>
      <c r="C1612" s="17" t="n">
        <f aca="false">Report!U2133</f>
        <v>750</v>
      </c>
      <c r="D1612" s="1" t="str">
        <f aca="false">Report!X2133</f>
        <v>NF 15133 -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RENATO DE O AZEVEDO E CIA LTDA - EPP</v>
      </c>
      <c r="C1613" s="17" t="n">
        <f aca="false">Report!U2135</f>
        <v>300</v>
      </c>
      <c r="D1613" s="1" t="str">
        <f aca="false">Report!X2135</f>
        <v>ACAI DE ANORI - DEBORA</v>
      </c>
    </row>
    <row r="1614" customFormat="false" ht="12.75" hidden="false" customHeight="true" outlineLevel="0" collapsed="false">
      <c r="A1614" s="15" t="n">
        <f aca="false">Report!C2136</f>
        <v>46253</v>
      </c>
      <c r="B1614" s="1" t="str">
        <f aca="false">Report!E2136</f>
        <v>GELO DANGELO FABRICACAO DE GELO LTDA</v>
      </c>
      <c r="C1614" s="17" t="n">
        <f aca="false">Report!U2136</f>
        <v>359.5</v>
      </c>
      <c r="D1614" s="1" t="str">
        <f aca="false">Report!X2136</f>
        <v>NF 502 - DEBORA</v>
      </c>
    </row>
    <row r="1615" customFormat="false" ht="12.75" hidden="false" customHeight="true" outlineLevel="0" collapsed="false">
      <c r="A1615" s="15" t="n">
        <f aca="false">Report!C2139</f>
        <v>46254</v>
      </c>
      <c r="B1615" s="1" t="str">
        <f aca="false">Report!E2139</f>
        <v>SB COMERCIO LTDA</v>
      </c>
      <c r="C1615" s="17" t="n">
        <f aca="false">Report!U2139</f>
        <v>1129.22</v>
      </c>
      <c r="D1615" s="1" t="str">
        <f aca="false">Report!X2139</f>
        <v>NF 1964147-2 MILKA</v>
      </c>
    </row>
    <row r="1616" customFormat="false" ht="12.75" hidden="false" customHeight="true" outlineLevel="0" collapsed="false">
      <c r="A1616" s="15" t="n">
        <f aca="false">Report!C2140</f>
        <v>46254</v>
      </c>
      <c r="B1616" s="1" t="str">
        <f aca="false">Report!E2140</f>
        <v>MARQUES &amp; MELO LTDA - FILIAL</v>
      </c>
      <c r="C1616" s="17" t="n">
        <f aca="false">Report!U2140</f>
        <v>1181.96</v>
      </c>
      <c r="D1616" s="1" t="str">
        <f aca="false">Report!X2140</f>
        <v>NF 502189 -03 DISMELO -  MILKA</v>
      </c>
    </row>
    <row r="1617" customFormat="false" ht="12.75" hidden="false" customHeight="true" outlineLevel="0" collapsed="false">
      <c r="A1617" s="15" t="n">
        <f aca="false">Report!C2143</f>
        <v>46254</v>
      </c>
      <c r="B1617" s="1" t="str">
        <f aca="false">Report!E2143</f>
        <v>EDMARA COMERCIO DE HIGIENE PESSOAL LTDA</v>
      </c>
      <c r="C1617" s="17" t="n">
        <f aca="false">Report!U2143</f>
        <v>2621.74</v>
      </c>
      <c r="D1617" s="1" t="str">
        <f aca="false">Report!X2143</f>
        <v>5431-C/D  NF8403 - MILKA</v>
      </c>
    </row>
    <row r="1618" customFormat="false" ht="12.75" hidden="false" customHeight="true" outlineLevel="0" collapsed="false">
      <c r="A1618" s="15" t="n">
        <f aca="false">Report!C2144</f>
        <v>46254</v>
      </c>
      <c r="B1618" s="1" t="str">
        <f aca="false">Report!E2144</f>
        <v>DISTRIBUIDORA LOPES LTDA</v>
      </c>
      <c r="C1618" s="17" t="n">
        <f aca="false">Report!U2144</f>
        <v>1938.06</v>
      </c>
      <c r="D1618" s="1" t="str">
        <f aca="false">Report!X2144</f>
        <v>NF 1697653 C/ DESCONTO NO BOLETO - MILKA</v>
      </c>
    </row>
    <row r="1619" customFormat="false" ht="12.75" hidden="false" customHeight="true" outlineLevel="0" collapsed="false">
      <c r="A1619" s="15" t="n">
        <f aca="false">Report!C2145</f>
        <v>46254</v>
      </c>
      <c r="B1619" s="1" t="str">
        <f aca="false">Report!E2145</f>
        <v>DURAES DISTRIBUIDORA DE ESTIVAS LTDA</v>
      </c>
      <c r="C1619" s="17" t="n">
        <f aca="false">Report!U2145</f>
        <v>605.93</v>
      </c>
      <c r="D1619" s="1" t="str">
        <f aca="false">Report!X2145</f>
        <v>NF 651360 -3 DEBORA</v>
      </c>
    </row>
    <row r="1620" customFormat="false" ht="12.75" hidden="false" customHeight="true" outlineLevel="0" collapsed="false">
      <c r="A1620" s="15" t="n">
        <f aca="false">Report!C2146</f>
        <v>46254</v>
      </c>
      <c r="B1620" s="1" t="str">
        <f aca="false">Report!E2146</f>
        <v>DISTRIBUIDORA PRIME LTDA</v>
      </c>
      <c r="C1620" s="17" t="n">
        <f aca="false">Report!U2146</f>
        <v>774.48</v>
      </c>
      <c r="D1620" s="1" t="str">
        <f aca="false">Report!X2146</f>
        <v>NF 134703-2 MILKA</v>
      </c>
    </row>
    <row r="1621" customFormat="false" ht="12.75" hidden="false" customHeight="true" outlineLevel="0" collapsed="false">
      <c r="A1621" s="15" t="n">
        <f aca="false">Report!C2147</f>
        <v>46254</v>
      </c>
      <c r="B1621" s="1" t="str">
        <f aca="false">Report!E2147</f>
        <v>DURAES DISTRIBUIDORA DE ESTIVAS LTDA</v>
      </c>
      <c r="C1621" s="17" t="n">
        <f aca="false">Report!U2147</f>
        <v>434.06</v>
      </c>
      <c r="D1621" s="1" t="str">
        <f aca="false">Report!X2147</f>
        <v>NF 651362 - DEBORA</v>
      </c>
    </row>
    <row r="1622" customFormat="false" ht="12.75" hidden="false" customHeight="true" outlineLevel="0" collapsed="false">
      <c r="A1622" s="15" t="n">
        <f aca="false">Report!C2148</f>
        <v>46254</v>
      </c>
      <c r="B1622" s="1" t="str">
        <f aca="false">Report!E2148</f>
        <v>ATACADAO S.A.</v>
      </c>
      <c r="C1622" s="17" t="n">
        <f aca="false">Report!U2148</f>
        <v>1013.07</v>
      </c>
      <c r="D1622" s="1" t="str">
        <f aca="false">Report!X2148</f>
        <v>NF 1910466 - MILKA</v>
      </c>
    </row>
    <row r="1623" customFormat="false" ht="12.75" hidden="false" customHeight="true" outlineLevel="0" collapsed="false">
      <c r="A1623" s="15" t="n">
        <f aca="false">Report!C2149</f>
        <v>46254</v>
      </c>
      <c r="B1623" s="1" t="str">
        <f aca="false">Report!E2149</f>
        <v>DISTRIBUIDORA LOPES LTDA</v>
      </c>
      <c r="C1623" s="17" t="n">
        <f aca="false">Report!U2149</f>
        <v>944.96</v>
      </c>
      <c r="D1623" s="1" t="str">
        <f aca="false">Report!X2149</f>
        <v>NF 1701960-1 MILKA</v>
      </c>
    </row>
    <row r="1624" customFormat="false" ht="12.75" hidden="false" customHeight="true" outlineLevel="0" collapsed="false">
      <c r="A1624" s="15" t="n">
        <f aca="false">Report!C2150</f>
        <v>46254</v>
      </c>
      <c r="B1624" s="1" t="str">
        <f aca="false">Report!E2150</f>
        <v>OCIDENTAL COMERCIO DE FRIOS LTDA</v>
      </c>
      <c r="C1624" s="17" t="n">
        <f aca="false">Report!U2150</f>
        <v>989.77</v>
      </c>
      <c r="D1624" s="1" t="str">
        <f aca="false">Report!X2150</f>
        <v>NF 1253285 - MILKA</v>
      </c>
    </row>
    <row r="1625" customFormat="false" ht="12.75" hidden="false" customHeight="true" outlineLevel="0" collapsed="false">
      <c r="A1625" s="15" t="n">
        <f aca="false">Report!C2151</f>
        <v>46254</v>
      </c>
      <c r="B1625" s="1" t="str">
        <f aca="false">Report!E2151</f>
        <v>DISTRIBUIDORA LOPES LTDA</v>
      </c>
      <c r="C1625" s="17" t="n">
        <f aca="false">Report!U2151</f>
        <v>2902.64</v>
      </c>
      <c r="D1625" s="1" t="str">
        <f aca="false">Report!X2151</f>
        <v>NF 1701839 DESCONTO NO BOLETO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EMPRESA BRASILEIRA DE DISTRIBUICAO LTDA</v>
      </c>
      <c r="C1626" s="17" t="n">
        <f aca="false">Report!U2153</f>
        <v>1167.16</v>
      </c>
      <c r="D1626" s="1" t="str">
        <f aca="false">Report!X2153</f>
        <v>NF 2307727-1 MILKA</v>
      </c>
    </row>
    <row r="1627" customFormat="false" ht="12.75" hidden="false" customHeight="true" outlineLevel="0" collapsed="false">
      <c r="A1627" s="15" t="n">
        <f aca="false">Report!C2154</f>
        <v>46254</v>
      </c>
      <c r="B1627" s="1" t="str">
        <f aca="false">Report!E2154</f>
        <v>DISTRIBUIDORA LOPES LTDA</v>
      </c>
      <c r="C1627" s="17" t="n">
        <f aca="false">Report!U2154</f>
        <v>1141.89</v>
      </c>
      <c r="D1627" s="1" t="str">
        <f aca="false">Report!X2154</f>
        <v>NF 1706774-1 C/DESCONTO NO BOLETO - MILKA</v>
      </c>
    </row>
    <row r="1628" customFormat="false" ht="12.75" hidden="false" customHeight="true" outlineLevel="0" collapsed="false">
      <c r="A1628" s="15" t="n">
        <f aca="false">Report!C2155</f>
        <v>46254</v>
      </c>
      <c r="B1628" s="1" t="str">
        <f aca="false">Report!E2155</f>
        <v>CB COMERCIO E DISTRIBUIDORA DE ALIMENTOS</v>
      </c>
      <c r="C1628" s="17" t="n">
        <f aca="false">Report!U2155</f>
        <v>545.87</v>
      </c>
      <c r="D1628" s="1" t="str">
        <f aca="false">Report!X2155</f>
        <v>961363-A/B  NF860853 - MILKA</v>
      </c>
    </row>
    <row r="1629" customFormat="false" ht="12.75" hidden="false" customHeight="true" outlineLevel="0" collapsed="false">
      <c r="A1629" s="15" t="n">
        <f aca="false">Report!C2156</f>
        <v>46254</v>
      </c>
      <c r="B1629" s="1" t="str">
        <f aca="false">Report!E2156</f>
        <v>PIARARA COMERCIO, IMPORTACAO E EXPORTACAO LTDA</v>
      </c>
      <c r="C1629" s="17" t="n">
        <f aca="false">Report!U2156</f>
        <v>1164.1</v>
      </c>
      <c r="D1629" s="1" t="str">
        <f aca="false">Report!X2156</f>
        <v>NF 195281-1 MILKA</v>
      </c>
    </row>
    <row r="1630" customFormat="false" ht="12.75" hidden="false" customHeight="true" outlineLevel="0" collapsed="false">
      <c r="A1630" s="15" t="n">
        <f aca="false">Report!C2157</f>
        <v>46254</v>
      </c>
      <c r="B1630" s="1" t="str">
        <f aca="false">Report!E2157</f>
        <v>NT INDUSTRIA E COMERCIO DE PANIFICACAO L</v>
      </c>
      <c r="C1630" s="17" t="n">
        <f aca="false">Report!U2157</f>
        <v>353.4</v>
      </c>
      <c r="D1630" s="1" t="str">
        <f aca="false">Report!X2157</f>
        <v>NF 144460 - MILKA</v>
      </c>
    </row>
    <row r="1631" customFormat="false" ht="12.75" hidden="false" customHeight="true" outlineLevel="0" collapsed="false">
      <c r="A1631" s="15" t="n">
        <f aca="false">Report!C2158</f>
        <v>46254</v>
      </c>
      <c r="B1631" s="1" t="str">
        <f aca="false">Report!E2158</f>
        <v>NT INDUSTRIA E COMERCIO DE PANIFICACAO L</v>
      </c>
      <c r="C1631" s="17" t="n">
        <f aca="false">Report!U2158</f>
        <v>367.29</v>
      </c>
      <c r="D1631" s="1" t="str">
        <f aca="false">Report!X2158</f>
        <v>NF 43208 - MILKA</v>
      </c>
    </row>
    <row r="1632" customFormat="false" ht="12.75" hidden="false" customHeight="true" outlineLevel="0" collapsed="false">
      <c r="A1632" s="15" t="n">
        <f aca="false">Report!C2159</f>
        <v>46254</v>
      </c>
      <c r="B1632" s="1" t="str">
        <f aca="false">Report!E2159</f>
        <v>FENNIX BRASIL DISTRIBUIDORA DE PRODUTOS</v>
      </c>
      <c r="C1632" s="17" t="n">
        <f aca="false">Report!U2159</f>
        <v>1276.95</v>
      </c>
      <c r="D1632" s="1" t="str">
        <f aca="false">Report!X2159</f>
        <v>NF316329-1 C/TARIFA INCLUSA - MILKA</v>
      </c>
    </row>
    <row r="1633" customFormat="false" ht="12.75" hidden="false" customHeight="true" outlineLevel="0" collapsed="false">
      <c r="A1633" s="15" t="n">
        <f aca="false">Report!C2162</f>
        <v>46254</v>
      </c>
      <c r="B1633" s="1" t="str">
        <f aca="false">Report!E2162</f>
        <v>FALCAO INDUSTRIA DE ALIMENTOS LTDA</v>
      </c>
      <c r="C1633" s="17" t="n">
        <f aca="false">Report!U2162</f>
        <v>4154.08</v>
      </c>
      <c r="D1633" s="1" t="str">
        <f aca="false">Report!X2162</f>
        <v>80802/2  NF32287 - MILKA</v>
      </c>
    </row>
    <row r="1634" customFormat="false" ht="12.75" hidden="false" customHeight="true" outlineLevel="0" collapsed="false">
      <c r="A1634" s="15" t="n">
        <f aca="false">Report!C2163</f>
        <v>46254</v>
      </c>
      <c r="B1634" s="1" t="str">
        <f aca="false">Report!E2163</f>
        <v>MARQUES &amp; MELO LTDA - FILIAL</v>
      </c>
      <c r="C1634" s="17" t="n">
        <f aca="false">Report!U2163</f>
        <v>729.66</v>
      </c>
      <c r="D1634" s="1" t="str">
        <f aca="false">Report!X2163</f>
        <v>NF 506570-01 DISMELO - MILKA</v>
      </c>
    </row>
    <row r="1635" customFormat="false" ht="12.75" hidden="false" customHeight="true" outlineLevel="0" collapsed="false">
      <c r="A1635" s="15" t="n">
        <f aca="false">Report!C2164</f>
        <v>46254</v>
      </c>
      <c r="B1635" s="1" t="str">
        <f aca="false">Report!E2164</f>
        <v>DA FRUTA DISTRIBUIDORA LTDA</v>
      </c>
      <c r="C1635" s="17" t="n">
        <f aca="false">Report!U2164</f>
        <v>925.09</v>
      </c>
      <c r="D1635" s="1" t="str">
        <f aca="false">Report!X2164</f>
        <v>NF 197290 -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NESTLÉ BRASIL LTDA.</v>
      </c>
      <c r="C1636" s="17" t="n">
        <f aca="false">Report!U2166</f>
        <v>1001.88</v>
      </c>
      <c r="D1636" s="1" t="str">
        <f aca="false">Report!X2166</f>
        <v>NF 1436399 -02/03 MILKA</v>
      </c>
    </row>
    <row r="1637" customFormat="false" ht="12.75" hidden="false" customHeight="true" outlineLevel="0" collapsed="false">
      <c r="A1637" s="15" t="n">
        <f aca="false">Report!C2167</f>
        <v>46254</v>
      </c>
      <c r="B1637" s="1" t="str">
        <f aca="false">Report!E2167</f>
        <v>REAL BEBIDAS DA AMAZONIA LTDA</v>
      </c>
      <c r="C1637" s="17" t="n">
        <f aca="false">Report!U2167</f>
        <v>370</v>
      </c>
      <c r="D1637" s="1" t="str">
        <f aca="false">Report!X2167</f>
        <v>NF 621791 - MILKA</v>
      </c>
    </row>
    <row r="1638" customFormat="false" ht="12.75" hidden="false" customHeight="true" outlineLevel="0" collapsed="false">
      <c r="A1638" s="15" t="n">
        <f aca="false">Report!C2168</f>
        <v>46254</v>
      </c>
      <c r="B1638" s="1" t="str">
        <f aca="false">Report!E2168</f>
        <v>PRIMICIA DISTRIBUIDORA DE FRIOS LTDA</v>
      </c>
      <c r="C1638" s="17" t="n">
        <f aca="false">Report!U2168</f>
        <v>1783.5</v>
      </c>
      <c r="D1638" s="1" t="str">
        <f aca="false">Report!X2168</f>
        <v>NF 3181 - MILKA</v>
      </c>
    </row>
    <row r="1639" customFormat="false" ht="12.75" hidden="false" customHeight="true" outlineLevel="0" collapsed="false">
      <c r="A1639" s="15" t="n">
        <f aca="false">Report!C2169</f>
        <v>46254</v>
      </c>
      <c r="B1639" s="1" t="str">
        <f aca="false">Report!E2169</f>
        <v>PANIFICADORA E CONFEITARIA REAL MADRI LTDA</v>
      </c>
      <c r="C1639" s="17" t="n">
        <f aca="false">Report!U2169</f>
        <v>1008.7</v>
      </c>
      <c r="D1639" s="1" t="str">
        <f aca="false">Report!X2169</f>
        <v>NF 762 - MILKA</v>
      </c>
    </row>
    <row r="1640" customFormat="false" ht="12.75" hidden="false" customHeight="true" outlineLevel="0" collapsed="false">
      <c r="A1640" s="15" t="n">
        <f aca="false">Report!C2173</f>
        <v>46254</v>
      </c>
      <c r="B1640" s="1" t="str">
        <f aca="false">Report!E2173</f>
        <v>C. R. PARENTE ABREU</v>
      </c>
      <c r="C1640" s="17" t="n">
        <f aca="false">Report!U2173</f>
        <v>495.56</v>
      </c>
      <c r="D1640" s="1" t="str">
        <f aca="false">Report!X2173</f>
        <v>NF 11564-1 KARU - MILKA</v>
      </c>
    </row>
    <row r="1641" customFormat="false" ht="12.75" hidden="false" customHeight="true" outlineLevel="0" collapsed="false">
      <c r="A1641" s="15" t="n">
        <f aca="false">Report!C2174</f>
        <v>46254</v>
      </c>
      <c r="B1641" s="1" t="str">
        <f aca="false">Report!E2174</f>
        <v>ADICSO FABIAN GONZALEZ MONTILLA 70302186</v>
      </c>
      <c r="C1641" s="17" t="n">
        <f aca="false">Report!U2174</f>
        <v>600</v>
      </c>
      <c r="D1641" s="1" t="str">
        <f aca="false">Report!X2174</f>
        <v>NF 604 BLOOM - MILKA</v>
      </c>
    </row>
    <row r="1642" customFormat="false" ht="12.75" hidden="false" customHeight="true" outlineLevel="0" collapsed="false">
      <c r="A1642" s="15" t="n">
        <f aca="false">Report!C2178</f>
        <v>46254</v>
      </c>
      <c r="B1642" s="1" t="str">
        <f aca="false">Report!E2178</f>
        <v>RENATO DE O AZEVEDO E CIA LTDA - EPP</v>
      </c>
      <c r="C1642" s="17" t="n">
        <f aca="false">Report!U2178</f>
        <v>429</v>
      </c>
      <c r="D1642" s="1" t="str">
        <f aca="false">Report!X2178</f>
        <v>FEIRA SR RENATO - PGTO P/ D. AUGUSTA - DEBORA</v>
      </c>
    </row>
    <row r="1643" customFormat="false" ht="12.75" hidden="false" customHeight="true" outlineLevel="0" collapsed="false">
      <c r="A1643" s="15" t="n">
        <f aca="false">Report!C2179</f>
        <v>46254</v>
      </c>
      <c r="B1643" s="1" t="str">
        <f aca="false">Report!E2179</f>
        <v>D N COMERCIO ATACADISTA DE EMBALAGENS E</v>
      </c>
      <c r="C1643" s="17" t="n">
        <f aca="false">Report!U2179</f>
        <v>90</v>
      </c>
      <c r="D1643" s="1" t="str">
        <f aca="false">Report!X2179</f>
        <v>NF 417 - DEBORA</v>
      </c>
    </row>
    <row r="1644" customFormat="false" ht="12.75" hidden="false" customHeight="true" outlineLevel="0" collapsed="false">
      <c r="A1644" s="15" t="n">
        <f aca="false">Report!C2180</f>
        <v>46254</v>
      </c>
      <c r="B1644" s="1" t="str">
        <f aca="false">Report!E2180</f>
        <v>RV TECNOLOGIA E SISTEMAS S.A</v>
      </c>
      <c r="C1644" s="17" t="n">
        <f aca="false">Report!U2180</f>
        <v>95.55</v>
      </c>
      <c r="D1644" s="1" t="str">
        <f aca="false">Report!X2180</f>
        <v>RV RECARGA CELULAR -ANDREZA</v>
      </c>
    </row>
    <row r="1645" customFormat="false" ht="12.75" hidden="false" customHeight="true" outlineLevel="0" collapsed="false">
      <c r="A1645" s="15" t="n">
        <f aca="false">Report!C2184</f>
        <v>46255</v>
      </c>
      <c r="B1645" s="1" t="str">
        <f aca="false">Report!E2184</f>
        <v>PIARARA COMERCIO, IMPORTACAO E EXPORTACAO LTDA</v>
      </c>
      <c r="C1645" s="17" t="n">
        <f aca="false">Report!U2184</f>
        <v>868.36</v>
      </c>
      <c r="D1645" s="1" t="str">
        <f aca="false">Report!X2184</f>
        <v>NF 194785 - DEBORA</v>
      </c>
    </row>
    <row r="1646" customFormat="false" ht="12.75" hidden="false" customHeight="true" outlineLevel="0" collapsed="false">
      <c r="A1646" s="15" t="n">
        <f aca="false">Report!C2185</f>
        <v>46255</v>
      </c>
      <c r="B1646" s="1" t="str">
        <f aca="false">Report!E2185</f>
        <v>DISTRIBUIDORA LOPES LTDA</v>
      </c>
      <c r="C1646" s="17" t="n">
        <f aca="false">Report!U2185</f>
        <v>1365.55</v>
      </c>
      <c r="D1646" s="1" t="str">
        <f aca="false">Report!X2185</f>
        <v>NF 1698394 C/ DESCONTO NO BOLETO - MILKA</v>
      </c>
    </row>
    <row r="1647" customFormat="false" ht="12.75" hidden="false" customHeight="true" outlineLevel="0" collapsed="false">
      <c r="A1647" s="15" t="n">
        <f aca="false">Report!C2186</f>
        <v>46255</v>
      </c>
      <c r="B1647" s="1" t="str">
        <f aca="false">Report!E2186</f>
        <v>IRMÃOS LIMA  ATACADO  DE ALIMENTOS LTDA</v>
      </c>
      <c r="C1647" s="17" t="n">
        <f aca="false">Report!U2186</f>
        <v>925.98</v>
      </c>
      <c r="D1647" s="1" t="str">
        <f aca="false">Report!X2186</f>
        <v>377101 -C/C  NF296100 - MILKA</v>
      </c>
    </row>
    <row r="1648" customFormat="false" ht="12.75" hidden="false" customHeight="true" outlineLevel="0" collapsed="false">
      <c r="A1648" s="15" t="n">
        <f aca="false">Report!C2187</f>
        <v>46255</v>
      </c>
      <c r="B1648" s="1" t="str">
        <f aca="false">Report!E2187</f>
        <v>J G COMERCIO DE PRODUTOS ALIMENTICIOS LTDA</v>
      </c>
      <c r="C1648" s="17" t="n">
        <f aca="false">Report!U2187</f>
        <v>1143.82</v>
      </c>
      <c r="D1648" s="1" t="str">
        <f aca="false">Report!X2187</f>
        <v>459602-B/B  NF395526 - MILKA</v>
      </c>
    </row>
    <row r="1649" customFormat="false" ht="12.75" hidden="false" customHeight="true" outlineLevel="0" collapsed="false">
      <c r="A1649" s="15" t="n">
        <f aca="false">Report!C2188</f>
        <v>46255</v>
      </c>
      <c r="B1649" s="1" t="str">
        <f aca="false">Report!E2188</f>
        <v>TEMPERO BOM PRECO</v>
      </c>
      <c r="C1649" s="17" t="n">
        <f aca="false">Report!U2188</f>
        <v>435.4</v>
      </c>
      <c r="D1649" s="1" t="str">
        <f aca="false">Report!X2188</f>
        <v>NF 249 - MILKA</v>
      </c>
    </row>
    <row r="1650" customFormat="false" ht="12.75" hidden="false" customHeight="true" outlineLevel="0" collapsed="false">
      <c r="A1650" s="15" t="n">
        <f aca="false">Report!C2189</f>
        <v>46255</v>
      </c>
      <c r="B1650" s="1" t="str">
        <f aca="false">Report!E2189</f>
        <v>DISTRIBUIDORA LOPES LTDA</v>
      </c>
      <c r="C1650" s="17" t="n">
        <f aca="false">Report!U2189</f>
        <v>953.13</v>
      </c>
      <c r="D1650" s="1" t="str">
        <f aca="false">Report!X2189</f>
        <v>NF 1707352 -1 DESC. NO BOLETO - MILKA</v>
      </c>
    </row>
    <row r="1651" customFormat="false" ht="12.75" hidden="false" customHeight="true" outlineLevel="0" collapsed="false">
      <c r="A1651" s="15" t="n">
        <f aca="false">Report!C2190</f>
        <v>46255</v>
      </c>
      <c r="B1651" s="1" t="str">
        <f aca="false">Report!E2190</f>
        <v>J G COMERCIO DE PRODUTOS ALIMENTICIOS LTDA</v>
      </c>
      <c r="C1651" s="17" t="n">
        <f aca="false">Report!U2190</f>
        <v>1052.37</v>
      </c>
      <c r="D1651" s="1" t="str">
        <f aca="false">Report!X2190</f>
        <v>460966-B/C  NF396666 - MILKA</v>
      </c>
    </row>
    <row r="1652" customFormat="false" ht="12.75" hidden="false" customHeight="true" outlineLevel="0" collapsed="false">
      <c r="A1652" s="15" t="n">
        <f aca="false">Report!C2191</f>
        <v>46255</v>
      </c>
      <c r="B1652" s="1" t="str">
        <f aca="false">Report!E2191</f>
        <v>MIKITOS IND.COM.DE GEN. ALIM. DO AM. LTD</v>
      </c>
      <c r="C1652" s="17" t="n">
        <f aca="false">Report!U2191</f>
        <v>687.96</v>
      </c>
      <c r="D1652" s="1" t="str">
        <f aca="false">Report!X2191</f>
        <v>NF 295194-1 MILKA</v>
      </c>
    </row>
    <row r="1653" customFormat="false" ht="12.75" hidden="false" customHeight="true" outlineLevel="0" collapsed="false">
      <c r="A1653" s="15" t="n">
        <f aca="false">Report!C2192</f>
        <v>46255</v>
      </c>
      <c r="B1653" s="1" t="str">
        <f aca="false">Report!E2192</f>
        <v>VICTORIA COMERCIO INTERNACIONAL DE ALIME</v>
      </c>
      <c r="C1653" s="17" t="n">
        <f aca="false">Report!U2192</f>
        <v>1287.53</v>
      </c>
      <c r="D1653" s="1" t="str">
        <f aca="false">Report!X2192</f>
        <v>13289-A/B  NF12716 - MILKA</v>
      </c>
    </row>
    <row r="1654" customFormat="false" ht="12.75" hidden="false" customHeight="true" outlineLevel="0" collapsed="false">
      <c r="A1654" s="15" t="n">
        <f aca="false">Report!C2193</f>
        <v>46255</v>
      </c>
      <c r="B1654" s="1" t="str">
        <f aca="false">Report!E2193</f>
        <v>H.V.M. XAVIER ALIMENTOS</v>
      </c>
      <c r="C1654" s="17" t="n">
        <f aca="false">Report!U2193</f>
        <v>291.6</v>
      </c>
      <c r="D1654" s="1" t="str">
        <f aca="false">Report!X2193</f>
        <v>NF 135970 - MILKA</v>
      </c>
    </row>
    <row r="1655" customFormat="false" ht="12.75" hidden="false" customHeight="true" outlineLevel="0" collapsed="false">
      <c r="A1655" s="15" t="n">
        <f aca="false">Report!C2194</f>
        <v>46255</v>
      </c>
      <c r="B1655" s="1" t="str">
        <f aca="false">Report!E2194</f>
        <v>EMPRESA BRASILEIRA DE DISTRIBUICAO LTDA</v>
      </c>
      <c r="C1655" s="17" t="n">
        <f aca="false">Report!U2194</f>
        <v>625.82</v>
      </c>
      <c r="D1655" s="1" t="str">
        <f aca="false">Report!X2194</f>
        <v>NF 2308194-1 EBD - MILKA</v>
      </c>
    </row>
    <row r="1656" customFormat="false" ht="12.75" hidden="false" customHeight="true" outlineLevel="0" collapsed="false">
      <c r="A1656" s="15" t="n">
        <f aca="false">Report!C2195</f>
        <v>46255</v>
      </c>
      <c r="B1656" s="1" t="str">
        <f aca="false">Report!E2195</f>
        <v>NT INDUSTRIA E COMERCIO DE PANIFICACAO L</v>
      </c>
      <c r="C1656" s="17" t="n">
        <f aca="false">Report!U2195</f>
        <v>6638.54</v>
      </c>
      <c r="D1656" s="1" t="str">
        <f aca="false">Report!X2195</f>
        <v>NF 43222 - MILKA</v>
      </c>
    </row>
    <row r="1657" customFormat="false" ht="12.75" hidden="false" customHeight="true" outlineLevel="0" collapsed="false">
      <c r="A1657" s="15" t="n">
        <f aca="false">Report!C2196</f>
        <v>46255</v>
      </c>
      <c r="B1657" s="1" t="str">
        <f aca="false">Report!E2196</f>
        <v>J. S. MOREIRA ALVES LTDA</v>
      </c>
      <c r="C1657" s="17" t="n">
        <f aca="false">Report!U2196</f>
        <v>523</v>
      </c>
      <c r="D1657" s="1" t="str">
        <f aca="false">Report!X2196</f>
        <v>NF  2764 MESA FARTA - MILKA</v>
      </c>
    </row>
    <row r="1658" customFormat="false" ht="12.75" hidden="false" customHeight="true" outlineLevel="0" collapsed="false">
      <c r="A1658" s="15" t="n">
        <f aca="false">Report!C2197</f>
        <v>46255</v>
      </c>
      <c r="B1658" s="1" t="str">
        <f aca="false">Report!E2197</f>
        <v>BRASIL NORTE BEBIDAS S/A</v>
      </c>
      <c r="C1658" s="17" t="n">
        <f aca="false">Report!U2197</f>
        <v>2339.45</v>
      </c>
      <c r="D1658" s="1" t="str">
        <f aca="false">Report!X2197</f>
        <v>NF 1237154 COCA - MILKA</v>
      </c>
    </row>
    <row r="1659" customFormat="false" ht="12.75" hidden="false" customHeight="true" outlineLevel="0" collapsed="false">
      <c r="A1659" s="15" t="n">
        <f aca="false">Report!C2198</f>
        <v>46255</v>
      </c>
      <c r="B1659" s="1" t="str">
        <f aca="false">Report!E2198</f>
        <v>BRASIL NORTE BEBIDAS S/A</v>
      </c>
      <c r="C1659" s="17" t="n">
        <f aca="false">Report!U2198</f>
        <v>6742.71</v>
      </c>
      <c r="D1659" s="1" t="str">
        <f aca="false">Report!X2198</f>
        <v>NF 1974455 COCA - MILKA</v>
      </c>
    </row>
    <row r="1660" customFormat="false" ht="12.75" hidden="false" customHeight="true" outlineLevel="0" collapsed="false">
      <c r="A1660" s="15" t="n">
        <f aca="false">Report!C2199</f>
        <v>46255</v>
      </c>
      <c r="B1660" s="1" t="str">
        <f aca="false">Report!E2199</f>
        <v>SOUZA CRUZ LTDA.</v>
      </c>
      <c r="C1660" s="17" t="n">
        <f aca="false">Report!U2199</f>
        <v>15215.99</v>
      </c>
      <c r="D1660" s="1" t="str">
        <f aca="false">Report!X2199</f>
        <v>NF 569302 -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D DE J SANTOS LTDA</v>
      </c>
      <c r="C1661" s="17" t="n">
        <f aca="false">Report!U2201</f>
        <v>1575</v>
      </c>
      <c r="D1661" s="1" t="str">
        <f aca="false">Report!X2201</f>
        <v>NF 268 DELICIA DE FARINHA - MILKA</v>
      </c>
    </row>
    <row r="1662" customFormat="false" ht="12.75" hidden="false" customHeight="true" outlineLevel="0" collapsed="false">
      <c r="A1662" s="15" t="n">
        <f aca="false">Report!C2202</f>
        <v>46255</v>
      </c>
      <c r="B1662" s="1" t="str">
        <f aca="false">Report!E2202</f>
        <v>NORTELAC DISTRIBUIDORA DE FRIOS LTDA</v>
      </c>
      <c r="C1662" s="17" t="n">
        <f aca="false">Report!U2202</f>
        <v>920</v>
      </c>
      <c r="D1662" s="1" t="str">
        <f aca="false">Report!X2202</f>
        <v>NF 46104 - MILKA</v>
      </c>
    </row>
    <row r="1663" customFormat="false" ht="12.75" hidden="false" customHeight="true" outlineLevel="0" collapsed="false">
      <c r="A1663" s="15" t="n">
        <f aca="false">Report!C2203</f>
        <v>46255</v>
      </c>
      <c r="B1663" s="1" t="str">
        <f aca="false">Report!E2203</f>
        <v>VITAPAN COMERCIO VAREJISTA DE PRODUTOS ALIMENTICIOS LTDA</v>
      </c>
      <c r="C1663" s="17" t="n">
        <f aca="false">Report!U2203</f>
        <v>864</v>
      </c>
      <c r="D1663" s="1" t="str">
        <f aca="false">Report!X2203</f>
        <v>NF 10554 - MILKA</v>
      </c>
    </row>
    <row r="1664" customFormat="false" ht="12.75" hidden="false" customHeight="true" outlineLevel="0" collapsed="false">
      <c r="A1664" s="15" t="n">
        <f aca="false">Report!C2204</f>
        <v>46255</v>
      </c>
      <c r="B1664" s="1" t="str">
        <f aca="false">Report!E2204</f>
        <v>J G COMERCIO DE PRODUTOS ALIMENTICIOS LTDA</v>
      </c>
      <c r="C1664" s="17" t="n">
        <f aca="false">Report!U2204</f>
        <v>466</v>
      </c>
      <c r="D1664" s="1" t="str">
        <f aca="false">Report!X2204</f>
        <v>462480-A/C NF397850 MASTERFRIGO - MILKA</v>
      </c>
    </row>
    <row r="1665" customFormat="false" ht="12.75" hidden="false" customHeight="true" outlineLevel="0" collapsed="false">
      <c r="A1665" s="15" t="n">
        <f aca="false">Report!C2205</f>
        <v>46255</v>
      </c>
      <c r="B1665" s="1" t="str">
        <f aca="false">Report!E2205</f>
        <v>BROTHERS  INDUSTRIA DE ALIMENTOS LTDA</v>
      </c>
      <c r="C1665" s="17" t="n">
        <f aca="false">Report!U2205</f>
        <v>461.8</v>
      </c>
      <c r="D1665" s="1" t="str">
        <f aca="false">Report!X2205</f>
        <v>NF 1036865 - MILKA</v>
      </c>
    </row>
    <row r="1666" customFormat="false" ht="12.75" hidden="false" customHeight="true" outlineLevel="0" collapsed="false">
      <c r="A1666" s="15" t="n">
        <f aca="false">Report!C2206</f>
        <v>46255</v>
      </c>
      <c r="B1666" s="1" t="str">
        <f aca="false">Report!E2206</f>
        <v>REAL BEBIDAS DA AMAZONIA LTDA</v>
      </c>
      <c r="C1666" s="17" t="n">
        <f aca="false">Report!U2206</f>
        <v>120</v>
      </c>
      <c r="D1666" s="1" t="str">
        <f aca="false">Report!X2206</f>
        <v>NF 622535 - MILKA</v>
      </c>
    </row>
    <row r="1667" customFormat="false" ht="12.75" hidden="false" customHeight="true" outlineLevel="0" collapsed="false">
      <c r="A1667" s="15" t="n">
        <f aca="false">Report!C2207</f>
        <v>46255</v>
      </c>
      <c r="B1667" s="1" t="str">
        <f aca="false">Report!E2207</f>
        <v>RENATO DE O AZEVEDO E CIA LTDA - EPP</v>
      </c>
      <c r="C1667" s="17" t="n">
        <f aca="false">Report!U2207</f>
        <v>1349</v>
      </c>
      <c r="D1667" s="1" t="str">
        <f aca="false">Report!X2207</f>
        <v>PGTO P/ JOSE CLAUDIO PIX:92991326372 BCO INTER </v>
      </c>
    </row>
    <row r="1668" customFormat="false" ht="12.75" hidden="false" customHeight="true" outlineLevel="0" collapsed="false">
      <c r="A1668" s="15" t="n">
        <f aca="false">Report!C2208</f>
        <v>46255</v>
      </c>
      <c r="B1668" s="1" t="str">
        <f aca="false">Report!E2208</f>
        <v>NOVA FRIOS COMERCIO ATACADISTA DE LATICINIOS LTDA</v>
      </c>
      <c r="C1668" s="17" t="n">
        <f aca="false">Report!U2208</f>
        <v>271.25</v>
      </c>
      <c r="D1668" s="1" t="str">
        <f aca="false">Report!X2208</f>
        <v>NF 4384 BODEGA DO PAO - MILKA</v>
      </c>
    </row>
    <row r="1669" customFormat="false" ht="12.75" hidden="false" customHeight="true" outlineLevel="0" collapsed="false">
      <c r="A1669" s="15" t="n">
        <f aca="false">Report!C2209</f>
        <v>46255</v>
      </c>
      <c r="B1669" s="1" t="str">
        <f aca="false">Report!E2209</f>
        <v>PANIFICADORA E CONFEITARIA REAL MADRI LTDA</v>
      </c>
      <c r="C1669" s="17" t="n">
        <f aca="false">Report!U2209</f>
        <v>1190</v>
      </c>
      <c r="D1669" s="1" t="str">
        <f aca="false">Report!X2209</f>
        <v>NF 764 - MILKA</v>
      </c>
    </row>
    <row r="1670" customFormat="false" ht="12.75" hidden="false" customHeight="true" outlineLevel="0" collapsed="false">
      <c r="A1670" s="15" t="n">
        <f aca="false">Report!C2210</f>
        <v>46255</v>
      </c>
      <c r="B1670" s="1" t="str">
        <f aca="false">Report!E2210</f>
        <v>J W N DOS SANTOS</v>
      </c>
      <c r="C1670" s="17" t="n">
        <f aca="false">Report!U2210</f>
        <v>440</v>
      </c>
      <c r="D1670" s="1" t="str">
        <f aca="false">Report!X2210</f>
        <v>NF 411 - DEBORA</v>
      </c>
    </row>
    <row r="1671" customFormat="false" ht="12.75" hidden="false" customHeight="true" outlineLevel="0" collapsed="false">
      <c r="A1671" s="15" t="n">
        <f aca="false">Report!C2213</f>
        <v>46255</v>
      </c>
      <c r="B1671" s="1" t="str">
        <f aca="false">Report!E2213</f>
        <v>RENATO DE O AZEVEDO E CIA LTDA - EPP</v>
      </c>
      <c r="C1671" s="17" t="n">
        <f aca="false">Report!U2213</f>
        <v>2449</v>
      </c>
      <c r="D1671" s="1" t="str">
        <f aca="false">Report!X2213</f>
        <v>FEIRA CARLOS - DEBORA</v>
      </c>
    </row>
    <row r="1672" customFormat="false" ht="12.75" hidden="false" customHeight="true" outlineLevel="0" collapsed="false">
      <c r="A1672" s="15" t="n">
        <f aca="false">Report!C2214</f>
        <v>46255</v>
      </c>
      <c r="B1672" s="1" t="str">
        <f aca="false">Report!E2214</f>
        <v>RENATO DE O AZEVEDO E CIA LTDA - EPP</v>
      </c>
      <c r="C1672" s="17" t="n">
        <f aca="false">Report!U2214</f>
        <v>165</v>
      </c>
      <c r="D1672" s="1" t="str">
        <f aca="false">Report!X2214</f>
        <v>FEIRA CARLOS - CAMARAO COM E SEM CASCA - DEBORA</v>
      </c>
    </row>
    <row r="1673" customFormat="false" ht="12.75" hidden="false" customHeight="true" outlineLevel="0" collapsed="false">
      <c r="A1673" s="15" t="n">
        <f aca="false">Report!C2215</f>
        <v>46255</v>
      </c>
      <c r="B1673" s="1" t="str">
        <f aca="false">Report!E2215</f>
        <v>COMERCIO E TRANSPORTE BRANDAO LTDA</v>
      </c>
      <c r="C1673" s="17" t="n">
        <f aca="false">Report!U2215</f>
        <v>1330</v>
      </c>
      <c r="D1673" s="1" t="str">
        <f aca="false">Report!X2215</f>
        <v>NF 15158 - DEBORA</v>
      </c>
    </row>
    <row r="1674" customFormat="false" ht="12.75" hidden="false" customHeight="true" outlineLevel="0" collapsed="false">
      <c r="A1674" s="15" t="n">
        <f aca="false">Report!C2216</f>
        <v>46255</v>
      </c>
      <c r="B1674" s="1" t="str">
        <f aca="false">Report!E2216</f>
        <v>RENATO DE O AZEVEDO E CIA LTDA - EPP</v>
      </c>
      <c r="C1674" s="17" t="n">
        <f aca="false">Report!U2216</f>
        <v>745</v>
      </c>
      <c r="D1674" s="1" t="str">
        <f aca="false">Report!X2216</f>
        <v>FEIRA SR RENATO - PGTO MM COMERCIO ATACADISTA DE FRUTAS LTDA - DEBORA</v>
      </c>
    </row>
    <row r="1675" customFormat="false" ht="12.75" hidden="false" customHeight="true" outlineLevel="0" collapsed="false">
      <c r="A1675" s="15" t="n">
        <f aca="false">Report!C2217</f>
        <v>46255</v>
      </c>
      <c r="B1675" s="1" t="str">
        <f aca="false">Report!E2217</f>
        <v>H L M PADARIA E CONFEITARIA LTDA</v>
      </c>
      <c r="C1675" s="17" t="n">
        <f aca="false">Report!U2217</f>
        <v>360</v>
      </c>
      <c r="D1675" s="1" t="str">
        <f aca="false">Report!X2217</f>
        <v>NF 197 - DEBORA</v>
      </c>
    </row>
    <row r="1676" customFormat="false" ht="12.75" hidden="false" customHeight="true" outlineLevel="0" collapsed="false">
      <c r="A1676" s="15" t="n">
        <f aca="false">Report!C2218</f>
        <v>46255</v>
      </c>
      <c r="B1676" s="1" t="str">
        <f aca="false">Report!E2218</f>
        <v>H L M PADARIA E CONFEITARIA LTDA</v>
      </c>
      <c r="C1676" s="17" t="n">
        <f aca="false">Report!U2218</f>
        <v>280</v>
      </c>
      <c r="D1676" s="1" t="str">
        <f aca="false">Report!X2218</f>
        <v>NF 198 - DEBORA</v>
      </c>
    </row>
    <row r="1677" customFormat="false" ht="12.75" hidden="false" customHeight="true" outlineLevel="0" collapsed="false">
      <c r="A1677" s="15" t="n">
        <f aca="false">Report!C2219</f>
        <v>46256</v>
      </c>
      <c r="B1677" s="1" t="str">
        <f aca="false">Report!E2219</f>
        <v>OPPORTUNITY ALIMENTOS PARA ANIMAIS LTDA</v>
      </c>
      <c r="C1677" s="17" t="n">
        <f aca="false">Report!U2219</f>
        <v>807.05</v>
      </c>
      <c r="D1677" s="1" t="str">
        <f aca="false">Report!X2219</f>
        <v>NF 34737-2 MILKA</v>
      </c>
    </row>
    <row r="1678" customFormat="false" ht="12.75" hidden="false" customHeight="true" outlineLevel="0" collapsed="false">
      <c r="A1678" s="15" t="n">
        <f aca="false">Report!C2220</f>
        <v>46256</v>
      </c>
      <c r="B1678" s="1" t="str">
        <f aca="false">Report!E2220</f>
        <v>FUNNY PET DISTRIBUIDORA DE ALIMENTOS PAR</v>
      </c>
      <c r="C1678" s="17" t="n">
        <f aca="false">Report!U2220</f>
        <v>3458.9</v>
      </c>
      <c r="D1678" s="1" t="str">
        <f aca="false">Report!X2220</f>
        <v>NF 21188 -2 MILKA</v>
      </c>
    </row>
    <row r="1679" customFormat="false" ht="12.75" hidden="false" customHeight="true" outlineLevel="0" collapsed="false">
      <c r="A1679" s="15" t="n">
        <f aca="false">Report!C2221</f>
        <v>46256</v>
      </c>
      <c r="B1679" s="1" t="str">
        <f aca="false">Report!E2221</f>
        <v>ADRIANA DISTRIBUIDORA DE PRODUTOS ALIMEN</v>
      </c>
      <c r="C1679" s="17" t="n">
        <f aca="false">Report!U2221</f>
        <v>1452.45</v>
      </c>
      <c r="D1679" s="1" t="str">
        <f aca="false">Report!X2221</f>
        <v>NF 889410-1 MILKA</v>
      </c>
    </row>
    <row r="1680" customFormat="false" ht="12.75" hidden="false" customHeight="true" outlineLevel="0" collapsed="false">
      <c r="A1680" s="15" t="n">
        <f aca="false">Report!C2222</f>
        <v>46256</v>
      </c>
      <c r="B1680" s="1" t="str">
        <f aca="false">Report!E2222</f>
        <v>SUPER CANCUN COMERCIO DE PRODUTOS ALIMEN</v>
      </c>
      <c r="C1680" s="17" t="n">
        <f aca="false">Report!U2222</f>
        <v>721.52</v>
      </c>
      <c r="D1680" s="1" t="str">
        <f aca="false">Report!X2222</f>
        <v>NF 264963-1 MILKA</v>
      </c>
    </row>
    <row r="1681" customFormat="false" ht="12.75" hidden="false" customHeight="true" outlineLevel="0" collapsed="false">
      <c r="A1681" s="15" t="n">
        <f aca="false">Report!C2223</f>
        <v>46256</v>
      </c>
      <c r="B1681" s="1" t="str">
        <f aca="false">Report!E2223</f>
        <v>COMERCIO DE FRIOS MANAUS LTDA</v>
      </c>
      <c r="C1681" s="17" t="n">
        <f aca="false">Report!U2223</f>
        <v>5918.6</v>
      </c>
      <c r="D1681" s="1" t="str">
        <f aca="false">Report!X2223</f>
        <v>NF 174746 - MILKA</v>
      </c>
    </row>
    <row r="1682" customFormat="false" ht="12.75" hidden="false" customHeight="true" outlineLevel="0" collapsed="false">
      <c r="A1682" s="15" t="n">
        <f aca="false">Report!C2224</f>
        <v>46256</v>
      </c>
      <c r="B1682" s="1" t="str">
        <f aca="false">Report!E2224</f>
        <v>MARE DISTRIBUIDORA DE BEBIDAS E DE PRODUTOS ALIMENTICIOS LTDA</v>
      </c>
      <c r="C1682" s="17" t="n">
        <f aca="false">Report!U2224</f>
        <v>1518.6</v>
      </c>
      <c r="D1682" s="1" t="str">
        <f aca="false">Report!X2224</f>
        <v>NF 1414621 - MILKA</v>
      </c>
    </row>
    <row r="1683" customFormat="false" ht="12.75" hidden="false" customHeight="true" outlineLevel="0" collapsed="false">
      <c r="A1683" s="15" t="n">
        <f aca="false">Report!C2225</f>
        <v>46256</v>
      </c>
      <c r="B1683" s="1" t="str">
        <f aca="false">Report!E2225</f>
        <v>ELIAS MARTINS DA SILVA</v>
      </c>
      <c r="C1683" s="17" t="n">
        <f aca="false">Report!U2225</f>
        <v>1440</v>
      </c>
      <c r="D1683" s="1" t="str">
        <f aca="false">Report!X2225</f>
        <v>NF 831858 SUINO - MILKA</v>
      </c>
    </row>
    <row r="1684" customFormat="false" ht="12.75" hidden="false" customHeight="true" outlineLevel="0" collapsed="false">
      <c r="A1684" s="15" t="n">
        <f aca="false">Report!C2226</f>
        <v>46256</v>
      </c>
      <c r="B1684" s="1" t="str">
        <f aca="false">Report!E2226</f>
        <v>MAXFRI DISTRIUIDORA LTDA</v>
      </c>
      <c r="C1684" s="17" t="n">
        <f aca="false">Report!U2226</f>
        <v>7881</v>
      </c>
      <c r="D1684" s="1" t="str">
        <f aca="false">Report!X2226</f>
        <v>NF15059  - MILKA</v>
      </c>
    </row>
    <row r="1685" customFormat="false" ht="12.75" hidden="false" customHeight="true" outlineLevel="0" collapsed="false">
      <c r="A1685" s="15" t="n">
        <f aca="false">Report!C2227</f>
        <v>46256</v>
      </c>
      <c r="B1685" s="1" t="str">
        <f aca="false">Report!E2227</f>
        <v>RENATO DE O AZEVEDO E CIA LTDA - EPP</v>
      </c>
      <c r="C1685" s="17" t="n">
        <f aca="false">Report!U2227</f>
        <v>300</v>
      </c>
      <c r="D1685" s="1" t="str">
        <f aca="false">Report!X2227</f>
        <v>ACAI DE ANORI - DEBORA 22/08</v>
      </c>
    </row>
    <row r="1686" customFormat="false" ht="12.75" hidden="false" customHeight="true" outlineLevel="0" collapsed="false">
      <c r="A1686" s="15" t="n">
        <f aca="false">Report!C2229</f>
        <v>46257</v>
      </c>
      <c r="B1686" s="1" t="str">
        <f aca="false">Report!E2229</f>
        <v>COMERCIO DE FRIOS MANAUS LTDA</v>
      </c>
      <c r="C1686" s="17" t="n">
        <f aca="false">Report!U2229</f>
        <v>5788.75</v>
      </c>
      <c r="D1686" s="1" t="str">
        <f aca="false">Report!X2229</f>
        <v>NF174798 - MILKA</v>
      </c>
    </row>
    <row r="1687" customFormat="false" ht="12.75" hidden="false" customHeight="true" outlineLevel="0" collapsed="false">
      <c r="A1687" s="15" t="n">
        <f aca="false">Report!C2230</f>
        <v>46258</v>
      </c>
      <c r="B1687" s="1" t="str">
        <f aca="false">Report!E2230</f>
        <v>FH DISTRIBUIDORA DE ALIM. E BEBIDAS LTDA</v>
      </c>
      <c r="C1687" s="17" t="n">
        <f aca="false">Report!U2230</f>
        <v>810.36</v>
      </c>
      <c r="D1687" s="1" t="str">
        <f aca="false">Report!X2230</f>
        <v>NF 329028-2 MILKA</v>
      </c>
    </row>
    <row r="1688" customFormat="false" ht="12.75" hidden="false" customHeight="true" outlineLevel="0" collapsed="false">
      <c r="A1688" s="15" t="n">
        <f aca="false">Report!C2232</f>
        <v>46258</v>
      </c>
      <c r="B1688" s="1" t="str">
        <f aca="false">Report!E2232</f>
        <v>ATACADAO S.A.</v>
      </c>
      <c r="C1688" s="17" t="n">
        <f aca="false">Report!U2232</f>
        <v>948.22</v>
      </c>
      <c r="D1688" s="1" t="str">
        <f aca="false">Report!X2232</f>
        <v>NF 1917921 - MILKA</v>
      </c>
    </row>
    <row r="1689" customFormat="false" ht="12.75" hidden="false" customHeight="true" outlineLevel="0" collapsed="false">
      <c r="A1689" s="15" t="n">
        <f aca="false">Report!C2234</f>
        <v>46258</v>
      </c>
      <c r="B1689" s="1" t="str">
        <f aca="false">Report!E2234</f>
        <v>OPPORTUNITY ALIMENTOS PARA ANIMAIS LTDA</v>
      </c>
      <c r="C1689" s="17" t="n">
        <f aca="false">Report!U2234</f>
        <v>3377.6</v>
      </c>
      <c r="D1689" s="1" t="str">
        <f aca="false">Report!X2234</f>
        <v>NF 34300-4 MILKA</v>
      </c>
    </row>
    <row r="1690" customFormat="false" ht="12.75" hidden="false" customHeight="true" outlineLevel="0" collapsed="false">
      <c r="A1690" s="15" t="n">
        <f aca="false">Report!C2235</f>
        <v>46258</v>
      </c>
      <c r="B1690" s="1" t="str">
        <f aca="false">Report!E2235</f>
        <v>PRIME PET DISTRIBUIDORA LTDA</v>
      </c>
      <c r="C1690" s="17" t="n">
        <f aca="false">Report!U2235</f>
        <v>1849.57</v>
      </c>
      <c r="D1690" s="1" t="str">
        <f aca="false">Report!X2235</f>
        <v>NF 11002-04/07 MILKA 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NORTE DISTRIBUIDORA DE ACUMULADORES E AC</v>
      </c>
      <c r="C1691" s="17" t="n">
        <f aca="false">Report!U2236</f>
        <v>306</v>
      </c>
      <c r="D1691" s="1" t="str">
        <f aca="false">Report!X2236</f>
        <v>NF 105914 -1/3 MOURA - 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ATACADAO S.A.</v>
      </c>
      <c r="C1692" s="17" t="n">
        <f aca="false">Report!U2237</f>
        <v>330.75</v>
      </c>
      <c r="D1692" s="1" t="str">
        <f aca="false">Report!X2237</f>
        <v>NF 1911152 - MILKA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L S M COMERCIO DE ALIMENTOS E NAVEGACAO</v>
      </c>
      <c r="C1693" s="17" t="n">
        <f aca="false">Report!U2238</f>
        <v>1633.1</v>
      </c>
      <c r="D1693" s="1" t="str">
        <f aca="false">Report!X2238</f>
        <v>NF 309642-2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L S M COMERCIO DE ALIMENTOS E NAVEGACAO</v>
      </c>
      <c r="C1694" s="17" t="n">
        <f aca="false">Report!U2239</f>
        <v>403.5</v>
      </c>
      <c r="D1694" s="1" t="str">
        <f aca="false">Report!X2239</f>
        <v>NF 309757-2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NATUREZA COMERCIO DE DESCARTAVEIS LTDA</v>
      </c>
      <c r="C1695" s="17" t="n">
        <f aca="false">Report!U2240</f>
        <v>998.67</v>
      </c>
      <c r="D1695" s="1" t="str">
        <f aca="false">Report!X2240</f>
        <v>NF 745268-1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NATUREZA COMERCIO DE DESCARTAVEIS LTDA</v>
      </c>
      <c r="C1696" s="17" t="n">
        <f aca="false">Report!U2241</f>
        <v>1047.59</v>
      </c>
      <c r="D1696" s="1" t="str">
        <f aca="false">Report!X2241</f>
        <v>NF 745264 BANDEJA B1,MARMITA,LUVA ,TOUCA / USO E CONSUMO VENDA -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TAPAJOS COM DE PERFUMARIA COSMETICOS E G</v>
      </c>
      <c r="C1697" s="17" t="n">
        <f aca="false">Report!U2242</f>
        <v>1020.15</v>
      </c>
      <c r="D1697" s="1" t="str">
        <f aca="false">Report!X2242</f>
        <v>NF 585245-1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ATACADAO S.A.</v>
      </c>
      <c r="C1698" s="17" t="n">
        <f aca="false">Report!U2243</f>
        <v>2048.4</v>
      </c>
      <c r="D1698" s="1" t="str">
        <f aca="false">Report!X2243</f>
        <v>NF 1915887 -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ATACADAO S.A.</v>
      </c>
      <c r="C1699" s="17" t="n">
        <f aca="false">Report!U2244</f>
        <v>1795</v>
      </c>
      <c r="D1699" s="1" t="str">
        <f aca="false">Report!X2244</f>
        <v>NF 1915884 -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DUNORTE DISTRIBUIDORA DE PRODUTOS DE CONSUMO LTDA</v>
      </c>
      <c r="C1700" s="17" t="n">
        <f aca="false">Report!U2245</f>
        <v>726.08</v>
      </c>
      <c r="D1700" s="1" t="str">
        <f aca="false">Report!X2245</f>
        <v>NF 3234290-1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M. J. M. DE S. ALMEIDA LTDA</v>
      </c>
      <c r="C1701" s="17" t="n">
        <f aca="false">Report!U2246</f>
        <v>300</v>
      </c>
      <c r="D1701" s="1" t="str">
        <f aca="false">Report!X2246</f>
        <v>NF 381 - MILKA</v>
      </c>
    </row>
    <row r="1702" customFormat="false" ht="12.75" hidden="false" customHeight="true" outlineLevel="0" collapsed="false">
      <c r="A1702" s="15" t="n">
        <f aca="false">Report!C2248</f>
        <v>46258</v>
      </c>
      <c r="B1702" s="1" t="str">
        <f aca="false">Report!E2248</f>
        <v>COMERCIO DE FRIOS MANAUS LTDA</v>
      </c>
      <c r="C1702" s="17" t="n">
        <f aca="false">Report!U2248</f>
        <v>6734.75</v>
      </c>
      <c r="D1702" s="1" t="str">
        <f aca="false">Report!X2248</f>
        <v>NF NF174869  - MILKA</v>
      </c>
    </row>
    <row r="1703" customFormat="false" ht="12.75" hidden="false" customHeight="true" outlineLevel="0" collapsed="false">
      <c r="A1703" s="15" t="n">
        <f aca="false">Report!C2249</f>
        <v>46258</v>
      </c>
      <c r="B1703" s="1" t="str">
        <f aca="false">Report!E2249</f>
        <v>FORT COMERCIO DE BEBIDA LTDA</v>
      </c>
      <c r="C1703" s="17" t="n">
        <f aca="false">Report!U2249</f>
        <v>674.5</v>
      </c>
      <c r="D1703" s="1" t="str">
        <f aca="false">Report!X2249</f>
        <v>NF 147863 TOYA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ADRIANO FEITOSA OLIVEIRA LTDA</v>
      </c>
      <c r="C1704" s="17" t="n">
        <f aca="false">Report!U2250</f>
        <v>2178.8</v>
      </c>
      <c r="D1704" s="1" t="str">
        <f aca="false">Report!X2250</f>
        <v>NF 364 PIX P/ DISTRIB. OLIVEIRA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C. R. PARENTE ABREU</v>
      </c>
      <c r="C1705" s="17" t="n">
        <f aca="false">Report!U2251</f>
        <v>495.55</v>
      </c>
      <c r="D1705" s="1" t="str">
        <f aca="false">Report!X2251</f>
        <v>NF 11564-2 KARU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MAXFRI DISTRIUIDORA LTDA</v>
      </c>
      <c r="C1706" s="17" t="n">
        <f aca="false">Report!U2252</f>
        <v>3207</v>
      </c>
      <c r="D1706" s="1" t="str">
        <f aca="false">Report!X2252</f>
        <v>NF15071 -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SOUZA CRUZ LTDA.</v>
      </c>
      <c r="C1707" s="17" t="n">
        <f aca="false">Report!U2253</f>
        <v>6804.6</v>
      </c>
      <c r="D1707" s="1" t="str">
        <f aca="false">Report!X2253</f>
        <v>NF 586417 -01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PANIFICADORA E CONFEITARIA REAL MADRI LTDA</v>
      </c>
      <c r="C1708" s="17" t="n">
        <f aca="false">Report!U2254</f>
        <v>307.2</v>
      </c>
      <c r="D1708" s="1" t="str">
        <f aca="false">Report!X2254</f>
        <v>NF 768 -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T. M. L. DA SILVA LTDA</v>
      </c>
      <c r="C1709" s="17" t="n">
        <f aca="false">Report!U2255</f>
        <v>688.65</v>
      </c>
      <c r="D1709" s="1" t="str">
        <f aca="false">Report!X2255</f>
        <v>NF 15263 AMAZONGURT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FRUTAL INDUSTRIA E COMERCIO LTDA</v>
      </c>
      <c r="C1710" s="17" t="n">
        <f aca="false">Report!U2256</f>
        <v>614.84</v>
      </c>
      <c r="D1710" s="1" t="str">
        <f aca="false">Report!X2256</f>
        <v>NF 228913 - MILKA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RENATO DE O AZEVEDO E CIA LTDA - EPP</v>
      </c>
      <c r="C1711" s="17" t="n">
        <f aca="false">Report!U2257</f>
        <v>2695</v>
      </c>
      <c r="D1711" s="1" t="str">
        <f aca="false">Report!X2257</f>
        <v>FEIRA SR RENATO - PGTO C6 BANK RENATO - DEBORA</v>
      </c>
    </row>
    <row r="1712" customFormat="false" ht="12.75" hidden="false" customHeight="true" outlineLevel="0" collapsed="false">
      <c r="A1712" s="15" t="n">
        <f aca="false">Report!C2258</f>
        <v>46258</v>
      </c>
      <c r="B1712" s="1" t="str">
        <f aca="false">Report!E2258</f>
        <v>PANIFICADORA E CONFEITARIA REAL MADRI LTDA</v>
      </c>
      <c r="C1712" s="17" t="n">
        <f aca="false">Report!U2258</f>
        <v>840</v>
      </c>
      <c r="D1712" s="1" t="str">
        <f aca="false">Report!X2258</f>
        <v>NF 770 - MILKA</v>
      </c>
    </row>
    <row r="1713" customFormat="false" ht="12.75" hidden="false" customHeight="true" outlineLevel="0" collapsed="false">
      <c r="A1713" s="15" t="n">
        <f aca="false">Report!C2261</f>
        <v>46259</v>
      </c>
      <c r="B1713" s="1" t="str">
        <f aca="false">Report!E2261</f>
        <v>A M A DE LIMA INDUSTRIA E COMERCIO DE PRODUTOS ALIMENTICIOS LTDA</v>
      </c>
      <c r="C1713" s="17" t="n">
        <f aca="false">Report!U2261</f>
        <v>144.25</v>
      </c>
      <c r="D1713" s="1" t="str">
        <f aca="false">Report!X2261</f>
        <v>NF 1203 REAL PAES - MILKA</v>
      </c>
    </row>
    <row r="1714" customFormat="false" ht="12.75" hidden="false" customHeight="true" outlineLevel="0" collapsed="false">
      <c r="A1714" s="15" t="n">
        <f aca="false">Report!C2262</f>
        <v>46259</v>
      </c>
      <c r="B1714" s="1" t="str">
        <f aca="false">Report!E2262</f>
        <v>M.R.G COMERCIO DE MAQUINAS EIRELI.</v>
      </c>
      <c r="C1714" s="17" t="n">
        <f aca="false">Report!U2262</f>
        <v>233.33</v>
      </c>
      <c r="D1714" s="1" t="str">
        <f aca="false">Report!X2262</f>
        <v>NF 14298 / 5PARC / REFORMA PADARIA - MILKA</v>
      </c>
    </row>
    <row r="1715" customFormat="false" ht="12.75" hidden="false" customHeight="true" outlineLevel="0" collapsed="false">
      <c r="A1715" s="15" t="n">
        <f aca="false">Report!C2265</f>
        <v>46259</v>
      </c>
      <c r="B1715" s="1" t="str">
        <f aca="false">Report!E2265</f>
        <v>A. CORREA JUNIOR</v>
      </c>
      <c r="C1715" s="17" t="n">
        <f aca="false">Report!U2265</f>
        <v>2564.18</v>
      </c>
      <c r="D1715" s="1" t="str">
        <f aca="false">Report!X2265</f>
        <v>MP JRACESSORIOS 01/3-ANDREZA</v>
      </c>
    </row>
    <row r="1716" customFormat="false" ht="12.75" hidden="false" customHeight="true" outlineLevel="0" collapsed="false">
      <c r="A1716" s="15" t="n">
        <f aca="false">Report!C2266</f>
        <v>46259</v>
      </c>
      <c r="B1716" s="1" t="str">
        <f aca="false">Report!E2266</f>
        <v>RISADINHA LTDA</v>
      </c>
      <c r="C1716" s="17" t="n">
        <f aca="false">Report!U2266</f>
        <v>823.62</v>
      </c>
      <c r="D1716" s="1" t="str">
        <f aca="false">Report!X2266</f>
        <v>NF 662479-04 MILKA</v>
      </c>
    </row>
    <row r="1717" customFormat="false" ht="12.75" hidden="false" customHeight="true" outlineLevel="0" collapsed="false">
      <c r="A1717" s="15" t="n">
        <f aca="false">Report!C2267</f>
        <v>46259</v>
      </c>
      <c r="B1717" s="1" t="str">
        <f aca="false">Report!E2267</f>
        <v>FUNNY PET DISTRIBUIDORA DE ALIMENTOS PAR</v>
      </c>
      <c r="C1717" s="17" t="n">
        <f aca="false">Report!U2267</f>
        <v>2186.19</v>
      </c>
      <c r="D1717" s="1" t="str">
        <f aca="false">Report!X2267</f>
        <v>NF 21047-2 MILKA</v>
      </c>
    </row>
    <row r="1718" customFormat="false" ht="12.75" hidden="false" customHeight="true" outlineLevel="0" collapsed="false">
      <c r="A1718" s="15" t="n">
        <f aca="false">Report!C2268</f>
        <v>46259</v>
      </c>
      <c r="B1718" s="1" t="str">
        <f aca="false">Report!E2268</f>
        <v>FUNNY PET DISTRIBUIDORA DE ALIMENTOS PAR</v>
      </c>
      <c r="C1718" s="17" t="n">
        <f aca="false">Report!U2268</f>
        <v>1475.42</v>
      </c>
      <c r="D1718" s="1" t="str">
        <f aca="false">Report!X2268</f>
        <v>NF 21048-3 MILKA</v>
      </c>
    </row>
    <row r="1719" customFormat="false" ht="12.75" hidden="false" customHeight="true" outlineLevel="0" collapsed="false">
      <c r="A1719" s="15" t="n">
        <f aca="false">Report!C2269</f>
        <v>46259</v>
      </c>
      <c r="B1719" s="1" t="str">
        <f aca="false">Report!E2269</f>
        <v>A M A DE LIMA INDUSTRIA E COMERCIO DE PRODUTOS ALIMENTICIOS LTDA</v>
      </c>
      <c r="C1719" s="17" t="n">
        <f aca="false">Report!U2269</f>
        <v>164.7</v>
      </c>
      <c r="D1719" s="1" t="str">
        <f aca="false">Report!X2269</f>
        <v>NF1141 /COMPRA DO PAO REAL - MILKA</v>
      </c>
    </row>
    <row r="1720" customFormat="false" ht="12.75" hidden="false" customHeight="true" outlineLevel="0" collapsed="false">
      <c r="A1720" s="15" t="n">
        <f aca="false">Report!C2270</f>
        <v>46259</v>
      </c>
      <c r="B1720" s="1" t="str">
        <f aca="false">Report!E2270</f>
        <v>A M A DE LIMA INDUSTRIA E COMERCIO DE PRODUTOS ALIMENTICIOS LTDA</v>
      </c>
      <c r="C1720" s="17" t="n">
        <f aca="false">Report!U2270</f>
        <v>75.68</v>
      </c>
      <c r="D1720" s="1" t="str">
        <f aca="false">Report!X2270</f>
        <v>NF 1146 / COMPRA PAO REAL - MILKA</v>
      </c>
    </row>
    <row r="1721" customFormat="false" ht="12.75" hidden="false" customHeight="true" outlineLevel="0" collapsed="false">
      <c r="A1721" s="15" t="n">
        <f aca="false">Report!C2271</f>
        <v>46259</v>
      </c>
      <c r="B1721" s="1" t="str">
        <f aca="false">Report!E2271</f>
        <v>JESSICA LUANA</v>
      </c>
      <c r="C1721" s="17" t="n">
        <f aca="false">Report!U2271</f>
        <v>82.35</v>
      </c>
      <c r="D1721" s="1" t="str">
        <f aca="false">Report!X2271</f>
        <v>NF 1148 /COMPRA PAO REAL - MILKA</v>
      </c>
    </row>
    <row r="1722" customFormat="false" ht="12.75" hidden="false" customHeight="true" outlineLevel="0" collapsed="false">
      <c r="A1722" s="15" t="n">
        <f aca="false">Report!C2272</f>
        <v>46259</v>
      </c>
      <c r="B1722" s="1" t="str">
        <f aca="false">Report!E2272</f>
        <v>A M A DE LIMA INDUSTRIA E COMERCIO DE PRODUTOS ALIMENTICIOS LTDA</v>
      </c>
      <c r="C1722" s="17" t="n">
        <f aca="false">Report!U2272</f>
        <v>233.6</v>
      </c>
      <c r="D1722" s="1" t="str">
        <f aca="false">Report!X2272</f>
        <v>NF 1154 /COMPRA PAO REAL - MILKA</v>
      </c>
    </row>
    <row r="1723" customFormat="false" ht="12.75" hidden="false" customHeight="true" outlineLevel="0" collapsed="false">
      <c r="A1723" s="15" t="n">
        <f aca="false">Report!C2273</f>
        <v>46259</v>
      </c>
      <c r="B1723" s="1" t="str">
        <f aca="false">Report!E2273</f>
        <v>A M A DE LIMA INDUSTRIA E COMERCIO DE PRODUTOS ALIMENTICIOS LTDA</v>
      </c>
      <c r="C1723" s="17" t="n">
        <f aca="false">Report!U2273</f>
        <v>178.7</v>
      </c>
      <c r="D1723" s="1" t="str">
        <f aca="false">Report!X2273</f>
        <v>NF 1155 COMPRA REAL PAES  - MILKA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OCIDENTAL COMERCIO DE FRIOS LTDA</v>
      </c>
      <c r="C1724" s="17" t="n">
        <f aca="false">Report!U2275</f>
        <v>1343.03</v>
      </c>
      <c r="D1724" s="1" t="str">
        <f aca="false">Report!X2275</f>
        <v>NF 1254539-2/2 MILKA</v>
      </c>
    </row>
    <row r="1725" customFormat="false" ht="12.75" hidden="false" customHeight="true" outlineLevel="0" collapsed="false">
      <c r="A1725" s="15" t="n">
        <f aca="false">Report!C2277</f>
        <v>46259</v>
      </c>
      <c r="B1725" s="1" t="str">
        <f aca="false">Report!E2277</f>
        <v>A M A DE LIMA INDUSTRIA E COMERCIO DE PRODUTOS ALIMENTICIOS LTDA</v>
      </c>
      <c r="C1725" s="17" t="n">
        <f aca="false">Report!U2277</f>
        <v>288.5</v>
      </c>
      <c r="D1725" s="1" t="str">
        <f aca="false">Report!X2277</f>
        <v>NF 1197 REAL PAES - MILKA</v>
      </c>
    </row>
    <row r="1726" customFormat="false" ht="12.75" hidden="false" customHeight="true" outlineLevel="0" collapsed="false">
      <c r="A1726" s="15" t="n">
        <f aca="false">Report!C2278</f>
        <v>46259</v>
      </c>
      <c r="B1726" s="1" t="str">
        <f aca="false">Report!E2278</f>
        <v>A M A DE LIMA INDUSTRIA E COMERCIO DE PRODUTOS ALIMENTICIOS LTDA</v>
      </c>
      <c r="C1726" s="17" t="n">
        <f aca="false">Report!U2278</f>
        <v>144.25</v>
      </c>
      <c r="D1726" s="1" t="str">
        <f aca="false">Report!X2278</f>
        <v>NF1199 REAL PAES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DISTRIBUIDORA FARIAS LTDA.</v>
      </c>
      <c r="C1727" s="17" t="n">
        <f aca="false">Report!U2279</f>
        <v>436.77</v>
      </c>
      <c r="D1727" s="1" t="str">
        <f aca="false">Report!X2279</f>
        <v>811815-A/B  NF688332 - MILKA</v>
      </c>
    </row>
    <row r="1728" customFormat="false" ht="12.75" hidden="false" customHeight="true" outlineLevel="0" collapsed="false">
      <c r="A1728" s="15" t="n">
        <f aca="false">Report!C2280</f>
        <v>46259</v>
      </c>
      <c r="B1728" s="1" t="str">
        <f aca="false">Report!E2280</f>
        <v>NT INDUSTRIA E COMERCIO DE PANIFICACAO L</v>
      </c>
      <c r="C1728" s="17" t="n">
        <f aca="false">Report!U2280</f>
        <v>2823.08</v>
      </c>
      <c r="D1728" s="1" t="str">
        <f aca="false">Report!X2280</f>
        <v>NF 43493 - MILKA</v>
      </c>
    </row>
    <row r="1729" customFormat="false" ht="12.75" hidden="false" customHeight="true" outlineLevel="0" collapsed="false">
      <c r="A1729" s="15" t="n">
        <f aca="false">Report!C2281</f>
        <v>46259</v>
      </c>
      <c r="B1729" s="1" t="str">
        <f aca="false">Report!E2281</f>
        <v>EDMARA COMERCIO DE HIGIENE PESSOAL LTDA</v>
      </c>
      <c r="C1729" s="17" t="n">
        <f aca="false">Report!U2281</f>
        <v>530</v>
      </c>
      <c r="D1729" s="1" t="str">
        <f aca="false">Report!X2281</f>
        <v>5755-A/B  NF8609 - MILKA</v>
      </c>
    </row>
    <row r="1730" customFormat="false" ht="12.75" hidden="false" customHeight="true" outlineLevel="0" collapsed="false">
      <c r="A1730" s="15" t="n">
        <f aca="false">Report!C2282</f>
        <v>46259</v>
      </c>
      <c r="B1730" s="1" t="str">
        <f aca="false">Report!E2282</f>
        <v>A M A DE LIMA INDUSTRIA E COMERCIO DE PRODUTOS ALIMENTICIOS LTDA</v>
      </c>
      <c r="C1730" s="17" t="n">
        <f aca="false">Report!U2282</f>
        <v>288.5</v>
      </c>
      <c r="D1730" s="1" t="str">
        <f aca="false">Report!X2282</f>
        <v>NF 1210 REAL PAES - MILKA</v>
      </c>
    </row>
    <row r="1731" customFormat="false" ht="12.75" hidden="false" customHeight="true" outlineLevel="0" collapsed="false">
      <c r="A1731" s="15" t="n">
        <f aca="false">Report!C2283</f>
        <v>46259</v>
      </c>
      <c r="B1731" s="1" t="str">
        <f aca="false">Report!E2283</f>
        <v>A M A DE LIMA INDUSTRIA E COMERCIO DE PRODUTOS ALIMENTICIOS LTDA</v>
      </c>
      <c r="C1731" s="17" t="n">
        <f aca="false">Report!U2283</f>
        <v>187.15</v>
      </c>
      <c r="D1731" s="1" t="str">
        <f aca="false">Report!X2283</f>
        <v>NF 1211 REAL PAES - MILKA</v>
      </c>
    </row>
    <row r="1732" customFormat="false" ht="12.75" hidden="false" customHeight="true" outlineLevel="0" collapsed="false">
      <c r="A1732" s="15" t="n">
        <f aca="false">Report!C2284</f>
        <v>46259</v>
      </c>
      <c r="B1732" s="1" t="str">
        <f aca="false">Report!E2284</f>
        <v>CRBS S/A</v>
      </c>
      <c r="C1732" s="17" t="n">
        <f aca="false">Report!U2284</f>
        <v>3057.85</v>
      </c>
      <c r="D1732" s="1" t="str">
        <f aca="false">Report!X2284</f>
        <v>NF959004 AMBEV - MILKA</v>
      </c>
    </row>
    <row r="1733" customFormat="false" ht="12.75" hidden="false" customHeight="true" outlineLevel="0" collapsed="false">
      <c r="A1733" s="15" t="n">
        <f aca="false">Report!C2285</f>
        <v>46259</v>
      </c>
      <c r="B1733" s="1" t="str">
        <f aca="false">Report!E2285</f>
        <v>A M A DE LIMA INDUSTRIA E COMERCIO DE PRODUTOS ALIMENTICIOS LTDA</v>
      </c>
      <c r="C1733" s="17" t="n">
        <f aca="false">Report!U2285</f>
        <v>144.25</v>
      </c>
      <c r="D1733" s="1" t="str">
        <f aca="false">Report!X2285</f>
        <v>NF 1213 REAL PAES - MILKA</v>
      </c>
    </row>
    <row r="1734" customFormat="false" ht="12.75" hidden="false" customHeight="true" outlineLevel="0" collapsed="false">
      <c r="A1734" s="15" t="n">
        <f aca="false">Report!C2286</f>
        <v>46259</v>
      </c>
      <c r="B1734" s="1" t="str">
        <f aca="false">Report!E2286</f>
        <v>A M A DE LIMA INDUSTRIA E COMERCIO DE PRODUTOS ALIMENTICIOS LTDA</v>
      </c>
      <c r="C1734" s="17" t="n">
        <f aca="false">Report!U2286</f>
        <v>132.71</v>
      </c>
      <c r="D1734" s="1" t="str">
        <f aca="false">Report!X2286</f>
        <v>NF 1214 REAL PAES - MILKA</v>
      </c>
    </row>
    <row r="1735" customFormat="false" ht="12.75" hidden="false" customHeight="true" outlineLevel="0" collapsed="false">
      <c r="A1735" s="15" t="n">
        <f aca="false">Report!C2287</f>
        <v>46259</v>
      </c>
      <c r="B1735" s="1" t="str">
        <f aca="false">Report!E2287</f>
        <v>BROTHERS  INDUSTRIA DE ALIMENTOS LTDA</v>
      </c>
      <c r="C1735" s="17" t="n">
        <f aca="false">Report!U2287</f>
        <v>470.94</v>
      </c>
      <c r="D1735" s="1" t="str">
        <f aca="false">Report!X2287</f>
        <v>NF 1037267 - MILKA</v>
      </c>
    </row>
    <row r="1736" customFormat="false" ht="12.75" hidden="false" customHeight="true" outlineLevel="0" collapsed="false">
      <c r="A1736" s="15" t="n">
        <f aca="false">Report!C2288</f>
        <v>46259</v>
      </c>
      <c r="B1736" s="1" t="str">
        <f aca="false">Report!E2288</f>
        <v>C. R. PARENTE ABREU</v>
      </c>
      <c r="C1736" s="17" t="n">
        <f aca="false">Report!U2288</f>
        <v>402.23</v>
      </c>
      <c r="D1736" s="1" t="str">
        <f aca="false">Report!X2288</f>
        <v>NF 11586-1 KARU - MILKA</v>
      </c>
    </row>
    <row r="1737" customFormat="false" ht="12.75" hidden="false" customHeight="true" outlineLevel="0" collapsed="false">
      <c r="A1737" s="15" t="n">
        <f aca="false">Report!C2289</f>
        <v>46259</v>
      </c>
      <c r="B1737" s="1" t="str">
        <f aca="false">Report!E2289</f>
        <v>ADICSO FABIAN GONZALEZ MONTILLA 70302186</v>
      </c>
      <c r="C1737" s="17" t="n">
        <f aca="false">Report!U2289</f>
        <v>660</v>
      </c>
      <c r="D1737" s="1" t="str">
        <f aca="false">Report!X2289</f>
        <v>NF 612 BLOOM - MILKA</v>
      </c>
    </row>
    <row r="1738" customFormat="false" ht="12.75" hidden="false" customHeight="true" outlineLevel="0" collapsed="false">
      <c r="A1738" s="15" t="n">
        <f aca="false">Report!C2291</f>
        <v>46260</v>
      </c>
      <c r="B1738" s="1" t="str">
        <f aca="false">Report!E2291</f>
        <v>TAPAJOS COM DE PERFUMARIA COSMETICOS E G</v>
      </c>
      <c r="C1738" s="17" t="n">
        <f aca="false">Report!U2291</f>
        <v>1473.38</v>
      </c>
      <c r="D1738" s="1" t="str">
        <f aca="false">Report!X2291</f>
        <v>NF 581288 - COM TAXA - DEBORA</v>
      </c>
    </row>
    <row r="1739" customFormat="false" ht="12.75" hidden="false" customHeight="true" outlineLevel="0" collapsed="false">
      <c r="A1739" s="15" t="n">
        <f aca="false">Report!C2292</f>
        <v>46260</v>
      </c>
      <c r="B1739" s="1" t="str">
        <f aca="false">Report!E2292</f>
        <v>OPPORTUNITY ALIMENTOS PARA ANIMAIS LTDA</v>
      </c>
      <c r="C1739" s="17" t="n">
        <f aca="false">Report!U2292</f>
        <v>562.93</v>
      </c>
      <c r="D1739" s="1" t="str">
        <f aca="false">Report!X2292</f>
        <v>NF 34780 - DEBORA</v>
      </c>
    </row>
    <row r="1740" customFormat="false" ht="12.75" hidden="false" customHeight="true" outlineLevel="0" collapsed="false">
      <c r="A1740" s="15" t="n">
        <f aca="false">Report!C2293</f>
        <v>46260</v>
      </c>
      <c r="B1740" s="1" t="str">
        <f aca="false">Report!E2293</f>
        <v>RISADINHA LTDA</v>
      </c>
      <c r="C1740" s="17" t="n">
        <f aca="false">Report!U2293</f>
        <v>853.9</v>
      </c>
      <c r="D1740" s="1" t="str">
        <f aca="false">Report!X2293</f>
        <v>NF 665164 -3 MILKA</v>
      </c>
    </row>
    <row r="1741" customFormat="false" ht="12.75" hidden="false" customHeight="true" outlineLevel="0" collapsed="false">
      <c r="A1741" s="15" t="n">
        <f aca="false">Report!C2295</f>
        <v>46260</v>
      </c>
      <c r="B1741" s="1" t="str">
        <f aca="false">Report!E2295</f>
        <v>RISADINHA LTDA</v>
      </c>
      <c r="C1741" s="17" t="n">
        <f aca="false">Report!U2295</f>
        <v>939.08</v>
      </c>
      <c r="D1741" s="1" t="str">
        <f aca="false">Report!X2295</f>
        <v>NF 667391-1 MILKA</v>
      </c>
    </row>
    <row r="1742" customFormat="false" ht="12.75" hidden="false" customHeight="true" outlineLevel="0" collapsed="false">
      <c r="A1742" s="15" t="n">
        <f aca="false">Report!C2296</f>
        <v>46260</v>
      </c>
      <c r="B1742" s="1" t="str">
        <f aca="false">Report!E2296</f>
        <v>BRF S A</v>
      </c>
      <c r="C1742" s="17" t="n">
        <f aca="false">Report!U2296</f>
        <v>3101.66</v>
      </c>
      <c r="D1742" s="1" t="str">
        <f aca="false">Report!X2296</f>
        <v>NF 1616799-02/02 MILKA</v>
      </c>
    </row>
    <row r="1743" customFormat="false" ht="12.75" hidden="false" customHeight="true" outlineLevel="0" collapsed="false">
      <c r="A1743" s="15" t="n">
        <f aca="false">Report!C2297</f>
        <v>46260</v>
      </c>
      <c r="B1743" s="1" t="str">
        <f aca="false">Report!E2297</f>
        <v>BRF S A</v>
      </c>
      <c r="C1743" s="17" t="n">
        <f aca="false">Report!U2297</f>
        <v>634.72</v>
      </c>
      <c r="D1743" s="1" t="str">
        <f aca="false">Report!X2297</f>
        <v>NF 1616568-02/02 - MILKA</v>
      </c>
    </row>
    <row r="1744" customFormat="false" ht="12.75" hidden="false" customHeight="true" outlineLevel="0" collapsed="false">
      <c r="A1744" s="15" t="n">
        <f aca="false">Report!C2298</f>
        <v>46260</v>
      </c>
      <c r="B1744" s="1" t="str">
        <f aca="false">Report!E2298</f>
        <v>ATACADAO S.A.</v>
      </c>
      <c r="C1744" s="17" t="n">
        <f aca="false">Report!U2298</f>
        <v>1993.17</v>
      </c>
      <c r="D1744" s="1" t="str">
        <f aca="false">Report!X2298</f>
        <v>NF 1916562 - MILKA</v>
      </c>
    </row>
    <row r="1745" customFormat="false" ht="12.75" hidden="false" customHeight="true" outlineLevel="0" collapsed="false">
      <c r="A1745" s="15" t="n">
        <f aca="false">Report!C2299</f>
        <v>46260</v>
      </c>
      <c r="B1745" s="1" t="str">
        <f aca="false">Report!E2299</f>
        <v>FENNIX BRASIL DISTRIBUIDORA DE PRODUTOS</v>
      </c>
      <c r="C1745" s="17" t="n">
        <f aca="false">Report!U2299</f>
        <v>611.73</v>
      </c>
      <c r="D1745" s="1" t="str">
        <f aca="false">Report!X2299</f>
        <v>NF 397841-1 C/TARIFA INCLUSA - MILKA</v>
      </c>
    </row>
    <row r="1746" customFormat="false" ht="12.75" hidden="false" customHeight="true" outlineLevel="0" collapsed="false">
      <c r="A1746" s="15" t="n">
        <f aca="false">Report!C2300</f>
        <v>46260</v>
      </c>
      <c r="B1746" s="1" t="str">
        <f aca="false">Report!E2300</f>
        <v>TRES CORACOES ALIMENTOS S.A.</v>
      </c>
      <c r="C1746" s="17" t="n">
        <f aca="false">Report!U2300</f>
        <v>793.41</v>
      </c>
      <c r="D1746" s="1" t="str">
        <f aca="false">Report!X2300</f>
        <v>NF 356122 - MILKA</v>
      </c>
    </row>
    <row r="1747" customFormat="false" ht="12.75" hidden="false" customHeight="true" outlineLevel="0" collapsed="false">
      <c r="A1747" s="15" t="n">
        <f aca="false">Report!C2301</f>
        <v>46260</v>
      </c>
      <c r="B1747" s="1" t="str">
        <f aca="false">Report!E2301</f>
        <v>L. J. DA SILVA LTDA</v>
      </c>
      <c r="C1747" s="17" t="n">
        <f aca="false">Report!U2301</f>
        <v>2402.15</v>
      </c>
      <c r="D1747" s="1" t="str">
        <f aca="false">Report!X2301</f>
        <v>48293-A/B  NF36539 TARIFA INCLUSA - MILKA</v>
      </c>
    </row>
    <row r="1748" customFormat="false" ht="12.75" hidden="false" customHeight="true" outlineLevel="0" collapsed="false">
      <c r="A1748" s="15" t="n">
        <f aca="false">Report!C2303</f>
        <v>46260</v>
      </c>
      <c r="B1748" s="1" t="str">
        <f aca="false">Report!E2303</f>
        <v>CB COMERCIO E DISTRIBUIDORA DE ALIMENTOS</v>
      </c>
      <c r="C1748" s="17" t="n">
        <f aca="false">Report!U2303</f>
        <v>947.55</v>
      </c>
      <c r="D1748" s="1" t="str">
        <f aca="false">Report!X2303</f>
        <v>963323-A/C  NF862283 - MILKA</v>
      </c>
    </row>
    <row r="1749" customFormat="false" ht="12.75" hidden="false" customHeight="true" outlineLevel="0" collapsed="false">
      <c r="A1749" s="15" t="n">
        <f aca="false">Report!C2304</f>
        <v>46260</v>
      </c>
      <c r="B1749" s="1" t="str">
        <f aca="false">Report!E2304</f>
        <v>DISTRIBUIDORA LOPES LTDA</v>
      </c>
      <c r="C1749" s="17" t="n">
        <f aca="false">Report!U2304</f>
        <v>684.24</v>
      </c>
      <c r="D1749" s="1" t="str">
        <f aca="false">Report!X2304</f>
        <v>NF 1709723 -1 MILKA</v>
      </c>
    </row>
    <row r="1750" customFormat="false" ht="12.75" hidden="false" customHeight="true" outlineLevel="0" collapsed="false">
      <c r="A1750" s="15" t="n">
        <f aca="false">Report!C2305</f>
        <v>46260</v>
      </c>
      <c r="B1750" s="1" t="str">
        <f aca="false">Report!E2305</f>
        <v>DUNORTE DISTRIBUIDORA DE PRODUTOS DE CONSUMO LTDA</v>
      </c>
      <c r="C1750" s="17" t="n">
        <f aca="false">Report!U2305</f>
        <v>1262.69</v>
      </c>
      <c r="D1750" s="1" t="str">
        <f aca="false">Report!X2305</f>
        <v>NF 3235765 -1 MILKA</v>
      </c>
    </row>
    <row r="1751" customFormat="false" ht="12.75" hidden="false" customHeight="true" outlineLevel="0" collapsed="false">
      <c r="A1751" s="15" t="n">
        <f aca="false">Report!C2306</f>
        <v>46260</v>
      </c>
      <c r="B1751" s="1" t="str">
        <f aca="false">Report!E2306</f>
        <v>ORIENTE COM. ATACADISTA E REPRES. LTDA</v>
      </c>
      <c r="C1751" s="17" t="n">
        <f aca="false">Report!U2306</f>
        <v>815.45</v>
      </c>
      <c r="D1751" s="1" t="str">
        <f aca="false">Report!X2306</f>
        <v>4101/1  NF3389 - MILKA</v>
      </c>
    </row>
    <row r="1752" customFormat="false" ht="12.75" hidden="false" customHeight="true" outlineLevel="0" collapsed="false">
      <c r="A1752" s="15" t="n">
        <f aca="false">Report!C2307</f>
        <v>46260</v>
      </c>
      <c r="B1752" s="1" t="str">
        <f aca="false">Report!E2307</f>
        <v>BRF S A</v>
      </c>
      <c r="C1752" s="17" t="n">
        <f aca="false">Report!U2307</f>
        <v>3149.23</v>
      </c>
      <c r="D1752" s="1" t="str">
        <f aca="false">Report!X2307</f>
        <v>NF 1619134 -01/02 MILKA</v>
      </c>
    </row>
    <row r="1753" customFormat="false" ht="12.75" hidden="false" customHeight="true" outlineLevel="0" collapsed="false">
      <c r="A1753" s="15" t="n">
        <f aca="false">Report!C2309</f>
        <v>46260</v>
      </c>
      <c r="B1753" s="1" t="str">
        <f aca="false">Report!E2309</f>
        <v>VITAPAN COMERCIO VAREJISTA DE PRODUTOS ALIMENTICIOS LTDA</v>
      </c>
      <c r="C1753" s="17" t="n">
        <f aca="false">Report!U2309</f>
        <v>756</v>
      </c>
      <c r="D1753" s="1" t="str">
        <f aca="false">Report!X2309</f>
        <v>NF 10588 - MILKA</v>
      </c>
    </row>
    <row r="1754" customFormat="false" ht="12.75" hidden="false" customHeight="true" outlineLevel="0" collapsed="false">
      <c r="A1754" s="15" t="n">
        <f aca="false">Report!C2310</f>
        <v>46260</v>
      </c>
      <c r="B1754" s="1" t="str">
        <f aca="false">Report!E2310</f>
        <v>RENATO DE O AZEVEDO E CIA LTDA - EPP</v>
      </c>
      <c r="C1754" s="17" t="n">
        <f aca="false">Report!U2310</f>
        <v>300</v>
      </c>
      <c r="D1754" s="1" t="str">
        <f aca="false">Report!X2310</f>
        <v>VISCERA/SR.RENATO /DOC.138491/1 - MILKA</v>
      </c>
    </row>
    <row r="1755" customFormat="false" ht="12.75" hidden="false" customHeight="true" outlineLevel="0" collapsed="false">
      <c r="A1755" s="23" t="n">
        <f aca="false">Report!C2311</f>
        <v>46260</v>
      </c>
      <c r="B1755" s="1" t="str">
        <f aca="false">Report!E2311</f>
        <v>PANIFICADORA E CONFEITARIA REAL MADRI LTDA</v>
      </c>
      <c r="C1755" s="17" t="n">
        <f aca="false">Report!U2311</f>
        <v>422.15</v>
      </c>
      <c r="D1755" s="1" t="str">
        <f aca="false">Report!X2311</f>
        <v>NF771 - MILKA</v>
      </c>
    </row>
    <row r="1756" customFormat="false" ht="12.75" hidden="false" customHeight="true" outlineLevel="0" collapsed="false">
      <c r="A1756" s="23" t="n">
        <f aca="false">Report!C2312</f>
        <v>46261</v>
      </c>
      <c r="B1756" s="1" t="str">
        <f aca="false">Report!E2312</f>
        <v>J. S. MOREIRA ALVES LTDA</v>
      </c>
      <c r="C1756" s="17" t="n">
        <f aca="false">Report!U2312</f>
        <v>409.5</v>
      </c>
      <c r="D1756" s="1" t="str">
        <f aca="false">Report!X2312</f>
        <v>NF 2788 MESA FARTA - MILKA</v>
      </c>
    </row>
    <row r="1757" customFormat="false" ht="12.75" hidden="false" customHeight="true" outlineLevel="0" collapsed="false">
      <c r="A1757" s="23" t="n">
        <f aca="false">Report!C2313</f>
        <v>46261</v>
      </c>
      <c r="B1757" s="1" t="str">
        <f aca="false">Report!E2313</f>
        <v>OPPORTUNITY ALIMENTOS PARA ANIMAIS LTDA</v>
      </c>
      <c r="C1757" s="17" t="n">
        <f aca="false">Report!U2313</f>
        <v>2006</v>
      </c>
      <c r="D1757" s="1" t="str">
        <f aca="false">Report!X2313</f>
        <v>NF 34663-2 MILKA</v>
      </c>
    </row>
    <row r="1758" customFormat="false" ht="12.75" hidden="false" customHeight="true" outlineLevel="0" collapsed="false">
      <c r="A1758" s="23" t="n">
        <f aca="false">Report!C2314</f>
        <v>46261</v>
      </c>
      <c r="B1758" s="1" t="str">
        <f aca="false">Report!E2314</f>
        <v>SB COMERCIO LTDA</v>
      </c>
      <c r="C1758" s="17" t="n">
        <f aca="false">Report!U2314</f>
        <v>1129.56</v>
      </c>
      <c r="D1758" s="1" t="str">
        <f aca="false">Report!X2314</f>
        <v>NF 1964147-3 MILKA</v>
      </c>
    </row>
    <row r="1759" customFormat="false" ht="12.75" hidden="false" customHeight="true" outlineLevel="0" collapsed="false">
      <c r="A1759" s="23" t="n">
        <f aca="false">Report!C2315</f>
        <v>46261</v>
      </c>
      <c r="B1759" s="1" t="str">
        <f aca="false">Report!E2315</f>
        <v>PRIME PET DISTRIBUIDORA LTDA</v>
      </c>
      <c r="C1759" s="17" t="n">
        <f aca="false">Report!U2315</f>
        <v>911.85</v>
      </c>
      <c r="D1759" s="1" t="str">
        <f aca="false">Report!X2315</f>
        <v>NF 11134 -02/06  MILKA</v>
      </c>
    </row>
    <row r="1760" customFormat="false" ht="12.75" hidden="false" customHeight="true" outlineLevel="0" collapsed="false">
      <c r="A1760" s="23" t="n">
        <f aca="false">Report!C2316</f>
        <v>46261</v>
      </c>
      <c r="B1760" s="1" t="str">
        <f aca="false">Report!E2316</f>
        <v>EDMARA COMERCIO DE HIGIENE PESSOAL LTDA</v>
      </c>
      <c r="C1760" s="17" t="n">
        <f aca="false">Report!U2316</f>
        <v>2621.73</v>
      </c>
      <c r="D1760" s="1" t="str">
        <f aca="false">Report!X2316</f>
        <v>5431-D/D  NF8403 - MILKA</v>
      </c>
    </row>
    <row r="1761" customFormat="false" ht="12.75" hidden="false" customHeight="true" outlineLevel="0" collapsed="false">
      <c r="A1761" s="23" t="n">
        <f aca="false">Report!C2317</f>
        <v>46261</v>
      </c>
      <c r="B1761" s="1" t="str">
        <f aca="false">Report!E2317</f>
        <v>DISTRIBUIDORA PRIME LTDA</v>
      </c>
      <c r="C1761" s="17" t="n">
        <f aca="false">Report!U2317</f>
        <v>774.48</v>
      </c>
      <c r="D1761" s="1" t="str">
        <f aca="false">Report!X2317</f>
        <v>NF 134703-3 MILKA</v>
      </c>
    </row>
    <row r="1762" customFormat="false" ht="12.75" hidden="false" customHeight="true" outlineLevel="0" collapsed="false">
      <c r="A1762" s="23" t="n">
        <f aca="false">Report!C2318</f>
        <v>46261</v>
      </c>
      <c r="B1762" s="1" t="str">
        <f aca="false">Report!E2318</f>
        <v>ATACADAO S.A.</v>
      </c>
      <c r="C1762" s="17" t="n">
        <f aca="false">Report!U2318</f>
        <v>998.14</v>
      </c>
      <c r="D1762" s="1" t="str">
        <f aca="false">Report!X2318</f>
        <v>NF 1910467 - MILKA</v>
      </c>
    </row>
    <row r="1763" customFormat="false" ht="12.75" hidden="false" customHeight="true" outlineLevel="0" collapsed="false">
      <c r="A1763" s="23" t="n">
        <f aca="false">Report!C2319</f>
        <v>46261</v>
      </c>
      <c r="B1763" s="1" t="str">
        <f aca="false">Report!E2319</f>
        <v>DISTRIBUIDORA LOPES LTDA</v>
      </c>
      <c r="C1763" s="17" t="n">
        <f aca="false">Report!U2319</f>
        <v>944.98</v>
      </c>
      <c r="D1763" s="1" t="str">
        <f aca="false">Report!X2319</f>
        <v>NF 1701960-2 MILKA</v>
      </c>
    </row>
    <row r="1764" customFormat="false" ht="12.75" hidden="false" customHeight="true" outlineLevel="0" collapsed="false">
      <c r="A1764" s="23" t="n">
        <f aca="false">Report!C2320</f>
        <v>46261</v>
      </c>
      <c r="B1764" s="1" t="str">
        <f aca="false">Report!E2320</f>
        <v>EMPRESA BRASILEIRA DE DISTRIBUICAO LTDA</v>
      </c>
      <c r="C1764" s="17" t="n">
        <f aca="false">Report!U2320</f>
        <v>1167.15</v>
      </c>
      <c r="D1764" s="1" t="str">
        <f aca="false">Report!X2320</f>
        <v>NF 2307727-2 MILKA</v>
      </c>
    </row>
    <row r="1765" customFormat="false" ht="12.75" hidden="false" customHeight="true" outlineLevel="0" collapsed="false">
      <c r="A1765" s="23" t="n">
        <f aca="false">Report!C2321</f>
        <v>46261</v>
      </c>
      <c r="B1765" s="1" t="str">
        <f aca="false">Report!E2321</f>
        <v>DISTRIBUIDORA LOPES LTDA</v>
      </c>
      <c r="C1765" s="17" t="n">
        <f aca="false">Report!U2321</f>
        <v>1141.92</v>
      </c>
      <c r="D1765" s="1" t="str">
        <f aca="false">Report!X2321</f>
        <v>NF 1706774-2 C/DESCONTO NO BOLETO - MILKA</v>
      </c>
    </row>
    <row r="1766" customFormat="false" ht="12.75" hidden="false" customHeight="true" outlineLevel="0" collapsed="false">
      <c r="A1766" s="23" t="n">
        <f aca="false">Report!C2322</f>
        <v>46261</v>
      </c>
      <c r="B1766" s="1" t="str">
        <f aca="false">Report!E2322</f>
        <v>CB COMERCIO E DISTRIBUIDORA DE ALIMENTOS</v>
      </c>
      <c r="C1766" s="17" t="n">
        <f aca="false">Report!U2322</f>
        <v>545.86</v>
      </c>
      <c r="D1766" s="1" t="str">
        <f aca="false">Report!X2322</f>
        <v>961363-B/B  NF860853 - MILKA</v>
      </c>
    </row>
    <row r="1767" customFormat="false" ht="12.75" hidden="false" customHeight="true" outlineLevel="0" collapsed="false">
      <c r="A1767" s="23" t="n">
        <f aca="false">Report!C2323</f>
        <v>46261</v>
      </c>
      <c r="B1767" s="1" t="str">
        <f aca="false">Report!E2323</f>
        <v>PIARARA COMERCIO, IMPORTACAO E EXPORTACAO LTDA</v>
      </c>
      <c r="C1767" s="17" t="n">
        <f aca="false">Report!U2323</f>
        <v>1164.11</v>
      </c>
      <c r="D1767" s="1" t="str">
        <f aca="false">Report!X2323</f>
        <v>NF 195281-2 MILKA</v>
      </c>
    </row>
    <row r="1768" customFormat="false" ht="12.75" hidden="false" customHeight="true" outlineLevel="0" collapsed="false">
      <c r="A1768" s="23" t="n">
        <f aca="false">Report!C2324</f>
        <v>46261</v>
      </c>
      <c r="B1768" s="1" t="str">
        <f aca="false">Report!E2324</f>
        <v>FENNIX BRASIL DISTRIBUIDORA DE PRODUTOS</v>
      </c>
      <c r="C1768" s="17" t="n">
        <f aca="false">Report!U2324</f>
        <v>1276.95</v>
      </c>
      <c r="D1768" s="1" t="str">
        <f aca="false">Report!X2324</f>
        <v>NF316329-2 C/TARIFA INCLUSA - MILKA</v>
      </c>
    </row>
    <row r="1769" customFormat="false" ht="12.75" hidden="false" customHeight="true" outlineLevel="0" collapsed="false">
      <c r="A1769" s="23" t="n">
        <f aca="false">Report!C2325</f>
        <v>46261</v>
      </c>
      <c r="B1769" s="1" t="str">
        <f aca="false">Report!E2325</f>
        <v>MARQUES &amp; MELO LTDA - FILIAL</v>
      </c>
      <c r="C1769" s="17" t="n">
        <f aca="false">Report!U2325</f>
        <v>729.65</v>
      </c>
      <c r="D1769" s="1" t="str">
        <f aca="false">Report!X2325</f>
        <v>NF 506570-02 DISMELO - MILKA</v>
      </c>
    </row>
    <row r="1770" customFormat="false" ht="12.75" hidden="false" customHeight="true" outlineLevel="0" collapsed="false">
      <c r="A1770" s="23" t="n">
        <f aca="false">Report!C2326</f>
        <v>46261</v>
      </c>
      <c r="B1770" s="1" t="str">
        <f aca="false">Report!E2326</f>
        <v>OCIDENTAL COMERCIO DE FRIOS LTDA</v>
      </c>
      <c r="C1770" s="17" t="n">
        <f aca="false">Report!U2326</f>
        <v>922.97</v>
      </c>
      <c r="D1770" s="1" t="str">
        <f aca="false">Report!X2326</f>
        <v>NF 1256046 - MILKA</v>
      </c>
    </row>
    <row r="1771" customFormat="false" ht="12.75" hidden="false" customHeight="true" outlineLevel="0" collapsed="false">
      <c r="A1771" s="23" t="n">
        <f aca="false">Report!C2327</f>
        <v>46261</v>
      </c>
      <c r="B1771" s="1" t="str">
        <f aca="false">Report!E2327</f>
        <v>ADRIANA DISTRIBUIDORA DE PRODUTOS ALIMEN</v>
      </c>
      <c r="C1771" s="17" t="n">
        <f aca="false">Report!U2327</f>
        <v>345.95</v>
      </c>
      <c r="D1771" s="1" t="str">
        <f aca="false">Report!X2327</f>
        <v>NF 889987-1 MILKA</v>
      </c>
    </row>
    <row r="1772" customFormat="false" ht="12.75" hidden="false" customHeight="true" outlineLevel="0" collapsed="false">
      <c r="A1772" s="23" t="n">
        <f aca="false">Report!C2328</f>
        <v>46261</v>
      </c>
      <c r="B1772" s="1" t="str">
        <f aca="false">Report!E2328</f>
        <v>NESTLÉ BRASIL LTDA.</v>
      </c>
      <c r="C1772" s="17" t="n">
        <f aca="false">Report!U2328</f>
        <v>1001.87</v>
      </c>
      <c r="D1772" s="1" t="str">
        <f aca="false">Report!X2328</f>
        <v>NF 1436399 -03/03 MILKA</v>
      </c>
    </row>
    <row r="1773" customFormat="false" ht="12.75" hidden="false" customHeight="true" outlineLevel="0" collapsed="false">
      <c r="A1773" s="23" t="n">
        <f aca="false">Report!C2329</f>
        <v>46261</v>
      </c>
      <c r="B1773" s="1" t="str">
        <f aca="false">Report!E2329</f>
        <v>E. SALES DO NASCIMENTO</v>
      </c>
      <c r="C1773" s="17" t="n">
        <f aca="false">Report!U2329</f>
        <v>507.3</v>
      </c>
      <c r="D1773" s="1" t="str">
        <f aca="false">Report!X2329</f>
        <v>NF 799-01 ARENA  AGROPET - MILKA</v>
      </c>
    </row>
    <row r="1774" customFormat="false" ht="12.75" hidden="false" customHeight="true" outlineLevel="0" collapsed="false">
      <c r="A1774" s="23" t="n">
        <f aca="false">Report!C2330</f>
        <v>46261</v>
      </c>
      <c r="B1774" s="1" t="str">
        <f aca="false">Report!E2330</f>
        <v>H. L. DO NASCIMENTO</v>
      </c>
      <c r="C1774" s="17" t="n">
        <f aca="false">Report!U2330</f>
        <v>1547.95</v>
      </c>
      <c r="D1774" s="1" t="str">
        <f aca="false">Report!X2330</f>
        <v>NF 5964 FAZENDINHA - MILKA</v>
      </c>
    </row>
    <row r="1775" customFormat="false" ht="12.75" hidden="false" customHeight="true" outlineLevel="0" collapsed="false">
      <c r="A1775" s="23" t="n">
        <f aca="false">Report!C2331</f>
        <v>46261</v>
      </c>
      <c r="B1775" s="1" t="str">
        <f aca="false">Report!E2331</f>
        <v>TAPAJOS COM DE PERFUMARIA COSMETICOS E G</v>
      </c>
      <c r="C1775" s="17" t="n">
        <f aca="false">Report!U2331</f>
        <v>1584.82</v>
      </c>
      <c r="D1775" s="1" t="str">
        <f aca="false">Report!X2331</f>
        <v>NF 586417-1 MILKA</v>
      </c>
    </row>
    <row r="1776" customFormat="false" ht="12.75" hidden="false" customHeight="true" outlineLevel="0" collapsed="false">
      <c r="A1776" s="23" t="n">
        <f aca="false">Report!C2332</f>
        <v>46261</v>
      </c>
      <c r="B1776" s="1" t="str">
        <f aca="false">Report!E2332</f>
        <v>KAROLINY RODRIGUES SOUZA VENANCIO 915783</v>
      </c>
      <c r="C1776" s="17" t="n">
        <f aca="false">Report!U2332</f>
        <v>500</v>
      </c>
      <c r="D1776" s="1" t="str">
        <f aca="false">Report!X2332</f>
        <v>NF 2056 BISC. DONA MARIA - MILKA </v>
      </c>
    </row>
    <row r="1777" customFormat="false" ht="12.75" hidden="false" customHeight="true" outlineLevel="0" collapsed="false">
      <c r="A1777" s="23" t="n">
        <f aca="false">Report!C2333</f>
        <v>46261</v>
      </c>
      <c r="B1777" s="1" t="str">
        <f aca="false">Report!E2333</f>
        <v>BOLOS AMAZONICOS LTDA</v>
      </c>
      <c r="C1777" s="17" t="n">
        <f aca="false">Report!U2333</f>
        <v>299.5</v>
      </c>
      <c r="D1777" s="1" t="str">
        <f aca="false">Report!X2333</f>
        <v>NF 63 / PGTO THAILLA BIANCA 92981403632 - MILKA</v>
      </c>
    </row>
    <row r="1778" customFormat="false" ht="12.75" hidden="false" customHeight="true" outlineLevel="0" collapsed="false">
      <c r="A1778" s="23" t="n">
        <f aca="false">Report!C2334</f>
        <v>46261</v>
      </c>
      <c r="B1778" s="1" t="str">
        <f aca="false">Report!E2334</f>
        <v>MAXFRI DISTRIUIDORA LTDA</v>
      </c>
      <c r="C1778" s="17" t="n">
        <f aca="false">Report!U2334</f>
        <v>2817.75</v>
      </c>
      <c r="D1778" s="1" t="str">
        <f aca="false">Report!X2334</f>
        <v>NF15103 - MILKA </v>
      </c>
    </row>
    <row r="1779" customFormat="false" ht="12.75" hidden="false" customHeight="true" outlineLevel="0" collapsed="false">
      <c r="A1779" s="23" t="n">
        <f aca="false">Report!C2335</f>
        <v>46261</v>
      </c>
      <c r="B1779" s="1" t="str">
        <f aca="false">Report!E2335</f>
        <v>ADRIANO FEITOSA OLIVEIRA LTDA</v>
      </c>
      <c r="C1779" s="17" t="n">
        <f aca="false">Report!U2335</f>
        <v>2709.8</v>
      </c>
      <c r="D1779" s="1" t="str">
        <f aca="false">Report!X2335</f>
        <v>NF 370 PGTO PARA DISTRIB.  ADRIANO - MILKA</v>
      </c>
    </row>
    <row r="1780" customFormat="false" ht="12.75" hidden="false" customHeight="true" outlineLevel="0" collapsed="false">
      <c r="A1780" s="23" t="n">
        <f aca="false">Report!C2337</f>
        <v>46262</v>
      </c>
      <c r="B1780" s="1" t="str">
        <f aca="false">Report!E2337</f>
        <v>OPPORTUNITY ALIMENTOS PARA ANIMAIS LTDA</v>
      </c>
      <c r="C1780" s="17" t="n">
        <f aca="false">Report!U2337</f>
        <v>629.55</v>
      </c>
      <c r="D1780" s="1" t="str">
        <f aca="false">Report!X2337</f>
        <v>NF 34855 - MILKA</v>
      </c>
    </row>
    <row r="1781" customFormat="false" ht="12.75" hidden="false" customHeight="true" outlineLevel="0" collapsed="false">
      <c r="A1781" s="23" t="n">
        <f aca="false">Report!C2338</f>
        <v>46262</v>
      </c>
      <c r="B1781" s="1" t="str">
        <f aca="false">Report!E2338</f>
        <v>DISTRIBUIDORA LOPES LTDA</v>
      </c>
      <c r="C1781" s="17" t="n">
        <f aca="false">Report!U2338</f>
        <v>953.13</v>
      </c>
      <c r="D1781" s="1" t="str">
        <f aca="false">Report!X2338</f>
        <v>NF 1707352 -2 DESC. NO BOLETO - MILKA</v>
      </c>
    </row>
    <row r="1782" customFormat="false" ht="12.75" hidden="false" customHeight="true" outlineLevel="0" collapsed="false">
      <c r="A1782" s="23" t="n">
        <f aca="false">Report!C2339</f>
        <v>46262</v>
      </c>
      <c r="B1782" s="1" t="str">
        <f aca="false">Report!E2339</f>
        <v>J G COMERCIO DE PRODUTOS ALIMENTICIOS LTDA</v>
      </c>
      <c r="C1782" s="17" t="n">
        <f aca="false">Report!U2339</f>
        <v>1052.36</v>
      </c>
      <c r="D1782" s="1" t="str">
        <f aca="false">Report!X2339</f>
        <v>460966-C/C  NF396666 - MILKA</v>
      </c>
    </row>
    <row r="1783" customFormat="false" ht="12.75" hidden="false" customHeight="true" outlineLevel="0" collapsed="false">
      <c r="A1783" s="23" t="n">
        <f aca="false">Report!C2340</f>
        <v>46262</v>
      </c>
      <c r="B1783" s="1" t="str">
        <f aca="false">Report!E2340</f>
        <v>MIKITOS IND.COM.DE GEN. ALIM. DO AM. LTD</v>
      </c>
      <c r="C1783" s="17" t="n">
        <f aca="false">Report!U2340</f>
        <v>687.96</v>
      </c>
      <c r="D1783" s="1" t="str">
        <f aca="false">Report!X2340</f>
        <v>NF 295194-2 MILKA</v>
      </c>
    </row>
    <row r="1784" customFormat="false" ht="12.75" hidden="false" customHeight="true" outlineLevel="0" collapsed="false">
      <c r="A1784" s="23" t="n">
        <f aca="false">Report!C2341</f>
        <v>46262</v>
      </c>
      <c r="B1784" s="1" t="str">
        <f aca="false">Report!E2341</f>
        <v>OESA COMERCIO E REPRESENTACOES S/A</v>
      </c>
      <c r="C1784" s="17" t="n">
        <f aca="false">Report!U2341</f>
        <v>1099.42</v>
      </c>
      <c r="D1784" s="1" t="str">
        <f aca="false">Report!X2341</f>
        <v>NF 439388-1 MILKA</v>
      </c>
    </row>
    <row r="1785" customFormat="false" ht="12.75" hidden="false" customHeight="true" outlineLevel="0" collapsed="false">
      <c r="A1785" s="23" t="n">
        <f aca="false">Report!C2342</f>
        <v>46262</v>
      </c>
      <c r="B1785" s="1" t="str">
        <f aca="false">Report!E2342</f>
        <v>VICTORIA COMERCIO INTERNACIONAL DE ALIME</v>
      </c>
      <c r="C1785" s="17" t="n">
        <f aca="false">Report!U2342</f>
        <v>1287.52</v>
      </c>
      <c r="D1785" s="1" t="str">
        <f aca="false">Report!X2342</f>
        <v>13289-B/B  NF12716 - MILKA</v>
      </c>
    </row>
    <row r="1786" customFormat="false" ht="12.75" hidden="false" customHeight="true" outlineLevel="0" collapsed="false">
      <c r="A1786" s="23" t="n">
        <f aca="false">Report!C2343</f>
        <v>46262</v>
      </c>
      <c r="B1786" s="1" t="str">
        <f aca="false">Report!E2343</f>
        <v>EMPRESA BRASILEIRA DE DISTRIBUICAO LTDA</v>
      </c>
      <c r="C1786" s="17" t="n">
        <f aca="false">Report!U2343</f>
        <v>625.83</v>
      </c>
      <c r="D1786" s="1" t="str">
        <f aca="false">Report!X2343</f>
        <v>NF 2308194-2 EBD - MILKA</v>
      </c>
    </row>
    <row r="1787" customFormat="false" ht="12.75" hidden="false" customHeight="true" outlineLevel="0" collapsed="false">
      <c r="A1787" s="23" t="n">
        <f aca="false">Report!C2344</f>
        <v>46262</v>
      </c>
      <c r="B1787" s="1" t="str">
        <f aca="false">Report!E2344</f>
        <v>NT INDUSTRIA E COMERCIO DE PANIFICACAO L</v>
      </c>
      <c r="C1787" s="17" t="n">
        <f aca="false">Report!U2344</f>
        <v>5216.27</v>
      </c>
      <c r="D1787" s="1" t="str">
        <f aca="false">Report!X2344</f>
        <v>NF 43852 - MILKA</v>
      </c>
    </row>
    <row r="1788" customFormat="false" ht="12.75" hidden="false" customHeight="true" outlineLevel="0" collapsed="false">
      <c r="A1788" s="23" t="n">
        <f aca="false">Report!C2345</f>
        <v>46262</v>
      </c>
      <c r="B1788" s="1" t="str">
        <f aca="false">Report!E2345</f>
        <v>J G COMERCIO DE PRODUTOS ALIMENTICIOS LTDA</v>
      </c>
      <c r="C1788" s="17" t="n">
        <f aca="false">Report!U2345</f>
        <v>466</v>
      </c>
      <c r="D1788" s="1" t="str">
        <f aca="false">Report!X2345</f>
        <v>462480-B/C NF397850 MASTERFRIGO - MILKA</v>
      </c>
    </row>
    <row r="1789" customFormat="false" ht="12.75" hidden="false" customHeight="true" outlineLevel="0" collapsed="false">
      <c r="A1789" s="23" t="n">
        <f aca="false">Report!C2346</f>
        <v>46262</v>
      </c>
      <c r="B1789" s="1" t="str">
        <f aca="false">Report!E2346</f>
        <v>OPPORTUNITY ALIMENTOS PARA ANIMAIS LTDA</v>
      </c>
      <c r="C1789" s="17" t="n">
        <f aca="false">Report!U2346</f>
        <v>2836.78</v>
      </c>
      <c r="D1789" s="1" t="str">
        <f aca="false">Report!X2346</f>
        <v>NF 35160-1 MILKA</v>
      </c>
    </row>
    <row r="1790" customFormat="false" ht="12.75" hidden="false" customHeight="true" outlineLevel="0" collapsed="false">
      <c r="A1790" s="23" t="n">
        <f aca="false">Report!C2347</f>
        <v>46262</v>
      </c>
      <c r="B1790" s="1" t="str">
        <f aca="false">Report!E2347</f>
        <v>DUNORTE DISTRIBUIDORA DE PRODUTOS DE CONSUMO LTDA</v>
      </c>
      <c r="C1790" s="17" t="n">
        <f aca="false">Report!U2347</f>
        <v>698.08</v>
      </c>
      <c r="D1790" s="1" t="str">
        <f aca="false">Report!X2347</f>
        <v>NF 3237031 -1 MILKA</v>
      </c>
    </row>
    <row r="1791" customFormat="false" ht="12.75" hidden="false" customHeight="true" outlineLevel="0" collapsed="false">
      <c r="A1791" s="23" t="n">
        <f aca="false">Report!C2348</f>
        <v>46262</v>
      </c>
      <c r="B1791" s="1" t="str">
        <f aca="false">Report!E2348</f>
        <v>COMERCIO DE FRIOS MANAUS LTDA</v>
      </c>
      <c r="C1791" s="17" t="n">
        <f aca="false">Report!U2348</f>
        <v>3422.6</v>
      </c>
      <c r="D1791" s="1" t="str">
        <f aca="false">Report!X2348</f>
        <v>NF 175037 - MILKA</v>
      </c>
    </row>
    <row r="1792" customFormat="false" ht="12.75" hidden="false" customHeight="true" outlineLevel="0" collapsed="false">
      <c r="A1792" s="23" t="n">
        <f aca="false">Report!C2349</f>
        <v>46262</v>
      </c>
      <c r="B1792" s="1" t="str">
        <f aca="false">Report!E2349</f>
        <v>PIARARA COMERCIO, IMPORTACAO E EXPORTACAO LTDA</v>
      </c>
      <c r="C1792" s="17" t="n">
        <f aca="false">Report!U2349</f>
        <v>792.21</v>
      </c>
      <c r="D1792" s="1" t="str">
        <f aca="false">Report!X2349</f>
        <v>NF 195456-1 MILKA</v>
      </c>
    </row>
    <row r="1793" customFormat="false" ht="12.75" hidden="false" customHeight="true" outlineLevel="0" collapsed="false">
      <c r="A1793" s="23" t="n">
        <f aca="false">Report!C2352</f>
        <v>46262</v>
      </c>
      <c r="B1793" s="1" t="str">
        <f aca="false">Report!E2352</f>
        <v>DISTRIBUIDORA LOPES LTDA</v>
      </c>
      <c r="C1793" s="17" t="n">
        <f aca="false">Report!U2352</f>
        <v>753.3</v>
      </c>
      <c r="D1793" s="1" t="str">
        <f aca="false">Report!X2352</f>
        <v>NF 1711227-1 MILKA</v>
      </c>
    </row>
    <row r="1794" customFormat="false" ht="12.75" hidden="false" customHeight="true" outlineLevel="0" collapsed="false">
      <c r="A1794" s="23" t="n">
        <f aca="false">Report!C2353</f>
        <v>46262</v>
      </c>
      <c r="B1794" s="1" t="str">
        <f aca="false">Report!E2353</f>
        <v>MAXFRI DISTRIUIDORA LTDA</v>
      </c>
      <c r="C1794" s="17" t="n">
        <f aca="false">Report!U2353</f>
        <v>4110.24</v>
      </c>
      <c r="D1794" s="1" t="str">
        <f aca="false">Report!X2353</f>
        <v>NF15112 - MILKA</v>
      </c>
    </row>
    <row r="1795" customFormat="false" ht="12.75" hidden="false" customHeight="true" outlineLevel="0" collapsed="false">
      <c r="A1795" s="23" t="n">
        <f aca="false">Report!C2354</f>
        <v>46262</v>
      </c>
      <c r="B1795" s="1" t="str">
        <f aca="false">Report!E2354</f>
        <v>BROTHERS  INDUSTRIA DE ALIMENTOS LTDA</v>
      </c>
      <c r="C1795" s="17" t="n">
        <f aca="false">Report!U2354</f>
        <v>696.6</v>
      </c>
      <c r="D1795" s="1" t="str">
        <f aca="false">Report!X2354</f>
        <v>NF 1037996 - MILKA</v>
      </c>
    </row>
    <row r="1796" customFormat="false" ht="12.75" hidden="false" customHeight="true" outlineLevel="0" collapsed="false">
      <c r="A1796" s="23" t="n">
        <f aca="false">Report!C2355</f>
        <v>46262</v>
      </c>
      <c r="B1796" s="1" t="str">
        <f aca="false">Report!E2355</f>
        <v>SAO JOSE COMERCIO DE LATICINIOS E FRIOS</v>
      </c>
      <c r="C1796" s="17" t="n">
        <f aca="false">Report!U2355</f>
        <v>2061.5</v>
      </c>
      <c r="D1796" s="1" t="str">
        <f aca="false">Report!X2355</f>
        <v>NF 3876 - MILKA</v>
      </c>
    </row>
    <row r="1797" customFormat="false" ht="12.75" hidden="false" customHeight="true" outlineLevel="0" collapsed="false">
      <c r="A1797" s="23" t="n">
        <f aca="false">Report!C2356</f>
        <v>46262</v>
      </c>
      <c r="B1797" s="1" t="str">
        <f aca="false">Report!E2356</f>
        <v>LIMA E BARANDA COMERCIO DE PRODUTOS REGI</v>
      </c>
      <c r="C1797" s="17" t="n">
        <f aca="false">Report!U2356</f>
        <v>233.5</v>
      </c>
      <c r="D1797" s="1" t="str">
        <f aca="false">Report!X2356</f>
        <v>NF 32059 - MILKA</v>
      </c>
    </row>
    <row r="1798" customFormat="false" ht="12.75" hidden="false" customHeight="true" outlineLevel="0" collapsed="false">
      <c r="A1798" s="23" t="n">
        <f aca="false">Report!C2357</f>
        <v>46263</v>
      </c>
      <c r="B1798" s="1" t="str">
        <f aca="false">Report!E2357</f>
        <v>ADRIANA DISTRIBUIDORA DE PRODUTOS ALIMEN</v>
      </c>
      <c r="C1798" s="17" t="n">
        <f aca="false">Report!U2357</f>
        <v>1452.44</v>
      </c>
      <c r="D1798" s="1" t="str">
        <f aca="false">Report!X2357</f>
        <v>NF 889410-2 MILKA</v>
      </c>
    </row>
    <row r="1799" customFormat="false" ht="12.75" hidden="false" customHeight="true" outlineLevel="0" collapsed="false">
      <c r="A1799" s="23" t="n">
        <f aca="false">Report!C2358</f>
        <v>46263</v>
      </c>
      <c r="B1799" s="1" t="str">
        <f aca="false">Report!E2358</f>
        <v>SUPER CANCUN COMERCIO DE PRODUTOS ALIMEN</v>
      </c>
      <c r="C1799" s="17" t="n">
        <f aca="false">Report!U2358</f>
        <v>721.52</v>
      </c>
      <c r="D1799" s="1" t="str">
        <f aca="false">Report!X2358</f>
        <v>NF 264963-2 MILKA</v>
      </c>
    </row>
    <row r="1800" customFormat="false" ht="12.75" hidden="false" customHeight="true" outlineLevel="0" collapsed="false">
      <c r="A1800" s="23" t="n">
        <f aca="false">Report!C2359</f>
        <v>46263</v>
      </c>
      <c r="B1800" s="1" t="str">
        <f aca="false">Report!E2359</f>
        <v>BRASIL NORTE BEBIDAS S/A</v>
      </c>
      <c r="C1800" s="17" t="n">
        <f aca="false">Report!U2359</f>
        <v>152.38</v>
      </c>
      <c r="D1800" s="1" t="str">
        <f aca="false">Report!X2359</f>
        <v>NF 1250817 COCA - MILKA</v>
      </c>
    </row>
    <row r="1801" customFormat="false" ht="12.75" hidden="false" customHeight="true" outlineLevel="0" collapsed="false">
      <c r="A1801" s="23" t="n">
        <f aca="false">Report!C2360</f>
        <v>46263</v>
      </c>
      <c r="B1801" s="1" t="str">
        <f aca="false">Report!E2360</f>
        <v>BRASIL NORTE BEBIDAS S/A</v>
      </c>
      <c r="C1801" s="17" t="n">
        <f aca="false">Report!U2360</f>
        <v>2627.97</v>
      </c>
      <c r="D1801" s="1" t="str">
        <f aca="false">Report!X2360</f>
        <v>NF 1250842 COCA - MILKA</v>
      </c>
    </row>
    <row r="1802" customFormat="false" ht="12.75" hidden="false" customHeight="true" outlineLevel="0" collapsed="false">
      <c r="A1802" s="23" t="n">
        <f aca="false">Report!C2361</f>
        <v>46263</v>
      </c>
      <c r="B1802" s="1" t="str">
        <f aca="false">Report!E2361</f>
        <v>BRASIL NORTE BEBIDAS S/A</v>
      </c>
      <c r="C1802" s="17" t="n">
        <f aca="false">Report!U2361</f>
        <v>659.34</v>
      </c>
      <c r="D1802" s="1" t="str">
        <f aca="false">Report!X2361</f>
        <v>NF 1250879 COCA - MILKA</v>
      </c>
    </row>
    <row r="1803" customFormat="false" ht="12.75" hidden="false" customHeight="true" outlineLevel="0" collapsed="false">
      <c r="A1803" s="23" t="n">
        <f aca="false">Report!C2362</f>
        <v>46263</v>
      </c>
      <c r="B1803" s="1" t="str">
        <f aca="false">Report!E2362</f>
        <v>BRASIL NORTE BEBIDAS S/A</v>
      </c>
      <c r="C1803" s="17" t="n">
        <f aca="false">Report!U2362</f>
        <v>490.11</v>
      </c>
      <c r="D1803" s="1" t="str">
        <f aca="false">Report!X2362</f>
        <v>NF 1990959 COCA - MILKA</v>
      </c>
    </row>
    <row r="1804" customFormat="false" ht="12.75" hidden="false" customHeight="true" outlineLevel="0" collapsed="false">
      <c r="A1804" s="23" t="n">
        <f aca="false">Report!C2363</f>
        <v>46263</v>
      </c>
      <c r="B1804" s="1" t="str">
        <f aca="false">Report!E2363</f>
        <v>BRASIL NORTE BEBIDAS S/A</v>
      </c>
      <c r="C1804" s="17" t="n">
        <f aca="false">Report!U2363</f>
        <v>369.57</v>
      </c>
      <c r="D1804" s="1" t="str">
        <f aca="false">Report!X2363</f>
        <v>NF 1990972 COCA - MILKA</v>
      </c>
    </row>
    <row r="1805" customFormat="false" ht="12.75" hidden="false" customHeight="true" outlineLevel="0" collapsed="false">
      <c r="A1805" s="23" t="n">
        <f aca="false">Report!C2364</f>
        <v>46263</v>
      </c>
      <c r="B1805" s="1" t="str">
        <f aca="false">Report!E2364</f>
        <v>BRASIL NORTE BEBIDAS S/A</v>
      </c>
      <c r="C1805" s="17" t="n">
        <f aca="false">Report!U2364</f>
        <v>76.19</v>
      </c>
      <c r="D1805" s="1" t="str">
        <f aca="false">Report!X2364</f>
        <v>NF 1990961 COCA - MILKA</v>
      </c>
    </row>
    <row r="1806" customFormat="false" ht="12.75" hidden="false" customHeight="true" outlineLevel="0" collapsed="false">
      <c r="A1806" s="23" t="n">
        <f aca="false">Report!C2365</f>
        <v>46263</v>
      </c>
      <c r="B1806" s="1" t="str">
        <f aca="false">Report!E2365</f>
        <v>BRASIL NORTE BEBIDAS S/A</v>
      </c>
      <c r="C1806" s="17" t="n">
        <f aca="false">Report!U2365</f>
        <v>7800.09</v>
      </c>
      <c r="D1806" s="1" t="str">
        <f aca="false">Report!X2365</f>
        <v>NF1991099 COCA - MILKA</v>
      </c>
    </row>
    <row r="1807" customFormat="false" ht="12.75" hidden="false" customHeight="true" outlineLevel="0" collapsed="false">
      <c r="A1807" s="23" t="n">
        <f aca="false">Report!C2366</f>
        <v>46263</v>
      </c>
      <c r="B1807" s="1" t="str">
        <f aca="false">Report!E2366</f>
        <v>VITAPAN COMERCIO VAREJISTA DE PRODUTOS ALIMENTICIOS LTDA</v>
      </c>
      <c r="C1807" s="17" t="n">
        <f aca="false">Report!U2366</f>
        <v>1134</v>
      </c>
      <c r="D1807" s="1" t="str">
        <f aca="false">Report!X2366</f>
        <v>NF 10608 - MILKA</v>
      </c>
    </row>
    <row r="1808" customFormat="false" ht="12.75" hidden="false" customHeight="true" outlineLevel="0" collapsed="false">
      <c r="A1808" s="23" t="n">
        <f aca="false">Report!C2370</f>
        <v>46264</v>
      </c>
      <c r="B1808" s="1" t="str">
        <f aca="false">Report!E2370</f>
        <v>COARI DISTRIBUIDORA DE BEBIDAS LTDA</v>
      </c>
      <c r="C1808" s="17" t="n">
        <f aca="false">Report!U2370</f>
        <v>591.41</v>
      </c>
      <c r="D1808" s="1" t="str">
        <f aca="false">Report!X2370</f>
        <v>NF 1578 - MILKA</v>
      </c>
    </row>
    <row r="1809" customFormat="false" ht="12.75" hidden="false" customHeight="true" outlineLevel="0" collapsed="false">
      <c r="A1809" s="23" t="n">
        <f aca="false">Report!C2371</f>
        <v>46264</v>
      </c>
      <c r="B1809" s="1" t="str">
        <f aca="false">Report!E2371</f>
        <v>COMERCIO DE FRIOS MANAUS LTDA</v>
      </c>
      <c r="C1809" s="17" t="n">
        <f aca="false">Report!U2371</f>
        <v>4076.8</v>
      </c>
      <c r="D1809" s="1" t="str">
        <f aca="false">Report!X2371</f>
        <v>NF175197 - MILKA</v>
      </c>
    </row>
    <row r="1810" customFormat="false" ht="12.75" hidden="false" customHeight="true" outlineLevel="0" collapsed="false">
      <c r="A1810" s="23" t="n">
        <f aca="false">Report!C2372</f>
        <v>46265</v>
      </c>
      <c r="B1810" s="1" t="str">
        <f aca="false">Report!E2372</f>
        <v>L S M COMERCIO DE ALIMENTOS E NAVEGACAO</v>
      </c>
      <c r="C1810" s="17" t="n">
        <f aca="false">Report!U2372</f>
        <v>1633.1</v>
      </c>
      <c r="D1810" s="1" t="str">
        <f aca="false">Report!X2372</f>
        <v>NF 309642-3 MILKA</v>
      </c>
    </row>
    <row r="1811" customFormat="false" ht="12.75" hidden="false" customHeight="true" outlineLevel="0" collapsed="false">
      <c r="A1811" s="23" t="n">
        <f aca="false">Report!C2373</f>
        <v>46265</v>
      </c>
      <c r="B1811" s="1" t="str">
        <f aca="false">Report!E2373</f>
        <v>L S M COMERCIO DE ALIMENTOS E NAVEGACAO</v>
      </c>
      <c r="C1811" s="17" t="n">
        <f aca="false">Report!U2373</f>
        <v>403.5</v>
      </c>
      <c r="D1811" s="1" t="str">
        <f aca="false">Report!X2373</f>
        <v>NF 309757-3 MILKA</v>
      </c>
    </row>
    <row r="1812" customFormat="false" ht="12.75" hidden="false" customHeight="true" outlineLevel="0" collapsed="false">
      <c r="A1812" s="23" t="n">
        <f aca="false">Report!C2374</f>
        <v>46265</v>
      </c>
      <c r="B1812" s="1" t="str">
        <f aca="false">Report!E2374</f>
        <v>NATUREZA COMERCIO DE DESCARTAVEIS LTDA</v>
      </c>
      <c r="C1812" s="17" t="n">
        <f aca="false">Report!U2374</f>
        <v>998.66</v>
      </c>
      <c r="D1812" s="1" t="str">
        <f aca="false">Report!X2374</f>
        <v>NF 745268-2 MILKA</v>
      </c>
    </row>
    <row r="1813" customFormat="false" ht="12.75" hidden="false" customHeight="true" outlineLevel="0" collapsed="false">
      <c r="A1813" s="23" t="n">
        <f aca="false">Report!C2375</f>
        <v>46265</v>
      </c>
      <c r="B1813" s="1" t="str">
        <f aca="false">Report!E2375</f>
        <v>VOVO DIZA COMERCIO VAREJISTA DE HORTALICAS LTDA</v>
      </c>
      <c r="C1813" s="17" t="n">
        <f aca="false">Report!U2375</f>
        <v>160</v>
      </c>
      <c r="D1813" s="1" t="str">
        <f aca="false">Report!X2375</f>
        <v>NF 4014 - VERDURAS -  DEBORA</v>
      </c>
    </row>
    <row r="1814" customFormat="false" ht="12.75" hidden="false" customHeight="true" outlineLevel="0" collapsed="false">
      <c r="A1814" s="23" t="n">
        <f aca="false">Report!C2376</f>
        <v>46265</v>
      </c>
      <c r="B1814" s="1" t="str">
        <f aca="false">Report!E2376</f>
        <v>ATACADAO S.A.</v>
      </c>
      <c r="C1814" s="17" t="n">
        <f aca="false">Report!U2376</f>
        <v>836.8</v>
      </c>
      <c r="D1814" s="1" t="str">
        <f aca="false">Report!X2376</f>
        <v>NF 1917922 - MILKA</v>
      </c>
    </row>
    <row r="1815" customFormat="false" ht="12.75" hidden="false" customHeight="true" outlineLevel="0" collapsed="false">
      <c r="A1815" s="23" t="n">
        <f aca="false">Report!C2377</f>
        <v>46265</v>
      </c>
      <c r="B1815" s="1" t="str">
        <f aca="false">Report!E2377</f>
        <v>ATACADAO S.A.</v>
      </c>
      <c r="C1815" s="17" t="n">
        <f aca="false">Report!U2377</f>
        <v>2003.9</v>
      </c>
      <c r="D1815" s="1" t="str">
        <f aca="false">Report!X2377</f>
        <v>NF 1915888 - MILKA</v>
      </c>
    </row>
    <row r="1816" customFormat="false" ht="12.75" hidden="false" customHeight="true" outlineLevel="0" collapsed="false">
      <c r="A1816" s="23" t="n">
        <f aca="false">Report!C2378</f>
        <v>46265</v>
      </c>
      <c r="B1816" s="1" t="str">
        <f aca="false">Report!E2378</f>
        <v>ATACADAO S.A.</v>
      </c>
      <c r="C1816" s="17" t="n">
        <f aca="false">Report!U2378</f>
        <v>1795</v>
      </c>
      <c r="D1816" s="1" t="str">
        <f aca="false">Report!X2378</f>
        <v>NF 1915885 - MILKA</v>
      </c>
    </row>
    <row r="1817" customFormat="false" ht="12.75" hidden="false" customHeight="true" outlineLevel="0" collapsed="false">
      <c r="A1817" s="23" t="n">
        <f aca="false">Report!C2379</f>
        <v>46265</v>
      </c>
      <c r="B1817" s="1" t="str">
        <f aca="false">Report!E2379</f>
        <v>FUNNY PET DISTRIBUIDORA DE ALIMENTOS PAR</v>
      </c>
      <c r="C1817" s="17" t="n">
        <f aca="false">Report!U2379</f>
        <v>3429</v>
      </c>
      <c r="D1817" s="1" t="str">
        <f aca="false">Report!X2379</f>
        <v>NF 21578-1 MILKA</v>
      </c>
    </row>
    <row r="1818" customFormat="false" ht="12.75" hidden="false" customHeight="true" outlineLevel="0" collapsed="false">
      <c r="A1818" s="23" t="n">
        <f aca="false">Report!C2380</f>
        <v>46265</v>
      </c>
      <c r="B1818" s="1" t="str">
        <f aca="false">Report!E2380</f>
        <v>DUNORTE DISTRIBUIDORA DE PRODUTOS DE CONSUMO LTDA</v>
      </c>
      <c r="C1818" s="17" t="n">
        <f aca="false">Report!U2380</f>
        <v>727.99</v>
      </c>
      <c r="D1818" s="1" t="str">
        <f aca="false">Report!X2380</f>
        <v>NF 3234290-2 C/TAXA INCLUSA - MILKA</v>
      </c>
    </row>
    <row r="1819" customFormat="false" ht="12.75" hidden="false" customHeight="true" outlineLevel="0" collapsed="false">
      <c r="A1819" s="23" t="n">
        <f aca="false">Report!C2381</f>
        <v>46265</v>
      </c>
      <c r="B1819" s="1" t="str">
        <f aca="false">Report!E2381</f>
        <v>ATACADAO S.A.</v>
      </c>
      <c r="C1819" s="17" t="n">
        <f aca="false">Report!U2381</f>
        <v>428.17</v>
      </c>
      <c r="D1819" s="1" t="str">
        <f aca="false">Report!X2381</f>
        <v>NF 1917925 - MILKA</v>
      </c>
    </row>
    <row r="1820" customFormat="false" ht="12.75" hidden="false" customHeight="true" outlineLevel="0" collapsed="false">
      <c r="A1820" s="23" t="n">
        <f aca="false">Report!C2382</f>
        <v>46265</v>
      </c>
      <c r="B1820" s="1" t="str">
        <f aca="false">Report!E2382</f>
        <v>VOVO DIZA COMERCIO VAREJISTA DE HORTALICAS LTDA</v>
      </c>
      <c r="C1820" s="17" t="n">
        <f aca="false">Report!U2382</f>
        <v>200</v>
      </c>
      <c r="D1820" s="1" t="str">
        <f aca="false">Report!X2382</f>
        <v>NF 4092 - DEBORA</v>
      </c>
    </row>
    <row r="1821" customFormat="false" ht="12.75" hidden="false" customHeight="true" outlineLevel="0" collapsed="false">
      <c r="A1821" s="23" t="n">
        <f aca="false">Report!C2383</f>
        <v>46265</v>
      </c>
      <c r="B1821" s="1" t="str">
        <f aca="false">Report!E2383</f>
        <v>L S M COMERCIO DE ALIMENTOS E NAVEGACAO</v>
      </c>
      <c r="C1821" s="17" t="n">
        <f aca="false">Report!U2383</f>
        <v>1256.37</v>
      </c>
      <c r="D1821" s="1" t="str">
        <f aca="false">Report!X2383</f>
        <v>NF 311117-1 MILKA</v>
      </c>
    </row>
    <row r="1822" customFormat="false" ht="12.75" hidden="false" customHeight="true" outlineLevel="0" collapsed="false">
      <c r="A1822" s="23" t="n">
        <f aca="false">Report!C2384</f>
        <v>46265</v>
      </c>
      <c r="B1822" s="1" t="str">
        <f aca="false">Report!E2384</f>
        <v>VICTORIA COMERCIO INTERNACIONAL DE ALIME</v>
      </c>
      <c r="C1822" s="17" t="n">
        <f aca="false">Report!U2384</f>
        <v>919.35</v>
      </c>
      <c r="D1822" s="1" t="str">
        <f aca="false">Report!X2384</f>
        <v>13480-A/B  NF12863 - MILKA</v>
      </c>
    </row>
    <row r="1823" customFormat="false" ht="12.75" hidden="false" customHeight="true" outlineLevel="0" collapsed="false">
      <c r="A1823" s="23" t="n">
        <f aca="false">Report!C2385</f>
        <v>46265</v>
      </c>
      <c r="B1823" s="1" t="str">
        <f aca="false">Report!E2385</f>
        <v>SOUZA CRUZ LTDA.</v>
      </c>
      <c r="C1823" s="17" t="n">
        <f aca="false">Report!U2385</f>
        <v>6804.61</v>
      </c>
      <c r="D1823" s="1" t="str">
        <f aca="false">Report!X2385</f>
        <v>NF 586417 -02 MILKA</v>
      </c>
    </row>
    <row r="1824" customFormat="false" ht="12.75" hidden="false" customHeight="true" outlineLevel="0" collapsed="false">
      <c r="A1824" s="23" t="n">
        <f aca="false">Report!C2386</f>
        <v>46265</v>
      </c>
      <c r="B1824" s="1" t="str">
        <f aca="false">Report!E2386</f>
        <v>EDSON AGUIAR DE SOUZA</v>
      </c>
      <c r="C1824" s="17" t="n">
        <f aca="false">Report!U2386</f>
        <v>210</v>
      </c>
      <c r="D1824" s="1" t="str">
        <f aca="false">Report!X2386</f>
        <v>NF 1664733 - DEBORA</v>
      </c>
    </row>
    <row r="1825" customFormat="false" ht="12.75" hidden="false" customHeight="true" outlineLevel="0" collapsed="false">
      <c r="A1825" s="23" t="n">
        <f aca="false">Report!C2387</f>
        <v>46265</v>
      </c>
      <c r="B1825" s="1" t="str">
        <f aca="false">Report!E2387</f>
        <v>EDSON AGUIAR DE SOUZA</v>
      </c>
      <c r="C1825" s="17" t="n">
        <f aca="false">Report!U2387</f>
        <v>210</v>
      </c>
      <c r="D1825" s="1" t="str">
        <f aca="false">Report!X2387</f>
        <v>NF 1666320 - DEBORA</v>
      </c>
    </row>
    <row r="1826" customFormat="false" ht="12.75" hidden="false" customHeight="true" outlineLevel="0" collapsed="false">
      <c r="A1826" s="23" t="n">
        <f aca="false">Report!C2388</f>
        <v>46265</v>
      </c>
      <c r="B1826" s="1" t="str">
        <f aca="false">Report!E2388</f>
        <v>EDSON AGUIAR DE SOUZA</v>
      </c>
      <c r="C1826" s="17" t="n">
        <f aca="false">Report!U2388</f>
        <v>246</v>
      </c>
      <c r="D1826" s="1" t="str">
        <f aca="false">Report!X2388</f>
        <v>NF 1666896 - DEBORA</v>
      </c>
    </row>
    <row r="1827" customFormat="false" ht="12.75" hidden="false" customHeight="true" outlineLevel="0" collapsed="false">
      <c r="A1827" s="23" t="n">
        <f aca="false">Report!C2389</f>
        <v>46265</v>
      </c>
      <c r="B1827" s="1" t="str">
        <f aca="false">Report!E2389</f>
        <v>FENNIX BRASIL DISTRIBUIDORA DE PRODUTOS</v>
      </c>
      <c r="C1827" s="17" t="n">
        <f aca="false">Report!U2389</f>
        <v>989.33</v>
      </c>
      <c r="D1827" s="1" t="str">
        <f aca="false">Report!X2389</f>
        <v>NF 317365-1 MILKA</v>
      </c>
    </row>
    <row r="1828" customFormat="false" ht="12.75" hidden="false" customHeight="true" outlineLevel="0" collapsed="false">
      <c r="A1828" s="23" t="n">
        <f aca="false">Report!C2390</f>
        <v>46265</v>
      </c>
      <c r="B1828" s="1" t="str">
        <f aca="false">Report!E2390</f>
        <v>NT INDUSTRIA E COMERCIO DE PANIFICACAO L</v>
      </c>
      <c r="C1828" s="17" t="n">
        <f aca="false">Report!U2390</f>
        <v>3978.43</v>
      </c>
      <c r="D1828" s="1" t="str">
        <f aca="false">Report!X2390</f>
        <v>NF 44111 - MILKA</v>
      </c>
    </row>
    <row r="1829" customFormat="false" ht="12.75" hidden="false" customHeight="true" outlineLevel="0" collapsed="false">
      <c r="A1829" s="23" t="n">
        <f aca="false">Report!C2391</f>
        <v>46265</v>
      </c>
      <c r="B1829" s="1" t="str">
        <f aca="false">Report!E2391</f>
        <v>VOVO DIZA COMERCIO VAREJISTA DE HORTALICAS LTDA</v>
      </c>
      <c r="C1829" s="17" t="n">
        <f aca="false">Report!U2391</f>
        <v>184</v>
      </c>
      <c r="D1829" s="1" t="str">
        <f aca="false">Report!X2391</f>
        <v>NF 4136 - DEBORA</v>
      </c>
    </row>
    <row r="1830" customFormat="false" ht="12.75" hidden="false" customHeight="true" outlineLevel="0" collapsed="false">
      <c r="A1830" s="23" t="n">
        <f aca="false">Report!C2392</f>
        <v>46265</v>
      </c>
      <c r="B1830" s="1" t="str">
        <f aca="false">Report!E2392</f>
        <v>DURAES DISTRIBUIDORA DE ESTIVAS LTDA</v>
      </c>
      <c r="C1830" s="17" t="n">
        <f aca="false">Report!U2392</f>
        <v>431.25</v>
      </c>
      <c r="D1830" s="1" t="str">
        <f aca="false">Report!X2392</f>
        <v>NF 654916 - MILKA</v>
      </c>
    </row>
    <row r="1831" customFormat="false" ht="12.75" hidden="false" customHeight="true" outlineLevel="0" collapsed="false">
      <c r="A1831" s="23" t="n">
        <f aca="false">Report!C2393</f>
        <v>46265</v>
      </c>
      <c r="B1831" s="1" t="str">
        <f aca="false">Report!E2393</f>
        <v>DURAES DISTRIBUIDORA DE ESTIVAS LTDA</v>
      </c>
      <c r="C1831" s="17" t="n">
        <f aca="false">Report!U2393</f>
        <v>573.73</v>
      </c>
      <c r="D1831" s="1" t="str">
        <f aca="false">Report!X2393</f>
        <v>NF 654912-1 MILKA</v>
      </c>
    </row>
    <row r="1832" customFormat="false" ht="12.75" hidden="false" customHeight="true" outlineLevel="0" collapsed="false">
      <c r="A1832" s="23" t="n">
        <f aca="false">Report!C2394</f>
        <v>46265</v>
      </c>
      <c r="B1832" s="1" t="str">
        <f aca="false">Report!E2394</f>
        <v>DURAES DISTRIBUIDORA DE ESTIVAS LTDA</v>
      </c>
      <c r="C1832" s="17" t="n">
        <f aca="false">Report!U2394</f>
        <v>759.74</v>
      </c>
      <c r="D1832" s="1" t="str">
        <f aca="false">Report!X2394</f>
        <v>NF 654913-1  MILKA</v>
      </c>
    </row>
    <row r="1833" customFormat="false" ht="12.75" hidden="false" customHeight="true" outlineLevel="0" collapsed="false">
      <c r="A1833" s="23" t="n">
        <f aca="false">Report!C2395</f>
        <v>46265</v>
      </c>
      <c r="B1833" s="1" t="str">
        <f aca="false">Report!E2395</f>
        <v>DURAES DISTRIBUIDORA DE ESTIVAS LTDA</v>
      </c>
      <c r="C1833" s="17" t="n">
        <f aca="false">Report!U2395</f>
        <v>178.95</v>
      </c>
      <c r="D1833" s="1" t="str">
        <f aca="false">Report!X2395</f>
        <v>NF 654915 - MILKA</v>
      </c>
    </row>
    <row r="1834" customFormat="false" ht="12.75" hidden="false" customHeight="true" outlineLevel="0" collapsed="false">
      <c r="A1834" s="23" t="n">
        <f aca="false">Report!C2396</f>
        <v>46265</v>
      </c>
      <c r="B1834" s="1" t="str">
        <f aca="false">Report!E2396</f>
        <v>SABIA COMERCIO DE COSMETICOS LTDA</v>
      </c>
      <c r="C1834" s="17" t="n">
        <f aca="false">Report!U2396</f>
        <v>614.07</v>
      </c>
      <c r="D1834" s="1" t="str">
        <f aca="false">Report!X2396</f>
        <v>NF 255211-1 MILKA</v>
      </c>
    </row>
    <row r="1835" customFormat="false" ht="12.75" hidden="false" customHeight="true" outlineLevel="0" collapsed="false">
      <c r="A1835" s="23" t="n">
        <f aca="false">Report!C2397</f>
        <v>46265</v>
      </c>
      <c r="B1835" s="1" t="str">
        <f aca="false">Report!E2397</f>
        <v>C. R. PARENTE ABREU</v>
      </c>
      <c r="C1835" s="17" t="n">
        <f aca="false">Report!U2397</f>
        <v>402.23</v>
      </c>
      <c r="D1835" s="1" t="str">
        <f aca="false">Report!X2397</f>
        <v>NF 11586-2 KARU - MILKA</v>
      </c>
    </row>
    <row r="1836" customFormat="false" ht="12.75" hidden="false" customHeight="true" outlineLevel="0" collapsed="false">
      <c r="A1836" s="23" t="n">
        <f aca="false">Report!C2398</f>
        <v>46265</v>
      </c>
      <c r="B1836" s="1" t="str">
        <f aca="false">Report!E2398</f>
        <v>FRANCISCO HELDER DE OLIVEIRA PEIXOTO</v>
      </c>
      <c r="C1836" s="17" t="n">
        <f aca="false">Report!U2398</f>
        <v>3500</v>
      </c>
      <c r="D1836" s="1" t="str">
        <f aca="false">Report!X2398</f>
        <v>NF 154509 - MILKA</v>
      </c>
    </row>
    <row r="1837" customFormat="false" ht="12.75" hidden="false" customHeight="true" outlineLevel="0" collapsed="false">
      <c r="A1837" s="23" t="n">
        <f aca="false">Report!C2399</f>
        <v>46266</v>
      </c>
      <c r="B1837" s="1" t="str">
        <f aca="false">Report!E2399</f>
        <v>OPPORTUNITY ALIMENTOS PARA ANIMAIS LTDA</v>
      </c>
      <c r="C1837" s="17" t="n">
        <f aca="false">Report!U2399</f>
        <v>807.05</v>
      </c>
      <c r="D1837" s="1" t="str">
        <f aca="false">Report!X2399</f>
        <v>NF 34737-3 MILKA</v>
      </c>
    </row>
    <row r="1838" customFormat="false" ht="12.75" hidden="false" customHeight="true" outlineLevel="0" collapsed="false">
      <c r="A1838" s="23" t="n">
        <f aca="false">Report!C2400</f>
        <v>46266</v>
      </c>
      <c r="B1838" s="1" t="str">
        <f aca="false">Report!E2400</f>
        <v>FUNNY PET DISTRIBUIDORA DE ALIMENTOS PAR</v>
      </c>
      <c r="C1838" s="17" t="n">
        <f aca="false">Report!U2400</f>
        <v>3458.9</v>
      </c>
      <c r="D1838" s="1" t="str">
        <f aca="false">Report!X2400</f>
        <v>NF 21188 -3 MILKA</v>
      </c>
    </row>
    <row r="1839" customFormat="false" ht="12.75" hidden="false" customHeight="true" outlineLevel="0" collapsed="false">
      <c r="A1839" s="23" t="n">
        <f aca="false">Report!C2401</f>
        <v>46266</v>
      </c>
      <c r="B1839" s="1" t="str">
        <f aca="false">Report!E2401</f>
        <v>DISTRIBUIDORA FARIAS LTDA.</v>
      </c>
      <c r="C1839" s="17" t="n">
        <f aca="false">Report!U2401</f>
        <v>436.76</v>
      </c>
      <c r="D1839" s="1" t="str">
        <f aca="false">Report!X2401</f>
        <v>811815-B/B  NF688332 - MILKA</v>
      </c>
    </row>
    <row r="1840" customFormat="false" ht="12.75" hidden="false" customHeight="true" outlineLevel="0" collapsed="false">
      <c r="A1840" s="23" t="n">
        <f aca="false">Report!C2402</f>
        <v>46266</v>
      </c>
      <c r="B1840" s="1" t="str">
        <f aca="false">Report!E2402</f>
        <v>COMERCIAL DE ESTIVAS REGO LTDA</v>
      </c>
      <c r="C1840" s="17" t="n">
        <f aca="false">Report!U2402</f>
        <v>546.62</v>
      </c>
      <c r="D1840" s="1" t="str">
        <f aca="false">Report!X2402</f>
        <v>NF 224812 BOAMESA - MILKA</v>
      </c>
    </row>
    <row r="1841" customFormat="false" ht="12.75" hidden="false" customHeight="true" outlineLevel="0" collapsed="false">
      <c r="A1841" s="23" t="n">
        <f aca="false">Report!C2403</f>
        <v>46266</v>
      </c>
      <c r="B1841" s="1" t="str">
        <f aca="false">Report!E2403</f>
        <v>EDMARA COMERCIO DE HIGIENE PESSOAL LTDA</v>
      </c>
      <c r="C1841" s="17" t="n">
        <f aca="false">Report!U2403</f>
        <v>530</v>
      </c>
      <c r="D1841" s="1" t="str">
        <f aca="false">Report!X2403</f>
        <v>5755-B/B  NF8609  - MILKA</v>
      </c>
    </row>
    <row r="1842" customFormat="false" ht="12.75" hidden="false" customHeight="true" outlineLevel="0" collapsed="false">
      <c r="A1842" s="23" t="n">
        <f aca="false">Report!C2404</f>
        <v>46266</v>
      </c>
      <c r="B1842" s="1" t="str">
        <f aca="false">Report!E2404</f>
        <v>ATACADAO S.A.</v>
      </c>
      <c r="C1842" s="17" t="n">
        <f aca="false">Report!U2404</f>
        <v>1804.32</v>
      </c>
      <c r="D1842" s="1" t="str">
        <f aca="false">Report!X2404</f>
        <v>NF 1919059 - MILKA</v>
      </c>
    </row>
    <row r="1843" customFormat="false" ht="12.75" hidden="false" customHeight="true" outlineLevel="0" collapsed="false">
      <c r="A1843" s="23" t="n">
        <f aca="false">Report!C2405</f>
        <v>46266</v>
      </c>
      <c r="B1843" s="1" t="str">
        <f aca="false">Report!E2405</f>
        <v>MARTINS COM SERV DISTR SA</v>
      </c>
      <c r="C1843" s="17" t="n">
        <f aca="false">Report!U2405</f>
        <v>754.67</v>
      </c>
      <c r="D1843" s="1" t="str">
        <f aca="false">Report!X2405</f>
        <v>18651430  NF1791736/NF1791737 - MILKA</v>
      </c>
    </row>
    <row r="1844" customFormat="false" ht="12.75" hidden="false" customHeight="true" outlineLevel="0" collapsed="false">
      <c r="A1844" s="23" t="n">
        <f aca="false">Report!C2406</f>
        <v>46266</v>
      </c>
      <c r="B1844" s="1" t="str">
        <f aca="false">Report!E2406</f>
        <v>NATUREZA COMERCIO DE DESCARTAVEIS LTDA</v>
      </c>
      <c r="C1844" s="17" t="n">
        <f aca="false">Report!U2406</f>
        <v>983.07</v>
      </c>
      <c r="D1844" s="1" t="str">
        <f aca="false">Report!X2406</f>
        <v>NF750484-1 MILKA</v>
      </c>
    </row>
    <row r="1845" customFormat="false" ht="12.75" hidden="false" customHeight="true" outlineLevel="0" collapsed="false">
      <c r="A1845" s="23" t="n">
        <f aca="false">Report!C2408</f>
        <v>46266</v>
      </c>
      <c r="B1845" s="1" t="str">
        <f aca="false">Report!E2408</f>
        <v>IRMÃOS LIMA  ATACADO  DE ALIMENTOS LTDA</v>
      </c>
      <c r="C1845" s="17" t="n">
        <f aca="false">Report!U2408</f>
        <v>1062.06</v>
      </c>
      <c r="D1845" s="1" t="str">
        <f aca="false">Report!X2408</f>
        <v>378915-A/C  NF297570 - MILKA</v>
      </c>
    </row>
    <row r="1846" customFormat="false" ht="12.75" hidden="false" customHeight="true" outlineLevel="0" collapsed="false">
      <c r="A1846" s="23" t="n">
        <f aca="false">Report!C2410</f>
        <v>46267</v>
      </c>
      <c r="B1846" s="1" t="str">
        <f aca="false">Report!E2410</f>
        <v>AGM COMERCIO E DISTRIBUIDORA DE MATERIAS DE PERFUMARIA E LIMPEZA LTDA</v>
      </c>
      <c r="C1846" s="17" t="n">
        <f aca="false">Report!U2410</f>
        <v>854.25</v>
      </c>
      <c r="D1846" s="1" t="str">
        <f aca="false">Report!X2410</f>
        <v>NF 163847 - MILKA</v>
      </c>
    </row>
    <row r="1847" customFormat="false" ht="12.75" hidden="false" customHeight="true" outlineLevel="0" collapsed="false">
      <c r="A1847" s="23" t="n">
        <f aca="false">Report!C2412</f>
        <v>46267</v>
      </c>
      <c r="B1847" s="1" t="str">
        <f aca="false">Report!E2412</f>
        <v>RISADINHA LTDA</v>
      </c>
      <c r="C1847" s="17" t="n">
        <f aca="false">Report!U2412</f>
        <v>939.06</v>
      </c>
      <c r="D1847" s="1" t="str">
        <f aca="false">Report!X2412</f>
        <v>NF 667391-2 MILKA</v>
      </c>
    </row>
    <row r="1848" customFormat="false" ht="12.75" hidden="false" customHeight="true" outlineLevel="0" collapsed="false">
      <c r="A1848" s="23" t="n">
        <f aca="false">Report!C2413</f>
        <v>46267</v>
      </c>
      <c r="B1848" s="1" t="str">
        <f aca="false">Report!E2413</f>
        <v>ATACADAO S.A.</v>
      </c>
      <c r="C1848" s="17" t="n">
        <f aca="false">Report!U2413</f>
        <v>2127.21</v>
      </c>
      <c r="D1848" s="1" t="str">
        <f aca="false">Report!X2413</f>
        <v>NF 1916563 - MILKA</v>
      </c>
    </row>
    <row r="1849" customFormat="false" ht="12.75" hidden="false" customHeight="true" outlineLevel="0" collapsed="false">
      <c r="A1849" s="23" t="n">
        <f aca="false">Report!C2414</f>
        <v>46267</v>
      </c>
      <c r="B1849" s="1" t="str">
        <f aca="false">Report!E2414</f>
        <v>FENNIX BRASIL DISTRIBUIDORA DE PRODUTOS</v>
      </c>
      <c r="C1849" s="17" t="n">
        <f aca="false">Report!U2414</f>
        <v>611.73</v>
      </c>
      <c r="D1849" s="1" t="str">
        <f aca="false">Report!X2414</f>
        <v>NF 397841-2 C/TARIFA INCLUSA - MILKA</v>
      </c>
    </row>
    <row r="1850" customFormat="false" ht="12.75" hidden="false" customHeight="true" outlineLevel="0" collapsed="false">
      <c r="A1850" s="23" t="n">
        <f aca="false">Report!C2415</f>
        <v>46267</v>
      </c>
      <c r="B1850" s="1" t="str">
        <f aca="false">Report!E2415</f>
        <v>L. J. DA SILVA LTDA</v>
      </c>
      <c r="C1850" s="17" t="n">
        <f aca="false">Report!U2415</f>
        <v>2402.15</v>
      </c>
      <c r="D1850" s="1" t="str">
        <f aca="false">Report!X2415</f>
        <v>48293-B/B  NF36539 TARIFA INCLUSA - MILKA</v>
      </c>
    </row>
    <row r="1851" customFormat="false" ht="12.75" hidden="false" customHeight="true" outlineLevel="0" collapsed="false">
      <c r="A1851" s="23" t="n">
        <f aca="false">Report!C2416</f>
        <v>46267</v>
      </c>
      <c r="B1851" s="1" t="str">
        <f aca="false">Report!E2416</f>
        <v>CB COMERCIO E DISTRIBUIDORA DE ALIMENTOS</v>
      </c>
      <c r="C1851" s="17" t="n">
        <f aca="false">Report!U2416</f>
        <v>947.55</v>
      </c>
      <c r="D1851" s="1" t="str">
        <f aca="false">Report!X2416</f>
        <v>963323-B/C  NF862283 - MILKA</v>
      </c>
    </row>
    <row r="1852" customFormat="false" ht="12.75" hidden="false" customHeight="true" outlineLevel="0" collapsed="false">
      <c r="A1852" s="23" t="n">
        <f aca="false">Report!C2417</f>
        <v>46267</v>
      </c>
      <c r="B1852" s="1" t="str">
        <f aca="false">Report!E2417</f>
        <v>BENDUK COMERCIO E DISTRIBUIDORA DE PRODU</v>
      </c>
      <c r="C1852" s="17" t="n">
        <f aca="false">Report!U2417</f>
        <v>993</v>
      </c>
      <c r="D1852" s="1" t="str">
        <f aca="false">Report!X2417</f>
        <v>NF 18687 - MILKA</v>
      </c>
    </row>
    <row r="1853" customFormat="false" ht="12.75" hidden="false" customHeight="true" outlineLevel="0" collapsed="false">
      <c r="A1853" s="23" t="n">
        <f aca="false">Report!C2419</f>
        <v>46267</v>
      </c>
      <c r="B1853" s="1" t="str">
        <f aca="false">Report!E2419</f>
        <v>DISTRIBUIDORA LOPES LTDA</v>
      </c>
      <c r="C1853" s="17" t="n">
        <f aca="false">Report!U2419</f>
        <v>684.25</v>
      </c>
      <c r="D1853" s="1" t="str">
        <f aca="false">Report!X2419</f>
        <v>NF 1709723 -2 MILKA</v>
      </c>
    </row>
    <row r="1854" customFormat="false" ht="12.75" hidden="false" customHeight="true" outlineLevel="0" collapsed="false">
      <c r="A1854" s="23" t="n">
        <f aca="false">Report!C2420</f>
        <v>46267</v>
      </c>
      <c r="B1854" s="1" t="str">
        <f aca="false">Report!E2420</f>
        <v>DUNORTE DISTRIBUIDORA DE PRODUTOS DE CONSUMO LTDA</v>
      </c>
      <c r="C1854" s="17" t="n">
        <f aca="false">Report!U2420</f>
        <v>1264.6</v>
      </c>
      <c r="D1854" s="1" t="str">
        <f aca="false">Report!X2420</f>
        <v>NF 3235765 -2 MILKA</v>
      </c>
    </row>
    <row r="1855" customFormat="false" ht="12.75" hidden="false" customHeight="true" outlineLevel="0" collapsed="false">
      <c r="A1855" s="23" t="n">
        <f aca="false">Report!C2421</f>
        <v>46267</v>
      </c>
      <c r="B1855" s="1" t="str">
        <f aca="false">Report!E2421</f>
        <v>OESA COMERCIO E REPRESENTACOES S/A</v>
      </c>
      <c r="C1855" s="17" t="n">
        <f aca="false">Report!U2421</f>
        <v>836.55</v>
      </c>
      <c r="D1855" s="1" t="str">
        <f aca="false">Report!X2421</f>
        <v>NF 441856 -1 MILKA</v>
      </c>
    </row>
    <row r="1856" customFormat="false" ht="12.75" hidden="false" customHeight="true" outlineLevel="0" collapsed="false">
      <c r="A1856" s="23" t="n">
        <f aca="false">Report!C2422</f>
        <v>46267</v>
      </c>
      <c r="B1856" s="1" t="str">
        <f aca="false">Report!E2422</f>
        <v>ORIENTE COM. ATACADISTA E REPRES. LTDA</v>
      </c>
      <c r="C1856" s="17" t="n">
        <f aca="false">Report!U2422</f>
        <v>815.45</v>
      </c>
      <c r="D1856" s="1" t="str">
        <f aca="false">Report!X2422</f>
        <v>4101/2  NF3389 - MILKA</v>
      </c>
    </row>
    <row r="1857" customFormat="false" ht="12.75" hidden="false" customHeight="true" outlineLevel="0" collapsed="false">
      <c r="A1857" s="23" t="n">
        <f aca="false">Report!C2423</f>
        <v>46267</v>
      </c>
      <c r="B1857" s="1" t="str">
        <f aca="false">Report!E2423</f>
        <v>VIA CERTA IMPORTACAO E DISTRIBUICAO DE A</v>
      </c>
      <c r="C1857" s="17" t="n">
        <f aca="false">Report!U2423</f>
        <v>591.94</v>
      </c>
      <c r="D1857" s="1" t="str">
        <f aca="false">Report!X2423</f>
        <v>NF 53783-1 MILKA</v>
      </c>
    </row>
    <row r="1858" customFormat="false" ht="12.75" hidden="false" customHeight="true" outlineLevel="0" collapsed="false">
      <c r="A1858" s="23" t="n">
        <f aca="false">Report!C2424</f>
        <v>46267</v>
      </c>
      <c r="B1858" s="1" t="str">
        <f aca="false">Report!E2424</f>
        <v>EMPRESA BRASILEIRA DE DISTRIBUICAO LTDA</v>
      </c>
      <c r="C1858" s="17" t="n">
        <f aca="false">Report!U2424</f>
        <v>1200.77</v>
      </c>
      <c r="D1858" s="1" t="str">
        <f aca="false">Report!X2424</f>
        <v>NF 2309729-1 MILKA</v>
      </c>
    </row>
    <row r="1859" customFormat="false" ht="12.75" hidden="false" customHeight="true" outlineLevel="0" collapsed="false">
      <c r="A1859" s="23" t="n">
        <f aca="false">Report!C2425</f>
        <v>46267</v>
      </c>
      <c r="B1859" s="1" t="str">
        <f aca="false">Report!E2425</f>
        <v>BRF S A</v>
      </c>
      <c r="C1859" s="17" t="n">
        <f aca="false">Report!U2425</f>
        <v>3149.22</v>
      </c>
      <c r="D1859" s="1" t="str">
        <f aca="false">Report!X2425</f>
        <v>NF 1619134 -02/02 MILKA</v>
      </c>
    </row>
    <row r="1860" customFormat="false" ht="12.75" hidden="false" customHeight="true" outlineLevel="0" collapsed="false">
      <c r="A1860" s="23" t="n">
        <f aca="false">Report!C2426</f>
        <v>46267</v>
      </c>
      <c r="B1860" s="1" t="str">
        <f aca="false">Report!E2426</f>
        <v>DISTRIBUIDORA LOPES LTDA</v>
      </c>
      <c r="C1860" s="17" t="n">
        <f aca="false">Report!U2426</f>
        <v>932.54</v>
      </c>
      <c r="D1860" s="1" t="str">
        <f aca="false">Report!X2426</f>
        <v>NF 1713960 -1 MILKA</v>
      </c>
    </row>
    <row r="1861" customFormat="false" ht="12.75" hidden="false" customHeight="true" outlineLevel="0" collapsed="false">
      <c r="A1861" s="23" t="n">
        <f aca="false">Report!C2427</f>
        <v>46267</v>
      </c>
      <c r="B1861" s="1" t="str">
        <f aca="false">Report!E2427</f>
        <v>DISTRIBUIDORA LOPES LTDA</v>
      </c>
      <c r="C1861" s="17" t="n">
        <f aca="false">Report!U2427</f>
        <v>952.02</v>
      </c>
      <c r="D1861" s="1" t="str">
        <f aca="false">Report!X2427</f>
        <v>NF 1713862 -1 MILKA</v>
      </c>
    </row>
    <row r="1862" customFormat="false" ht="12.75" hidden="false" customHeight="true" outlineLevel="0" collapsed="false">
      <c r="A1862" s="23" t="n">
        <f aca="false">Report!C2428</f>
        <v>46267</v>
      </c>
      <c r="B1862" s="1" t="str">
        <f aca="false">Report!E2428</f>
        <v>L. J. DA SILVA LTDA</v>
      </c>
      <c r="C1862" s="17" t="n">
        <f aca="false">Report!U2428</f>
        <v>1334.15</v>
      </c>
      <c r="D1862" s="1" t="str">
        <f aca="false">Report!X2428</f>
        <v>NF 49329-A/C  NF37328 - MILKA</v>
      </c>
    </row>
    <row r="1863" customFormat="false" ht="12.75" hidden="false" customHeight="true" outlineLevel="0" collapsed="false">
      <c r="A1863" s="23" t="n">
        <f aca="false">Report!C2429</f>
        <v>46267</v>
      </c>
      <c r="B1863" s="1" t="str">
        <f aca="false">Report!E2429</f>
        <v>NESTLÉ BRASIL LTDA.</v>
      </c>
      <c r="C1863" s="17" t="n">
        <f aca="false">Report!U2429</f>
        <v>5430.04</v>
      </c>
      <c r="D1863" s="1" t="str">
        <f aca="false">Report!X2429</f>
        <v>NF 1441106 - MILKA</v>
      </c>
    </row>
    <row r="1864" customFormat="false" ht="12.75" hidden="false" customHeight="true" outlineLevel="0" collapsed="false">
      <c r="A1864" s="23" t="n">
        <f aca="false">Report!C2430</f>
        <v>46268</v>
      </c>
      <c r="B1864" s="1" t="str">
        <f aca="false">Report!E2430</f>
        <v>PRIME PET DISTRIBUIDORA LTDA</v>
      </c>
      <c r="C1864" s="17" t="n">
        <f aca="false">Report!U2430</f>
        <v>1849.57</v>
      </c>
      <c r="D1864" s="1" t="str">
        <f aca="false">Report!X2430</f>
        <v>NF 11002-05/07 MILKA </v>
      </c>
    </row>
    <row r="1865" customFormat="false" ht="12.75" hidden="false" customHeight="true" outlineLevel="0" collapsed="false">
      <c r="A1865" s="23" t="n">
        <f aca="false">Report!C2431</f>
        <v>46268</v>
      </c>
      <c r="B1865" s="1" t="str">
        <f aca="false">Report!E2431</f>
        <v>EMPRESA BRASILEIRA DE DISTRIBUICAO LTDA</v>
      </c>
      <c r="C1865" s="17" t="n">
        <f aca="false">Report!U2431</f>
        <v>1167.15</v>
      </c>
      <c r="D1865" s="1" t="str">
        <f aca="false">Report!X2431</f>
        <v>NF 2307727-3 MILKA</v>
      </c>
    </row>
    <row r="1866" customFormat="false" ht="12.75" hidden="false" customHeight="true" outlineLevel="0" collapsed="false">
      <c r="A1866" s="23" t="n">
        <f aca="false">Report!C2432</f>
        <v>46268</v>
      </c>
      <c r="B1866" s="1" t="str">
        <f aca="false">Report!E2432</f>
        <v>DISTRIBUIDORA LOPES LTDA</v>
      </c>
      <c r="C1866" s="17" t="n">
        <f aca="false">Report!U2432</f>
        <v>1141.92</v>
      </c>
      <c r="D1866" s="1" t="str">
        <f aca="false">Report!X2432</f>
        <v>NF 1706774-3 C/DESCONTO NO BOLETO - MILKA</v>
      </c>
    </row>
    <row r="1867" customFormat="false" ht="12.75" hidden="false" customHeight="true" outlineLevel="0" collapsed="false">
      <c r="A1867" s="15" t="n">
        <f aca="false">Report!C2433</f>
        <v>46268</v>
      </c>
      <c r="B1867" s="1" t="str">
        <f aca="false">Report!E2433</f>
        <v>PIARARA COMERCIO, IMPORTACAO E EXPORTACAO LTDA</v>
      </c>
      <c r="C1867" s="17" t="n">
        <f aca="false">Report!U2433</f>
        <v>1164.11</v>
      </c>
      <c r="D1867" s="1" t="str">
        <f aca="false">Report!X2433</f>
        <v>NF 195281-3 MILKA</v>
      </c>
    </row>
    <row r="1868" customFormat="false" ht="12.75" hidden="false" customHeight="true" outlineLevel="0" collapsed="false">
      <c r="A1868" s="15" t="n">
        <f aca="false">Report!C2435</f>
        <v>46268</v>
      </c>
      <c r="B1868" s="1" t="str">
        <f aca="false">Report!E2435</f>
        <v>FENNIX BRASIL DISTRIBUIDORA DE PRODUTOS</v>
      </c>
      <c r="C1868" s="17" t="n">
        <f aca="false">Report!U2435</f>
        <v>1276.95</v>
      </c>
      <c r="D1868" s="1" t="str">
        <f aca="false">Report!X2435</f>
        <v>NF316329-3 C/TARIFA INCLUSA - MILKA</v>
      </c>
    </row>
    <row r="1869" customFormat="false" ht="12.75" hidden="false" customHeight="true" outlineLevel="0" collapsed="false">
      <c r="A1869" s="15" t="n">
        <f aca="false">Report!C2436</f>
        <v>46268</v>
      </c>
      <c r="B1869" s="1" t="str">
        <f aca="false">Report!E2436</f>
        <v>E. SALES DO NASCIMENTO</v>
      </c>
      <c r="C1869" s="17" t="n">
        <f aca="false">Report!U2436</f>
        <v>507.29</v>
      </c>
      <c r="D1869" s="1" t="str">
        <f aca="false">Report!X2436</f>
        <v>NF 799-02 ARENA  AGROPET - MILKA</v>
      </c>
    </row>
    <row r="1870" customFormat="false" ht="12.75" hidden="false" customHeight="true" outlineLevel="0" collapsed="false">
      <c r="A1870" s="15" t="n">
        <f aca="false">Report!C2437</f>
        <v>46268</v>
      </c>
      <c r="B1870" s="1" t="str">
        <f aca="false">Report!E2437</f>
        <v>ADRIANA DISTRIBUIDORA DE PRODUTOS ALIMEN</v>
      </c>
      <c r="C1870" s="17" t="n">
        <f aca="false">Report!U2437</f>
        <v>345.95</v>
      </c>
      <c r="D1870" s="1" t="str">
        <f aca="false">Report!X2437</f>
        <v>NF 889987-2 MILKA</v>
      </c>
    </row>
    <row r="1871" customFormat="false" ht="12.75" hidden="false" customHeight="true" outlineLevel="0" collapsed="false">
      <c r="A1871" s="15" t="n">
        <f aca="false">Report!C2438</f>
        <v>46268</v>
      </c>
      <c r="B1871" s="1" t="str">
        <f aca="false">Report!E2438</f>
        <v>FENNIX BRASIL DISTRIBUIDORA DE PRODUTOS</v>
      </c>
      <c r="C1871" s="17" t="n">
        <f aca="false">Report!U2438</f>
        <v>760.27</v>
      </c>
      <c r="D1871" s="1" t="str">
        <f aca="false">Report!X2438</f>
        <v>NF  398226 -1 MILKA</v>
      </c>
    </row>
    <row r="1872" customFormat="false" ht="12.75" hidden="false" customHeight="true" outlineLevel="0" collapsed="false">
      <c r="A1872" s="15" t="n">
        <f aca="false">Report!C2439</f>
        <v>46268</v>
      </c>
      <c r="B1872" s="1" t="str">
        <f aca="false">Report!E2439</f>
        <v>OCIDENTAL COMERCIO DE FRIOS LTDA</v>
      </c>
      <c r="C1872" s="17" t="n">
        <f aca="false">Report!U2439</f>
        <v>1067.22</v>
      </c>
      <c r="D1872" s="1" t="str">
        <f aca="false">Report!X2439</f>
        <v>NF 1258822 - MILKA</v>
      </c>
    </row>
    <row r="1873" customFormat="false" ht="12.75" hidden="false" customHeight="true" outlineLevel="0" collapsed="false">
      <c r="A1873" s="15" t="n">
        <f aca="false">Report!C2440</f>
        <v>46268</v>
      </c>
      <c r="B1873" s="1" t="str">
        <f aca="false">Report!E2440</f>
        <v>TAPAJOS COM DE PERFUMARIA COSMETICOS E G</v>
      </c>
      <c r="C1873" s="17" t="n">
        <f aca="false">Report!U2440</f>
        <v>1586.84</v>
      </c>
      <c r="D1873" s="1" t="str">
        <f aca="false">Report!X2440</f>
        <v>NF 586417-2 C/TARIFA - MILKA</v>
      </c>
    </row>
    <row r="1874" customFormat="false" ht="12.75" hidden="false" customHeight="true" outlineLevel="0" collapsed="false">
      <c r="A1874" s="15" t="n">
        <f aca="false">Report!C2441</f>
        <v>46268</v>
      </c>
      <c r="B1874" s="1" t="str">
        <f aca="false">Report!E2441</f>
        <v>BRASIL NORTE BEBIDAS S/A</v>
      </c>
      <c r="C1874" s="17" t="n">
        <f aca="false">Report!U2441</f>
        <v>1801.74</v>
      </c>
      <c r="D1874" s="1" t="str">
        <f aca="false">Report!X2441</f>
        <v>NF 1255653 COCA - MILKA</v>
      </c>
    </row>
    <row r="1875" customFormat="false" ht="12.75" hidden="false" customHeight="true" outlineLevel="0" collapsed="false">
      <c r="A1875" s="15" t="n">
        <f aca="false">Report!C2442</f>
        <v>46268</v>
      </c>
      <c r="B1875" s="1" t="str">
        <f aca="false">Report!E2442</f>
        <v>VIA CERTA IMPORTACAO E DISTRIBUICAO DE A</v>
      </c>
      <c r="C1875" s="17" t="n">
        <f aca="false">Report!U2442</f>
        <v>789.34</v>
      </c>
      <c r="D1875" s="1" t="str">
        <f aca="false">Report!X2442</f>
        <v>NF 54213-1 MILKA</v>
      </c>
    </row>
    <row r="1876" customFormat="false" ht="12.75" hidden="false" customHeight="true" outlineLevel="0" collapsed="false">
      <c r="A1876" s="15" t="n">
        <f aca="false">Report!C2443</f>
        <v>46268</v>
      </c>
      <c r="B1876" s="1" t="str">
        <f aca="false">Report!E2443</f>
        <v>BRASIL NORTE BEBIDAS S/A</v>
      </c>
      <c r="C1876" s="17" t="n">
        <f aca="false">Report!U2443</f>
        <v>7946.42</v>
      </c>
      <c r="D1876" s="1" t="str">
        <f aca="false">Report!X2443</f>
        <v>NF 1997304 COCA  - MILKA</v>
      </c>
    </row>
    <row r="1877" customFormat="false" ht="12.75" hidden="false" customHeight="true" outlineLevel="0" collapsed="false">
      <c r="A1877" s="15" t="n">
        <f aca="false">Report!C2444</f>
        <v>46268</v>
      </c>
      <c r="B1877" s="1" t="str">
        <f aca="false">Report!E2444</f>
        <v>L S M COMERCIO DE ALIMENTOS E NAVEGACAO</v>
      </c>
      <c r="C1877" s="17" t="n">
        <f aca="false">Report!U2444</f>
        <v>633</v>
      </c>
      <c r="D1877" s="1" t="str">
        <f aca="false">Report!X2444</f>
        <v>NF 311353-1 MILKA</v>
      </c>
    </row>
    <row r="1878" customFormat="false" ht="12.75" hidden="false" customHeight="true" outlineLevel="0" collapsed="false">
      <c r="A1878" s="15" t="n">
        <f aca="false">Report!C2445</f>
        <v>46268</v>
      </c>
      <c r="B1878" s="1" t="str">
        <f aca="false">Report!E2445</f>
        <v>DUNORTE DISTRIBUIDORA DE PRODUTOS DE CONSUMO LTDA</v>
      </c>
      <c r="C1878" s="17" t="n">
        <f aca="false">Report!U2445</f>
        <v>1178.8</v>
      </c>
      <c r="D1878" s="1" t="str">
        <f aca="false">Report!X2445</f>
        <v>NF 3239532-1 MILKA</v>
      </c>
    </row>
    <row r="1879" customFormat="false" ht="12.75" hidden="false" customHeight="true" outlineLevel="0" collapsed="false">
      <c r="A1879" s="15" t="n">
        <f aca="false">Report!C2446</f>
        <v>46268</v>
      </c>
      <c r="B1879" s="1" t="str">
        <f aca="false">Report!E2446</f>
        <v>TRES CORACOES ALIMENTOS S.A.</v>
      </c>
      <c r="C1879" s="17" t="n">
        <f aca="false">Report!U2446</f>
        <v>1581.44</v>
      </c>
      <c r="D1879" s="1" t="str">
        <f aca="false">Report!X2446</f>
        <v>NF 357973 -1 MILKA</v>
      </c>
    </row>
    <row r="1880" customFormat="false" ht="12.75" hidden="false" customHeight="true" outlineLevel="0" collapsed="false">
      <c r="A1880" s="15" t="n">
        <f aca="false">Report!C2447</f>
        <v>46268</v>
      </c>
      <c r="B1880" s="1" t="str">
        <f aca="false">Report!E2447</f>
        <v>J. S. MOREIRA ALVES LTDA</v>
      </c>
      <c r="C1880" s="17" t="n">
        <f aca="false">Report!U2447</f>
        <v>460.5</v>
      </c>
      <c r="D1880" s="1" t="str">
        <f aca="false">Report!X2447</f>
        <v>NF 2811 MESA FARTA - MILKA</v>
      </c>
    </row>
    <row r="1881" customFormat="false" ht="12.75" hidden="false" customHeight="true" outlineLevel="0" collapsed="false">
      <c r="A1881" s="15" t="n">
        <f aca="false">Report!C2448</f>
        <v>46268</v>
      </c>
      <c r="B1881" s="1" t="str">
        <f aca="false">Report!E2448</f>
        <v>FRIOTRANS COMERCIO E TRANSPORTES DE CARGAS LTDA</v>
      </c>
      <c r="C1881" s="17" t="n">
        <f aca="false">Report!U2448</f>
        <v>2917.84</v>
      </c>
      <c r="D1881" s="1" t="str">
        <f aca="false">Report!X2448</f>
        <v>NF 39522 - MILKA</v>
      </c>
    </row>
    <row r="1882" customFormat="false" ht="12.75" hidden="false" customHeight="true" outlineLevel="0" collapsed="false">
      <c r="A1882" s="15" t="n">
        <f aca="false">Report!C2449</f>
        <v>46268</v>
      </c>
      <c r="B1882" s="1" t="str">
        <f aca="false">Report!E2449</f>
        <v>DA FRUTA DISTRIBUIDORA LTDA</v>
      </c>
      <c r="C1882" s="17" t="n">
        <f aca="false">Report!U2449</f>
        <v>1015.18</v>
      </c>
      <c r="D1882" s="1" t="str">
        <f aca="false">Report!X2449</f>
        <v>NF 197688 - MILKA</v>
      </c>
    </row>
    <row r="1883" customFormat="false" ht="12.75" hidden="false" customHeight="true" outlineLevel="0" collapsed="false">
      <c r="A1883" s="15" t="n">
        <f aca="false">Report!C2453</f>
        <v>46269</v>
      </c>
      <c r="B1883" s="1" t="str">
        <f aca="false">Report!E2453</f>
        <v>DISTRIBUIDORA LOPES LTDA</v>
      </c>
      <c r="C1883" s="17" t="n">
        <f aca="false">Report!U2453</f>
        <v>953.13</v>
      </c>
      <c r="D1883" s="1" t="str">
        <f aca="false">Report!X2453</f>
        <v>NF 1707352 -3 DESC. NO BOLETO - MILKA</v>
      </c>
    </row>
    <row r="1884" customFormat="false" ht="12.75" hidden="false" customHeight="true" outlineLevel="0" collapsed="false">
      <c r="A1884" s="15" t="n">
        <f aca="false">Report!C2454</f>
        <v>46269</v>
      </c>
      <c r="B1884" s="1" t="str">
        <f aca="false">Report!E2454</f>
        <v>MIKITOS IND.COM.DE GEN. ALIM. DO AM. LTD</v>
      </c>
      <c r="C1884" s="17" t="n">
        <f aca="false">Report!U2454</f>
        <v>687.96</v>
      </c>
      <c r="D1884" s="1" t="str">
        <f aca="false">Report!X2454</f>
        <v>NF 295194-3 MILKA</v>
      </c>
    </row>
    <row r="1885" customFormat="false" ht="12.75" hidden="false" customHeight="true" outlineLevel="0" collapsed="false">
      <c r="A1885" s="15" t="n">
        <f aca="false">Report!C2455</f>
        <v>46269</v>
      </c>
      <c r="B1885" s="1" t="str">
        <f aca="false">Report!E2455</f>
        <v>OESA COMERCIO E REPRESENTACOES S/A</v>
      </c>
      <c r="C1885" s="17" t="n">
        <f aca="false">Report!U2455</f>
        <v>1099.43</v>
      </c>
      <c r="D1885" s="1" t="str">
        <f aca="false">Report!X2455</f>
        <v>NF 439388-2 MILKA</v>
      </c>
    </row>
    <row r="1886" customFormat="false" ht="12.75" hidden="false" customHeight="true" outlineLevel="0" collapsed="false">
      <c r="A1886" s="15" t="n">
        <f aca="false">Report!C2456</f>
        <v>46269</v>
      </c>
      <c r="B1886" s="1" t="str">
        <f aca="false">Report!E2456</f>
        <v>EMPRESA BRASILEIRA DE DISTRIBUICAO LTDA</v>
      </c>
      <c r="C1886" s="17" t="n">
        <f aca="false">Report!U2456</f>
        <v>625.83</v>
      </c>
      <c r="D1886" s="1" t="str">
        <f aca="false">Report!X2456</f>
        <v>NF 2308194-3 EBD - MILKA</v>
      </c>
    </row>
    <row r="1887" customFormat="false" ht="12.75" hidden="false" customHeight="true" outlineLevel="0" collapsed="false">
      <c r="A1887" s="15" t="n">
        <f aca="false">Report!C2457</f>
        <v>46269</v>
      </c>
      <c r="B1887" s="1" t="str">
        <f aca="false">Report!E2457</f>
        <v>J G COMERCIO DE PRODUTOS ALIMENTICIOS LTDA</v>
      </c>
      <c r="C1887" s="17" t="n">
        <f aca="false">Report!U2457</f>
        <v>466</v>
      </c>
      <c r="D1887" s="1" t="str">
        <f aca="false">Report!X2457</f>
        <v>462480-C/C NF397850 MASTERFRIGO - MILKA</v>
      </c>
    </row>
    <row r="1888" customFormat="false" ht="12.75" hidden="false" customHeight="true" outlineLevel="0" collapsed="false">
      <c r="A1888" s="15" t="n">
        <f aca="false">Report!C2458</f>
        <v>46269</v>
      </c>
      <c r="B1888" s="1" t="str">
        <f aca="false">Report!E2458</f>
        <v>DUNORTE DISTRIBUIDORA DE PRODUTOS DE CONSUMO LTDA</v>
      </c>
      <c r="C1888" s="17" t="n">
        <f aca="false">Report!U2458</f>
        <v>699.99</v>
      </c>
      <c r="D1888" s="1" t="str">
        <f aca="false">Report!X2458</f>
        <v>NF 3237031 -2 C/TARIFA INCLUSA - MILKA</v>
      </c>
    </row>
    <row r="1889" customFormat="false" ht="12.75" hidden="false" customHeight="true" outlineLevel="0" collapsed="false">
      <c r="A1889" s="15" t="n">
        <f aca="false">Report!C2459</f>
        <v>46269</v>
      </c>
      <c r="B1889" s="1" t="str">
        <f aca="false">Report!E2459</f>
        <v>DUNORTE DISTRIBUIDORA DE PRODUTOS DE CONSUMO LTDA</v>
      </c>
      <c r="C1889" s="17" t="n">
        <f aca="false">Report!U2459</f>
        <v>807.06</v>
      </c>
      <c r="D1889" s="1" t="str">
        <f aca="false">Report!X2459</f>
        <v>NF 3237032-1 MILKA</v>
      </c>
    </row>
    <row r="1890" customFormat="false" ht="12.75" hidden="false" customHeight="true" outlineLevel="0" collapsed="false">
      <c r="A1890" s="15" t="n">
        <f aca="false">Report!C2460</f>
        <v>46269</v>
      </c>
      <c r="B1890" s="1" t="str">
        <f aca="false">Report!E2460</f>
        <v>OESA COMERCIO E REPRESENTACOES S/A</v>
      </c>
      <c r="C1890" s="17" t="n">
        <f aca="false">Report!U2460</f>
        <v>584.55</v>
      </c>
      <c r="D1890" s="1" t="str">
        <f aca="false">Report!X2460</f>
        <v>NF 443157 - MILKA</v>
      </c>
    </row>
    <row r="1891" customFormat="false" ht="12.75" hidden="false" customHeight="true" outlineLevel="0" collapsed="false">
      <c r="A1891" s="15" t="n">
        <f aca="false">Report!C2461</f>
        <v>46269</v>
      </c>
      <c r="B1891" s="1" t="str">
        <f aca="false">Report!E2461</f>
        <v>PIARARA COMERCIO, IMPORTACAO E EXPORTACAO LTDA</v>
      </c>
      <c r="C1891" s="17" t="n">
        <f aca="false">Report!U2461</f>
        <v>792.22</v>
      </c>
      <c r="D1891" s="1" t="str">
        <f aca="false">Report!X2461</f>
        <v>NF 195456-2 MILKA</v>
      </c>
    </row>
    <row r="1892" customFormat="false" ht="12.75" hidden="false" customHeight="true" outlineLevel="0" collapsed="false">
      <c r="A1892" s="15" t="n">
        <f aca="false">Report!C2462</f>
        <v>46269</v>
      </c>
      <c r="B1892" s="1" t="str">
        <f aca="false">Report!E2462</f>
        <v>DISTRIBUIDORA LOPES LTDA</v>
      </c>
      <c r="C1892" s="17" t="n">
        <f aca="false">Report!U2462</f>
        <v>753.33</v>
      </c>
      <c r="D1892" s="1" t="str">
        <f aca="false">Report!X2462</f>
        <v>NF 1711227-2 MILKA</v>
      </c>
    </row>
    <row r="1893" customFormat="false" ht="12.75" hidden="false" customHeight="true" outlineLevel="0" collapsed="false">
      <c r="A1893" s="15" t="n">
        <f aca="false">Report!C2463</f>
        <v>46269</v>
      </c>
      <c r="B1893" s="1" t="str">
        <f aca="false">Report!E2463</f>
        <v>FH DISTRIBUIDORA DE ALIM. E BEBIDAS LTDA</v>
      </c>
      <c r="C1893" s="17" t="n">
        <f aca="false">Report!U2463</f>
        <v>1232.16</v>
      </c>
      <c r="D1893" s="1" t="str">
        <f aca="false">Report!X2463</f>
        <v>NF 330734-1 MILKA</v>
      </c>
    </row>
    <row r="1894" customFormat="false" ht="12.75" hidden="false" customHeight="true" outlineLevel="0" collapsed="false">
      <c r="A1894" s="15" t="n">
        <f aca="false">Report!C2464</f>
        <v>46269</v>
      </c>
      <c r="B1894" s="1" t="str">
        <f aca="false">Report!E2464</f>
        <v>NEXUS DISTRIBUIDORA</v>
      </c>
      <c r="C1894" s="17" t="n">
        <f aca="false">Report!U2464</f>
        <v>431.28</v>
      </c>
      <c r="D1894" s="1" t="str">
        <f aca="false">Report!X2464</f>
        <v>NF 103073 - MILKA</v>
      </c>
    </row>
    <row r="1895" customFormat="false" ht="12.75" hidden="false" customHeight="true" outlineLevel="0" collapsed="false">
      <c r="A1895" s="15" t="n">
        <f aca="false">Report!C2465</f>
        <v>46269</v>
      </c>
      <c r="B1895" s="1" t="str">
        <f aca="false">Report!E2465</f>
        <v>ADRIANA DISTRIBUIDORA DE PRODUTOS ALIMEN</v>
      </c>
      <c r="C1895" s="17" t="n">
        <f aca="false">Report!U2465</f>
        <v>1167.28</v>
      </c>
      <c r="D1895" s="1" t="str">
        <f aca="false">Report!X2465</f>
        <v>NF 891630-1 MILKA</v>
      </c>
    </row>
    <row r="1896" customFormat="false" ht="12.75" hidden="false" customHeight="true" outlineLevel="0" collapsed="false">
      <c r="A1896" s="15" t="n">
        <f aca="false">Report!C2466</f>
        <v>46269</v>
      </c>
      <c r="B1896" s="1" t="str">
        <f aca="false">Report!E2466</f>
        <v>FENNIX BRASIL DISTRIBUIDORA DE PRODUTOS</v>
      </c>
      <c r="C1896" s="17" t="n">
        <f aca="false">Report!U2466</f>
        <v>684.25</v>
      </c>
      <c r="D1896" s="1" t="str">
        <f aca="false">Report!X2466</f>
        <v>NF 398654 -1 TARIFA INCLUSA - MILKA</v>
      </c>
    </row>
    <row r="1897" customFormat="false" ht="12.75" hidden="false" customHeight="true" outlineLevel="0" collapsed="false">
      <c r="A1897" s="15" t="n">
        <f aca="false">Report!C2467</f>
        <v>46269</v>
      </c>
      <c r="B1897" s="1" t="str">
        <f aca="false">Report!E2467</f>
        <v>SOUZA CRUZ LTDA.</v>
      </c>
      <c r="C1897" s="17" t="n">
        <f aca="false">Report!U2467</f>
        <v>963.49</v>
      </c>
      <c r="D1897" s="1" t="str">
        <f aca="false">Report!X2467</f>
        <v>NF 571038 TARIFA PRIME INCLUSA - MILKA</v>
      </c>
    </row>
    <row r="1898" customFormat="false" ht="12.75" hidden="false" customHeight="true" outlineLevel="0" collapsed="false">
      <c r="A1898" s="15" t="n">
        <f aca="false">Report!C2468</f>
        <v>46269</v>
      </c>
      <c r="B1898" s="1" t="str">
        <f aca="false">Report!E2468</f>
        <v>NT INDUSTRIA E COMERCIO DE PANIFICACAO L</v>
      </c>
      <c r="C1898" s="17" t="n">
        <f aca="false">Report!U2468</f>
        <v>4339.8</v>
      </c>
      <c r="D1898" s="1" t="str">
        <f aca="false">Report!X2468</f>
        <v>NF44559 - MILKA</v>
      </c>
    </row>
    <row r="1899" customFormat="false" ht="12.75" hidden="false" customHeight="true" outlineLevel="0" collapsed="false">
      <c r="A1899" s="15" t="n">
        <f aca="false">Report!C2472</f>
        <v>46270</v>
      </c>
      <c r="B1899" s="1" t="str">
        <f aca="false">Report!E2472</f>
        <v>OPPORTUNITY ALIMENTOS PARA ANIMAIS LTDA</v>
      </c>
      <c r="C1899" s="17" t="n">
        <f aca="false">Report!U2472</f>
        <v>562.93</v>
      </c>
      <c r="D1899" s="1" t="str">
        <f aca="false">Report!X2472</f>
        <v>NF 34780 - DEBORA</v>
      </c>
    </row>
    <row r="1900" customFormat="false" ht="12.75" hidden="false" customHeight="true" outlineLevel="0" collapsed="false">
      <c r="A1900" s="15" t="n">
        <f aca="false">Report!C2477</f>
        <v>46270</v>
      </c>
      <c r="B1900" s="1" t="str">
        <f aca="false">Report!E2477</f>
        <v>ADRIANA DISTRIBUIDORA DE PRODUTOS ALIMEN</v>
      </c>
      <c r="C1900" s="17" t="n">
        <f aca="false">Report!U2477</f>
        <v>1452.44</v>
      </c>
      <c r="D1900" s="1" t="str">
        <f aca="false">Report!X2477</f>
        <v>NF 889410-3 MILKA</v>
      </c>
    </row>
    <row r="1901" customFormat="false" ht="12.75" hidden="false" customHeight="true" outlineLevel="0" collapsed="false">
      <c r="A1901" s="15" t="n">
        <f aca="false">Report!C2479</f>
        <v>46270</v>
      </c>
      <c r="B1901" s="1" t="str">
        <f aca="false">Report!E2479</f>
        <v>SUPER CANCUN COMERCIO DE PRODUTOS ALIMEN</v>
      </c>
      <c r="C1901" s="17" t="n">
        <f aca="false">Report!U2479</f>
        <v>721.52</v>
      </c>
      <c r="D1901" s="1" t="str">
        <f aca="false">Report!X2479</f>
        <v>NF 264963-3 MILKA</v>
      </c>
    </row>
    <row r="1902" customFormat="false" ht="12.75" hidden="false" customHeight="true" outlineLevel="0" collapsed="false">
      <c r="A1902" s="15" t="n">
        <f aca="false">Report!C2481</f>
        <v>46270</v>
      </c>
      <c r="B1902" s="1" t="str">
        <f aca="false">Report!E2481</f>
        <v>DISTRIBUIDORA FARIAS LTDA.</v>
      </c>
      <c r="C1902" s="17" t="n">
        <f aca="false">Report!U2481</f>
        <v>396.53</v>
      </c>
      <c r="D1902" s="1" t="str">
        <f aca="false">Report!X2481</f>
        <v>815076-A/C  NF690674 - MILKA</v>
      </c>
    </row>
    <row r="1903" customFormat="false" ht="12.75" hidden="false" customHeight="true" outlineLevel="0" collapsed="false">
      <c r="A1903" s="15" t="n">
        <f aca="false">Report!C2482</f>
        <v>46271</v>
      </c>
      <c r="B1903" s="1" t="str">
        <f aca="false">Report!E2482</f>
        <v>PRIME PET DISTRIBUIDORA LTDA</v>
      </c>
      <c r="C1903" s="17" t="n">
        <f aca="false">Report!U2482</f>
        <v>911.85</v>
      </c>
      <c r="D1903" s="1" t="str">
        <f aca="false">Report!X2482</f>
        <v>NF 11134 -03/06  MILKA</v>
      </c>
    </row>
    <row r="1904" customFormat="false" ht="12.75" hidden="false" customHeight="true" outlineLevel="0" collapsed="false">
      <c r="A1904" s="15" t="n">
        <f aca="false">Report!C2484</f>
        <v>46271</v>
      </c>
      <c r="B1904" s="1" t="str">
        <f aca="false">Report!E2484</f>
        <v>J. A. F. DE LIMA</v>
      </c>
      <c r="C1904" s="17" t="n">
        <f aca="false">Report!U2484</f>
        <v>1127.55</v>
      </c>
      <c r="D1904" s="1" t="str">
        <f aca="false">Report!X2484</f>
        <v>NF 160299-1 MILKA</v>
      </c>
    </row>
    <row r="1905" customFormat="false" ht="12.75" hidden="false" customHeight="true" outlineLevel="0" collapsed="false">
      <c r="A1905" s="15" t="n">
        <f aca="false">Report!C2485</f>
        <v>46272</v>
      </c>
      <c r="B1905" s="1" t="str">
        <f aca="false">Report!E2485</f>
        <v>NORTE DISTRIBUIDORA DE ACUMULADORES E AC</v>
      </c>
      <c r="C1905" s="17" t="n">
        <f aca="false">Report!U2485</f>
        <v>306</v>
      </c>
      <c r="D1905" s="1" t="str">
        <f aca="false">Report!X2485</f>
        <v>NF 105914 -2/3 MOURA -  MILKA</v>
      </c>
    </row>
    <row r="1906" customFormat="false" ht="12.75" hidden="false" customHeight="true" outlineLevel="0" collapsed="false">
      <c r="A1906" s="15" t="n">
        <f aca="false">Report!C2486</f>
        <v>46272</v>
      </c>
      <c r="B1906" s="1" t="str">
        <f aca="false">Report!E2486</f>
        <v>TAPAJOS COM DE PERFUMARIA COSMETICOS E G</v>
      </c>
      <c r="C1906" s="17" t="n">
        <f aca="false">Report!U2486</f>
        <v>1020.15</v>
      </c>
      <c r="D1906" s="1" t="str">
        <f aca="false">Report!X2486</f>
        <v>NF 585245-2 MILKA</v>
      </c>
    </row>
    <row r="1907" customFormat="false" ht="12.75" hidden="false" customHeight="true" outlineLevel="0" collapsed="false">
      <c r="A1907" s="15" t="n">
        <f aca="false">Report!C2487</f>
        <v>46272</v>
      </c>
      <c r="B1907" s="1" t="str">
        <f aca="false">Report!E2487</f>
        <v>DUNORTE DISTRIBUIDORA DE PRODUTOS DE CONSUMO LTDA</v>
      </c>
      <c r="C1907" s="17" t="n">
        <f aca="false">Report!U2487</f>
        <v>727.99</v>
      </c>
      <c r="D1907" s="1" t="str">
        <f aca="false">Report!X2487</f>
        <v>NF 3234290-3 C/TAXA INCLUSA - MILKA</v>
      </c>
    </row>
    <row r="1908" customFormat="false" ht="12.75" hidden="false" customHeight="true" outlineLevel="0" collapsed="false">
      <c r="A1908" s="15" t="n">
        <f aca="false">Report!C2488</f>
        <v>46272</v>
      </c>
      <c r="B1908" s="1" t="str">
        <f aca="false">Report!E2488</f>
        <v>OPPORTUNITY ALIMENTOS PARA ANIMAIS LTDA</v>
      </c>
      <c r="C1908" s="17" t="n">
        <f aca="false">Report!U2488</f>
        <v>2836.78</v>
      </c>
      <c r="D1908" s="1" t="str">
        <f aca="false">Report!X2488</f>
        <v>NF 35160-2 MILKA</v>
      </c>
    </row>
    <row r="1909" customFormat="false" ht="12.75" hidden="false" customHeight="true" outlineLevel="0" collapsed="false">
      <c r="A1909" s="15" t="n">
        <f aca="false">Report!C2489</f>
        <v>46272</v>
      </c>
      <c r="B1909" s="1" t="str">
        <f aca="false">Report!E2489</f>
        <v>VICTORIA COMERCIO INTERNACIONAL DE ALIME</v>
      </c>
      <c r="C1909" s="17" t="n">
        <f aca="false">Report!U2489</f>
        <v>919.34</v>
      </c>
      <c r="D1909" s="1" t="str">
        <f aca="false">Report!X2489</f>
        <v>13480-B/B  NF12863 - MILKA</v>
      </c>
    </row>
    <row r="1910" customFormat="false" ht="12.75" hidden="false" customHeight="true" outlineLevel="0" collapsed="false">
      <c r="A1910" s="15" t="n">
        <f aca="false">Report!C2490</f>
        <v>46272</v>
      </c>
      <c r="B1910" s="1" t="str">
        <f aca="false">Report!E2490</f>
        <v>BF COMERCIO DE ALIMENTOS REPRESENTACAO L</v>
      </c>
      <c r="C1910" s="17" t="n">
        <f aca="false">Report!U2490</f>
        <v>677.64</v>
      </c>
      <c r="D1910" s="1" t="str">
        <f aca="false">Report!X2490</f>
        <v>13724-A/B  NF21280 - MILKA</v>
      </c>
    </row>
    <row r="1911" customFormat="false" ht="12.75" hidden="false" customHeight="true" outlineLevel="0" collapsed="false">
      <c r="A1911" s="15" t="n">
        <f aca="false">Report!C2491</f>
        <v>46272</v>
      </c>
      <c r="B1911" s="1" t="str">
        <f aca="false">Report!E2491</f>
        <v>FUNNY PET DISTRIBUIDORA DE ALIMENTOS PAR</v>
      </c>
      <c r="C1911" s="17" t="n">
        <f aca="false">Report!U2491</f>
        <v>704.9</v>
      </c>
      <c r="D1911" s="1" t="str">
        <f aca="false">Report!X2491</f>
        <v>NF 21714-1 MILKA</v>
      </c>
    </row>
    <row r="1912" customFormat="false" ht="12.75" hidden="false" customHeight="true" outlineLevel="0" collapsed="false">
      <c r="A1912" s="15" t="n">
        <f aca="false">Report!C2492</f>
        <v>46272</v>
      </c>
      <c r="B1912" s="1" t="str">
        <f aca="false">Report!E2492</f>
        <v>DUNORTE DISTRIBUIDORA DE PRODUTOS DE CONSUMO LTDA</v>
      </c>
      <c r="C1912" s="17" t="n">
        <f aca="false">Report!U2492</f>
        <v>594.56</v>
      </c>
      <c r="D1912" s="1" t="str">
        <f aca="false">Report!X2492</f>
        <v>NF 3237635 - MILKA</v>
      </c>
    </row>
    <row r="1913" customFormat="false" ht="12.75" hidden="false" customHeight="true" outlineLevel="0" collapsed="false">
      <c r="A1913" s="15" t="n">
        <f aca="false">Report!C2493</f>
        <v>46272</v>
      </c>
      <c r="B1913" s="1" t="str">
        <f aca="false">Report!E2493</f>
        <v>FENNIX BRASIL DISTRIBUIDORA DE PRODUTOS</v>
      </c>
      <c r="C1913" s="17" t="n">
        <f aca="false">Report!U2493</f>
        <v>989.33</v>
      </c>
      <c r="D1913" s="1" t="str">
        <f aca="false">Report!X2493</f>
        <v>NF 317365-2 MILKA</v>
      </c>
    </row>
    <row r="1914" customFormat="false" ht="12.75" hidden="false" customHeight="true" outlineLevel="0" collapsed="false">
      <c r="A1914" s="15" t="n">
        <f aca="false">Report!C2494</f>
        <v>46272</v>
      </c>
      <c r="B1914" s="1" t="str">
        <f aca="false">Report!E2494</f>
        <v>DURAES DISTRIBUIDORA DE ESTIVAS LTDA</v>
      </c>
      <c r="C1914" s="17" t="n">
        <f aca="false">Report!U2494</f>
        <v>573.72</v>
      </c>
      <c r="D1914" s="1" t="str">
        <f aca="false">Report!X2494</f>
        <v>NF 654912-2 MILKA</v>
      </c>
    </row>
    <row r="1915" customFormat="false" ht="12.75" hidden="false" customHeight="true" outlineLevel="0" collapsed="false">
      <c r="A1915" s="15" t="n">
        <f aca="false">Report!C2495</f>
        <v>46272</v>
      </c>
      <c r="B1915" s="1" t="str">
        <f aca="false">Report!E2495</f>
        <v>DURAES DISTRIBUIDORA DE ESTIVAS LTDA</v>
      </c>
      <c r="C1915" s="17" t="n">
        <f aca="false">Report!U2495</f>
        <v>759.74</v>
      </c>
      <c r="D1915" s="1" t="str">
        <f aca="false">Report!X2495</f>
        <v>NF 654913-2  MILKA</v>
      </c>
    </row>
    <row r="1916" customFormat="false" ht="12.75" hidden="false" customHeight="true" outlineLevel="0" collapsed="false">
      <c r="A1916" s="15" t="n">
        <f aca="false">Report!C2496</f>
        <v>46272</v>
      </c>
      <c r="B1916" s="1" t="str">
        <f aca="false">Report!E2496</f>
        <v>FORTVET DISTRIBUIDORA LTDA</v>
      </c>
      <c r="C1916" s="17" t="n">
        <f aca="false">Report!U2496</f>
        <v>733.07</v>
      </c>
      <c r="D1916" s="1" t="str">
        <f aca="false">Report!X2496</f>
        <v>NF3216-1 MILKA</v>
      </c>
    </row>
    <row r="1917" customFormat="false" ht="12.75" hidden="false" customHeight="true" outlineLevel="0" collapsed="false">
      <c r="A1917" s="15" t="n">
        <f aca="false">Report!C2497</f>
        <v>46272</v>
      </c>
      <c r="B1917" s="1" t="str">
        <f aca="false">Report!E2497</f>
        <v>FORTVET DISTRIBUIDORA LTDA</v>
      </c>
      <c r="C1917" s="17" t="n">
        <f aca="false">Report!U2497</f>
        <v>477.65</v>
      </c>
      <c r="D1917" s="1" t="str">
        <f aca="false">Report!X2497</f>
        <v>NF 3215-1 MILKA</v>
      </c>
    </row>
    <row r="1918" customFormat="false" ht="12.75" hidden="false" customHeight="true" outlineLevel="0" collapsed="false">
      <c r="A1918" s="15" t="n">
        <f aca="false">Report!C2498</f>
        <v>46272</v>
      </c>
      <c r="B1918" s="1" t="str">
        <f aca="false">Report!E2498</f>
        <v>SABIA COMERCIO DE COSMETICOS LTDA</v>
      </c>
      <c r="C1918" s="17" t="n">
        <f aca="false">Report!U2498</f>
        <v>614.06</v>
      </c>
      <c r="D1918" s="1" t="str">
        <f aca="false">Report!X2498</f>
        <v>NF 255211-2 MILKA</v>
      </c>
    </row>
    <row r="1919" customFormat="false" ht="12.75" hidden="false" customHeight="true" outlineLevel="0" collapsed="false">
      <c r="A1919" s="15" t="n">
        <f aca="false">Report!C2499</f>
        <v>46273</v>
      </c>
      <c r="B1919" s="1" t="str">
        <f aca="false">Report!E2499</f>
        <v>ATACADAO S.A.</v>
      </c>
      <c r="C1919" s="17" t="n">
        <f aca="false">Report!U2499</f>
        <v>2022.5</v>
      </c>
      <c r="D1919" s="1" t="str">
        <f aca="false">Report!X2499</f>
        <v>NF 1915889 - MILKA</v>
      </c>
    </row>
    <row r="1920" customFormat="false" ht="12.75" hidden="false" customHeight="true" outlineLevel="0" collapsed="false">
      <c r="A1920" s="15" t="n">
        <f aca="false">Report!C2500</f>
        <v>46273</v>
      </c>
      <c r="B1920" s="1" t="str">
        <f aca="false">Report!E2500</f>
        <v>ATACADAO S.A.</v>
      </c>
      <c r="C1920" s="17" t="n">
        <f aca="false">Report!U2500</f>
        <v>1795</v>
      </c>
      <c r="D1920" s="1" t="str">
        <f aca="false">Report!X2500</f>
        <v>NF 1915886 - MILKA</v>
      </c>
    </row>
    <row r="1921" customFormat="false" ht="12.75" hidden="false" customHeight="true" outlineLevel="0" collapsed="false">
      <c r="A1921" s="15" t="n">
        <f aca="false">Report!C2501</f>
        <v>46273</v>
      </c>
      <c r="B1921" s="1" t="str">
        <f aca="false">Report!E2501</f>
        <v>ATACADAO S.A.</v>
      </c>
      <c r="C1921" s="17" t="n">
        <f aca="false">Report!U2501</f>
        <v>899.66</v>
      </c>
      <c r="D1921" s="1" t="str">
        <f aca="false">Report!X2501</f>
        <v>NF 1917923 - MILKA</v>
      </c>
    </row>
    <row r="1922" customFormat="false" ht="12.75" hidden="false" customHeight="true" outlineLevel="0" collapsed="false">
      <c r="A1922" s="15" t="n">
        <f aca="false">Report!C2502</f>
        <v>46273</v>
      </c>
      <c r="B1922" s="1" t="str">
        <f aca="false">Report!E2502</f>
        <v>FEMAR IND E COM DE BEBIDAS LTDA</v>
      </c>
      <c r="C1922" s="17" t="n">
        <f aca="false">Report!U2502</f>
        <v>802.03</v>
      </c>
      <c r="D1922" s="1" t="str">
        <f aca="false">Report!X2502</f>
        <v>NF 56171 - MILKA</v>
      </c>
    </row>
    <row r="1923" customFormat="false" ht="12.75" hidden="false" customHeight="true" outlineLevel="0" collapsed="false">
      <c r="A1923" s="15" t="n">
        <f aca="false">Report!C2503</f>
        <v>46273</v>
      </c>
      <c r="B1923" s="1" t="str">
        <f aca="false">Report!E2503</f>
        <v>ATACADAO S.A.</v>
      </c>
      <c r="C1923" s="17" t="n">
        <f aca="false">Report!U2503</f>
        <v>428.17</v>
      </c>
      <c r="D1923" s="1" t="str">
        <f aca="false">Report!X2503</f>
        <v>NF 1917926 - MILKA</v>
      </c>
    </row>
    <row r="1924" customFormat="false" ht="12.75" hidden="false" customHeight="true" outlineLevel="0" collapsed="false">
      <c r="A1924" s="15" t="n">
        <f aca="false">Report!C2504</f>
        <v>46273</v>
      </c>
      <c r="B1924" s="1" t="str">
        <f aca="false">Report!E2504</f>
        <v>ATACADAO S.A.</v>
      </c>
      <c r="C1924" s="17" t="n">
        <f aca="false">Report!U2504</f>
        <v>1812.23</v>
      </c>
      <c r="D1924" s="1" t="str">
        <f aca="false">Report!X2504</f>
        <v>NF 1919060 - MILKA</v>
      </c>
    </row>
    <row r="1925" customFormat="false" ht="12.75" hidden="false" customHeight="true" outlineLevel="0" collapsed="false">
      <c r="A1925" s="15" t="n">
        <f aca="false">Report!C2505</f>
        <v>46273</v>
      </c>
      <c r="B1925" s="1" t="str">
        <f aca="false">Report!E2505</f>
        <v>L S M COMERCIO DE ALIMENTOS E NAVEGACAO</v>
      </c>
      <c r="C1925" s="17" t="n">
        <f aca="false">Report!U2505</f>
        <v>1256.37</v>
      </c>
      <c r="D1925" s="1" t="str">
        <f aca="false">Report!X2505</f>
        <v>NF 311117-2 MILKA</v>
      </c>
    </row>
    <row r="1926" customFormat="false" ht="12.75" hidden="false" customHeight="true" outlineLevel="0" collapsed="false">
      <c r="A1926" s="15" t="n">
        <f aca="false">Report!C2506</f>
        <v>46273</v>
      </c>
      <c r="B1926" s="1" t="str">
        <f aca="false">Report!E2506</f>
        <v>SOUZA CRUZ LTDA.</v>
      </c>
      <c r="C1926" s="17" t="n">
        <f aca="false">Report!U2506</f>
        <v>7010.81</v>
      </c>
      <c r="D1926" s="1" t="str">
        <f aca="false">Report!X2506</f>
        <v>NF 586417 -03 MILKA</v>
      </c>
    </row>
    <row r="1927" customFormat="false" ht="12.75" hidden="false" customHeight="true" outlineLevel="0" collapsed="false">
      <c r="A1927" s="15" t="n">
        <f aca="false">Report!C2507</f>
        <v>46273</v>
      </c>
      <c r="B1927" s="1" t="str">
        <f aca="false">Report!E2507</f>
        <v>ATACADAO S.A.</v>
      </c>
      <c r="C1927" s="17" t="n">
        <f aca="false">Report!U2507</f>
        <v>799.11</v>
      </c>
      <c r="D1927" s="1" t="str">
        <f aca="false">Report!X2507</f>
        <v>NF 1921243 - MILKA</v>
      </c>
    </row>
    <row r="1928" customFormat="false" ht="12.75" hidden="false" customHeight="true" outlineLevel="0" collapsed="false">
      <c r="A1928" s="15" t="n">
        <f aca="false">Report!C2509</f>
        <v>46273</v>
      </c>
      <c r="B1928" s="1" t="str">
        <f aca="false">Report!E2509</f>
        <v>MARCLEY MACHADO CHAVES</v>
      </c>
      <c r="C1928" s="17" t="n">
        <f aca="false">Report!U2509</f>
        <v>651.32</v>
      </c>
      <c r="D1928" s="1" t="str">
        <f aca="false">Report!X2509</f>
        <v>NF 3582 - 1 MILKA</v>
      </c>
    </row>
    <row r="1929" customFormat="false" ht="12.75" hidden="false" customHeight="true" outlineLevel="0" collapsed="false">
      <c r="A1929" s="15" t="n">
        <f aca="false">Report!C2510</f>
        <v>46273</v>
      </c>
      <c r="B1929" s="1" t="str">
        <f aca="false">Report!E2510</f>
        <v>NATUREZA COMERCIO DE DESCARTAVEIS LTDA</v>
      </c>
      <c r="C1929" s="17" t="n">
        <f aca="false">Report!U2510</f>
        <v>983.07</v>
      </c>
      <c r="D1929" s="1" t="str">
        <f aca="false">Report!X2510</f>
        <v>NF750484-2 MILKA</v>
      </c>
    </row>
    <row r="1930" customFormat="false" ht="12.75" hidden="false" customHeight="true" outlineLevel="0" collapsed="false">
      <c r="A1930" s="15" t="n">
        <f aca="false">Report!C2512</f>
        <v>46273</v>
      </c>
      <c r="B1930" s="1" t="str">
        <f aca="false">Report!E2512</f>
        <v>NATUREZA COMERCIO DE DESCARTAVEIS LTDA</v>
      </c>
      <c r="C1930" s="17" t="n">
        <f aca="false">Report!U2512</f>
        <v>806.75</v>
      </c>
      <c r="D1930" s="1" t="str">
        <f aca="false">Report!X2512</f>
        <v>NF 750485 - MILKA</v>
      </c>
    </row>
    <row r="1931" customFormat="false" ht="12.75" hidden="false" customHeight="true" outlineLevel="0" collapsed="false">
      <c r="A1931" s="15" t="n">
        <f aca="false">Report!C2513</f>
        <v>46273</v>
      </c>
      <c r="B1931" s="1" t="str">
        <f aca="false">Report!E2513</f>
        <v>IRMÃOS LIMA  ATACADO  DE ALIMENTOS LTDA</v>
      </c>
      <c r="C1931" s="17" t="n">
        <f aca="false">Report!U2513</f>
        <v>1062.06</v>
      </c>
      <c r="D1931" s="1" t="str">
        <f aca="false">Report!X2513</f>
        <v>378915-B/C  NF297570 - MILKA</v>
      </c>
    </row>
    <row r="1932" customFormat="false" ht="12.75" hidden="false" customHeight="true" outlineLevel="0" collapsed="false">
      <c r="A1932" s="15" t="n">
        <f aca="false">Report!C2514</f>
        <v>46274</v>
      </c>
      <c r="B1932" s="1" t="str">
        <f aca="false">Report!E2514</f>
        <v>AGM INDUSTRIA COMERCIO E REPRESENTACAO LTDA</v>
      </c>
      <c r="C1932" s="17" t="n">
        <f aca="false">Report!U2514</f>
        <v>1146</v>
      </c>
      <c r="D1932" s="1" t="str">
        <f aca="false">Report!X2514</f>
        <v>NF 48158 - MILKA</v>
      </c>
    </row>
    <row r="1933" customFormat="false" ht="12.75" hidden="false" customHeight="true" outlineLevel="0" collapsed="false">
      <c r="A1933" s="23" t="n">
        <f aca="false">Report!C2515</f>
        <v>46274</v>
      </c>
      <c r="B1933" s="1" t="str">
        <f aca="false">Report!E2515</f>
        <v>FUNNY PET DISTRIBUIDORA DE ALIMENTOS PAR</v>
      </c>
      <c r="C1933" s="17" t="n">
        <f aca="false">Report!U2515</f>
        <v>2186.19</v>
      </c>
      <c r="D1933" s="1" t="str">
        <f aca="false">Report!X2515</f>
        <v>NF 21047-3 MILKA</v>
      </c>
    </row>
    <row r="1934" customFormat="false" ht="12.75" hidden="false" customHeight="true" outlineLevel="0" collapsed="false">
      <c r="A1934" s="23" t="n">
        <f aca="false">Report!C2516</f>
        <v>46274</v>
      </c>
      <c r="B1934" s="1" t="str">
        <f aca="false">Report!E2516</f>
        <v>RISADINHA LTDA</v>
      </c>
      <c r="C1934" s="17" t="n">
        <f aca="false">Report!U2516</f>
        <v>939.06</v>
      </c>
      <c r="D1934" s="1" t="str">
        <f aca="false">Report!X2516</f>
        <v>NF 667391-3 MILKA</v>
      </c>
    </row>
    <row r="1935" customFormat="false" ht="12.75" hidden="false" customHeight="true" outlineLevel="0" collapsed="false">
      <c r="A1935" s="23" t="n">
        <f aca="false">Report!C2517</f>
        <v>46274</v>
      </c>
      <c r="B1935" s="1" t="str">
        <f aca="false">Report!E2517</f>
        <v>ATACADAO S.A.</v>
      </c>
      <c r="C1935" s="17" t="n">
        <f aca="false">Report!U2517</f>
        <v>1980.22</v>
      </c>
      <c r="D1935" s="1" t="str">
        <f aca="false">Report!X2517</f>
        <v>NF 1916564 - MILKA</v>
      </c>
    </row>
    <row r="1936" customFormat="false" ht="12.75" hidden="false" customHeight="true" outlineLevel="0" collapsed="false">
      <c r="A1936" s="23" t="n">
        <f aca="false">Report!C2518</f>
        <v>46274</v>
      </c>
      <c r="B1936" s="1" t="str">
        <f aca="false">Report!E2518</f>
        <v>CB COMERCIO E DISTRIBUIDORA DE ALIMENTOS</v>
      </c>
      <c r="C1936" s="17" t="n">
        <f aca="false">Report!U2518</f>
        <v>947.56</v>
      </c>
      <c r="D1936" s="1" t="str">
        <f aca="false">Report!X2518</f>
        <v>963323-C/C  NF862283 - MILKA</v>
      </c>
    </row>
    <row r="1937" customFormat="false" ht="12.75" hidden="false" customHeight="true" outlineLevel="0" collapsed="false">
      <c r="A1937" s="23" t="n">
        <f aca="false">Report!C2519</f>
        <v>46274</v>
      </c>
      <c r="B1937" s="1" t="str">
        <f aca="false">Report!E2519</f>
        <v>DISTRIBUIDORA LOPES LTDA</v>
      </c>
      <c r="C1937" s="17" t="n">
        <f aca="false">Report!U2519</f>
        <v>684.25</v>
      </c>
      <c r="D1937" s="1" t="str">
        <f aca="false">Report!X2519</f>
        <v>NF 1709723 -3 MILKA</v>
      </c>
    </row>
    <row r="1938" customFormat="false" ht="12.75" hidden="false" customHeight="true" outlineLevel="0" collapsed="false">
      <c r="A1938" s="23" t="n">
        <f aca="false">Report!C2520</f>
        <v>46274</v>
      </c>
      <c r="B1938" s="1" t="str">
        <f aca="false">Report!E2520</f>
        <v>DUNORTE DISTRIBUIDORA DE PRODUTOS DE CONSUMO LTDA</v>
      </c>
      <c r="C1938" s="17" t="n">
        <f aca="false">Report!U2520</f>
        <v>1264.6</v>
      </c>
      <c r="D1938" s="1" t="str">
        <f aca="false">Report!X2520</f>
        <v>NF 3235765 -3 MILKA</v>
      </c>
    </row>
    <row r="1939" customFormat="false" ht="12.75" hidden="false" customHeight="true" outlineLevel="0" collapsed="false">
      <c r="A1939" s="23" t="n">
        <f aca="false">Report!C2521</f>
        <v>46274</v>
      </c>
      <c r="B1939" s="1" t="str">
        <f aca="false">Report!E2521</f>
        <v>OESA COMERCIO E REPRESENTACOES S/A</v>
      </c>
      <c r="C1939" s="17" t="n">
        <f aca="false">Report!U2521</f>
        <v>836.55</v>
      </c>
      <c r="D1939" s="1" t="str">
        <f aca="false">Report!X2521</f>
        <v>NF 441856 -2 MILKA</v>
      </c>
    </row>
    <row r="1940" customFormat="false" ht="12.75" hidden="false" customHeight="true" outlineLevel="0" collapsed="false">
      <c r="A1940" s="23" t="n">
        <f aca="false">Report!C2522</f>
        <v>46274</v>
      </c>
      <c r="B1940" s="1" t="str">
        <f aca="false">Report!E2522</f>
        <v>VIA CERTA IMPORTACAO E DISTRIBUICAO DE A</v>
      </c>
      <c r="C1940" s="17" t="n">
        <f aca="false">Report!U2522</f>
        <v>591.95</v>
      </c>
      <c r="D1940" s="1" t="str">
        <f aca="false">Report!X2522</f>
        <v>NF 53783-2 MILKA</v>
      </c>
    </row>
    <row r="1941" customFormat="false" ht="12.75" hidden="false" customHeight="true" outlineLevel="0" collapsed="false">
      <c r="A1941" s="23" t="n">
        <f aca="false">Report!C2523</f>
        <v>46274</v>
      </c>
      <c r="B1941" s="1" t="str">
        <f aca="false">Report!E2523</f>
        <v>EMPRESA BRASILEIRA DE DISTRIBUICAO LTDA</v>
      </c>
      <c r="C1941" s="17" t="n">
        <f aca="false">Report!U2523</f>
        <v>1200.77</v>
      </c>
      <c r="D1941" s="1" t="str">
        <f aca="false">Report!X2523</f>
        <v>NF 2309729-2 MILKA</v>
      </c>
    </row>
    <row r="1942" customFormat="false" ht="12.75" hidden="false" customHeight="true" outlineLevel="0" collapsed="false">
      <c r="A1942" s="23" t="n">
        <f aca="false">Report!C2524</f>
        <v>46274</v>
      </c>
      <c r="B1942" s="1" t="str">
        <f aca="false">Report!E2524</f>
        <v>DISTRIBUIDORA LOPES LTDA</v>
      </c>
      <c r="C1942" s="17" t="n">
        <f aca="false">Report!U2524</f>
        <v>932.55</v>
      </c>
      <c r="D1942" s="1" t="str">
        <f aca="false">Report!X2524</f>
        <v>NF 1713960 -2 MILKA</v>
      </c>
    </row>
    <row r="1943" customFormat="false" ht="12.75" hidden="false" customHeight="true" outlineLevel="0" collapsed="false">
      <c r="A1943" s="23" t="n">
        <f aca="false">Report!C2525</f>
        <v>46274</v>
      </c>
      <c r="B1943" s="1" t="str">
        <f aca="false">Report!E2525</f>
        <v>DISTRIBUIDORA LOPES LTDA</v>
      </c>
      <c r="C1943" s="17" t="n">
        <f aca="false">Report!U2525</f>
        <v>952.02</v>
      </c>
      <c r="D1943" s="1" t="str">
        <f aca="false">Report!X2525</f>
        <v>NF 1713862 -2 MILKA</v>
      </c>
    </row>
    <row r="1944" customFormat="false" ht="12.75" hidden="false" customHeight="true" outlineLevel="0" collapsed="false">
      <c r="A1944" s="23" t="n">
        <f aca="false">Report!C2526</f>
        <v>46274</v>
      </c>
      <c r="B1944" s="1" t="str">
        <f aca="false">Report!E2526</f>
        <v>CB COMERCIO E DISTRIBUIDORA DE ALIMENTOS</v>
      </c>
      <c r="C1944" s="17" t="n">
        <f aca="false">Report!U2526</f>
        <v>802.25</v>
      </c>
      <c r="D1944" s="1" t="str">
        <f aca="false">Report!X2526</f>
        <v>NF 864975 - MILKA</v>
      </c>
    </row>
    <row r="1945" customFormat="false" ht="12.75" hidden="false" customHeight="true" outlineLevel="0" collapsed="false">
      <c r="A1945" s="23" t="n">
        <f aca="false">Report!C2527</f>
        <v>46274</v>
      </c>
      <c r="B1945" s="1" t="str">
        <f aca="false">Report!E2527</f>
        <v>L. J. DA SILVA LTDA</v>
      </c>
      <c r="C1945" s="17" t="n">
        <f aca="false">Report!U2527</f>
        <v>1334.15</v>
      </c>
      <c r="D1945" s="1" t="str">
        <f aca="false">Report!X2527</f>
        <v>NF 49329-B/C  NF37328 - MILKA</v>
      </c>
    </row>
    <row r="1946" customFormat="false" ht="12.75" hidden="false" customHeight="true" outlineLevel="0" collapsed="false">
      <c r="A1946" s="23" t="n">
        <f aca="false">Report!C2528</f>
        <v>46274</v>
      </c>
      <c r="B1946" s="1" t="str">
        <f aca="false">Report!E2528</f>
        <v>NESTLÉ BRASIL LTDA.</v>
      </c>
      <c r="C1946" s="17" t="n">
        <f aca="false">Report!U2528</f>
        <v>4825.35</v>
      </c>
      <c r="D1946" s="1" t="str">
        <f aca="false">Report!X2528</f>
        <v>NF 1441035 - MILKA</v>
      </c>
    </row>
    <row r="1947" customFormat="false" ht="12.75" hidden="false" customHeight="true" outlineLevel="0" collapsed="false">
      <c r="A1947" s="23" t="n">
        <f aca="false">Report!C2533</f>
        <v>46275</v>
      </c>
      <c r="B1947" s="1" t="str">
        <f aca="false">Report!E2533</f>
        <v>FUNNY PET DISTRIBUIDORA DE ALIMENTOS PAR</v>
      </c>
      <c r="C1947" s="17" t="n">
        <f aca="false">Report!U2533</f>
        <v>1725.68</v>
      </c>
      <c r="D1947" s="1" t="str">
        <f aca="false">Report!X2533</f>
        <v>NF 20459-1 MILKA</v>
      </c>
    </row>
    <row r="1948" customFormat="false" ht="12.75" hidden="false" customHeight="true" outlineLevel="0" collapsed="false">
      <c r="A1948" s="23" t="n">
        <f aca="false">Report!C2542</f>
        <v>46275</v>
      </c>
      <c r="B1948" s="1" t="str">
        <f aca="false">Report!E2542</f>
        <v>SUPERMERCADOS DB LTDA</v>
      </c>
      <c r="C1948" s="17" t="n">
        <f aca="false">Report!U2542</f>
        <v>319.2</v>
      </c>
      <c r="D1948" s="1" t="str">
        <f aca="false">Report!X2542</f>
        <v>NF51412 / PARC. 02/03  - MILKA</v>
      </c>
    </row>
    <row r="1949" customFormat="false" ht="12.75" hidden="false" customHeight="true" outlineLevel="0" collapsed="false">
      <c r="A1949" s="23" t="n">
        <f aca="false">Report!C2547</f>
        <v>46275</v>
      </c>
      <c r="B1949" s="1" t="str">
        <f aca="false">Report!E2547</f>
        <v>FUNNY PET DISTRIBUIDORA DE ALIMENTOS PAR</v>
      </c>
      <c r="C1949" s="17" t="n">
        <f aca="false">Report!U2547</f>
        <v>3429</v>
      </c>
      <c r="D1949" s="1" t="str">
        <f aca="false">Report!X2547</f>
        <v>NF 21578-2 MILKA</v>
      </c>
    </row>
    <row r="1950" customFormat="false" ht="12.75" hidden="false" customHeight="true" outlineLevel="0" collapsed="false">
      <c r="A1950" s="23" t="n">
        <f aca="false">Report!C2550</f>
        <v>46275</v>
      </c>
      <c r="B1950" s="1" t="str">
        <f aca="false">Report!E2550</f>
        <v>ADRIANA DISTRIBUIDORA DE PRODUTOS ALIMEN</v>
      </c>
      <c r="C1950" s="17" t="n">
        <f aca="false">Report!U2550</f>
        <v>345.95</v>
      </c>
      <c r="D1950" s="1" t="str">
        <f aca="false">Report!X2550</f>
        <v>NF 889987-3 MILKA</v>
      </c>
    </row>
    <row r="1951" customFormat="false" ht="12.75" hidden="false" customHeight="true" outlineLevel="0" collapsed="false">
      <c r="A1951" s="23" t="n">
        <f aca="false">Report!C2551</f>
        <v>46275</v>
      </c>
      <c r="B1951" s="1" t="str">
        <f aca="false">Report!E2551</f>
        <v>SMV COMERCIO DE PRODUTOS ALIMENTICIOS LT</v>
      </c>
      <c r="C1951" s="17" t="n">
        <f aca="false">Report!U2551</f>
        <v>463.74</v>
      </c>
      <c r="D1951" s="1" t="str">
        <f aca="false">Report!X2551</f>
        <v>7520-1/3  NF7184 - MILKA</v>
      </c>
    </row>
    <row r="1952" customFormat="false" ht="12.75" hidden="false" customHeight="true" outlineLevel="0" collapsed="false">
      <c r="A1952" s="23" t="n">
        <f aca="false">Report!C2553</f>
        <v>46275</v>
      </c>
      <c r="B1952" s="1" t="str">
        <f aca="false">Report!E2553</f>
        <v>FENNIX BRASIL DISTRIBUIDORA DE PRODUTOS</v>
      </c>
      <c r="C1952" s="17" t="n">
        <f aca="false">Report!U2553</f>
        <v>760.27</v>
      </c>
      <c r="D1952" s="1" t="str">
        <f aca="false">Report!X2553</f>
        <v>NF  398226 -2 MILKA</v>
      </c>
    </row>
    <row r="1953" customFormat="false" ht="12.75" hidden="false" customHeight="true" outlineLevel="0" collapsed="false">
      <c r="A1953" s="23" t="n">
        <f aca="false">Report!C2554</f>
        <v>46275</v>
      </c>
      <c r="B1953" s="1" t="str">
        <f aca="false">Report!E2554</f>
        <v>E. SALES DO NASCIMENTO</v>
      </c>
      <c r="C1953" s="17" t="n">
        <f aca="false">Report!U2554</f>
        <v>507.29</v>
      </c>
      <c r="D1953" s="1" t="str">
        <f aca="false">Report!X2554</f>
        <v>NF 799-03 ARENA  AGROPET - MILKA</v>
      </c>
    </row>
    <row r="1954" customFormat="false" ht="12.75" hidden="false" customHeight="true" outlineLevel="0" collapsed="false">
      <c r="A1954" s="23" t="n">
        <f aca="false">Report!C2555</f>
        <v>46275</v>
      </c>
      <c r="B1954" s="1" t="str">
        <f aca="false">Report!E2555</f>
        <v>SB COMERCIO LTDA</v>
      </c>
      <c r="C1954" s="17" t="n">
        <f aca="false">Report!U2555</f>
        <v>1236.25</v>
      </c>
      <c r="D1954" s="1" t="str">
        <f aca="false">Report!X2555</f>
        <v>NF 1965727 -1 MILKA</v>
      </c>
    </row>
    <row r="1955" customFormat="false" ht="12.75" hidden="false" customHeight="true" outlineLevel="0" collapsed="false">
      <c r="A1955" s="23" t="n">
        <f aca="false">Report!C2557</f>
        <v>46275</v>
      </c>
      <c r="B1955" s="1" t="str">
        <f aca="false">Report!E2557</f>
        <v>TAPAJOS COM DE PERFUMARIA COSMETICOS E G</v>
      </c>
      <c r="C1955" s="17" t="n">
        <f aca="false">Report!U2557</f>
        <v>1586.84</v>
      </c>
      <c r="D1955" s="1" t="str">
        <f aca="false">Report!X2557</f>
        <v>NF 586417-3 C/TARIFA - MILKA</v>
      </c>
    </row>
    <row r="1956" customFormat="false" ht="12.75" hidden="false" customHeight="true" outlineLevel="0" collapsed="false">
      <c r="A1956" s="23" t="n">
        <f aca="false">Report!C2558</f>
        <v>46275</v>
      </c>
      <c r="B1956" s="1" t="str">
        <f aca="false">Report!E2558</f>
        <v>VIA CERTA IMPORTACAO E DISTRIBUICAO DE A</v>
      </c>
      <c r="C1956" s="17" t="n">
        <f aca="false">Report!U2558</f>
        <v>789.33</v>
      </c>
      <c r="D1956" s="1" t="str">
        <f aca="false">Report!X2558</f>
        <v>NF 54213-2 MILKA</v>
      </c>
    </row>
    <row r="1957" customFormat="false" ht="12.75" hidden="false" customHeight="true" outlineLevel="0" collapsed="false">
      <c r="A1957" s="23" t="n">
        <f aca="false">Report!C2559</f>
        <v>46275</v>
      </c>
      <c r="B1957" s="1" t="str">
        <f aca="false">Report!E2559</f>
        <v>DUNORTE DISTRIBUIDORA DE PRODUTOS DE CONSUMO LTDA</v>
      </c>
      <c r="C1957" s="17" t="n">
        <f aca="false">Report!U2559</f>
        <v>1180.7</v>
      </c>
      <c r="D1957" s="1" t="str">
        <f aca="false">Report!X2559</f>
        <v>NF 3239532-2 MILKA</v>
      </c>
    </row>
    <row r="1958" customFormat="false" ht="12.75" hidden="false" customHeight="true" outlineLevel="0" collapsed="false">
      <c r="A1958" s="23" t="n">
        <f aca="false">Report!C2560</f>
        <v>46275</v>
      </c>
      <c r="B1958" s="1" t="str">
        <f aca="false">Report!E2560</f>
        <v>TRES CORACOES ALIMENTOS S.A.</v>
      </c>
      <c r="C1958" s="17" t="n">
        <f aca="false">Report!U2560</f>
        <v>1581.44</v>
      </c>
      <c r="D1958" s="1" t="str">
        <f aca="false">Report!X2560</f>
        <v>NF 357973 -2 MILKA</v>
      </c>
    </row>
    <row r="1959" customFormat="false" ht="12.75" hidden="false" customHeight="true" outlineLevel="0" collapsed="false">
      <c r="A1959" s="23" t="n">
        <f aca="false">Report!C2561</f>
        <v>46275</v>
      </c>
      <c r="B1959" s="1" t="str">
        <f aca="false">Report!E2561</f>
        <v>OCIDENTAL COMERCIO DE FRIOS LTDA</v>
      </c>
      <c r="C1959" s="17" t="n">
        <f aca="false">Report!U2561</f>
        <v>946.39</v>
      </c>
      <c r="D1959" s="1" t="str">
        <f aca="false">Report!X2561</f>
        <v>NF 1261295 - MILKA</v>
      </c>
    </row>
    <row r="1960" customFormat="false" ht="12.75" hidden="false" customHeight="true" outlineLevel="0" collapsed="false">
      <c r="A1960" s="23" t="n">
        <f aca="false">Report!C2563</f>
        <v>46276</v>
      </c>
      <c r="B1960" s="1" t="str">
        <f aca="false">Report!E2563</f>
        <v>FUNNY PET DISTRIBUIDORA DE ALIMENTOS PAR</v>
      </c>
      <c r="C1960" s="17" t="n">
        <f aca="false">Report!U2563</f>
        <v>8427.07</v>
      </c>
      <c r="D1960" s="1" t="str">
        <f aca="false">Report!X2563</f>
        <v>NF 20498-3 MILKA</v>
      </c>
    </row>
    <row r="1961" customFormat="false" ht="12.75" hidden="false" customHeight="true" outlineLevel="0" collapsed="false">
      <c r="A1961" s="23" t="n">
        <f aca="false">Report!C2564</f>
        <v>46276</v>
      </c>
      <c r="B1961" s="1" t="str">
        <f aca="false">Report!E2564</f>
        <v>SMV COMERCIO DE PRODUTOS ALIMENTICIOS LT</v>
      </c>
      <c r="C1961" s="17" t="n">
        <f aca="false">Report!U2564</f>
        <v>548.94</v>
      </c>
      <c r="D1961" s="1" t="str">
        <f aca="false">Report!X2564</f>
        <v>7226-2/2  NF6933 - MILKA</v>
      </c>
    </row>
    <row r="1962" customFormat="false" ht="12.75" hidden="false" customHeight="true" outlineLevel="0" collapsed="false">
      <c r="A1962" s="23" t="n">
        <f aca="false">Report!C2565</f>
        <v>46276</v>
      </c>
      <c r="B1962" s="1" t="str">
        <f aca="false">Report!E2565</f>
        <v>OESA COMERCIO E REPRESENTACOES S/A</v>
      </c>
      <c r="C1962" s="17" t="n">
        <f aca="false">Report!U2565</f>
        <v>1099.43</v>
      </c>
      <c r="D1962" s="1" t="str">
        <f aca="false">Report!X2565</f>
        <v>NF 439388-3 MILKA</v>
      </c>
    </row>
    <row r="1963" customFormat="false" ht="12.75" hidden="false" customHeight="true" outlineLevel="0" collapsed="false">
      <c r="A1963" s="23" t="n">
        <f aca="false">Report!C2566</f>
        <v>46276</v>
      </c>
      <c r="B1963" s="1" t="str">
        <f aca="false">Report!E2566</f>
        <v>DUNORTE DISTRIBUIDORA DE PRODUTOS DE CONSUMO LTDA</v>
      </c>
      <c r="C1963" s="17" t="n">
        <f aca="false">Report!U2566</f>
        <v>808.96</v>
      </c>
      <c r="D1963" s="1" t="str">
        <f aca="false">Report!X2566</f>
        <v>NF 3237032-2 C/TARIFA  MILKA</v>
      </c>
    </row>
    <row r="1964" customFormat="false" ht="12.75" hidden="false" customHeight="true" outlineLevel="0" collapsed="false">
      <c r="A1964" s="23" t="n">
        <f aca="false">Report!C2567</f>
        <v>46276</v>
      </c>
      <c r="B1964" s="1" t="str">
        <f aca="false">Report!E2567</f>
        <v>BRASIL NORTE BEBIDAS S/A</v>
      </c>
      <c r="C1964" s="17" t="n">
        <f aca="false">Report!U2567</f>
        <v>128.51</v>
      </c>
      <c r="D1964" s="1" t="str">
        <f aca="false">Report!X2567</f>
        <v>NF 1250843 COCA - MILKA</v>
      </c>
    </row>
    <row r="1965" customFormat="false" ht="12.75" hidden="false" customHeight="true" outlineLevel="0" collapsed="false">
      <c r="A1965" s="23" t="n">
        <f aca="false">Report!C2568</f>
        <v>46276</v>
      </c>
      <c r="B1965" s="1" t="str">
        <f aca="false">Report!E2568</f>
        <v>PIARARA COMERCIO, IMPORTACAO E EXPORTACAO LTDA</v>
      </c>
      <c r="C1965" s="17" t="n">
        <f aca="false">Report!U2568</f>
        <v>792.22</v>
      </c>
      <c r="D1965" s="1" t="str">
        <f aca="false">Report!X2568</f>
        <v>NF 195456-3 MILKA</v>
      </c>
    </row>
    <row r="1966" customFormat="false" ht="12.75" hidden="false" customHeight="true" outlineLevel="0" collapsed="false">
      <c r="A1966" s="23" t="n">
        <f aca="false">Report!C2569</f>
        <v>46276</v>
      </c>
      <c r="B1966" s="1" t="str">
        <f aca="false">Report!E2569</f>
        <v>L S M COMERCIO DE ALIMENTOS E NAVEGACAO</v>
      </c>
      <c r="C1966" s="17" t="n">
        <f aca="false">Report!U2569</f>
        <v>633</v>
      </c>
      <c r="D1966" s="1" t="str">
        <f aca="false">Report!X2569</f>
        <v>NF 311353-2 MILKA</v>
      </c>
    </row>
    <row r="1967" customFormat="false" ht="12.75" hidden="false" customHeight="true" outlineLevel="0" collapsed="false">
      <c r="A1967" s="23" t="n">
        <f aca="false">Report!C2570</f>
        <v>46276</v>
      </c>
      <c r="B1967" s="1" t="str">
        <f aca="false">Report!E2570</f>
        <v>FH DISTRIBUIDORA DE ALIM. E BEBIDAS LTDA</v>
      </c>
      <c r="C1967" s="17" t="n">
        <f aca="false">Report!U2570</f>
        <v>1232.16</v>
      </c>
      <c r="D1967" s="1" t="str">
        <f aca="false">Report!X2570</f>
        <v>NF 330734-2 MILKA</v>
      </c>
    </row>
    <row r="1968" customFormat="false" ht="12.75" hidden="false" customHeight="true" outlineLevel="0" collapsed="false">
      <c r="A1968" s="23" t="n">
        <f aca="false">Report!C2571</f>
        <v>46276</v>
      </c>
      <c r="B1968" s="1" t="str">
        <f aca="false">Report!E2571</f>
        <v>ADRIANA DISTRIBUIDORA DE PRODUTOS ALIMEN</v>
      </c>
      <c r="C1968" s="17" t="n">
        <f aca="false">Report!U2571</f>
        <v>1167.29</v>
      </c>
      <c r="D1968" s="1" t="str">
        <f aca="false">Report!X2571</f>
        <v>NF 891630-2 MILKA</v>
      </c>
    </row>
    <row r="1969" customFormat="false" ht="12.75" hidden="false" customHeight="true" outlineLevel="0" collapsed="false">
      <c r="A1969" s="23" t="n">
        <f aca="false">Report!C2572</f>
        <v>46276</v>
      </c>
      <c r="B1969" s="1" t="str">
        <f aca="false">Report!E2572</f>
        <v>FENNIX BRASIL DISTRIBUIDORA DE PRODUTOS</v>
      </c>
      <c r="C1969" s="17" t="n">
        <f aca="false">Report!U2572</f>
        <v>684.26</v>
      </c>
      <c r="D1969" s="1" t="str">
        <f aca="false">Report!X2572</f>
        <v>NF 398654 -2 TARIFA INCLUSA - MILKA</v>
      </c>
    </row>
    <row r="1970" customFormat="false" ht="12.75" hidden="false" customHeight="true" outlineLevel="0" collapsed="false">
      <c r="A1970" s="23" t="n">
        <f aca="false">Report!C2573</f>
        <v>46276</v>
      </c>
      <c r="B1970" s="1" t="str">
        <f aca="false">Report!E2573</f>
        <v>EMPRESA BRASILEIRA DE DISTRIBUICAO LTDA</v>
      </c>
      <c r="C1970" s="17" t="n">
        <f aca="false">Report!U2573</f>
        <v>734</v>
      </c>
      <c r="D1970" s="1" t="str">
        <f aca="false">Report!X2573</f>
        <v>NF 2312016 - MILKA</v>
      </c>
    </row>
    <row r="1971" customFormat="false" ht="12.75" hidden="false" customHeight="true" outlineLevel="0" collapsed="false">
      <c r="A1971" s="23" t="n">
        <f aca="false">Report!C2576</f>
        <v>46277</v>
      </c>
      <c r="B1971" s="1" t="str">
        <f aca="false">Report!E2576</f>
        <v>M H DE S COSTA GARCIA EPP</v>
      </c>
      <c r="C1971" s="17" t="n">
        <f aca="false">Report!U2576</f>
        <v>875.7</v>
      </c>
      <c r="D1971" s="1" t="str">
        <f aca="false">Report!X2576</f>
        <v>NF 248020 OURO VERDE - MILKA</v>
      </c>
    </row>
    <row r="1972" customFormat="false" ht="12.75" hidden="false" customHeight="true" outlineLevel="0" collapsed="false">
      <c r="A1972" s="23" t="n">
        <f aca="false">Report!C2577</f>
        <v>46277</v>
      </c>
      <c r="B1972" s="1" t="str">
        <f aca="false">Report!E2577</f>
        <v>DISTRIBUIDORA FARIAS LTDA.</v>
      </c>
      <c r="C1972" s="17" t="n">
        <f aca="false">Report!U2577</f>
        <v>396.53</v>
      </c>
      <c r="D1972" s="1" t="str">
        <f aca="false">Report!X2577</f>
        <v>815076-B/C  NF690674 - MILKA</v>
      </c>
    </row>
    <row r="1973" customFormat="false" ht="12.75" hidden="false" customHeight="true" outlineLevel="0" collapsed="false">
      <c r="A1973" s="23" t="n">
        <f aca="false">Report!C2579</f>
        <v>46278</v>
      </c>
      <c r="B1973" s="1" t="str">
        <f aca="false">Report!E2579</f>
        <v>PRIME PET DISTRIBUIDORA LTDA</v>
      </c>
      <c r="C1973" s="17" t="n">
        <f aca="false">Report!U2579</f>
        <v>1849.44</v>
      </c>
      <c r="D1973" s="1" t="str">
        <f aca="false">Report!X2579</f>
        <v>NF 11002-06/07 MILKA </v>
      </c>
    </row>
    <row r="1974" customFormat="false" ht="12.75" hidden="false" customHeight="true" outlineLevel="0" collapsed="false">
      <c r="A1974" s="23" t="n">
        <f aca="false">Report!C2583</f>
        <v>46278</v>
      </c>
      <c r="B1974" s="1" t="str">
        <f aca="false">Report!E2583</f>
        <v>J. A. F. DE LIMA</v>
      </c>
      <c r="C1974" s="17" t="n">
        <f aca="false">Report!U2583</f>
        <v>1127.55</v>
      </c>
      <c r="D1974" s="1" t="str">
        <f aca="false">Report!X2583</f>
        <v>NF 160299-2 MILKA</v>
      </c>
    </row>
    <row r="1975" customFormat="false" ht="12.75" hidden="false" customHeight="true" outlineLevel="0" collapsed="false">
      <c r="A1975" s="23" t="n">
        <f aca="false">Report!C2584</f>
        <v>46279</v>
      </c>
      <c r="B1975" s="1" t="str">
        <f aca="false">Report!E2584</f>
        <v>ATACADAO S.A.</v>
      </c>
      <c r="C1975" s="17" t="n">
        <f aca="false">Report!U2584</f>
        <v>868.6</v>
      </c>
      <c r="D1975" s="1" t="str">
        <f aca="false">Report!X2584</f>
        <v>NF 1917924 - MILKA</v>
      </c>
    </row>
    <row r="1976" customFormat="false" ht="12.75" hidden="false" customHeight="true" outlineLevel="0" collapsed="false">
      <c r="A1976" s="23" t="n">
        <f aca="false">Report!C2585</f>
        <v>46279</v>
      </c>
      <c r="B1976" s="1" t="str">
        <f aca="false">Report!E2585</f>
        <v>ATACADAO S.A.</v>
      </c>
      <c r="C1976" s="17" t="n">
        <f aca="false">Report!U2585</f>
        <v>428.17</v>
      </c>
      <c r="D1976" s="1" t="str">
        <f aca="false">Report!X2585</f>
        <v>NF 1917927 - MILKA</v>
      </c>
    </row>
    <row r="1977" customFormat="false" ht="12.75" hidden="false" customHeight="true" outlineLevel="0" collapsed="false">
      <c r="A1977" s="23" t="n">
        <f aca="false">Report!C2586</f>
        <v>46279</v>
      </c>
      <c r="B1977" s="1" t="str">
        <f aca="false">Report!E2586</f>
        <v>L S M COMERCIO DE ALIMENTOS E NAVEGACAO</v>
      </c>
      <c r="C1977" s="17" t="n">
        <f aca="false">Report!U2586</f>
        <v>1256.36</v>
      </c>
      <c r="D1977" s="1" t="str">
        <f aca="false">Report!X2586</f>
        <v>NF 311117-3 MILKA</v>
      </c>
    </row>
    <row r="1978" customFormat="false" ht="12.75" hidden="false" customHeight="true" outlineLevel="0" collapsed="false">
      <c r="A1978" s="23" t="n">
        <f aca="false">Report!C2587</f>
        <v>46279</v>
      </c>
      <c r="B1978" s="1" t="str">
        <f aca="false">Report!E2587</f>
        <v>BF COMERCIO DE ALIMENTOS REPRESENTACAO L</v>
      </c>
      <c r="C1978" s="17" t="n">
        <f aca="false">Report!U2587</f>
        <v>677.63</v>
      </c>
      <c r="D1978" s="1" t="str">
        <f aca="false">Report!X2587</f>
        <v>13724-B/B  NF21280 - MILKA</v>
      </c>
    </row>
    <row r="1979" customFormat="false" ht="12.75" hidden="false" customHeight="true" outlineLevel="0" collapsed="false">
      <c r="A1979" s="23" t="n">
        <f aca="false">Report!C2588</f>
        <v>46279</v>
      </c>
      <c r="B1979" s="1" t="str">
        <f aca="false">Report!E2588</f>
        <v>ATACADAO S.A.</v>
      </c>
      <c r="C1979" s="17" t="n">
        <f aca="false">Report!U2588</f>
        <v>1096.94</v>
      </c>
      <c r="D1979" s="1" t="str">
        <f aca="false">Report!X2588</f>
        <v>NF 1921244 - MILKA</v>
      </c>
    </row>
    <row r="1980" customFormat="false" ht="12.75" hidden="false" customHeight="true" outlineLevel="0" collapsed="false">
      <c r="A1980" s="23" t="n">
        <f aca="false">Report!C2589</f>
        <v>46279</v>
      </c>
      <c r="B1980" s="1" t="str">
        <f aca="false">Report!E2589</f>
        <v>FENNIX BRASIL DISTRIBUIDORA DE PRODUTOS</v>
      </c>
      <c r="C1980" s="17" t="n">
        <f aca="false">Report!U2589</f>
        <v>989.33</v>
      </c>
      <c r="D1980" s="1" t="str">
        <f aca="false">Report!X2589</f>
        <v>NF 317365-3 MILKA</v>
      </c>
    </row>
    <row r="1981" customFormat="false" ht="12.75" hidden="false" customHeight="true" outlineLevel="0" collapsed="false">
      <c r="A1981" s="23" t="n">
        <f aca="false">Report!C2590</f>
        <v>46279</v>
      </c>
      <c r="B1981" s="1" t="str">
        <f aca="false">Report!E2590</f>
        <v>DURAES DISTRIBUIDORA DE ESTIVAS LTDA</v>
      </c>
      <c r="C1981" s="17" t="n">
        <f aca="false">Report!U2590</f>
        <v>573.72</v>
      </c>
      <c r="D1981" s="1" t="str">
        <f aca="false">Report!X2590</f>
        <v>NF 654912-3 MILKA</v>
      </c>
    </row>
    <row r="1982" customFormat="false" ht="12.75" hidden="false" customHeight="true" outlineLevel="0" collapsed="false">
      <c r="A1982" s="23" t="n">
        <f aca="false">Report!C2591</f>
        <v>46279</v>
      </c>
      <c r="B1982" s="1" t="str">
        <f aca="false">Report!E2591</f>
        <v>DURAES DISTRIBUIDORA DE ESTIVAS LTDA</v>
      </c>
      <c r="C1982" s="17" t="n">
        <f aca="false">Report!U2591</f>
        <v>759.74</v>
      </c>
      <c r="D1982" s="1" t="str">
        <f aca="false">Report!X2591</f>
        <v>NF 654913-3  MILKA</v>
      </c>
    </row>
    <row r="1983" customFormat="false" ht="12.75" hidden="false" customHeight="true" outlineLevel="0" collapsed="false">
      <c r="A1983" s="23" t="n">
        <f aca="false">Report!C2592</f>
        <v>46279</v>
      </c>
      <c r="B1983" s="1" t="str">
        <f aca="false">Report!E2592</f>
        <v>FORTVET DISTRIBUIDORA LTDA</v>
      </c>
      <c r="C1983" s="17" t="n">
        <f aca="false">Report!U2592</f>
        <v>733.07</v>
      </c>
      <c r="D1983" s="1" t="str">
        <f aca="false">Report!X2592</f>
        <v>NF3216-2 MILKA</v>
      </c>
    </row>
    <row r="1984" customFormat="false" ht="12.75" hidden="false" customHeight="true" outlineLevel="0" collapsed="false">
      <c r="A1984" s="23" t="n">
        <f aca="false">Report!C2593</f>
        <v>46279</v>
      </c>
      <c r="B1984" s="1" t="str">
        <f aca="false">Report!E2593</f>
        <v>FORTVET DISTRIBUIDORA LTDA</v>
      </c>
      <c r="C1984" s="17" t="n">
        <f aca="false">Report!U2593</f>
        <v>477.65</v>
      </c>
      <c r="D1984" s="1" t="str">
        <f aca="false">Report!X2593</f>
        <v>NF 3215-2 MILKA</v>
      </c>
    </row>
    <row r="1985" customFormat="false" ht="12.75" hidden="false" customHeight="true" outlineLevel="0" collapsed="false">
      <c r="A1985" s="23" t="n">
        <f aca="false">Report!C2594</f>
        <v>46279</v>
      </c>
      <c r="B1985" s="1" t="str">
        <f aca="false">Report!E2594</f>
        <v>MARCLEY MACHADO CHAVES</v>
      </c>
      <c r="C1985" s="17" t="n">
        <f aca="false">Report!U2594</f>
        <v>651.32</v>
      </c>
      <c r="D1985" s="1" t="str">
        <f aca="false">Report!X2594</f>
        <v>NF 3582 - 2 MILKA</v>
      </c>
    </row>
    <row r="1986" customFormat="false" ht="12.75" hidden="false" customHeight="true" outlineLevel="0" collapsed="false">
      <c r="A1986" s="23" t="n">
        <f aca="false">Report!C2595</f>
        <v>46279</v>
      </c>
      <c r="B1986" s="1" t="str">
        <f aca="false">Report!E2595</f>
        <v>SABIA COMERCIO DE COSMETICOS LTDA</v>
      </c>
      <c r="C1986" s="17" t="n">
        <f aca="false">Report!U2595</f>
        <v>614.06</v>
      </c>
      <c r="D1986" s="1" t="str">
        <f aca="false">Report!X2595</f>
        <v>NF 255211-3 MILKA</v>
      </c>
    </row>
    <row r="1987" customFormat="false" ht="12.75" hidden="false" customHeight="true" outlineLevel="0" collapsed="false">
      <c r="A1987" s="23" t="n">
        <f aca="false">Report!C2600</f>
        <v>46280</v>
      </c>
      <c r="B1987" s="1" t="str">
        <f aca="false">Report!E2600</f>
        <v>ATACADAO S.A.</v>
      </c>
      <c r="C1987" s="17" t="n">
        <f aca="false">Report!U2600</f>
        <v>1800.08</v>
      </c>
      <c r="D1987" s="1" t="str">
        <f aca="false">Report!X2600</f>
        <v>NF 1919061 - MILKA</v>
      </c>
    </row>
    <row r="1988" customFormat="false" ht="12.75" hidden="false" customHeight="true" outlineLevel="0" collapsed="false">
      <c r="A1988" s="23" t="n">
        <f aca="false">Report!C2601</f>
        <v>46280</v>
      </c>
      <c r="B1988" s="1" t="str">
        <f aca="false">Report!E2601</f>
        <v>NATUREZA COMERCIO DE DESCARTAVEIS LTDA</v>
      </c>
      <c r="C1988" s="17" t="n">
        <f aca="false">Report!U2601</f>
        <v>738.09</v>
      </c>
      <c r="D1988" s="1" t="str">
        <f aca="false">Report!X2601</f>
        <v>NF 30750 - MILKA</v>
      </c>
    </row>
    <row r="1989" customFormat="false" ht="12.75" hidden="false" customHeight="true" outlineLevel="0" collapsed="false">
      <c r="A1989" s="23" t="n">
        <f aca="false">Report!C2602</f>
        <v>46280</v>
      </c>
      <c r="B1989" s="1" t="str">
        <f aca="false">Report!E2602</f>
        <v>NATUREZA COMERCIO DE DESCARTAVEIS LTDA</v>
      </c>
      <c r="C1989" s="17" t="n">
        <f aca="false">Report!U2602</f>
        <v>983.08</v>
      </c>
      <c r="D1989" s="1" t="str">
        <f aca="false">Report!X2602</f>
        <v>NF750484-3 MILKA</v>
      </c>
    </row>
    <row r="1990" customFormat="false" ht="12.75" hidden="false" customHeight="true" outlineLevel="0" collapsed="false">
      <c r="A1990" s="23" t="n">
        <f aca="false">Report!C2604</f>
        <v>46280</v>
      </c>
      <c r="B1990" s="1" t="str">
        <f aca="false">Report!E2604</f>
        <v>IRMÃOS LIMA  ATACADO  DE ALIMENTOS LTDA</v>
      </c>
      <c r="C1990" s="17" t="n">
        <f aca="false">Report!U2604</f>
        <v>1062.06</v>
      </c>
      <c r="D1990" s="1" t="str">
        <f aca="false">Report!X2604</f>
        <v>378915-C/C  NF297570 - MILKA</v>
      </c>
    </row>
    <row r="1991" customFormat="false" ht="12.75" hidden="false" customHeight="true" outlineLevel="0" collapsed="false">
      <c r="A1991" s="23" t="n">
        <f aca="false">Report!C2605</f>
        <v>46281</v>
      </c>
      <c r="B1991" s="1" t="str">
        <f aca="false">Report!E2605</f>
        <v>PRIME PET DISTRIBUIDORA LTDA</v>
      </c>
      <c r="C1991" s="17" t="n">
        <f aca="false">Report!U2605</f>
        <v>911.85</v>
      </c>
      <c r="D1991" s="1" t="str">
        <f aca="false">Report!X2605</f>
        <v>NF 11134 -04/06  MILKA</v>
      </c>
    </row>
    <row r="1992" customFormat="false" ht="12.75" hidden="false" customHeight="true" outlineLevel="0" collapsed="false">
      <c r="A1992" s="23" t="n">
        <f aca="false">Report!C2606</f>
        <v>46281</v>
      </c>
      <c r="B1992" s="1" t="str">
        <f aca="false">Report!E2606</f>
        <v>FUNNY PET DISTRIBUIDORA DE ALIMENTOS PAR</v>
      </c>
      <c r="C1992" s="17" t="n">
        <f aca="false">Report!U2606</f>
        <v>3458.9</v>
      </c>
      <c r="D1992" s="1" t="str">
        <f aca="false">Report!X2606</f>
        <v>NF 21188 -4 MILKA</v>
      </c>
    </row>
    <row r="1993" customFormat="false" ht="12.75" hidden="false" customHeight="true" outlineLevel="0" collapsed="false">
      <c r="A1993" s="23" t="n">
        <f aca="false">Report!C2607</f>
        <v>46281</v>
      </c>
      <c r="B1993" s="1" t="str">
        <f aca="false">Report!E2607</f>
        <v>OESA COMERCIO E REPRESENTACOES S/A</v>
      </c>
      <c r="C1993" s="17" t="n">
        <f aca="false">Report!U2607</f>
        <v>836.55</v>
      </c>
      <c r="D1993" s="1" t="str">
        <f aca="false">Report!X2607</f>
        <v>NF 441856 -3 MILKA</v>
      </c>
    </row>
    <row r="1994" customFormat="false" ht="12.75" hidden="false" customHeight="true" outlineLevel="0" collapsed="false">
      <c r="A1994" s="23" t="n">
        <f aca="false">Report!C2608</f>
        <v>46281</v>
      </c>
      <c r="B1994" s="1" t="str">
        <f aca="false">Report!E2608</f>
        <v>EMPRESA BRASILEIRA DE DISTRIBUICAO LTDA</v>
      </c>
      <c r="C1994" s="17" t="n">
        <f aca="false">Report!U2608</f>
        <v>1200.77</v>
      </c>
      <c r="D1994" s="1" t="str">
        <f aca="false">Report!X2608</f>
        <v>NF 2309729-3 MILKA</v>
      </c>
    </row>
    <row r="1995" customFormat="false" ht="12.75" hidden="false" customHeight="true" outlineLevel="0" collapsed="false">
      <c r="A1995" s="23" t="n">
        <f aca="false">Report!C2609</f>
        <v>46281</v>
      </c>
      <c r="B1995" s="1" t="str">
        <f aca="false">Report!E2609</f>
        <v>MARTINS COM SERV DISTR SA</v>
      </c>
      <c r="C1995" s="17" t="n">
        <f aca="false">Report!U2609</f>
        <v>754.67</v>
      </c>
      <c r="D1995" s="1" t="str">
        <f aca="false">Report!X2609</f>
        <v>18651431  NF1791736/NF1791737 - MILKA</v>
      </c>
    </row>
    <row r="1996" customFormat="false" ht="12.75" hidden="false" customHeight="true" outlineLevel="0" collapsed="false">
      <c r="A1996" s="23" t="n">
        <f aca="false">Report!C2610</f>
        <v>46281</v>
      </c>
      <c r="B1996" s="1" t="str">
        <f aca="false">Report!E2610</f>
        <v>DISTRIBUIDORA LOPES LTDA</v>
      </c>
      <c r="C1996" s="17" t="n">
        <f aca="false">Report!U2610</f>
        <v>932.55</v>
      </c>
      <c r="D1996" s="1" t="str">
        <f aca="false">Report!X2610</f>
        <v>NF 1713960 -3 MILKA</v>
      </c>
    </row>
    <row r="1997" customFormat="false" ht="12.75" hidden="false" customHeight="true" outlineLevel="0" collapsed="false">
      <c r="A1997" s="23" t="n">
        <f aca="false">Report!C2611</f>
        <v>46281</v>
      </c>
      <c r="B1997" s="1" t="str">
        <f aca="false">Report!E2611</f>
        <v>DISTRIBUIDORA LOPES LTDA</v>
      </c>
      <c r="C1997" s="17" t="n">
        <f aca="false">Report!U2611</f>
        <v>952.02</v>
      </c>
      <c r="D1997" s="1" t="str">
        <f aca="false">Report!X2611</f>
        <v>NF 1713862 -3 MILKA</v>
      </c>
    </row>
    <row r="1998" customFormat="false" ht="12.75" hidden="false" customHeight="true" outlineLevel="0" collapsed="false">
      <c r="A1998" s="23" t="n">
        <f aca="false">Report!C2612</f>
        <v>46281</v>
      </c>
      <c r="B1998" s="1" t="str">
        <f aca="false">Report!E2612</f>
        <v>BRASIL NORTE BEBIDAS S/A</v>
      </c>
      <c r="C1998" s="17" t="n">
        <f aca="false">Report!U2612</f>
        <v>39.76</v>
      </c>
      <c r="D1998" s="1" t="str">
        <f aca="false">Report!X2612</f>
        <v>NF 1255654 COCA - MILKA</v>
      </c>
    </row>
    <row r="1999" customFormat="false" ht="12.75" hidden="false" customHeight="true" outlineLevel="0" collapsed="false">
      <c r="A1999" s="23" t="n">
        <f aca="false">Report!C2613</f>
        <v>46281</v>
      </c>
      <c r="B1999" s="1" t="str">
        <f aca="false">Report!E2613</f>
        <v>CIMED &amp; CO. S.A</v>
      </c>
      <c r="C1999" s="17" t="n">
        <f aca="false">Report!U2613</f>
        <v>360.48</v>
      </c>
      <c r="D1999" s="1" t="str">
        <f aca="false">Report!X2613</f>
        <v>NF 57187 - MILKA</v>
      </c>
    </row>
    <row r="2000" customFormat="false" ht="12.75" hidden="false" customHeight="true" outlineLevel="0" collapsed="false">
      <c r="A2000" s="23" t="n">
        <f aca="false">Report!C2614</f>
        <v>46281</v>
      </c>
      <c r="B2000" s="1" t="str">
        <f aca="false">Report!E2614</f>
        <v>L. J. DA SILVA LTDA</v>
      </c>
      <c r="C2000" s="17" t="n">
        <f aca="false">Report!U2614</f>
        <v>1334.14</v>
      </c>
      <c r="D2000" s="1" t="str">
        <f aca="false">Report!X2614</f>
        <v>NF 49329-C/C  NF37328 - MILKA</v>
      </c>
    </row>
    <row r="2001" customFormat="false" ht="12.75" hidden="false" customHeight="true" outlineLevel="0" collapsed="false">
      <c r="A2001" s="23" t="n">
        <f aca="false">Report!C2615</f>
        <v>46281</v>
      </c>
      <c r="B2001" s="1" t="str">
        <f aca="false">Report!E2615</f>
        <v>PRIME PET DISTRIBUIDORA LTDA</v>
      </c>
      <c r="C2001" s="17" t="n">
        <f aca="false">Report!U2615</f>
        <v>1969.17</v>
      </c>
      <c r="D2001" s="1" t="str">
        <f aca="false">Report!X2615</f>
        <v>NF 11473 -01/11 - MILKA</v>
      </c>
    </row>
    <row r="2002" customFormat="false" ht="12.75" hidden="false" customHeight="true" outlineLevel="0" collapsed="false">
      <c r="A2002" s="23" t="n">
        <f aca="false">Report!C2617</f>
        <v>46282</v>
      </c>
      <c r="B2002" s="1" t="str">
        <f aca="false">Report!E2617</f>
        <v>SMV COMERCIO DE PRODUTOS ALIMENTICIOS LT</v>
      </c>
      <c r="C2002" s="17" t="n">
        <f aca="false">Report!U2617</f>
        <v>463.72</v>
      </c>
      <c r="D2002" s="1" t="str">
        <f aca="false">Report!X2617</f>
        <v>7520-2/3  NF7184 - MILKA</v>
      </c>
    </row>
    <row r="2003" customFormat="false" ht="12.75" hidden="false" customHeight="true" outlineLevel="0" collapsed="false">
      <c r="A2003" s="23" t="n">
        <f aca="false">Report!C2618</f>
        <v>46282</v>
      </c>
      <c r="B2003" s="1" t="str">
        <f aca="false">Report!E2618</f>
        <v>E. SALES DO NASCIMENTO</v>
      </c>
      <c r="C2003" s="17" t="n">
        <f aca="false">Report!U2618</f>
        <v>507.29</v>
      </c>
      <c r="D2003" s="1" t="str">
        <f aca="false">Report!X2618</f>
        <v>NF 799-04 ARENA  AGROPET - MILKA</v>
      </c>
    </row>
    <row r="2004" customFormat="false" ht="12.75" hidden="false" customHeight="true" outlineLevel="0" collapsed="false">
      <c r="A2004" s="23" t="n">
        <f aca="false">Report!C2619</f>
        <v>46282</v>
      </c>
      <c r="B2004" s="1" t="str">
        <f aca="false">Report!E2619</f>
        <v>SB COMERCIO LTDA</v>
      </c>
      <c r="C2004" s="17" t="n">
        <f aca="false">Report!U2619</f>
        <v>1236.25</v>
      </c>
      <c r="D2004" s="1" t="str">
        <f aca="false">Report!X2619</f>
        <v>NF 1965727 -2 MILKA</v>
      </c>
    </row>
    <row r="2005" customFormat="false" ht="12.75" hidden="false" customHeight="true" outlineLevel="0" collapsed="false">
      <c r="A2005" s="23" t="n">
        <f aca="false">Report!C2620</f>
        <v>46282</v>
      </c>
      <c r="B2005" s="1" t="str">
        <f aca="false">Report!E2620</f>
        <v>OPPORTUNITY ALIMENTOS PARA ANIMAIS LTDA</v>
      </c>
      <c r="C2005" s="17" t="n">
        <f aca="false">Report!U2620</f>
        <v>2836.78</v>
      </c>
      <c r="D2005" s="1" t="str">
        <f aca="false">Report!X2620</f>
        <v>NF 35160-3 MILKA</v>
      </c>
    </row>
    <row r="2006" customFormat="false" ht="12.75" hidden="false" customHeight="true" outlineLevel="0" collapsed="false">
      <c r="A2006" s="23" t="n">
        <f aca="false">Report!C2621</f>
        <v>46282</v>
      </c>
      <c r="B2006" s="1" t="str">
        <f aca="false">Report!E2621</f>
        <v>TAPAJOS COM DE PERFUMARIA COSMETICOS E G</v>
      </c>
      <c r="C2006" s="17" t="n">
        <f aca="false">Report!U2621</f>
        <v>1586.84</v>
      </c>
      <c r="D2006" s="1" t="str">
        <f aca="false">Report!X2621</f>
        <v>NF 586417-4 C/TARIFA - MILKA</v>
      </c>
    </row>
    <row r="2007" customFormat="false" ht="12.75" hidden="false" customHeight="true" outlineLevel="0" collapsed="false">
      <c r="A2007" s="23" t="n">
        <f aca="false">Report!C2623</f>
        <v>46282</v>
      </c>
      <c r="B2007" s="1" t="str">
        <f aca="false">Report!E2623</f>
        <v>FUNNY PET DISTRIBUIDORA DE ALIMENTOS PAR</v>
      </c>
      <c r="C2007" s="17" t="n">
        <f aca="false">Report!U2623</f>
        <v>704.89</v>
      </c>
      <c r="D2007" s="1" t="str">
        <f aca="false">Report!X2623</f>
        <v>NF 21714-2 MILKA</v>
      </c>
    </row>
    <row r="2008" customFormat="false" ht="12.75" hidden="false" customHeight="true" outlineLevel="0" collapsed="false">
      <c r="A2008" s="23" t="n">
        <f aca="false">Report!C2624</f>
        <v>46282</v>
      </c>
      <c r="B2008" s="1" t="str">
        <f aca="false">Report!E2624</f>
        <v>VIA CERTA IMPORTACAO E DISTRIBUICAO DE A</v>
      </c>
      <c r="C2008" s="17" t="n">
        <f aca="false">Report!U2624</f>
        <v>789.33</v>
      </c>
      <c r="D2008" s="1" t="str">
        <f aca="false">Report!X2624</f>
        <v>NF 54213-3 MILKA</v>
      </c>
    </row>
    <row r="2009" customFormat="false" ht="12.75" hidden="false" customHeight="true" outlineLevel="0" collapsed="false">
      <c r="A2009" s="23" t="n">
        <f aca="false">Report!C2625</f>
        <v>46282</v>
      </c>
      <c r="B2009" s="1" t="str">
        <f aca="false">Report!E2625</f>
        <v>L S M COMERCIO DE ALIMENTOS E NAVEGACAO</v>
      </c>
      <c r="C2009" s="17" t="n">
        <f aca="false">Report!U2625</f>
        <v>633</v>
      </c>
      <c r="D2009" s="1" t="str">
        <f aca="false">Report!X2625</f>
        <v>NF 311353-3 MILKA</v>
      </c>
    </row>
    <row r="2010" customFormat="false" ht="12.75" hidden="false" customHeight="true" outlineLevel="0" collapsed="false">
      <c r="A2010" s="23" t="n">
        <f aca="false">Report!C2626</f>
        <v>46282</v>
      </c>
      <c r="B2010" s="1" t="str">
        <f aca="false">Report!E2626</f>
        <v>DUNORTE DISTRIBUIDORA DE PRODUTOS DE CONSUMO LTDA</v>
      </c>
      <c r="C2010" s="17" t="n">
        <f aca="false">Report!U2626</f>
        <v>1180.7</v>
      </c>
      <c r="D2010" s="1" t="str">
        <f aca="false">Report!X2626</f>
        <v>NF 3239532-3 MILKA</v>
      </c>
    </row>
    <row r="2011" customFormat="false" ht="12.75" hidden="false" customHeight="true" outlineLevel="0" collapsed="false">
      <c r="A2011" s="23" t="n">
        <f aca="false">Report!C2627</f>
        <v>46282</v>
      </c>
      <c r="B2011" s="1" t="str">
        <f aca="false">Report!E2627</f>
        <v>TRES CORACOES ALIMENTOS S.A.</v>
      </c>
      <c r="C2011" s="17" t="n">
        <f aca="false">Report!U2627</f>
        <v>1581.49</v>
      </c>
      <c r="D2011" s="1" t="str">
        <f aca="false">Report!X2627</f>
        <v>NF 357973 -3 MILKA</v>
      </c>
    </row>
    <row r="2012" customFormat="false" ht="12.75" hidden="false" customHeight="true" outlineLevel="0" collapsed="false">
      <c r="A2012" s="23" t="n">
        <f aca="false">Report!C2631</f>
        <v>46283</v>
      </c>
      <c r="B2012" s="1" t="str">
        <f aca="false">Report!E2631</f>
        <v>DUNORTE DISTRIBUIDORA DE PRODUTOS DE CONSUMO LTDA</v>
      </c>
      <c r="C2012" s="17" t="n">
        <f aca="false">Report!U2631</f>
        <v>808.96</v>
      </c>
      <c r="D2012" s="1" t="str">
        <f aca="false">Report!X2631</f>
        <v>NF 3237032-3 C/TARIFA MILKA</v>
      </c>
    </row>
    <row r="2013" customFormat="false" ht="12.75" hidden="false" customHeight="true" outlineLevel="0" collapsed="false">
      <c r="A2013" s="23" t="n">
        <f aca="false">Report!C2632</f>
        <v>46283</v>
      </c>
      <c r="B2013" s="1" t="str">
        <f aca="false">Report!E2632</f>
        <v>FH DISTRIBUIDORA DE ALIM. E BEBIDAS LTDA</v>
      </c>
      <c r="C2013" s="17" t="n">
        <f aca="false">Report!U2632</f>
        <v>1232.16</v>
      </c>
      <c r="D2013" s="1" t="str">
        <f aca="false">Report!X2632</f>
        <v>NF 330734-3 MILKA</v>
      </c>
    </row>
    <row r="2014" customFormat="false" ht="12.75" hidden="false" customHeight="true" outlineLevel="0" collapsed="false">
      <c r="A2014" s="23" t="n">
        <f aca="false">Report!C2633</f>
        <v>46283</v>
      </c>
      <c r="B2014" s="1" t="str">
        <f aca="false">Report!E2633</f>
        <v>ADRIANA DISTRIBUIDORA DE PRODUTOS ALIMEN</v>
      </c>
      <c r="C2014" s="17" t="n">
        <f aca="false">Report!U2633</f>
        <v>1167.29</v>
      </c>
      <c r="D2014" s="1" t="str">
        <f aca="false">Report!X2633</f>
        <v>NF 891630-3 MILKA</v>
      </c>
    </row>
    <row r="2015" customFormat="false" ht="12.75" hidden="false" customHeight="true" outlineLevel="0" collapsed="false">
      <c r="A2015" s="23" t="n">
        <f aca="false">Report!C2634</f>
        <v>46283</v>
      </c>
      <c r="B2015" s="1" t="str">
        <f aca="false">Report!E2634</f>
        <v>FENNIX BRASIL DISTRIBUIDORA DE PRODUTOS</v>
      </c>
      <c r="C2015" s="17" t="n">
        <f aca="false">Report!U2634</f>
        <v>684.26</v>
      </c>
      <c r="D2015" s="1" t="str">
        <f aca="false">Report!X2634</f>
        <v>NF 398654 -3 TARIFA INCLUSA - MILKA</v>
      </c>
    </row>
    <row r="2016" customFormat="false" ht="12.75" hidden="false" customHeight="true" outlineLevel="0" collapsed="false">
      <c r="A2016" s="23" t="n">
        <f aca="false">Report!C2635</f>
        <v>46284</v>
      </c>
      <c r="B2016" s="1" t="str">
        <f aca="false">Report!E2635</f>
        <v>DISTRIBUIDORA FARIAS LTDA.</v>
      </c>
      <c r="C2016" s="17" t="n">
        <f aca="false">Report!U2635</f>
        <v>396.52</v>
      </c>
      <c r="D2016" s="1" t="str">
        <f aca="false">Report!X2635</f>
        <v>815076-C/C  NF690674 - MILKA</v>
      </c>
    </row>
    <row r="2017" customFormat="false" ht="12.75" hidden="false" customHeight="true" outlineLevel="0" collapsed="false">
      <c r="A2017" s="23" t="n">
        <f aca="false">Report!C2640</f>
        <v>46285</v>
      </c>
      <c r="B2017" s="1" t="str">
        <f aca="false">Report!E2640</f>
        <v>FUNNY PET DISTRIBUIDORA DE ALIMENTOS PAR</v>
      </c>
      <c r="C2017" s="17" t="n">
        <f aca="false">Report!U2640</f>
        <v>3429</v>
      </c>
      <c r="D2017" s="1" t="str">
        <f aca="false">Report!X2640</f>
        <v>NF 21578-3 MILKA</v>
      </c>
    </row>
    <row r="2018" customFormat="false" ht="12.75" hidden="false" customHeight="true" outlineLevel="0" collapsed="false">
      <c r="A2018" s="23" t="n">
        <f aca="false">Report!C2642</f>
        <v>46285</v>
      </c>
      <c r="B2018" s="1" t="str">
        <f aca="false">Report!E2642</f>
        <v>J. A. F. DE LIMA</v>
      </c>
      <c r="C2018" s="17" t="n">
        <f aca="false">Report!U2642</f>
        <v>1127.55</v>
      </c>
      <c r="D2018" s="1" t="str">
        <f aca="false">Report!X2642</f>
        <v>NF 160299-3 MILKA</v>
      </c>
    </row>
    <row r="2019" customFormat="false" ht="12.75" hidden="false" customHeight="true" outlineLevel="0" collapsed="false">
      <c r="A2019" s="23" t="n">
        <f aca="false">Report!C2643</f>
        <v>46286</v>
      </c>
      <c r="B2019" s="1" t="str">
        <f aca="false">Report!E2643</f>
        <v>NORTE DISTRIBUIDORA DE ACUMULADORES E AC</v>
      </c>
      <c r="C2019" s="17" t="n">
        <f aca="false">Report!U2643</f>
        <v>306</v>
      </c>
      <c r="D2019" s="1" t="str">
        <f aca="false">Report!X2643</f>
        <v>NF 105914 -3/3 MOURA -  MILKA</v>
      </c>
    </row>
    <row r="2020" customFormat="false" ht="12.75" hidden="false" customHeight="true" outlineLevel="0" collapsed="false">
      <c r="A2020" s="23" t="n">
        <f aca="false">Report!C2644</f>
        <v>46286</v>
      </c>
      <c r="B2020" s="1" t="str">
        <f aca="false">Report!E2644</f>
        <v>ATACADAO S.A.</v>
      </c>
      <c r="C2020" s="17" t="n">
        <f aca="false">Report!U2644</f>
        <v>602.64</v>
      </c>
      <c r="D2020" s="1" t="str">
        <f aca="false">Report!X2644</f>
        <v>NF1921245 - MILKA</v>
      </c>
    </row>
    <row r="2021" customFormat="false" ht="12.75" hidden="false" customHeight="true" outlineLevel="0" collapsed="false">
      <c r="A2021" s="23" t="n">
        <f aca="false">Report!C2647</f>
        <v>46286</v>
      </c>
      <c r="B2021" s="1" t="str">
        <f aca="false">Report!E2647</f>
        <v>FORTVET DISTRIBUIDORA LTDA</v>
      </c>
      <c r="C2021" s="17" t="n">
        <f aca="false">Report!U2647</f>
        <v>733.06</v>
      </c>
      <c r="D2021" s="1" t="str">
        <f aca="false">Report!X2647</f>
        <v>NF3216-3 MILKA</v>
      </c>
    </row>
    <row r="2022" customFormat="false" ht="12.75" hidden="false" customHeight="true" outlineLevel="0" collapsed="false">
      <c r="A2022" s="23" t="n">
        <f aca="false">Report!C2649</f>
        <v>46288</v>
      </c>
      <c r="B2022" s="1" t="str">
        <f aca="false">Report!E2649</f>
        <v>PRIME PET DISTRIBUIDORA LTDA</v>
      </c>
      <c r="C2022" s="17" t="n">
        <f aca="false">Report!U2649</f>
        <v>1849.45</v>
      </c>
      <c r="D2022" s="1" t="str">
        <f aca="false">Report!X2649</f>
        <v>NF 11002-07/07 MILKA </v>
      </c>
    </row>
    <row r="2023" customFormat="false" ht="12.75" hidden="false" customHeight="true" outlineLevel="0" collapsed="false">
      <c r="A2023" s="23" t="n">
        <f aca="false">Report!C2650</f>
        <v>46289</v>
      </c>
      <c r="B2023" s="1" t="str">
        <f aca="false">Report!E2650</f>
        <v>SMV COMERCIO DE PRODUTOS ALIMENTICIOS LT</v>
      </c>
      <c r="C2023" s="17" t="n">
        <f aca="false">Report!U2650</f>
        <v>463.72</v>
      </c>
      <c r="D2023" s="1" t="str">
        <f aca="false">Report!X2650</f>
        <v>7520-3/3  NF7184 - MILKA</v>
      </c>
    </row>
    <row r="2024" customFormat="false" ht="12.75" hidden="false" customHeight="true" outlineLevel="0" collapsed="false">
      <c r="A2024" s="23" t="n">
        <f aca="false">Report!C2651</f>
        <v>46289</v>
      </c>
      <c r="B2024" s="1" t="str">
        <f aca="false">Report!E2651</f>
        <v>SB COMERCIO LTDA</v>
      </c>
      <c r="C2024" s="17" t="n">
        <f aca="false">Report!U2651</f>
        <v>1236.62</v>
      </c>
      <c r="D2024" s="1" t="str">
        <f aca="false">Report!X2651</f>
        <v>NF 1965727 -3 MILKA</v>
      </c>
    </row>
    <row r="2025" customFormat="false" ht="12.75" hidden="false" customHeight="true" outlineLevel="0" collapsed="false">
      <c r="A2025" s="23" t="n">
        <f aca="false">Report!C2654</f>
        <v>46290</v>
      </c>
      <c r="B2025" s="1" t="str">
        <f aca="false">Report!E2654</f>
        <v>M.R.G COMERCIO DE MAQUINAS EIRELI.</v>
      </c>
      <c r="C2025" s="17" t="n">
        <f aca="false">Report!U2654</f>
        <v>233.35</v>
      </c>
      <c r="D2025" s="1" t="str">
        <f aca="false">Report!X2654</f>
        <v>NF 14298 / 6PARC / REFORMA PADARIA - MILKA</v>
      </c>
    </row>
    <row r="2026" customFormat="false" ht="12.75" hidden="false" customHeight="true" outlineLevel="0" collapsed="false">
      <c r="A2026" s="23" t="n">
        <f aca="false">Report!C2657</f>
        <v>46290</v>
      </c>
      <c r="B2026" s="1" t="str">
        <f aca="false">Report!E2657</f>
        <v>A M A DE LIMA INDUSTRIA E COMERCIO DE PRODUTOS ALIMENTICIOS LTDA</v>
      </c>
      <c r="C2026" s="17" t="n">
        <f aca="false">Report!U2657</f>
        <v>1359.7</v>
      </c>
      <c r="D2026" s="1" t="str">
        <f aca="false">Report!X2657</f>
        <v>NF1228 REAL PAES - MILKA</v>
      </c>
    </row>
    <row r="2027" customFormat="false" ht="12.75" hidden="false" customHeight="true" outlineLevel="0" collapsed="false">
      <c r="A2027" s="23" t="n">
        <f aca="false">Report!C2658</f>
        <v>46291</v>
      </c>
      <c r="B2027" s="1" t="str">
        <f aca="false">Report!E2658</f>
        <v>PRIME PET DISTRIBUIDORA LTDA</v>
      </c>
      <c r="C2027" s="17" t="n">
        <f aca="false">Report!U2658</f>
        <v>911.8</v>
      </c>
      <c r="D2027" s="1" t="str">
        <f aca="false">Report!X2658</f>
        <v>NF 11134 -05/06  MILKA</v>
      </c>
    </row>
    <row r="2028" customFormat="false" ht="12.75" hidden="false" customHeight="true" outlineLevel="0" collapsed="false">
      <c r="A2028" s="23" t="n">
        <f aca="false">Report!C2659</f>
        <v>46291</v>
      </c>
      <c r="B2028" s="1" t="str">
        <f aca="false">Report!E2659</f>
        <v>PRIME PET DISTRIBUIDORA LTDA</v>
      </c>
      <c r="C2028" s="17" t="n">
        <f aca="false">Report!U2659</f>
        <v>1969.17</v>
      </c>
      <c r="D2028" s="1" t="str">
        <f aca="false">Report!X2659</f>
        <v>NF 11473 -02/11 - MILKA</v>
      </c>
    </row>
    <row r="2029" customFormat="false" ht="12.75" hidden="false" customHeight="true" outlineLevel="0" collapsed="false">
      <c r="A2029" s="23" t="n">
        <f aca="false">Report!C2660</f>
        <v>46292</v>
      </c>
      <c r="B2029" s="1" t="str">
        <f aca="false">Report!E2660</f>
        <v>OPPORTUNITY ALIMENTOS PARA ANIMAIS LTDA</v>
      </c>
      <c r="C2029" s="17" t="n">
        <f aca="false">Report!U2660</f>
        <v>2836.78</v>
      </c>
      <c r="D2029" s="1" t="str">
        <f aca="false">Report!X2660</f>
        <v>NF 35160-4 MILKA</v>
      </c>
    </row>
    <row r="2030" customFormat="false" ht="12.75" hidden="false" customHeight="true" outlineLevel="0" collapsed="false">
      <c r="A2030" s="23" t="n">
        <f aca="false">Report!C2661</f>
        <v>46292</v>
      </c>
      <c r="B2030" s="1" t="str">
        <f aca="false">Report!E2661</f>
        <v>FUNNY PET DISTRIBUIDORA DE ALIMENTOS PAR</v>
      </c>
      <c r="C2030" s="17" t="n">
        <f aca="false">Report!U2661</f>
        <v>704.89</v>
      </c>
      <c r="D2030" s="1" t="str">
        <f aca="false">Report!X2661</f>
        <v>NF 21714-3 MILKA</v>
      </c>
    </row>
    <row r="2031" customFormat="false" ht="12.75" hidden="false" customHeight="true" outlineLevel="0" collapsed="false">
      <c r="A2031" s="23" t="n">
        <f aca="false">Report!C2662</f>
        <v>46292</v>
      </c>
      <c r="B2031" s="1" t="str">
        <f aca="false">Report!E2662</f>
        <v>J. A. F. DE LIMA</v>
      </c>
      <c r="C2031" s="17" t="n">
        <f aca="false">Report!U2662</f>
        <v>1127.55</v>
      </c>
      <c r="D2031" s="1" t="str">
        <f aca="false">Report!X2662</f>
        <v>NF 160299-4 MILKA</v>
      </c>
    </row>
    <row r="2032" customFormat="false" ht="12.75" hidden="false" customHeight="true" outlineLevel="0" collapsed="false">
      <c r="A2032" s="23" t="n">
        <f aca="false">Report!C2672</f>
        <v>46300</v>
      </c>
      <c r="B2032" s="1" t="str">
        <f aca="false">Report!E2672</f>
        <v>FUNNY PET DISTRIBUIDORA DE ALIMENTOS PAR</v>
      </c>
      <c r="C2032" s="17" t="n">
        <f aca="false">Report!U2672</f>
        <v>3429</v>
      </c>
      <c r="D2032" s="1" t="str">
        <f aca="false">Report!X2672</f>
        <v>NF 21578-4 MILKA</v>
      </c>
    </row>
    <row r="2033" customFormat="false" ht="12.75" hidden="false" customHeight="true" outlineLevel="0" collapsed="false">
      <c r="A2033" s="23" t="n">
        <f aca="false">Report!C2676</f>
        <v>46301</v>
      </c>
      <c r="B2033" s="1" t="str">
        <f aca="false">Report!E2676</f>
        <v>PRIME PET DISTRIBUIDORA LTDA</v>
      </c>
      <c r="C2033" s="17" t="n">
        <f aca="false">Report!U2676</f>
        <v>911.8</v>
      </c>
      <c r="D2033" s="1" t="str">
        <f aca="false">Report!X2676</f>
        <v>NF 11134 -06/06  MILKA</v>
      </c>
    </row>
    <row r="2034" customFormat="false" ht="12.75" hidden="false" customHeight="true" outlineLevel="0" collapsed="false">
      <c r="A2034" s="23" t="n">
        <f aca="false">Report!C2678</f>
        <v>46301</v>
      </c>
      <c r="B2034" s="1" t="str">
        <f aca="false">Report!E2678</f>
        <v>PRIME PET DISTRIBUIDORA LTDA</v>
      </c>
      <c r="C2034" s="17" t="n">
        <f aca="false">Report!U2678</f>
        <v>1969.17</v>
      </c>
      <c r="D2034" s="1" t="str">
        <f aca="false">Report!X2678</f>
        <v>NF 11473 -03/11 - MILKA</v>
      </c>
    </row>
    <row r="2035" customFormat="false" ht="12.75" hidden="false" customHeight="true" outlineLevel="0" collapsed="false">
      <c r="A2035" s="23" t="n">
        <f aca="false">Report!C2686</f>
        <v>46305</v>
      </c>
      <c r="B2035" s="1" t="str">
        <f aca="false">Report!E2686</f>
        <v>SUPERMERCADOS DB LTDA</v>
      </c>
      <c r="C2035" s="17" t="n">
        <f aca="false">Report!U2686</f>
        <v>319.2</v>
      </c>
      <c r="D2035" s="1" t="str">
        <f aca="false">Report!X2686</f>
        <v>NF51412 / PARC. 03/03  - MILKA</v>
      </c>
    </row>
    <row r="2036" customFormat="false" ht="12.75" hidden="false" customHeight="true" outlineLevel="0" collapsed="false">
      <c r="A2036" s="23" t="n">
        <f aca="false">Report!C2692</f>
        <v>46307</v>
      </c>
      <c r="B2036" s="1" t="str">
        <f aca="false">Report!E2692</f>
        <v>OPPORTUNITY ALIMENTOS PARA ANIMAIS LTDA</v>
      </c>
      <c r="C2036" s="17" t="n">
        <f aca="false">Report!U2692</f>
        <v>2836.78</v>
      </c>
      <c r="D2036" s="1" t="str">
        <f aca="false">Report!X2692</f>
        <v>NF 35160-5 MILKA</v>
      </c>
    </row>
    <row r="2037" customFormat="false" ht="12.75" hidden="false" customHeight="true" outlineLevel="0" collapsed="false">
      <c r="A2037" s="23" t="n">
        <f aca="false">Report!C2699</f>
        <v>46311</v>
      </c>
      <c r="B2037" s="1" t="str">
        <f aca="false">Report!E2699</f>
        <v>PRIME PET DISTRIBUIDORA LTDA</v>
      </c>
      <c r="C2037" s="17" t="n">
        <f aca="false">Report!U2699</f>
        <v>1969.17</v>
      </c>
      <c r="D2037" s="1" t="str">
        <f aca="false">Report!X2699</f>
        <v>NF 11473 -04/11 - MILKA</v>
      </c>
    </row>
    <row r="2038" customFormat="false" ht="12.75" hidden="false" customHeight="true" outlineLevel="0" collapsed="false">
      <c r="A2038" s="23" t="n">
        <f aca="false">Report!C2712</f>
        <v>46321</v>
      </c>
      <c r="B2038" s="1" t="str">
        <f aca="false">Report!E2712</f>
        <v>PRIME PET DISTRIBUIDORA LTDA</v>
      </c>
      <c r="C2038" s="17" t="n">
        <f aca="false">Report!U2712</f>
        <v>1969.17</v>
      </c>
      <c r="D2038" s="1" t="str">
        <f aca="false">Report!X2712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2887</v>
      </c>
      <c r="B1" s="26" t="s">
        <v>2888</v>
      </c>
      <c r="C1" s="26" t="s">
        <v>2889</v>
      </c>
      <c r="D1" s="26" t="s">
        <v>2890</v>
      </c>
    </row>
    <row r="2" customFormat="false" ht="12.75" hidden="false" customHeight="true" outlineLevel="0" collapsed="false">
      <c r="A2" s="27" t="s">
        <v>2891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2892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2893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2894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2895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2896</v>
      </c>
      <c r="B7" s="17" t="n">
        <f aca="false">SUMIFS(Report!$U:$U,Report!$T:$T,"&lt;&gt;"&amp;"MERCADORIAS P/REVENDA",Report!$AA:$AA,"SIM",Report!$C:$C,"&gt;="&amp;DATE(2026,6,1),Report!$C:$C,"&lt;="&amp;DATE(2026,6,30))</f>
        <v>393077.47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1237364.68</v>
      </c>
    </row>
    <row r="8" customFormat="false" ht="12.75" hidden="false" customHeight="true" outlineLevel="0" collapsed="false">
      <c r="A8" s="27" t="s">
        <v>2897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2898</v>
      </c>
      <c r="B9" s="17" t="n">
        <f aca="false">SUMIFS(Report!$U:$U,Report!$T:$T,"&lt;&gt;"&amp;"MERCADORIAS P/REVENDA",Report!$AA:$AA,"SIM",Report!$C:$C,"&gt;="&amp;DATE(2026,8,1),Report!$C:$C,"&lt;="&amp;DATE(2026,8,31))</f>
        <v>447435.88</v>
      </c>
      <c r="C9" s="17" t="n">
        <f aca="false">SUMIFS(Report!$U:$U,Report!$T:$T,"MERCADORIAS P/REVENDA",Report!$AA:$AA,"SIM",Report!$C:$C,"&gt;="&amp;DATE(2026,8,1),Report!$C:$C,"&lt;="&amp;DATE(2026,8,31))</f>
        <v>804860.37</v>
      </c>
      <c r="D9" s="17" t="n">
        <f aca="false">B9+C9</f>
        <v>1252296.25</v>
      </c>
    </row>
    <row r="10" customFormat="false" ht="12.75" hidden="false" customHeight="true" outlineLevel="0" collapsed="false">
      <c r="A10" s="27" t="s">
        <v>2899</v>
      </c>
      <c r="B10" s="17" t="n">
        <f aca="false">SUMIFS(Report!$U:$U,Report!$T:$T,"&lt;&gt;"&amp;"MERCADORIAS P/REVENDA",Report!$AA:$AA,"SIM",Report!$C:$C,"&gt;="&amp;DATE(2026,9,1),Report!$C:$C,"&lt;="&amp;DATE(2026,9,30))</f>
        <v>150309.77</v>
      </c>
      <c r="C10" s="17" t="n">
        <f aca="false">SUMIFS(Report!$U:$U,Report!$T:$T,"MERCADORIAS P/REVENDA",Report!$AA:$AA,"SIM",Report!$C:$C,"&gt;="&amp;DATE(2026,9,1),Report!$C:$C,"&lt;="&amp;DATE(2026,9,30))</f>
        <v>236528.18</v>
      </c>
      <c r="D10" s="17" t="n">
        <f aca="false">B10+C10</f>
        <v>386837.95</v>
      </c>
    </row>
    <row r="11" customFormat="false" ht="12.75" hidden="false" customHeight="true" outlineLevel="0" collapsed="false">
      <c r="A11" s="27" t="s">
        <v>2900</v>
      </c>
      <c r="B11" s="17" t="n">
        <f aca="false">SUMIFS(Report!$U:$U,Report!$T:$T,"&lt;&gt;"&amp;"MERCADORIAS P/REVENDA",Report!$AA:$AA,"SIM",Report!$C:$C,"&gt;="&amp;DATE(2026,10,1),Report!$C:$C,"&lt;="&amp;DATE(2026,10,31))</f>
        <v>74418.77</v>
      </c>
      <c r="C11" s="17" t="n">
        <f aca="false">SUMIFS(Report!$U:$U,Report!$T:$T,"MERCADORIAS P/REVENDA",Report!$AA:$AA,"SIM",Report!$C:$C,"&gt;="&amp;DATE(2026,10,1),Report!$C:$C,"&lt;="&amp;DATE(2026,10,31))</f>
        <v>13404.29</v>
      </c>
      <c r="D11" s="17" t="n">
        <f aca="false">B11+C11</f>
        <v>87823.06</v>
      </c>
    </row>
    <row r="12" customFormat="false" ht="12.75" hidden="false" customHeight="true" outlineLevel="0" collapsed="false">
      <c r="A12" s="27" t="s">
        <v>2901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2902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2903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2904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2905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2906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2907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2908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2909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2910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2911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2912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2913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2914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2915</v>
      </c>
      <c r="B26" s="30" t="n">
        <f aca="false">SUM(B2:B25)</f>
        <v>1443254.65</v>
      </c>
      <c r="C26" s="30" t="n">
        <f aca="false">SUM(C2:C25)</f>
        <v>2807018.18</v>
      </c>
      <c r="D26" s="30" t="n">
        <f aca="false">SUM(D2:D25)</f>
        <v>4250272.83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2916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2890</v>
      </c>
      <c r="AA2" s="32"/>
      <c r="AB2" s="33" t="s">
        <v>2917</v>
      </c>
      <c r="AC2" s="33" t="s">
        <v>2918</v>
      </c>
      <c r="AE2" s="33" t="s">
        <v>2919</v>
      </c>
    </row>
    <row r="3" customFormat="false" ht="12.75" hidden="false" customHeight="true" outlineLevel="0" collapsed="false">
      <c r="A3" s="34" t="s">
        <v>2920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1237364.68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1252296.25</v>
      </c>
      <c r="J3" s="30" t="n">
        <f aca="false">SUMIFS(Report!$U:$U,Report!$AA:$AA,"SIM",Report!$C:$C,"&gt;="&amp;DATE(2026,9,1),Report!$C:$C,"&lt;="&amp;DATE(2026,9,30))</f>
        <v>386837.95</v>
      </c>
      <c r="K3" s="30" t="n">
        <f aca="false">SUMIFS(Report!$U:$U,Report!$AA:$AA,"SIM",Report!$C:$C,"&gt;="&amp;DATE(2026,10,1),Report!$C:$C,"&lt;="&amp;DATE(2026,10,31))</f>
        <v>87823.06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4250272.83</v>
      </c>
      <c r="AB3" s="1" t="s">
        <v>267</v>
      </c>
      <c r="AC3" s="1" t="s">
        <v>2921</v>
      </c>
      <c r="AE3" s="1" t="s">
        <v>2589</v>
      </c>
    </row>
    <row r="4" customFormat="false" ht="12.75" hidden="false" customHeight="true" outlineLevel="0" collapsed="false">
      <c r="A4" s="1" t="s">
        <v>2922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1015</v>
      </c>
      <c r="AC4" s="1" t="s">
        <v>2921</v>
      </c>
    </row>
    <row r="5" customFormat="false" ht="12.75" hidden="false" customHeight="true" outlineLevel="0" collapsed="false">
      <c r="A5" s="1" t="s">
        <v>2921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95292.89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72363.5</v>
      </c>
      <c r="J5" s="17" t="n">
        <f aca="false">SUMIFS(Report!$U:$U,Report!$Z:$Z,"Despesa",Report!$AA:$AA,"SIM",Report!$C:$C,"&gt;="&amp;DATE(2026,9,1),Report!$C:$C,"&lt;="&amp;DATE(2026,9,30))</f>
        <v>27342.88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287112.85</v>
      </c>
      <c r="AB5" s="1" t="s">
        <v>291</v>
      </c>
      <c r="AC5" s="1" t="s">
        <v>2921</v>
      </c>
    </row>
    <row r="6" customFormat="false" ht="12.75" hidden="false" customHeight="true" outlineLevel="0" collapsed="false">
      <c r="A6" s="1" t="s">
        <v>2923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198091.03</v>
      </c>
      <c r="J6" s="17" t="n">
        <f aca="false">SUMIFS(Report!$U:$U,Report!$Z:$Z,"Empréstimo",Report!$AA:$AA,"SIM",Report!$C:$C,"&gt;="&amp;DATE(2026,9,1),Report!$C:$C,"&lt;="&amp;DATE(2026,9,30))</f>
        <v>84029.67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411617.2</v>
      </c>
      <c r="AB6" s="1" t="s">
        <v>498</v>
      </c>
      <c r="AC6" s="1" t="s">
        <v>2921</v>
      </c>
    </row>
    <row r="7" customFormat="false" ht="12.75" hidden="false" customHeight="true" outlineLevel="0" collapsed="false">
      <c r="A7" s="1" t="s">
        <v>2924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2925</v>
      </c>
      <c r="AC7" s="1" t="s">
        <v>2922</v>
      </c>
    </row>
    <row r="8" customFormat="false" ht="12.75" hidden="false" customHeight="true" outlineLevel="0" collapsed="false">
      <c r="A8" s="1" t="s">
        <v>2926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804860.37</v>
      </c>
      <c r="J8" s="17" t="n">
        <f aca="false">SUMIFS(Report!$U:$U,Report!$Z:$Z,"Mercadoria",Report!$AA:$AA,"SIM",Report!$C:$C,"&gt;="&amp;DATE(2026,9,1),Report!$C:$C,"&lt;="&amp;DATE(2026,9,30))</f>
        <v>236528.18</v>
      </c>
      <c r="K8" s="17" t="n">
        <f aca="false">SUMIFS(Report!$U:$U,Report!$Z:$Z,"Mercadoria",Report!$AA:$AA,"SIM",Report!$C:$C,"&gt;="&amp;DATE(2026,10,1),Report!$C:$C,"&lt;="&amp;DATE(2026,10,31))</f>
        <v>13404.29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2807018.18</v>
      </c>
      <c r="AB8" s="1" t="s">
        <v>617</v>
      </c>
      <c r="AC8" s="1" t="s">
        <v>2927</v>
      </c>
    </row>
    <row r="9" customFormat="false" ht="12.75" hidden="false" customHeight="true" outlineLevel="0" collapsed="false">
      <c r="A9" s="1" t="s">
        <v>2928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180247.16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91998.87</v>
      </c>
      <c r="J9" s="17" t="n">
        <f aca="false">SUMIFS(Report!$U:$U,Report!$Z:$Z,"Pagamentos outros não operacionais",Report!$AA:$AA,"SIM",Report!$C:$C,"&gt;="&amp;DATE(2026,9,1),Report!$C:$C,"&lt;="&amp;DATE(2026,9,30))</f>
        <v>27656.12</v>
      </c>
      <c r="K9" s="17" t="n">
        <f aca="false">SUMIFS(Report!$U:$U,Report!$Z:$Z,"Pagamentos outros não operacionais",Report!$AA:$AA,"SIM",Report!$C:$C,"&gt;="&amp;DATE(2026,10,1),Report!$C:$C,"&lt;="&amp;DATE(2026,10,31))</f>
        <v>23497.81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485511.65</v>
      </c>
      <c r="AB9" s="1" t="s">
        <v>109</v>
      </c>
      <c r="AC9" s="1" t="s">
        <v>2921</v>
      </c>
    </row>
    <row r="10" customFormat="false" ht="12.75" hidden="false" customHeight="true" outlineLevel="0" collapsed="false">
      <c r="A10" s="1" t="s">
        <v>2927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43924.56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188695.52</v>
      </c>
      <c r="AB10" s="1" t="s">
        <v>1340</v>
      </c>
      <c r="AC10" s="1" t="s">
        <v>2921</v>
      </c>
    </row>
    <row r="11" customFormat="false" ht="12.75" hidden="false" customHeight="true" outlineLevel="0" collapsed="false">
      <c r="A11" s="34" t="s">
        <v>2929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897</v>
      </c>
      <c r="AC11" s="1" t="s">
        <v>2921</v>
      </c>
    </row>
    <row r="12" customFormat="false" ht="12.75" hidden="false" customHeight="true" outlineLevel="0" collapsed="false">
      <c r="AB12" s="1" t="s">
        <v>491</v>
      </c>
      <c r="AC12" s="1" t="s">
        <v>2921</v>
      </c>
    </row>
    <row r="13" customFormat="false" ht="12.75" hidden="false" customHeight="true" outlineLevel="0" collapsed="false">
      <c r="A13" s="1" t="s">
        <v>2930</v>
      </c>
      <c r="B13" s="17" t="n">
        <f aca="false">SUMIFS(Report!$U:$U,Report!$AA:$AA,"NAO",Report!$C:$C,"&gt;="&amp;DATE(2026,1,1),Report!$C:$C,"&lt;="&amp;DATE(2027,12,31))</f>
        <v>250000</v>
      </c>
      <c r="AB13" s="1" t="s">
        <v>83</v>
      </c>
      <c r="AC13" s="1" t="s">
        <v>2922</v>
      </c>
    </row>
    <row r="14" customFormat="false" ht="12.75" hidden="false" customHeight="true" outlineLevel="0" collapsed="false">
      <c r="A14" s="1" t="s">
        <v>2931</v>
      </c>
      <c r="AB14" s="1" t="s">
        <v>186</v>
      </c>
      <c r="AC14" s="1" t="s">
        <v>2921</v>
      </c>
    </row>
    <row r="15" customFormat="false" ht="12.75" hidden="false" customHeight="true" outlineLevel="0" collapsed="false">
      <c r="AB15" s="1" t="s">
        <v>1946</v>
      </c>
      <c r="AC15" s="1" t="s">
        <v>2921</v>
      </c>
    </row>
    <row r="16" customFormat="false" ht="12.75" hidden="false" customHeight="true" outlineLevel="0" collapsed="false">
      <c r="AB16" s="1" t="s">
        <v>2512</v>
      </c>
      <c r="AC16" s="1" t="s">
        <v>2921</v>
      </c>
    </row>
    <row r="17" customFormat="false" ht="12.75" hidden="false" customHeight="true" outlineLevel="0" collapsed="false">
      <c r="AB17" s="1" t="s">
        <v>174</v>
      </c>
      <c r="AC17" s="1" t="s">
        <v>2921</v>
      </c>
    </row>
    <row r="18" customFormat="false" ht="12.75" hidden="false" customHeight="true" outlineLevel="0" collapsed="false">
      <c r="AB18" s="1" t="s">
        <v>438</v>
      </c>
      <c r="AC18" s="1" t="s">
        <v>2921</v>
      </c>
    </row>
    <row r="19" customFormat="false" ht="12.75" hidden="false" customHeight="true" outlineLevel="0" collapsed="false">
      <c r="AB19" s="1" t="s">
        <v>418</v>
      </c>
      <c r="AC19" s="1" t="s">
        <v>2921</v>
      </c>
    </row>
    <row r="20" customFormat="false" ht="12.75" hidden="false" customHeight="true" outlineLevel="0" collapsed="false">
      <c r="AB20" s="1" t="s">
        <v>434</v>
      </c>
      <c r="AC20" s="1" t="s">
        <v>2921</v>
      </c>
    </row>
    <row r="21" customFormat="false" ht="12.75" hidden="false" customHeight="true" outlineLevel="0" collapsed="false">
      <c r="AB21" s="1" t="s">
        <v>166</v>
      </c>
      <c r="AC21" s="1" t="s">
        <v>2923</v>
      </c>
    </row>
    <row r="22" customFormat="false" ht="12.75" hidden="false" customHeight="true" outlineLevel="0" collapsed="false">
      <c r="AB22" s="1" t="s">
        <v>2306</v>
      </c>
      <c r="AC22" s="1" t="s">
        <v>2923</v>
      </c>
    </row>
    <row r="23" customFormat="false" ht="12.75" hidden="false" customHeight="true" outlineLevel="0" collapsed="false">
      <c r="AB23" s="1" t="s">
        <v>544</v>
      </c>
      <c r="AC23" s="1" t="s">
        <v>2921</v>
      </c>
    </row>
    <row r="24" customFormat="false" ht="12.75" hidden="false" customHeight="true" outlineLevel="0" collapsed="false">
      <c r="AB24" s="1" t="s">
        <v>457</v>
      </c>
      <c r="AC24" s="1" t="s">
        <v>2927</v>
      </c>
    </row>
    <row r="25" customFormat="false" ht="12.75" hidden="false" customHeight="true" outlineLevel="0" collapsed="false">
      <c r="AB25" s="1" t="s">
        <v>1861</v>
      </c>
      <c r="AC25" s="1" t="s">
        <v>2927</v>
      </c>
    </row>
    <row r="26" customFormat="false" ht="12.75" hidden="false" customHeight="true" outlineLevel="0" collapsed="false">
      <c r="AB26" s="1" t="s">
        <v>996</v>
      </c>
      <c r="AC26" s="1" t="s">
        <v>2927</v>
      </c>
    </row>
    <row r="27" customFormat="false" ht="12.75" hidden="false" customHeight="true" outlineLevel="0" collapsed="false">
      <c r="AB27" s="1" t="s">
        <v>719</v>
      </c>
      <c r="AC27" s="1" t="s">
        <v>2924</v>
      </c>
    </row>
    <row r="28" customFormat="false" ht="12.75" hidden="false" customHeight="true" outlineLevel="0" collapsed="false">
      <c r="AB28" s="1" t="s">
        <v>116</v>
      </c>
      <c r="AC28" s="1" t="s">
        <v>2921</v>
      </c>
    </row>
    <row r="29" customFormat="false" ht="12.75" hidden="false" customHeight="true" outlineLevel="0" collapsed="false">
      <c r="AB29" s="1" t="s">
        <v>1325</v>
      </c>
      <c r="AC29" s="1" t="s">
        <v>2921</v>
      </c>
    </row>
    <row r="30" customFormat="false" ht="12.75" hidden="false" customHeight="true" outlineLevel="0" collapsed="false">
      <c r="AB30" s="1" t="s">
        <v>554</v>
      </c>
      <c r="AC30" s="1" t="s">
        <v>2921</v>
      </c>
    </row>
    <row r="31" customFormat="false" ht="12.75" hidden="false" customHeight="true" outlineLevel="0" collapsed="false">
      <c r="AB31" s="1" t="s">
        <v>1114</v>
      </c>
      <c r="AC31" s="1" t="s">
        <v>2921</v>
      </c>
    </row>
    <row r="32" customFormat="false" ht="12.75" hidden="false" customHeight="true" outlineLevel="0" collapsed="false">
      <c r="AB32" s="1" t="s">
        <v>778</v>
      </c>
      <c r="AC32" s="1" t="s">
        <v>2924</v>
      </c>
    </row>
    <row r="33" customFormat="false" ht="12.75" hidden="false" customHeight="true" outlineLevel="0" collapsed="false">
      <c r="AB33" s="1" t="s">
        <v>2932</v>
      </c>
      <c r="AC33" s="1" t="s">
        <v>2924</v>
      </c>
    </row>
    <row r="34" customFormat="false" ht="12.75" hidden="false" customHeight="true" outlineLevel="0" collapsed="false">
      <c r="AB34" s="1" t="s">
        <v>226</v>
      </c>
      <c r="AC34" s="1" t="s">
        <v>2924</v>
      </c>
    </row>
    <row r="35" customFormat="false" ht="12.75" hidden="false" customHeight="true" outlineLevel="0" collapsed="false">
      <c r="AB35" s="1" t="s">
        <v>717</v>
      </c>
      <c r="AC35" s="1" t="s">
        <v>2924</v>
      </c>
    </row>
    <row r="36" customFormat="false" ht="12.75" hidden="false" customHeight="true" outlineLevel="0" collapsed="false">
      <c r="AB36" s="1" t="s">
        <v>503</v>
      </c>
      <c r="AC36" s="1" t="s">
        <v>2921</v>
      </c>
    </row>
    <row r="37" customFormat="false" ht="12.75" hidden="false" customHeight="true" outlineLevel="0" collapsed="false">
      <c r="AB37" s="1" t="s">
        <v>176</v>
      </c>
      <c r="AC37" s="1" t="s">
        <v>2921</v>
      </c>
    </row>
    <row r="38" customFormat="false" ht="12.75" hidden="false" customHeight="true" outlineLevel="0" collapsed="false">
      <c r="AB38" s="1" t="s">
        <v>581</v>
      </c>
      <c r="AC38" s="1" t="s">
        <v>2924</v>
      </c>
    </row>
    <row r="39" customFormat="false" ht="12.75" hidden="false" customHeight="true" outlineLevel="0" collapsed="false">
      <c r="AB39" s="1" t="s">
        <v>977</v>
      </c>
      <c r="AC39" s="1" t="s">
        <v>2921</v>
      </c>
    </row>
    <row r="40" customFormat="false" ht="12.75" hidden="false" customHeight="true" outlineLevel="0" collapsed="false">
      <c r="AB40" s="1" t="s">
        <v>1591</v>
      </c>
      <c r="AC40" s="1" t="s">
        <v>2924</v>
      </c>
    </row>
    <row r="41" customFormat="false" ht="12.75" hidden="false" customHeight="true" outlineLevel="0" collapsed="false">
      <c r="AB41" s="1" t="s">
        <v>686</v>
      </c>
      <c r="AC41" s="1" t="s">
        <v>2921</v>
      </c>
    </row>
    <row r="42" customFormat="false" ht="12.75" hidden="false" customHeight="true" outlineLevel="0" collapsed="false">
      <c r="AB42" s="1" t="s">
        <v>901</v>
      </c>
      <c r="AC42" s="1" t="s">
        <v>2923</v>
      </c>
    </row>
    <row r="43" customFormat="false" ht="12.75" hidden="false" customHeight="true" outlineLevel="0" collapsed="false">
      <c r="AB43" s="1" t="s">
        <v>1285</v>
      </c>
      <c r="AC43" s="1" t="s">
        <v>2921</v>
      </c>
    </row>
    <row r="44" customFormat="false" ht="12.75" hidden="false" customHeight="true" outlineLevel="0" collapsed="false">
      <c r="AB44" s="1" t="s">
        <v>473</v>
      </c>
      <c r="AC44" s="1" t="s">
        <v>2921</v>
      </c>
    </row>
    <row r="45" customFormat="false" ht="12.75" hidden="false" customHeight="true" outlineLevel="0" collapsed="false">
      <c r="AB45" s="1" t="s">
        <v>1167</v>
      </c>
      <c r="AC45" s="1" t="s">
        <v>2921</v>
      </c>
    </row>
    <row r="46" customFormat="false" ht="12.75" hidden="false" customHeight="true" outlineLevel="0" collapsed="false">
      <c r="AB46" s="1" t="s">
        <v>431</v>
      </c>
      <c r="AC46" s="1" t="s">
        <v>2921</v>
      </c>
    </row>
    <row r="47" customFormat="false" ht="12.75" hidden="false" customHeight="true" outlineLevel="0" collapsed="false">
      <c r="AB47" s="1" t="s">
        <v>1806</v>
      </c>
      <c r="AC47" s="1" t="s">
        <v>2927</v>
      </c>
    </row>
    <row r="48" customFormat="false" ht="12.75" hidden="false" customHeight="true" outlineLevel="0" collapsed="false">
      <c r="AB48" s="1" t="s">
        <v>839</v>
      </c>
      <c r="AC48" s="1" t="s">
        <v>2921</v>
      </c>
    </row>
    <row r="49" customFormat="false" ht="12.75" hidden="false" customHeight="true" outlineLevel="0" collapsed="false">
      <c r="AB49" s="1" t="s">
        <v>2317</v>
      </c>
      <c r="AC49" s="1" t="s">
        <v>2921</v>
      </c>
    </row>
    <row r="50" customFormat="false" ht="12.75" hidden="false" customHeight="true" outlineLevel="0" collapsed="false">
      <c r="AB50" s="1" t="s">
        <v>61</v>
      </c>
      <c r="AC50" s="1" t="s">
        <v>2921</v>
      </c>
    </row>
    <row r="51" customFormat="false" ht="12.75" hidden="false" customHeight="true" outlineLevel="0" collapsed="false">
      <c r="AB51" s="1" t="s">
        <v>442</v>
      </c>
      <c r="AC51" s="1" t="s">
        <v>2921</v>
      </c>
    </row>
    <row r="52" customFormat="false" ht="12.75" hidden="false" customHeight="true" outlineLevel="0" collapsed="false">
      <c r="AB52" s="1" t="s">
        <v>894</v>
      </c>
      <c r="AC52" s="1" t="s">
        <v>2921</v>
      </c>
    </row>
    <row r="53" customFormat="false" ht="12.75" hidden="false" customHeight="true" outlineLevel="0" collapsed="false">
      <c r="AB53" s="1" t="s">
        <v>650</v>
      </c>
      <c r="AC53" s="1" t="s">
        <v>2921</v>
      </c>
    </row>
    <row r="54" customFormat="false" ht="12.75" hidden="false" customHeight="true" outlineLevel="0" collapsed="false">
      <c r="AB54" s="1" t="s">
        <v>275</v>
      </c>
      <c r="AC54" s="1" t="s">
        <v>2921</v>
      </c>
    </row>
    <row r="55" customFormat="false" ht="12.75" hidden="false" customHeight="true" outlineLevel="0" collapsed="false">
      <c r="AB55" s="1" t="s">
        <v>958</v>
      </c>
      <c r="AC55" s="1" t="s">
        <v>2921</v>
      </c>
    </row>
    <row r="56" customFormat="false" ht="12.75" hidden="false" customHeight="true" outlineLevel="0" collapsed="false">
      <c r="AB56" s="1" t="s">
        <v>38</v>
      </c>
      <c r="AC56" s="1" t="s">
        <v>2926</v>
      </c>
    </row>
    <row r="57" customFormat="false" ht="12.75" hidden="false" customHeight="true" outlineLevel="0" collapsed="false">
      <c r="AB57" s="1" t="s">
        <v>2933</v>
      </c>
      <c r="AC57" s="1" t="s">
        <v>2921</v>
      </c>
    </row>
    <row r="58" customFormat="false" ht="12.75" hidden="false" customHeight="true" outlineLevel="0" collapsed="false">
      <c r="AB58" s="1" t="s">
        <v>92</v>
      </c>
      <c r="AC58" s="1" t="s">
        <v>2928</v>
      </c>
    </row>
    <row r="59" customFormat="false" ht="12.75" hidden="false" customHeight="true" outlineLevel="0" collapsed="false">
      <c r="AB59" s="1" t="s">
        <v>1811</v>
      </c>
      <c r="AC59" s="1" t="s">
        <v>2921</v>
      </c>
    </row>
    <row r="60" customFormat="false" ht="12.75" hidden="false" customHeight="true" outlineLevel="0" collapsed="false">
      <c r="AB60" s="1" t="s">
        <v>301</v>
      </c>
      <c r="AC60" s="1" t="s">
        <v>2927</v>
      </c>
    </row>
    <row r="61" customFormat="false" ht="12.75" hidden="false" customHeight="true" outlineLevel="0" collapsed="false">
      <c r="AB61" s="1" t="s">
        <v>2589</v>
      </c>
      <c r="AC61" s="1" t="s">
        <v>2923</v>
      </c>
    </row>
    <row r="62" customFormat="false" ht="12.75" hidden="false" customHeight="true" outlineLevel="0" collapsed="false">
      <c r="AB62" s="1" t="s">
        <v>739</v>
      </c>
      <c r="AC62" s="1" t="s">
        <v>2921</v>
      </c>
    </row>
    <row r="63" customFormat="false" ht="12.75" hidden="false" customHeight="true" outlineLevel="0" collapsed="false">
      <c r="AB63" s="1" t="s">
        <v>980</v>
      </c>
      <c r="AC63" s="1" t="s">
        <v>2924</v>
      </c>
    </row>
    <row r="64" customFormat="false" ht="12.75" hidden="false" customHeight="true" outlineLevel="0" collapsed="false">
      <c r="AB64" s="1" t="s">
        <v>1693</v>
      </c>
      <c r="AC64" s="1" t="s">
        <v>2927</v>
      </c>
    </row>
    <row r="65" customFormat="false" ht="12.75" hidden="false" customHeight="true" outlineLevel="0" collapsed="false">
      <c r="AB65" s="1" t="s">
        <v>295</v>
      </c>
      <c r="AC65" s="1" t="s">
        <v>2927</v>
      </c>
    </row>
    <row r="66" customFormat="false" ht="12.75" hidden="false" customHeight="true" outlineLevel="0" collapsed="false">
      <c r="AB66" s="1" t="s">
        <v>1582</v>
      </c>
      <c r="AC66" s="1" t="s">
        <v>2921</v>
      </c>
    </row>
    <row r="67" customFormat="false" ht="12.75" hidden="false" customHeight="true" outlineLevel="0" collapsed="false">
      <c r="AB67" s="1" t="s">
        <v>644</v>
      </c>
      <c r="AC67" s="1" t="s">
        <v>2921</v>
      </c>
    </row>
    <row r="68" customFormat="false" ht="12.75" hidden="false" customHeight="true" outlineLevel="0" collapsed="false">
      <c r="AB68" s="1" t="s">
        <v>776</v>
      </c>
      <c r="AC68" s="1" t="s">
        <v>2924</v>
      </c>
    </row>
    <row r="69" customFormat="false" ht="12.75" hidden="false" customHeight="true" outlineLevel="0" collapsed="false">
      <c r="AB69" s="1" t="s">
        <v>124</v>
      </c>
      <c r="AC69" s="1" t="s">
        <v>2921</v>
      </c>
    </row>
    <row r="70" customFormat="false" ht="12.75" hidden="false" customHeight="true" outlineLevel="0" collapsed="false">
      <c r="AB70" s="1" t="s">
        <v>232</v>
      </c>
      <c r="AC70" s="1" t="s">
        <v>2921</v>
      </c>
    </row>
    <row r="71" customFormat="false" ht="12.75" hidden="false" customHeight="true" outlineLevel="0" collapsed="false">
      <c r="AB71" s="1" t="s">
        <v>1957</v>
      </c>
      <c r="AC71" s="1" t="s">
        <v>2921</v>
      </c>
    </row>
    <row r="72" customFormat="false" ht="12.75" hidden="false" customHeight="true" outlineLevel="0" collapsed="false">
      <c r="AB72" s="1" t="s">
        <v>86</v>
      </c>
      <c r="AC72" s="1" t="s">
        <v>2927</v>
      </c>
    </row>
    <row r="73" customFormat="false" ht="12.75" hidden="false" customHeight="true" outlineLevel="0" collapsed="false">
      <c r="AB73" s="1" t="s">
        <v>766</v>
      </c>
      <c r="AC73" s="1" t="s">
        <v>2921</v>
      </c>
    </row>
    <row r="74" customFormat="false" ht="12.75" hidden="false" customHeight="true" outlineLevel="0" collapsed="false">
      <c r="AB74" s="1" t="s">
        <v>120</v>
      </c>
      <c r="AC74" s="1" t="s">
        <v>2921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2934</v>
      </c>
      <c r="B1" s="25" t="s">
        <v>2916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2890</v>
      </c>
    </row>
    <row r="2" customFormat="false" ht="12.75" hidden="false" customHeight="true" outlineLevel="0" collapsed="false">
      <c r="A2" s="1" t="s">
        <v>267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1015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291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498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617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1341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1988</v>
      </c>
    </row>
    <row r="7" customFormat="false" ht="12.75" hidden="false" customHeight="true" outlineLevel="0" collapsed="false">
      <c r="A7" s="1" t="s">
        <v>109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306.26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459.39</v>
      </c>
    </row>
    <row r="8" customFormat="false" ht="12.75" hidden="false" customHeight="true" outlineLevel="0" collapsed="false">
      <c r="A8" s="1" t="s">
        <v>1340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897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491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83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186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7768.73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18084.7</v>
      </c>
    </row>
    <row r="14" customFormat="false" ht="12.75" hidden="false" customHeight="true" outlineLevel="0" collapsed="false">
      <c r="A14" s="1" t="s">
        <v>2512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174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438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418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434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166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81054.83</v>
      </c>
      <c r="K19" s="17" t="n">
        <f aca="false">SUMIFS(Report!$U:$U,Report!$T:$T,$A19,Report!$C:$C,"&gt;="&amp;DATE(2026,9,1),Report!$C:$C,"&lt;="&amp;DATE(2026,9,30))</f>
        <v>77029.67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260310.76</v>
      </c>
    </row>
    <row r="20" customFormat="false" ht="12.75" hidden="false" customHeight="true" outlineLevel="0" collapsed="false">
      <c r="A20" s="1" t="s">
        <v>2306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544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996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719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116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1476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554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778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2932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226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717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503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176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581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977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686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901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473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431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4066.9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10905.38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839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2317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442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894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650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275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958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804860.37</v>
      </c>
      <c r="K54" s="17" t="n">
        <f aca="false">SUMIFS(Report!$U:$U,Report!$T:$T,$A54,Report!$C:$C,"&gt;="&amp;DATE(2026,9,1),Report!$C:$C,"&lt;="&amp;DATE(2026,9,30))</f>
        <v>236528.18</v>
      </c>
      <c r="L54" s="17" t="n">
        <f aca="false">SUMIFS(Report!$U:$U,Report!$T:$T,$A54,Report!$C:$C,"&gt;="&amp;DATE(2026,10,1),Report!$C:$C,"&lt;="&amp;DATE(2026,10,31))</f>
        <v>13404.29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2807018.18</v>
      </c>
    </row>
    <row r="55" customFormat="false" ht="12.75" hidden="false" customHeight="true" outlineLevel="0" collapsed="false">
      <c r="A55" s="1" t="s">
        <v>2933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92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180247.16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91998.87</v>
      </c>
      <c r="K56" s="17" t="n">
        <f aca="false">SUMIFS(Report!$U:$U,Report!$T:$T,$A56,Report!$C:$C,"&gt;="&amp;DATE(2026,9,1),Report!$C:$C,"&lt;="&amp;DATE(2026,9,30))</f>
        <v>27656.12</v>
      </c>
      <c r="L56" s="17" t="n">
        <f aca="false">SUMIFS(Report!$U:$U,Report!$T:$T,$A56,Report!$C:$C,"&gt;="&amp;DATE(2026,10,1),Report!$C:$C,"&lt;="&amp;DATE(2026,10,31))</f>
        <v>23497.81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485511.65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301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739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980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295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1582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644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776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124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1153.12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2792.69</v>
      </c>
    </row>
    <row r="67" customFormat="false" ht="12.75" hidden="false" customHeight="true" outlineLevel="0" collapsed="false">
      <c r="A67" s="1" t="s">
        <v>232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1703.53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3551.23</v>
      </c>
    </row>
    <row r="69" customFormat="false" ht="12.75" hidden="false" customHeight="true" outlineLevel="0" collapsed="false">
      <c r="A69" s="1" t="s">
        <v>86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766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1" t="s">
        <v>120</v>
      </c>
      <c r="B71" s="1" t="str">
        <f aca="false">IFERROR(INDEX('Resumo Grupos'!$AC$3:$AC$200,MATCH($A71,'Resumo Grupos'!$AB$3:$AB$200,0)),"n/d")</f>
        <v>Despesa</v>
      </c>
      <c r="C71" s="17" t="n">
        <f aca="false">SUMIFS(Report!$U:$U,Report!$T:$T,$A71,Report!$C:$C,"&gt;="&amp;DATE(2026,1,1),Report!$C:$C,"&lt;"&amp;DATE(2026,2,1))</f>
        <v>0</v>
      </c>
      <c r="D71" s="17" t="n">
        <f aca="false">SUMIFS(Report!$U:$U,Report!$T:$T,$A71,Report!$C:$C,"&gt;="&amp;DATE(2026,2,1),Report!$C:$C,"&lt;"&amp;DATE(2026,3,1))</f>
        <v>0</v>
      </c>
      <c r="E71" s="17" t="n">
        <f aca="false">SUMIFS(Report!$U:$U,Report!$T:$T,$A71,Report!$C:$C,"&gt;="&amp;DATE(2026,3,1),Report!$C:$C,"&lt;"&amp;DATE(2026,4,1))</f>
        <v>0</v>
      </c>
      <c r="F71" s="17" t="n">
        <f aca="false">SUMIFS(Report!$U:$U,Report!$T:$T,$A71,Report!$C:$C,"&gt;="&amp;DATE(2026,4,1),Report!$C:$C,"&lt;"&amp;DATE(2026,5,1))</f>
        <v>0</v>
      </c>
      <c r="G71" s="17" t="n">
        <f aca="false">SUMIFS(Report!$U:$U,Report!$T:$T,$A71,Report!$C:$C,"&gt;="&amp;DATE(2026,5,1),Report!$C:$C,"&lt;"&amp;DATE(2026,6,1))</f>
        <v>0</v>
      </c>
      <c r="H71" s="17" t="n">
        <f aca="false">SUMIFS(Report!$U:$U,Report!$T:$T,$A71,Report!$C:$C,"&gt;="&amp;DATE(2026,6,1),Report!$C:$C,"&lt;"&amp;DATE(2026,7,1))</f>
        <v>97</v>
      </c>
      <c r="I71" s="17" t="n">
        <f aca="false">SUMIFS(Report!$U:$U,Report!$T:$T,$A71,Report!$C:$C,"&gt;="&amp;DATE(2026,7,1),Report!$C:$C,"&lt;"&amp;DATE(2026,8,1))</f>
        <v>0</v>
      </c>
      <c r="J71" s="17" t="n">
        <f aca="false">SUMIFS(Report!$U:$U,Report!$T:$T,$A71,Report!$C:$C,"&gt;="&amp;DATE(2026,8,1),Report!$C:$C,"&lt;"&amp;DATE(2026,9,1))</f>
        <v>0</v>
      </c>
      <c r="K71" s="17" t="n">
        <f aca="false">SUMIFS(Report!$U:$U,Report!$T:$T,$A71,Report!$C:$C,"&gt;="&amp;DATE(2026,9,1),Report!$C:$C,"&lt;"&amp;DATE(2026,10,1))</f>
        <v>0</v>
      </c>
      <c r="L71" s="17" t="n">
        <f aca="false">SUMIFS(Report!$U:$U,Report!$T:$T,$A71,Report!$C:$C,"&gt;="&amp;DATE(2026,10,1),Report!$C:$C,"&lt;"&amp;DATE(2026,11,1))</f>
        <v>0</v>
      </c>
      <c r="M71" s="17" t="n">
        <f aca="false">SUMIFS(Report!$U:$U,Report!$T:$T,$A71,Report!$C:$C,"&gt;="&amp;DATE(2026,11,1),Report!$C:$C,"&lt;"&amp;DATE(2026,12,1))</f>
        <v>0</v>
      </c>
      <c r="N71" s="17" t="n">
        <f aca="false">SUMIFS(Report!$U:$U,Report!$T:$T,$A71,Report!$C:$C,"&gt;="&amp;DATE(2026,12,1),Report!$C:$C,"&lt;"&amp;DATE(2027,1,1))</f>
        <v>0</v>
      </c>
      <c r="O71" s="17" t="n">
        <f aca="false">SUMIFS(Report!$U:$U,Report!$T:$T,$A71,Report!$C:$C,"&gt;="&amp;DATE(2027,1,1),Report!$C:$C,"&lt;"&amp;DATE(2027,2,1))</f>
        <v>0</v>
      </c>
      <c r="P71" s="17" t="n">
        <f aca="false">SUMIFS(Report!$U:$U,Report!$T:$T,$A71,Report!$C:$C,"&gt;="&amp;DATE(2027,2,1),Report!$C:$C,"&lt;"&amp;DATE(2027,3,1))</f>
        <v>0</v>
      </c>
      <c r="Q71" s="17" t="n">
        <f aca="false">SUMIFS(Report!$U:$U,Report!$T:$T,$A71,Report!$C:$C,"&gt;="&amp;DATE(2027,3,1),Report!$C:$C,"&lt;"&amp;DATE(2027,4,1))</f>
        <v>0</v>
      </c>
      <c r="R71" s="17" t="n">
        <f aca="false">SUMIFS(Report!$U:$U,Report!$T:$T,$A71,Report!$C:$C,"&gt;="&amp;DATE(2027,4,1),Report!$C:$C,"&lt;"&amp;DATE(2027,5,1))</f>
        <v>0</v>
      </c>
      <c r="S71" s="17" t="n">
        <f aca="false">SUMIFS(Report!$U:$U,Report!$T:$T,$A71,Report!$C:$C,"&gt;="&amp;DATE(2027,5,1),Report!$C:$C,"&lt;"&amp;DATE(2027,6,1))</f>
        <v>0</v>
      </c>
      <c r="T71" s="17" t="n">
        <f aca="false">SUMIFS(Report!$U:$U,Report!$T:$T,$A71,Report!$C:$C,"&gt;="&amp;DATE(2027,6,1),Report!$C:$C,"&lt;"&amp;DATE(2027,7,1))</f>
        <v>0</v>
      </c>
      <c r="U71" s="17" t="n">
        <f aca="false">SUMIFS(Report!$U:$U,Report!$T:$T,$A71,Report!$C:$C,"&gt;="&amp;DATE(2027,7,1),Report!$C:$C,"&lt;"&amp;DATE(2027,8,1))</f>
        <v>0</v>
      </c>
      <c r="V71" s="17" t="n">
        <f aca="false">SUMIFS(Report!$U:$U,Report!$T:$T,$A71,Report!$C:$C,"&gt;="&amp;DATE(2027,8,1),Report!$C:$C,"&lt;"&amp;DATE(2027,9,1))</f>
        <v>0</v>
      </c>
      <c r="W71" s="17" t="n">
        <f aca="false">SUMIFS(Report!$U:$U,Report!$T:$T,$A71,Report!$C:$C,"&gt;="&amp;DATE(2027,9,1),Report!$C:$C,"&lt;"&amp;DATE(2027,10,1))</f>
        <v>0</v>
      </c>
      <c r="X71" s="17" t="n">
        <f aca="false">SUMIFS(Report!$U:$U,Report!$T:$T,$A71,Report!$C:$C,"&gt;="&amp;DATE(2027,10,1),Report!$C:$C,"&lt;"&amp;DATE(2027,11,1))</f>
        <v>0</v>
      </c>
      <c r="Y71" s="17" t="n">
        <f aca="false">SUMIFS(Report!$U:$U,Report!$T:$T,$A71,Report!$C:$C,"&gt;="&amp;DATE(2027,11,1),Report!$C:$C,"&lt;"&amp;DATE(2027,12,1))</f>
        <v>0</v>
      </c>
      <c r="Z71" s="17" t="n">
        <f aca="false">SUMIFS(Report!$U:$U,Report!$T:$T,$A71,Report!$C:$C,"&gt;="&amp;DATE(2027,12,1),Report!$C:$C,"&lt;"&amp;DATE(2028,1,1))</f>
        <v>0</v>
      </c>
    </row>
    <row r="72" customFormat="false" ht="13.5" hidden="false" customHeight="true" outlineLevel="0" collapsed="false">
      <c r="A72" s="34" t="s">
        <v>2915</v>
      </c>
      <c r="B72" s="34"/>
      <c r="C72" s="30" t="n">
        <f aca="false">SUM(C2:C71)</f>
        <v>0</v>
      </c>
      <c r="D72" s="30" t="n">
        <f aca="false">SUM(D2:D71)</f>
        <v>0</v>
      </c>
      <c r="E72" s="30" t="n">
        <f aca="false">SUM(E2:E71)</f>
        <v>0</v>
      </c>
      <c r="F72" s="30" t="n">
        <f aca="false">SUM(F2:F71)</f>
        <v>0</v>
      </c>
      <c r="G72" s="30" t="n">
        <f aca="false">SUM(G2:G71)</f>
        <v>0</v>
      </c>
      <c r="H72" s="30" t="n">
        <f aca="false">SUM(H2:H71)</f>
        <v>1237364.68</v>
      </c>
      <c r="I72" s="30" t="n">
        <f aca="false">SUM(I2:I71)</f>
        <v>1285950.89</v>
      </c>
      <c r="J72" s="30" t="n">
        <f aca="false">SUM(J2:J71)</f>
        <v>1252296.25</v>
      </c>
      <c r="K72" s="30" t="n">
        <f aca="false">SUM(K2:K71)</f>
        <v>386837.95</v>
      </c>
      <c r="L72" s="30" t="n">
        <f aca="false">SUM(L2:L71)</f>
        <v>87823.06</v>
      </c>
      <c r="M72" s="30" t="n">
        <f aca="false">SUM(M2:M71)</f>
        <v>0</v>
      </c>
      <c r="N72" s="30" t="n">
        <f aca="false">SUM(N2:N71)</f>
        <v>0</v>
      </c>
      <c r="O72" s="30" t="n">
        <f aca="false">SUM(O2:O71)</f>
        <v>0</v>
      </c>
      <c r="P72" s="30" t="n">
        <f aca="false">SUM(P2:P71)</f>
        <v>0</v>
      </c>
      <c r="Q72" s="30" t="n">
        <f aca="false">SUM(Q2:Q71)</f>
        <v>0</v>
      </c>
      <c r="R72" s="30" t="n">
        <f aca="false">SUM(R2:R71)</f>
        <v>0</v>
      </c>
      <c r="S72" s="30" t="n">
        <f aca="false">SUM(S2:S71)</f>
        <v>0</v>
      </c>
      <c r="T72" s="30" t="n">
        <f aca="false">SUM(T2:T71)</f>
        <v>0</v>
      </c>
      <c r="U72" s="30" t="n">
        <f aca="false">SUM(U2:U71)</f>
        <v>0</v>
      </c>
      <c r="V72" s="30" t="n">
        <f aca="false">SUM(V2:V71)</f>
        <v>0</v>
      </c>
      <c r="W72" s="30" t="n">
        <f aca="false">SUM(W2:W71)</f>
        <v>0</v>
      </c>
      <c r="X72" s="30" t="n">
        <f aca="false">SUM(X2:X71)</f>
        <v>0</v>
      </c>
      <c r="Y72" s="30" t="n">
        <f aca="false">SUM(Y2:Y71)</f>
        <v>0</v>
      </c>
      <c r="Z72" s="30" t="n">
        <f aca="false">SUM(Z2:Z71)</f>
        <v>0</v>
      </c>
      <c r="AA72" s="30" t="n">
        <f aca="false">SUM(AA2:AA71)</f>
        <v>4250175.83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2935</v>
      </c>
      <c r="B1" s="37" t="n">
        <f aca="false">SUMIFS(Report!$U:$U,Report!$T:$T,"&lt;&gt;"&amp;"MERCADORIAS P/REVENDA",Report!$AA:$AA,"SIM",Report!$C:$C,"&gt;="&amp;DATE(2026,1,1),Report!$C:$C,"&lt;="&amp;DATE(2027,12,31))</f>
        <v>1443254.65</v>
      </c>
      <c r="C1" s="37" t="n">
        <f aca="false">SUMIFS(Report!$U:$U,Report!$T:$T,"MERCADORIAS P/REVENDA",Report!$AA:$AA,"SIM",Report!$C:$C,"&gt;="&amp;DATE(2026,1,1),Report!$C:$C,"&lt;="&amp;DATE(2027,12,31))</f>
        <v>2807018.18</v>
      </c>
      <c r="D1" s="38" t="s">
        <v>2936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4250272.83</v>
      </c>
      <c r="H1" s="1"/>
      <c r="I1" s="17"/>
    </row>
    <row r="2" customFormat="false" ht="12.75" hidden="false" customHeight="true" outlineLevel="0" collapsed="false">
      <c r="A2" s="24" t="s">
        <v>2937</v>
      </c>
      <c r="B2" s="26" t="s">
        <v>2888</v>
      </c>
      <c r="C2" s="26" t="s">
        <v>2889</v>
      </c>
      <c r="D2" s="38" t="s">
        <v>2938</v>
      </c>
      <c r="E2" s="37" t="n">
        <f aca="false">F1+E1</f>
        <v>4500272.83</v>
      </c>
      <c r="F2" s="26" t="s">
        <v>2939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23814.26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58409.21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23814.26</v>
      </c>
      <c r="C176" s="30" t="n">
        <f aca="false">SUM(C169:C175)</f>
        <v>34594.95</v>
      </c>
      <c r="D176" s="34"/>
      <c r="E176" s="34"/>
      <c r="F176" s="30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26154.22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70705.53</v>
      </c>
      <c r="C184" s="30" t="n">
        <f aca="false">SUM(C177:C183)</f>
        <v>231802.13</v>
      </c>
      <c r="D184" s="34"/>
      <c r="E184" s="34"/>
      <c r="F184" s="30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34924.93</v>
      </c>
      <c r="C267" s="17" t="n">
        <f aca="false">SUMIFS(Report!$U:$U,Report!$T:$T,"MERCADORIAS P/REVENDA",Report!$AA:$AA,"SIM",Report!$C:$C,A267)</f>
        <v>32235.57</v>
      </c>
      <c r="F267" s="17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41893.78</v>
      </c>
      <c r="C268" s="17" t="n">
        <f aca="false">SUMIFS(Report!$U:$U,Report!$T:$T,"MERCADORIAS P/REVENDA",Report!$AA:$AA,"SIM",Report!$C:$C,A268)</f>
        <v>54083.26</v>
      </c>
      <c r="F268" s="17" t="n">
        <f aca="false">B268+C268</f>
        <v>95977.04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23498.12</v>
      </c>
      <c r="D269" s="41"/>
      <c r="E269" s="41"/>
      <c r="F269" s="40" t="n">
        <f aca="false">B269+C269</f>
        <v>23498.12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42835.88</v>
      </c>
      <c r="D271" s="41"/>
      <c r="E271" s="41"/>
      <c r="F271" s="40" t="n">
        <f aca="false">B271+C271</f>
        <v>144302.57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192999.37</v>
      </c>
      <c r="C272" s="30" t="n">
        <f aca="false">SUM(C265:C271)</f>
        <v>207872.34</v>
      </c>
      <c r="D272" s="34"/>
      <c r="E272" s="34"/>
      <c r="F272" s="30" t="n">
        <f aca="false">B272+C272</f>
        <v>400871.71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19071.28</v>
      </c>
      <c r="F273" s="17" t="n">
        <f aca="false">B273+C273</f>
        <v>27253.22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21703.44</v>
      </c>
      <c r="F274" s="17" t="n">
        <f aca="false">B274+C274</f>
        <v>23644.53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28059.79</v>
      </c>
      <c r="F275" s="17" t="n">
        <f aca="false">B275+C275</f>
        <v>28059.79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27622.85</v>
      </c>
      <c r="F276" s="17" t="n">
        <f aca="false">B276+C276</f>
        <v>35476.08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15483.61</v>
      </c>
      <c r="D277" s="41"/>
      <c r="E277" s="41"/>
      <c r="F277" s="40" t="n">
        <f aca="false">B277+C277</f>
        <v>15483.61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4668.21</v>
      </c>
      <c r="D278" s="41"/>
      <c r="E278" s="41"/>
      <c r="F278" s="40" t="n">
        <f aca="false">B278+C278</f>
        <v>5668.21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33874.18</v>
      </c>
      <c r="D279" s="41"/>
      <c r="E279" s="41"/>
      <c r="F279" s="40" t="n">
        <f aca="false">B279+C279</f>
        <v>33874.18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18976.26</v>
      </c>
      <c r="C280" s="30" t="n">
        <f aca="false">SUM(C273:C279)</f>
        <v>150483.36</v>
      </c>
      <c r="D280" s="34"/>
      <c r="E280" s="34"/>
      <c r="F280" s="30" t="n">
        <f aca="false">B280+C280</f>
        <v>169459.62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2524.13</v>
      </c>
      <c r="C281" s="17" t="n">
        <f aca="false">SUMIFS(Report!$U:$U,Report!$T:$T,"MERCADORIAS P/REVENDA",Report!$AA:$AA,"SIM",Report!$C:$C,A281)</f>
        <v>10383.45</v>
      </c>
      <c r="F281" s="17" t="n">
        <f aca="false">B281+C281</f>
        <v>12907.58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26066.48</v>
      </c>
      <c r="F282" s="17" t="n">
        <f aca="false">B282+C282</f>
        <v>44288.78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29191.53</v>
      </c>
      <c r="F283" s="17" t="n">
        <f aca="false">B283+C283</f>
        <v>29450.15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16287.76</v>
      </c>
      <c r="F284" s="17" t="n">
        <f aca="false">B284+C284</f>
        <v>19073.02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3133.42</v>
      </c>
      <c r="D285" s="41"/>
      <c r="E285" s="41"/>
      <c r="F285" s="40" t="n">
        <f aca="false">B285+C285</f>
        <v>21448.38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2039.4</v>
      </c>
      <c r="D286" s="41"/>
      <c r="E286" s="41"/>
      <c r="F286" s="40" t="n">
        <f aca="false">B286+C286</f>
        <v>2839.4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11934.93</v>
      </c>
      <c r="D287" s="41"/>
      <c r="E287" s="41"/>
      <c r="F287" s="40" t="n">
        <f aca="false">B287+C287</f>
        <v>11934.93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42905.27</v>
      </c>
      <c r="C288" s="30" t="n">
        <f aca="false">SUM(C281:C287)</f>
        <v>99036.97</v>
      </c>
      <c r="D288" s="34"/>
      <c r="E288" s="34"/>
      <c r="F288" s="30" t="n">
        <f aca="false">B288+C288</f>
        <v>141942.24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2218.17</v>
      </c>
      <c r="C289" s="17" t="n">
        <f aca="false">SUMIFS(Report!$U:$U,Report!$T:$T,"MERCADORIAS P/REVENDA",Report!$AA:$AA,"SIM",Report!$C:$C,A289)</f>
        <v>20329.08</v>
      </c>
      <c r="F289" s="17" t="n">
        <f aca="false">B289+C289</f>
        <v>22547.25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20623.47</v>
      </c>
      <c r="F290" s="17" t="n">
        <f aca="false">B290+C290</f>
        <v>20623.47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14872.08</v>
      </c>
      <c r="F291" s="17" t="n">
        <f aca="false">B291+C291</f>
        <v>23253.43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16255.84</v>
      </c>
      <c r="F292" s="17" t="n">
        <f aca="false">B292+C292</f>
        <v>32025.98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1272.23</v>
      </c>
      <c r="D293" s="41"/>
      <c r="E293" s="41"/>
      <c r="F293" s="40" t="n">
        <f aca="false">B293+C293</f>
        <v>1960.59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1611.7</v>
      </c>
      <c r="C294" s="40" t="n">
        <f aca="false">SUMIFS(Report!$U:$U,Report!$T:$T,"MERCADORIAS P/REVENDA",Report!$AA:$AA,"SIM",Report!$C:$C,A294)</f>
        <v>2976.99</v>
      </c>
      <c r="D294" s="41"/>
      <c r="E294" s="41"/>
      <c r="F294" s="40" t="n">
        <f aca="false">B294+C294</f>
        <v>4588.69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9126.59</v>
      </c>
      <c r="D295" s="41"/>
      <c r="E295" s="41"/>
      <c r="F295" s="40" t="n">
        <f aca="false">B295+C295</f>
        <v>9126.59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28669.72</v>
      </c>
      <c r="C296" s="30" t="n">
        <f aca="false">SUM(C289:C295)</f>
        <v>85456.28</v>
      </c>
      <c r="D296" s="34"/>
      <c r="E296" s="34"/>
      <c r="F296" s="30" t="n">
        <f aca="false">B296+C296</f>
        <v>114126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1906.03</v>
      </c>
      <c r="C297" s="17" t="n">
        <f aca="false">SUMIFS(Report!$U:$U,Report!$T:$T,"MERCADORIAS P/REVENDA",Report!$AA:$AA,"SIM",Report!$C:$C,A297)</f>
        <v>4583.31</v>
      </c>
      <c r="F297" s="17" t="n">
        <f aca="false">B297+C297</f>
        <v>6489.34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12750.86</v>
      </c>
      <c r="F298" s="17" t="n">
        <f aca="false">B298+C298</f>
        <v>12750.86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11520.29</v>
      </c>
      <c r="F299" s="17" t="n">
        <f aca="false">B299+C299</f>
        <v>18520.29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3892.67</v>
      </c>
      <c r="F300" s="17" t="n">
        <f aca="false">B300+C300</f>
        <v>9648.47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396.52</v>
      </c>
      <c r="D301" s="41"/>
      <c r="E301" s="41"/>
      <c r="F301" s="40" t="n">
        <f aca="false">B301+C301</f>
        <v>396.52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4556.55</v>
      </c>
      <c r="D302" s="41"/>
      <c r="E302" s="41"/>
      <c r="F302" s="40" t="n">
        <f aca="false">B302+C302</f>
        <v>12850.09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41389.16</v>
      </c>
      <c r="C303" s="40" t="n">
        <f aca="false">SUMIFS(Report!$U:$U,Report!$T:$T,"MERCADORIAS P/REVENDA",Report!$AA:$AA,"SIM",Report!$C:$C,A303)</f>
        <v>1641.7</v>
      </c>
      <c r="D303" s="41"/>
      <c r="E303" s="41"/>
      <c r="F303" s="40" t="n">
        <f aca="false">B303+C303</f>
        <v>43030.86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64344.53</v>
      </c>
      <c r="C304" s="30" t="n">
        <f aca="false">SUM(C297:C303)</f>
        <v>39341.9</v>
      </c>
      <c r="D304" s="34"/>
      <c r="E304" s="34"/>
      <c r="F304" s="30" t="n">
        <f aca="false">B304+C304</f>
        <v>103686.43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1593.05</v>
      </c>
      <c r="F308" s="17" t="n">
        <f aca="false">B308+C308</f>
        <v>8409.26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2880.97</v>
      </c>
      <c r="D309" s="41"/>
      <c r="E309" s="41"/>
      <c r="F309" s="40" t="n">
        <f aca="false">B309+C309</f>
        <v>2880.97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4669.22</v>
      </c>
      <c r="D310" s="41"/>
      <c r="E310" s="41"/>
      <c r="F310" s="40" t="n">
        <f aca="false">B310+C310</f>
        <v>4669.22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12693.03</v>
      </c>
      <c r="D312" s="34"/>
      <c r="E312" s="34"/>
      <c r="F312" s="30" t="n">
        <f aca="false">B312+C312</f>
        <v>26083.28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2880.97</v>
      </c>
      <c r="F321" s="17" t="n">
        <f aca="false">B321+C321</f>
        <v>3680.97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6036.95</v>
      </c>
      <c r="D328" s="34"/>
      <c r="E328" s="34"/>
      <c r="F328" s="30" t="n">
        <f aca="false">B328+C328</f>
        <v>29609.18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922.5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922.5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1969.17</v>
      </c>
      <c r="F332" s="17" t="n">
        <f aca="false">B332+C332</f>
        <v>1969.17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14280.2</v>
      </c>
      <c r="C336" s="30" t="n">
        <f aca="false">SUM(C329:C335)</f>
        <v>1969.17</v>
      </c>
      <c r="D336" s="34"/>
      <c r="E336" s="34"/>
      <c r="F336" s="30" t="n">
        <f aca="false">B336+C336</f>
        <v>16249.37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1969.17</v>
      </c>
      <c r="D343" s="41"/>
      <c r="E343" s="41"/>
      <c r="F343" s="40" t="n">
        <f aca="false">B343+C343</f>
        <v>1969.17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1969.17</v>
      </c>
      <c r="D344" s="34"/>
      <c r="E344" s="34"/>
      <c r="F344" s="30" t="n">
        <f aca="false">B344+C344</f>
        <v>17839.24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2940</v>
      </c>
      <c r="B1" s="43"/>
      <c r="C1" s="43"/>
      <c r="D1" s="43"/>
    </row>
    <row r="2" customFormat="false" ht="12.75" hidden="false" customHeight="true" outlineLevel="0" collapsed="false">
      <c r="A2" s="44" t="s">
        <v>2941</v>
      </c>
      <c r="B2" s="44"/>
      <c r="C2" s="44"/>
      <c r="D2" s="44"/>
    </row>
    <row r="4" customFormat="false" ht="13.5" hidden="false" customHeight="true" outlineLevel="0" collapsed="false">
      <c r="A4" s="45" t="s">
        <v>2887</v>
      </c>
      <c r="B4" s="45" t="s">
        <v>2942</v>
      </c>
      <c r="C4" s="45" t="s">
        <v>2943</v>
      </c>
    </row>
    <row r="5" customFormat="false" ht="12.75" hidden="false" customHeight="true" outlineLevel="0" collapsed="false">
      <c r="A5" s="46" t="s">
        <v>2891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2892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2893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2894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2895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2896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2897</v>
      </c>
      <c r="B11" s="46" t="n">
        <v>2026</v>
      </c>
      <c r="C11" s="47" t="n">
        <v>1173881.95</v>
      </c>
    </row>
    <row r="12" customFormat="false" ht="13.5" hidden="false" customHeight="true" outlineLevel="0" collapsed="false">
      <c r="A12" s="46" t="s">
        <v>2898</v>
      </c>
      <c r="B12" s="46" t="n">
        <v>2026</v>
      </c>
      <c r="C12" s="48" t="n">
        <v>718621.75</v>
      </c>
    </row>
    <row r="13" customFormat="false" ht="13.5" hidden="false" customHeight="true" outlineLevel="0" collapsed="false">
      <c r="A13" s="46" t="s">
        <v>2899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2900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2901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2902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2944</v>
      </c>
      <c r="B18" s="49"/>
      <c r="C18" s="50" t="n">
        <v>46254</v>
      </c>
    </row>
    <row r="20" customFormat="false" ht="12.75" hidden="false" customHeight="true" outlineLevel="0" collapsed="false">
      <c r="A20" s="44" t="s">
        <v>2945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0" width="16"/>
    <col collapsed="false" customWidth="true" hidden="false" outlineLevel="0" max="10" min="8" style="0" width="18"/>
  </cols>
  <sheetData>
    <row r="1" customFormat="false" ht="17.25" hidden="false" customHeight="true" outlineLevel="0" collapsed="false">
      <c r="A1" s="51" t="s">
        <v>2946</v>
      </c>
    </row>
    <row r="3" customFormat="false" ht="12.75" hidden="false" customHeight="true" outlineLevel="0" collapsed="false">
      <c r="A3" s="27" t="s">
        <v>2947</v>
      </c>
      <c r="E3" s="52" t="n">
        <v>0.8584</v>
      </c>
      <c r="F3" s="53" t="s">
        <v>2948</v>
      </c>
      <c r="G3" s="53" t="s">
        <v>2949</v>
      </c>
      <c r="H3" s="53" t="s">
        <v>2950</v>
      </c>
      <c r="I3" s="53" t="s">
        <v>2951</v>
      </c>
      <c r="J3" s="53" t="s">
        <v>2952</v>
      </c>
    </row>
    <row r="4" customFormat="false" ht="12.75" hidden="false" customHeight="fals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</row>
    <row r="5" customFormat="false" ht="12.75" hidden="false" customHeight="fals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</row>
    <row r="6" customFormat="false" ht="12.75" hidden="false" customHeight="true" outlineLevel="0" collapsed="false">
      <c r="A6" s="60" t="s">
        <v>2887</v>
      </c>
      <c r="B6" s="32" t="s">
        <v>2953</v>
      </c>
      <c r="C6" s="32" t="s">
        <v>2954</v>
      </c>
      <c r="D6" s="32" t="s">
        <v>2955</v>
      </c>
      <c r="E6" s="32" t="s">
        <v>2956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</row>
    <row r="7" customFormat="false" ht="12.75" hidden="false" customHeight="true" outlineLevel="0" collapsed="false">
      <c r="A7" s="27" t="s">
        <v>2891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2892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982773.309896</v>
      </c>
      <c r="J8" s="56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2893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0.902615648499726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OK</v>
      </c>
      <c r="I9" s="59" t="n">
        <f aca="false">IF(C9="","",IF(AND(F9&lt;&gt;"",F9&lt;1),C9*F9,C9))</f>
        <v>800680.165934897</v>
      </c>
      <c r="J9" s="59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2894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1.10750819616132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982433.495088</v>
      </c>
      <c r="J10" s="56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2895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0.980778506956027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945028.79347614</v>
      </c>
      <c r="J11" s="59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2896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54" t="n">
        <f aca="false">IF(AND(ISNUMBER(B11),ISNUMBER(B10),B10&lt;&gt;0),B11/B10,"")</f>
        <v>1.07927576047692</v>
      </c>
      <c r="G12" s="54" t="n">
        <f aca="false">IF(AND(ISNUMBER(D12),ISNUMBER(B12),B12&lt;&gt;0),(D12/B12)*30,"")</f>
        <v>21.4057620901414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1039935.788272</v>
      </c>
      <c r="J12" s="56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2897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57" t="n">
        <f aca="false">IF(AND(ISNUMBER(B12),ISNUMBER(B11),B11&lt;&gt;0),B12/B11,"")</f>
        <v>0.976706224456174</v>
      </c>
      <c r="G13" s="57" t="n">
        <f aca="false">IF(AND(ISNUMBER(D13),ISNUMBER(B13),B13&lt;&gt;0),(D13/B13)*30,"")</f>
        <v>23.2034779136011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992051.995744968</v>
      </c>
      <c r="J13" s="59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2898</v>
      </c>
      <c r="B14" s="17" t="n">
        <f aca="false">IFERROR(INDEX('Venda Anual (Base)'!$C$5:$C$16,MATCH($A14,'Venda Anual (Base)'!$A$5:$A$16,0)),"")</f>
        <v>718621.75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804860.37</v>
      </c>
      <c r="E14" s="17" t="n">
        <f aca="false">IF(AND(ISNUMBER(C14),D14&gt;0),D14-C14,"")</f>
        <v>-202799.89588</v>
      </c>
      <c r="F14" s="54" t="n">
        <f aca="false">IF(AND(ISNUMBER(B13),ISNUMBER(B12),B12&lt;&gt;0),B13/B12,"")</f>
        <v>0.992073054682075</v>
      </c>
      <c r="G14" s="54" t="n">
        <f aca="false">IF(AND(ISNUMBER(D14),ISNUMBER(B14),B14&lt;&gt;0),(D14/B14)*30,"")</f>
        <v>33.6001674037837</v>
      </c>
      <c r="H14" s="55" t="str">
        <f aca="false">IF(F14="","",IF(OR(F14&lt;0.9,F14&gt;1.1),"ALERTA","OK"))</f>
        <v>OK</v>
      </c>
      <c r="I14" s="56" t="n">
        <f aca="false">IF(C14="","",IF(AND(F14&lt;&gt;"",F14&lt;1),C14*F14,C14))</f>
        <v>999672.598053324</v>
      </c>
      <c r="J14" s="56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2899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616864.9102</v>
      </c>
      <c r="D15" s="17" t="n">
        <f aca="false">IFERROR(INDEX('Resumo Mensal'!$C$2:$C$25,MATCH($A15,'Resumo Mensal'!$A$2:$A$25,0)),0)</f>
        <v>236528.18</v>
      </c>
      <c r="E15" s="17" t="n">
        <f aca="false">IF(AND(ISNUMBER(C15),D15&gt;0),D15-C15,"")</f>
        <v>-380336.7302</v>
      </c>
      <c r="F15" s="57" t="n">
        <f aca="false">IF(AND(ISNUMBER(B14),ISNUMBER(B13),B13&lt;&gt;0),B14/B13,"")</f>
        <v>0.612175483233216</v>
      </c>
      <c r="G15" s="57" t="str">
        <f aca="false">IF(AND(ISNUMBER(D15),ISNUMBER(B15),B15&lt;&gt;0),(D15/B15)*30,"")</f>
        <v/>
      </c>
      <c r="H15" s="58" t="str">
        <f aca="false">IF(F15="","",IF(OR(F15&lt;0.9,F15&gt;1.1),"ALERTA","OK"))</f>
        <v>ALERTA</v>
      </c>
      <c r="I15" s="59" t="n">
        <f aca="false">IF(C15="","",IF(AND(F15&lt;&gt;"",F15&lt;1),C15*F15,C15))</f>
        <v>377629.5744913</v>
      </c>
      <c r="J15" s="59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2900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13404.29</v>
      </c>
      <c r="E16" s="17" t="n">
        <f aca="false">IF(AND(ISNUMBER(C16),D16&gt;0),D16-C16,"")</f>
        <v>13404.29</v>
      </c>
      <c r="F16" s="62" t="n">
        <f aca="false">SUMIFS('Notas Fiscais (Rel 19)'!$K:$K,'Notas Fiscais (Rel 19)'!$E:$E,"&gt;="&amp;DATE(2026,10,1),'Notas Fiscais (Rel 19)'!$E:$E,"&lt;="&amp;DATE(2026,10,31))</f>
        <v>0</v>
      </c>
      <c r="G16" s="63"/>
      <c r="H16" s="63"/>
      <c r="I16" s="64" t="n">
        <f aca="false">SUM(I5:I15)</f>
        <v>7120205.72095663</v>
      </c>
      <c r="J16" s="65" t="n">
        <f aca="false">SUM(J4:J15)</f>
        <v>2414605.72</v>
      </c>
    </row>
    <row r="17" customFormat="false" ht="12.75" hidden="false" customHeight="true" outlineLevel="0" collapsed="false">
      <c r="A17" s="27" t="s">
        <v>2901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2902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0" t="s">
        <v>2915</v>
      </c>
      <c r="B19" s="35" t="n">
        <f aca="false">SUM(B7:B18)</f>
        <v>8732520.68</v>
      </c>
      <c r="C19" s="35" t="n">
        <f aca="false">SUM(C7:C18)</f>
        <v>7495995.751712</v>
      </c>
      <c r="D19" s="35" t="n">
        <f aca="false">SUM(D7:D18)</f>
        <v>2807018.18</v>
      </c>
      <c r="E19" s="35" t="n">
        <f aca="false">IF(COUNT(E7:E18)=0,"sem dados comparaveis ainda",SUM(E7:E18))</f>
        <v>-873154.541792</v>
      </c>
      <c r="F19" s="35" t="n">
        <f aca="false">SUM(F7:F18)</f>
        <v>6.65113287446547</v>
      </c>
    </row>
    <row r="21" customFormat="false" ht="12.75" hidden="false" customHeight="true" outlineLevel="0" collapsed="false">
      <c r="A21" s="27" t="s">
        <v>2957</v>
      </c>
    </row>
    <row r="23" customFormat="false" ht="12.75" hidden="false" customHeight="true" outlineLevel="0" collapsed="false">
      <c r="A23" s="27" t="s">
        <v>2958</v>
      </c>
    </row>
    <row r="25" customFormat="false" ht="12.75" hidden="false" customHeight="true" outlineLevel="0" collapsed="false">
      <c r="A25" s="27" t="s">
        <v>2959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2960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2961</v>
      </c>
      <c r="B1" s="1" t="s">
        <v>2962</v>
      </c>
      <c r="C1" s="1" t="s">
        <v>2963</v>
      </c>
      <c r="D1" s="1" t="s">
        <v>2964</v>
      </c>
      <c r="E1" s="1" t="s">
        <v>2965</v>
      </c>
      <c r="F1" s="1" t="s">
        <v>2966</v>
      </c>
      <c r="G1" s="1" t="s">
        <v>2967</v>
      </c>
      <c r="H1" s="1" t="s">
        <v>2968</v>
      </c>
      <c r="I1" s="1" t="s">
        <v>2969</v>
      </c>
      <c r="J1" s="1" t="s">
        <v>2970</v>
      </c>
      <c r="K1" s="1" t="s">
        <v>2971</v>
      </c>
      <c r="N1" s="66" t="s">
        <v>2937</v>
      </c>
      <c r="O1" s="66" t="s">
        <v>2972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2973</v>
      </c>
      <c r="D2" s="1" t="s">
        <v>2974</v>
      </c>
      <c r="E2" s="15" t="n">
        <v>46174</v>
      </c>
      <c r="F2" s="15" t="n">
        <v>46171</v>
      </c>
      <c r="G2" s="1" t="s">
        <v>352</v>
      </c>
      <c r="H2" s="1" t="n">
        <v>1187486</v>
      </c>
      <c r="I2" s="1" t="n">
        <v>1</v>
      </c>
      <c r="J2" s="1" t="s">
        <v>2975</v>
      </c>
      <c r="K2" s="67" t="n">
        <v>390.66</v>
      </c>
      <c r="N2" s="15" t="n">
        <v>46174</v>
      </c>
      <c r="O2" s="67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2976</v>
      </c>
      <c r="D3" s="1" t="s">
        <v>2977</v>
      </c>
      <c r="E3" s="15" t="n">
        <v>46174</v>
      </c>
      <c r="F3" s="15" t="n">
        <v>46160</v>
      </c>
      <c r="G3" s="1" t="s">
        <v>482</v>
      </c>
      <c r="H3" s="1" t="n">
        <v>1187952</v>
      </c>
      <c r="I3" s="1" t="n">
        <v>3</v>
      </c>
      <c r="J3" s="1" t="s">
        <v>2975</v>
      </c>
      <c r="K3" s="67" t="n">
        <v>218.36</v>
      </c>
      <c r="N3" s="15" t="n">
        <v>46175</v>
      </c>
      <c r="O3" s="67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2978</v>
      </c>
      <c r="D4" s="1" t="s">
        <v>2979</v>
      </c>
      <c r="E4" s="15" t="n">
        <v>46174</v>
      </c>
      <c r="F4" s="15" t="n">
        <v>46170</v>
      </c>
      <c r="G4" s="1" t="s">
        <v>388</v>
      </c>
      <c r="H4" s="1" t="n">
        <v>1187519</v>
      </c>
      <c r="I4" s="1" t="n">
        <v>11</v>
      </c>
      <c r="J4" s="1" t="s">
        <v>2975</v>
      </c>
      <c r="K4" s="67" t="n">
        <v>2284</v>
      </c>
      <c r="N4" s="15" t="n">
        <v>46176</v>
      </c>
      <c r="O4" s="67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2976</v>
      </c>
      <c r="D5" s="1" t="s">
        <v>2980</v>
      </c>
      <c r="E5" s="15" t="n">
        <v>46174</v>
      </c>
      <c r="F5" s="15" t="n">
        <v>46164</v>
      </c>
      <c r="G5" s="1" t="s">
        <v>325</v>
      </c>
      <c r="H5" s="1" t="n">
        <v>1187889</v>
      </c>
      <c r="I5" s="1" t="n">
        <v>3</v>
      </c>
      <c r="J5" s="1" t="s">
        <v>2975</v>
      </c>
      <c r="K5" s="67" t="n">
        <v>2710</v>
      </c>
      <c r="N5" s="15" t="n">
        <v>46177</v>
      </c>
      <c r="O5" s="67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2981</v>
      </c>
      <c r="D6" s="1" t="s">
        <v>2982</v>
      </c>
      <c r="E6" s="15" t="n">
        <v>46174</v>
      </c>
      <c r="F6" s="15" t="n">
        <v>46174</v>
      </c>
      <c r="G6" s="1" t="s">
        <v>591</v>
      </c>
      <c r="H6" s="1" t="n">
        <v>1191272</v>
      </c>
      <c r="I6" s="1" t="n">
        <v>1</v>
      </c>
      <c r="J6" s="1" t="s">
        <v>2975</v>
      </c>
      <c r="K6" s="67" t="n">
        <v>180</v>
      </c>
      <c r="N6" s="15" t="n">
        <v>46178</v>
      </c>
      <c r="O6" s="67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2976</v>
      </c>
      <c r="D7" s="1" t="s">
        <v>2983</v>
      </c>
      <c r="E7" s="15" t="n">
        <v>46174</v>
      </c>
      <c r="F7" s="15" t="n">
        <v>46160</v>
      </c>
      <c r="G7" s="1" t="s">
        <v>540</v>
      </c>
      <c r="H7" s="1" t="n">
        <v>1187048</v>
      </c>
      <c r="I7" s="1" t="n">
        <v>1</v>
      </c>
      <c r="J7" s="1" t="s">
        <v>2975</v>
      </c>
      <c r="K7" s="67" t="n">
        <v>1751.27</v>
      </c>
      <c r="N7" s="15" t="n">
        <v>46179</v>
      </c>
      <c r="O7" s="67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2973</v>
      </c>
      <c r="D8" s="1" t="s">
        <v>2984</v>
      </c>
      <c r="E8" s="15" t="n">
        <v>46174</v>
      </c>
      <c r="F8" s="15" t="n">
        <v>46174</v>
      </c>
      <c r="G8" s="1" t="s">
        <v>97</v>
      </c>
      <c r="H8" s="1" t="n">
        <v>1189172</v>
      </c>
      <c r="I8" s="1" t="n">
        <v>1</v>
      </c>
      <c r="J8" s="1" t="s">
        <v>2975</v>
      </c>
      <c r="K8" s="67" t="n">
        <v>405.5</v>
      </c>
      <c r="N8" s="15" t="n">
        <v>46180</v>
      </c>
      <c r="O8" s="67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2973</v>
      </c>
      <c r="D9" s="1" t="s">
        <v>2985</v>
      </c>
      <c r="E9" s="15" t="n">
        <v>46174</v>
      </c>
      <c r="F9" s="15" t="n">
        <v>46174</v>
      </c>
      <c r="G9" s="1" t="s">
        <v>102</v>
      </c>
      <c r="H9" s="1" t="n">
        <v>1194085</v>
      </c>
      <c r="I9" s="1" t="n">
        <v>1</v>
      </c>
      <c r="J9" s="1" t="s">
        <v>2975</v>
      </c>
      <c r="K9" s="67" t="n">
        <v>280</v>
      </c>
      <c r="N9" s="15" t="n">
        <v>46181</v>
      </c>
      <c r="O9" s="67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2976</v>
      </c>
      <c r="D10" s="1" t="s">
        <v>2986</v>
      </c>
      <c r="E10" s="15" t="n">
        <v>46174</v>
      </c>
      <c r="F10" s="15" t="n">
        <v>46172</v>
      </c>
      <c r="G10" s="1" t="s">
        <v>211</v>
      </c>
      <c r="H10" s="1" t="n">
        <v>1188385</v>
      </c>
      <c r="I10" s="1" t="n">
        <v>1</v>
      </c>
      <c r="J10" s="1" t="s">
        <v>2975</v>
      </c>
      <c r="K10" s="67" t="n">
        <v>11363.2</v>
      </c>
      <c r="N10" s="15" t="n">
        <v>46182</v>
      </c>
      <c r="O10" s="67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2976</v>
      </c>
      <c r="D11" s="1" t="s">
        <v>2987</v>
      </c>
      <c r="E11" s="15" t="n">
        <v>46174</v>
      </c>
      <c r="F11" s="15" t="n">
        <v>46155</v>
      </c>
      <c r="G11" s="1" t="s">
        <v>444</v>
      </c>
      <c r="H11" s="1" t="n">
        <v>1188129</v>
      </c>
      <c r="I11" s="1" t="n">
        <v>39</v>
      </c>
      <c r="J11" s="1" t="s">
        <v>2975</v>
      </c>
      <c r="K11" s="67" t="n">
        <v>84</v>
      </c>
      <c r="N11" s="15" t="n">
        <v>46183</v>
      </c>
      <c r="O11" s="67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2976</v>
      </c>
      <c r="D12" s="1" t="s">
        <v>2988</v>
      </c>
      <c r="E12" s="15" t="n">
        <v>46174</v>
      </c>
      <c r="F12" s="15" t="n">
        <v>46174</v>
      </c>
      <c r="G12" s="1" t="s">
        <v>70</v>
      </c>
      <c r="H12" s="1" t="n">
        <v>1189233</v>
      </c>
      <c r="I12" s="1" t="n">
        <v>2</v>
      </c>
      <c r="J12" s="1" t="s">
        <v>2975</v>
      </c>
      <c r="K12" s="67" t="n">
        <v>260</v>
      </c>
      <c r="N12" s="15" t="n">
        <v>46184</v>
      </c>
      <c r="O12" s="67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2976</v>
      </c>
      <c r="D13" s="1" t="s">
        <v>2988</v>
      </c>
      <c r="E13" s="15" t="n">
        <v>46174</v>
      </c>
      <c r="F13" s="15" t="n">
        <v>46174</v>
      </c>
      <c r="G13" s="1" t="s">
        <v>70</v>
      </c>
      <c r="H13" s="1" t="n">
        <v>1189238</v>
      </c>
      <c r="I13" s="1" t="n">
        <v>6</v>
      </c>
      <c r="J13" s="1" t="s">
        <v>2975</v>
      </c>
      <c r="K13" s="67" t="n">
        <v>260</v>
      </c>
      <c r="N13" s="15" t="n">
        <v>46185</v>
      </c>
      <c r="O13" s="67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2976</v>
      </c>
      <c r="D14" s="1" t="s">
        <v>2989</v>
      </c>
      <c r="E14" s="15" t="n">
        <v>46174</v>
      </c>
      <c r="F14" s="15" t="n">
        <v>46172</v>
      </c>
      <c r="G14" s="1" t="s">
        <v>157</v>
      </c>
      <c r="H14" s="1" t="n">
        <v>1188444</v>
      </c>
      <c r="I14" s="1" t="n">
        <v>1</v>
      </c>
      <c r="J14" s="1" t="s">
        <v>2975</v>
      </c>
      <c r="K14" s="67" t="n">
        <v>3055.2</v>
      </c>
      <c r="N14" s="15" t="n">
        <v>46186</v>
      </c>
      <c r="O14" s="67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2976</v>
      </c>
      <c r="D15" s="1" t="s">
        <v>2990</v>
      </c>
      <c r="E15" s="15" t="n">
        <v>46174</v>
      </c>
      <c r="F15" s="15" t="n">
        <v>46160</v>
      </c>
      <c r="G15" s="1" t="s">
        <v>405</v>
      </c>
      <c r="H15" s="1" t="n">
        <v>1187627</v>
      </c>
      <c r="I15" s="1" t="n">
        <v>3</v>
      </c>
      <c r="J15" s="1" t="s">
        <v>2975</v>
      </c>
      <c r="K15" s="67" t="n">
        <v>5050.31</v>
      </c>
      <c r="N15" s="15" t="n">
        <v>46187</v>
      </c>
      <c r="O15" s="67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2978</v>
      </c>
      <c r="D16" s="1" t="s">
        <v>2991</v>
      </c>
      <c r="E16" s="15" t="n">
        <v>46174</v>
      </c>
      <c r="F16" s="15" t="n">
        <v>46174</v>
      </c>
      <c r="G16" s="1" t="s">
        <v>961</v>
      </c>
      <c r="H16" s="1" t="n">
        <v>1189192</v>
      </c>
      <c r="I16" s="1" t="n">
        <v>1</v>
      </c>
      <c r="J16" s="1" t="s">
        <v>2975</v>
      </c>
      <c r="K16" s="67" t="n">
        <v>105</v>
      </c>
      <c r="N16" s="15" t="n">
        <v>46188</v>
      </c>
      <c r="O16" s="67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2976</v>
      </c>
      <c r="D17" s="1" t="s">
        <v>2992</v>
      </c>
      <c r="E17" s="15" t="n">
        <v>46175</v>
      </c>
      <c r="F17" s="15" t="n">
        <v>46174</v>
      </c>
      <c r="G17" s="1" t="s">
        <v>161</v>
      </c>
      <c r="H17" s="1" t="n">
        <v>1193274</v>
      </c>
      <c r="I17" s="1" t="n">
        <v>1</v>
      </c>
      <c r="J17" s="1" t="s">
        <v>2975</v>
      </c>
      <c r="K17" s="67" t="n">
        <v>564</v>
      </c>
      <c r="N17" s="15" t="n">
        <v>46189</v>
      </c>
      <c r="O17" s="67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2976</v>
      </c>
      <c r="D18" s="1" t="s">
        <v>2993</v>
      </c>
      <c r="E18" s="15" t="n">
        <v>46175</v>
      </c>
      <c r="F18" s="15" t="n">
        <v>46170</v>
      </c>
      <c r="G18" s="1" t="s">
        <v>328</v>
      </c>
      <c r="H18" s="1" t="n">
        <v>1193288</v>
      </c>
      <c r="I18" s="1" t="n">
        <v>1</v>
      </c>
      <c r="J18" s="1" t="s">
        <v>2975</v>
      </c>
      <c r="K18" s="67" t="n">
        <v>1330</v>
      </c>
      <c r="N18" s="15" t="n">
        <v>46190</v>
      </c>
      <c r="O18" s="67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2973</v>
      </c>
      <c r="D19" s="1" t="s">
        <v>2994</v>
      </c>
      <c r="E19" s="15" t="n">
        <v>46175</v>
      </c>
      <c r="F19" s="15" t="n">
        <v>46174</v>
      </c>
      <c r="G19" s="1" t="s">
        <v>66</v>
      </c>
      <c r="H19" s="1" t="n">
        <v>1191273</v>
      </c>
      <c r="I19" s="1" t="n">
        <v>1</v>
      </c>
      <c r="J19" s="1" t="s">
        <v>2975</v>
      </c>
      <c r="K19" s="67" t="n">
        <v>655.68</v>
      </c>
      <c r="N19" s="15" t="n">
        <v>46191</v>
      </c>
      <c r="O19" s="67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2976</v>
      </c>
      <c r="D20" s="1" t="s">
        <v>2995</v>
      </c>
      <c r="E20" s="15" t="n">
        <v>46175</v>
      </c>
      <c r="F20" s="15" t="n">
        <v>46174</v>
      </c>
      <c r="G20" s="1" t="s">
        <v>264</v>
      </c>
      <c r="H20" s="1" t="n">
        <v>1191245</v>
      </c>
      <c r="I20" s="1" t="n">
        <v>1</v>
      </c>
      <c r="J20" s="1" t="s">
        <v>2975</v>
      </c>
      <c r="K20" s="67" t="n">
        <v>2569.25</v>
      </c>
      <c r="N20" s="15" t="n">
        <v>46192</v>
      </c>
      <c r="O20" s="67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2976</v>
      </c>
      <c r="D21" s="1" t="s">
        <v>2995</v>
      </c>
      <c r="E21" s="15" t="n">
        <v>46175</v>
      </c>
      <c r="F21" s="15" t="n">
        <v>46175</v>
      </c>
      <c r="G21" s="1" t="s">
        <v>264</v>
      </c>
      <c r="H21" s="1" t="n">
        <v>1193353</v>
      </c>
      <c r="I21" s="1" t="n">
        <v>1</v>
      </c>
      <c r="J21" s="1" t="s">
        <v>2975</v>
      </c>
      <c r="K21" s="67" t="n">
        <v>4425.75</v>
      </c>
      <c r="N21" s="15" t="n">
        <v>46193</v>
      </c>
      <c r="O21" s="67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2976</v>
      </c>
      <c r="D22" s="1" t="s">
        <v>2996</v>
      </c>
      <c r="E22" s="15" t="n">
        <v>46175</v>
      </c>
      <c r="F22" s="15" t="n">
        <v>46175</v>
      </c>
      <c r="G22" s="1" t="s">
        <v>221</v>
      </c>
      <c r="H22" s="1" t="n">
        <v>1193996</v>
      </c>
      <c r="I22" s="1" t="n">
        <v>1</v>
      </c>
      <c r="J22" s="1" t="s">
        <v>2975</v>
      </c>
      <c r="K22" s="67" t="n">
        <v>400</v>
      </c>
      <c r="N22" s="15" t="n">
        <v>46194</v>
      </c>
      <c r="O22" s="67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2976</v>
      </c>
      <c r="D23" s="1" t="s">
        <v>2997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2975</v>
      </c>
      <c r="K23" s="67" t="n">
        <v>2152.02</v>
      </c>
      <c r="N23" s="15" t="n">
        <v>46195</v>
      </c>
      <c r="O23" s="67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2976</v>
      </c>
      <c r="D24" s="1" t="s">
        <v>2980</v>
      </c>
      <c r="E24" s="15" t="n">
        <v>46175</v>
      </c>
      <c r="F24" s="15" t="n">
        <v>46161</v>
      </c>
      <c r="G24" s="1" t="s">
        <v>325</v>
      </c>
      <c r="H24" s="1" t="n">
        <v>1192775</v>
      </c>
      <c r="I24" s="1" t="n">
        <v>1</v>
      </c>
      <c r="J24" s="1" t="s">
        <v>2975</v>
      </c>
      <c r="K24" s="67" t="n">
        <v>6783.58</v>
      </c>
      <c r="N24" s="15" t="n">
        <v>46196</v>
      </c>
      <c r="O24" s="67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2976</v>
      </c>
      <c r="D25" s="1" t="s">
        <v>2998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2975</v>
      </c>
      <c r="K25" s="67" t="n">
        <v>900.56</v>
      </c>
      <c r="N25" s="15" t="n">
        <v>46197</v>
      </c>
      <c r="O25" s="67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2973</v>
      </c>
      <c r="D26" s="1" t="s">
        <v>2999</v>
      </c>
      <c r="E26" s="15" t="n">
        <v>46175</v>
      </c>
      <c r="F26" s="15" t="n">
        <v>46174</v>
      </c>
      <c r="G26" s="1" t="s">
        <v>76</v>
      </c>
      <c r="H26" s="1" t="n">
        <v>1191705</v>
      </c>
      <c r="I26" s="1" t="n">
        <v>1</v>
      </c>
      <c r="J26" s="1" t="s">
        <v>2975</v>
      </c>
      <c r="K26" s="67" t="n">
        <v>577.25</v>
      </c>
      <c r="N26" s="15" t="n">
        <v>46198</v>
      </c>
      <c r="O26" s="67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2976</v>
      </c>
      <c r="D27" s="1" t="s">
        <v>3000</v>
      </c>
      <c r="E27" s="15" t="n">
        <v>46175</v>
      </c>
      <c r="F27" s="15" t="n">
        <v>46172</v>
      </c>
      <c r="G27" s="1" t="s">
        <v>155</v>
      </c>
      <c r="H27" s="1" t="n">
        <v>1193391</v>
      </c>
      <c r="I27" s="1" t="n">
        <v>1</v>
      </c>
      <c r="J27" s="1" t="s">
        <v>2975</v>
      </c>
      <c r="K27" s="67" t="n">
        <v>331</v>
      </c>
      <c r="N27" s="15" t="n">
        <v>46199</v>
      </c>
      <c r="O27" s="67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2976</v>
      </c>
      <c r="D28" s="1" t="s">
        <v>3001</v>
      </c>
      <c r="E28" s="15" t="n">
        <v>46175</v>
      </c>
      <c r="F28" s="15" t="n">
        <v>46160</v>
      </c>
      <c r="G28" s="1" t="s">
        <v>379</v>
      </c>
      <c r="H28" s="1" t="n">
        <v>1193035</v>
      </c>
      <c r="I28" s="1" t="n">
        <v>1</v>
      </c>
      <c r="J28" s="1" t="s">
        <v>2975</v>
      </c>
      <c r="K28" s="67" t="n">
        <v>1747.29</v>
      </c>
      <c r="N28" s="15" t="n">
        <v>46200</v>
      </c>
      <c r="O28" s="67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2976</v>
      </c>
      <c r="D29" s="1" t="s">
        <v>3002</v>
      </c>
      <c r="E29" s="15" t="n">
        <v>46175</v>
      </c>
      <c r="F29" s="15" t="n">
        <v>46174</v>
      </c>
      <c r="G29" s="1" t="s">
        <v>323</v>
      </c>
      <c r="H29" s="1" t="n">
        <v>1191624</v>
      </c>
      <c r="I29" s="1" t="n">
        <v>1</v>
      </c>
      <c r="J29" s="1" t="s">
        <v>2975</v>
      </c>
      <c r="K29" s="67" t="n">
        <v>213</v>
      </c>
      <c r="N29" s="15" t="n">
        <v>46201</v>
      </c>
      <c r="O29" s="67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2973</v>
      </c>
      <c r="D30" s="1" t="s">
        <v>3003</v>
      </c>
      <c r="E30" s="15" t="n">
        <v>46175</v>
      </c>
      <c r="F30" s="15" t="n">
        <v>46174</v>
      </c>
      <c r="G30" s="1" t="s">
        <v>74</v>
      </c>
      <c r="H30" s="1" t="n">
        <v>1191285</v>
      </c>
      <c r="I30" s="1" t="n">
        <v>1</v>
      </c>
      <c r="J30" s="1" t="s">
        <v>2975</v>
      </c>
      <c r="K30" s="67" t="n">
        <v>304.75</v>
      </c>
      <c r="N30" s="15" t="n">
        <v>46202</v>
      </c>
      <c r="O30" s="67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2973</v>
      </c>
      <c r="D31" s="1" t="s">
        <v>3003</v>
      </c>
      <c r="E31" s="15" t="n">
        <v>46175</v>
      </c>
      <c r="F31" s="15" t="n">
        <v>46174</v>
      </c>
      <c r="G31" s="1" t="s">
        <v>74</v>
      </c>
      <c r="H31" s="1" t="n">
        <v>1191319</v>
      </c>
      <c r="I31" s="1" t="n">
        <v>1</v>
      </c>
      <c r="J31" s="1" t="s">
        <v>2975</v>
      </c>
      <c r="K31" s="67" t="n">
        <v>394.75</v>
      </c>
      <c r="N31" s="15" t="n">
        <v>46203</v>
      </c>
      <c r="O31" s="67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2978</v>
      </c>
      <c r="D32" s="1" t="s">
        <v>3004</v>
      </c>
      <c r="E32" s="15" t="n">
        <v>46175</v>
      </c>
      <c r="F32" s="15" t="n">
        <v>46171</v>
      </c>
      <c r="G32" s="1" t="s">
        <v>753</v>
      </c>
      <c r="H32" s="1" t="n">
        <v>1193162</v>
      </c>
      <c r="I32" s="1" t="n">
        <v>1</v>
      </c>
      <c r="J32" s="1" t="s">
        <v>2975</v>
      </c>
      <c r="K32" s="67" t="n">
        <v>1864.49</v>
      </c>
      <c r="N32" s="15" t="n">
        <v>46204</v>
      </c>
      <c r="O32" s="67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2976</v>
      </c>
      <c r="D33" s="1" t="s">
        <v>2988</v>
      </c>
      <c r="E33" s="15" t="n">
        <v>46175</v>
      </c>
      <c r="F33" s="15" t="n">
        <v>46175</v>
      </c>
      <c r="G33" s="1" t="s">
        <v>70</v>
      </c>
      <c r="H33" s="1" t="n">
        <v>1193240</v>
      </c>
      <c r="I33" s="1" t="n">
        <v>2</v>
      </c>
      <c r="J33" s="1" t="s">
        <v>2975</v>
      </c>
      <c r="K33" s="67" t="n">
        <v>3006.01</v>
      </c>
      <c r="N33" s="15" t="n">
        <v>46205</v>
      </c>
      <c r="O33" s="67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2976</v>
      </c>
      <c r="D34" s="1" t="s">
        <v>2988</v>
      </c>
      <c r="E34" s="15" t="n">
        <v>46175</v>
      </c>
      <c r="F34" s="15" t="n">
        <v>46175</v>
      </c>
      <c r="G34" s="1" t="s">
        <v>70</v>
      </c>
      <c r="H34" s="1" t="n">
        <v>1193910</v>
      </c>
      <c r="I34" s="1" t="n">
        <v>2</v>
      </c>
      <c r="J34" s="1" t="s">
        <v>2975</v>
      </c>
      <c r="K34" s="67" t="n">
        <v>1394</v>
      </c>
      <c r="N34" s="15" t="n">
        <v>46206</v>
      </c>
      <c r="O34" s="67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2976</v>
      </c>
      <c r="D35" s="1" t="s">
        <v>2988</v>
      </c>
      <c r="E35" s="15" t="n">
        <v>46175</v>
      </c>
      <c r="F35" s="15" t="n">
        <v>46175</v>
      </c>
      <c r="G35" s="1" t="s">
        <v>70</v>
      </c>
      <c r="H35" s="1" t="n">
        <v>1193247</v>
      </c>
      <c r="I35" s="1" t="n">
        <v>6</v>
      </c>
      <c r="J35" s="1" t="s">
        <v>2975</v>
      </c>
      <c r="K35" s="67" t="n">
        <v>3006.01</v>
      </c>
      <c r="N35" s="15" t="n">
        <v>46207</v>
      </c>
      <c r="O35" s="67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2976</v>
      </c>
      <c r="D36" s="1" t="s">
        <v>2988</v>
      </c>
      <c r="E36" s="15" t="n">
        <v>46175</v>
      </c>
      <c r="F36" s="15" t="n">
        <v>46175</v>
      </c>
      <c r="G36" s="1" t="s">
        <v>70</v>
      </c>
      <c r="H36" s="1" t="n">
        <v>1193289</v>
      </c>
      <c r="I36" s="1" t="n">
        <v>6</v>
      </c>
      <c r="J36" s="1" t="s">
        <v>2975</v>
      </c>
      <c r="K36" s="67" t="n">
        <v>3006.01</v>
      </c>
      <c r="N36" s="15" t="n">
        <v>46208</v>
      </c>
      <c r="O36" s="67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2976</v>
      </c>
      <c r="D37" s="1" t="s">
        <v>2988</v>
      </c>
      <c r="E37" s="15" t="n">
        <v>46175</v>
      </c>
      <c r="F37" s="15" t="n">
        <v>46175</v>
      </c>
      <c r="G37" s="1" t="s">
        <v>70</v>
      </c>
      <c r="H37" s="1" t="n">
        <v>1193916</v>
      </c>
      <c r="I37" s="1" t="n">
        <v>6</v>
      </c>
      <c r="J37" s="1" t="s">
        <v>2975</v>
      </c>
      <c r="K37" s="67" t="n">
        <v>1394</v>
      </c>
      <c r="N37" s="15" t="n">
        <v>46209</v>
      </c>
      <c r="O37" s="67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2976</v>
      </c>
      <c r="D38" s="1" t="s">
        <v>2995</v>
      </c>
      <c r="E38" s="15" t="n">
        <v>46176</v>
      </c>
      <c r="F38" s="15" t="n">
        <v>46176</v>
      </c>
      <c r="G38" s="1" t="s">
        <v>264</v>
      </c>
      <c r="H38" s="1" t="n">
        <v>1197903</v>
      </c>
      <c r="I38" s="1" t="n">
        <v>1</v>
      </c>
      <c r="J38" s="1" t="s">
        <v>2975</v>
      </c>
      <c r="K38" s="67" t="n">
        <v>2028.6</v>
      </c>
      <c r="N38" s="15" t="n">
        <v>46210</v>
      </c>
      <c r="O38" s="67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2973</v>
      </c>
      <c r="D39" s="1" t="s">
        <v>2984</v>
      </c>
      <c r="E39" s="15" t="n">
        <v>46176</v>
      </c>
      <c r="F39" s="15" t="n">
        <v>46176</v>
      </c>
      <c r="G39" s="1" t="s">
        <v>97</v>
      </c>
      <c r="H39" s="1" t="n">
        <v>1206718</v>
      </c>
      <c r="I39" s="1" t="n">
        <v>1</v>
      </c>
      <c r="J39" s="1" t="s">
        <v>2975</v>
      </c>
      <c r="K39" s="67" t="n">
        <v>370.5</v>
      </c>
      <c r="N39" s="15" t="n">
        <v>46211</v>
      </c>
      <c r="O39" s="67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2973</v>
      </c>
      <c r="D40" s="1" t="s">
        <v>2985</v>
      </c>
      <c r="E40" s="15" t="n">
        <v>46176</v>
      </c>
      <c r="F40" s="15" t="n">
        <v>46176</v>
      </c>
      <c r="G40" s="1" t="s">
        <v>102</v>
      </c>
      <c r="H40" s="1" t="n">
        <v>1228376</v>
      </c>
      <c r="I40" s="1" t="n">
        <v>1</v>
      </c>
      <c r="J40" s="1" t="s">
        <v>2975</v>
      </c>
      <c r="K40" s="67" t="n">
        <v>720</v>
      </c>
      <c r="N40" s="15" t="n">
        <v>46212</v>
      </c>
      <c r="O40" s="67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2976</v>
      </c>
      <c r="D41" s="1" t="s">
        <v>2988</v>
      </c>
      <c r="E41" s="15" t="n">
        <v>46176</v>
      </c>
      <c r="F41" s="15" t="n">
        <v>46176</v>
      </c>
      <c r="G41" s="1" t="s">
        <v>70</v>
      </c>
      <c r="H41" s="1" t="n">
        <v>1198147</v>
      </c>
      <c r="I41" s="1" t="n">
        <v>6</v>
      </c>
      <c r="J41" s="1" t="s">
        <v>2975</v>
      </c>
      <c r="K41" s="67" t="n">
        <v>290</v>
      </c>
      <c r="N41" s="15" t="n">
        <v>46213</v>
      </c>
      <c r="O41" s="67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2976</v>
      </c>
      <c r="D42" s="1" t="s">
        <v>2988</v>
      </c>
      <c r="E42" s="15" t="n">
        <v>46176</v>
      </c>
      <c r="F42" s="15" t="n">
        <v>46176</v>
      </c>
      <c r="G42" s="1" t="s">
        <v>70</v>
      </c>
      <c r="H42" s="1" t="n">
        <v>1198102</v>
      </c>
      <c r="I42" s="1" t="n">
        <v>2</v>
      </c>
      <c r="J42" s="1" t="s">
        <v>2975</v>
      </c>
      <c r="K42" s="67" t="n">
        <v>290</v>
      </c>
      <c r="N42" s="15" t="n">
        <v>46214</v>
      </c>
      <c r="O42" s="67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2978</v>
      </c>
      <c r="D43" s="1" t="s">
        <v>2991</v>
      </c>
      <c r="E43" s="15" t="n">
        <v>46176</v>
      </c>
      <c r="F43" s="15" t="n">
        <v>46176</v>
      </c>
      <c r="G43" s="1" t="s">
        <v>961</v>
      </c>
      <c r="H43" s="1" t="n">
        <v>1228315</v>
      </c>
      <c r="I43" s="1" t="n">
        <v>1</v>
      </c>
      <c r="J43" s="1" t="s">
        <v>2975</v>
      </c>
      <c r="K43" s="67" t="n">
        <v>52.5</v>
      </c>
      <c r="N43" s="15" t="n">
        <v>46215</v>
      </c>
      <c r="O43" s="67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2976</v>
      </c>
      <c r="D44" s="1" t="s">
        <v>3005</v>
      </c>
      <c r="E44" s="15" t="n">
        <v>46178</v>
      </c>
      <c r="F44" s="15" t="n">
        <v>46178</v>
      </c>
      <c r="G44" s="1" t="s">
        <v>3006</v>
      </c>
      <c r="H44" s="1" t="n">
        <v>1228363</v>
      </c>
      <c r="I44" s="1" t="n">
        <v>1</v>
      </c>
      <c r="J44" s="1" t="s">
        <v>2975</v>
      </c>
      <c r="K44" s="67" t="n">
        <v>381</v>
      </c>
      <c r="N44" s="15" t="n">
        <v>46216</v>
      </c>
      <c r="O44" s="67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2976</v>
      </c>
      <c r="D45" s="1" t="s">
        <v>3007</v>
      </c>
      <c r="E45" s="15" t="n">
        <v>46178</v>
      </c>
      <c r="F45" s="15" t="n">
        <v>46174</v>
      </c>
      <c r="G45" s="1" t="s">
        <v>159</v>
      </c>
      <c r="H45" s="1" t="n">
        <v>1208610</v>
      </c>
      <c r="I45" s="1" t="n">
        <v>1</v>
      </c>
      <c r="J45" s="1" t="s">
        <v>2975</v>
      </c>
      <c r="K45" s="67" t="n">
        <v>1290.24</v>
      </c>
      <c r="N45" s="15" t="n">
        <v>46217</v>
      </c>
      <c r="O45" s="67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2976</v>
      </c>
      <c r="D46" s="1" t="s">
        <v>2995</v>
      </c>
      <c r="E46" s="15" t="n">
        <v>46178</v>
      </c>
      <c r="F46" s="15" t="n">
        <v>46177</v>
      </c>
      <c r="G46" s="1" t="s">
        <v>264</v>
      </c>
      <c r="H46" s="1" t="n">
        <v>1207979</v>
      </c>
      <c r="I46" s="1" t="n">
        <v>1</v>
      </c>
      <c r="J46" s="1" t="s">
        <v>2975</v>
      </c>
      <c r="K46" s="67" t="n">
        <v>4428.9</v>
      </c>
      <c r="N46" s="15" t="n">
        <v>46218</v>
      </c>
      <c r="O46" s="67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2976</v>
      </c>
      <c r="D47" s="1" t="s">
        <v>2995</v>
      </c>
      <c r="E47" s="15" t="n">
        <v>46178</v>
      </c>
      <c r="F47" s="15" t="n">
        <v>46178</v>
      </c>
      <c r="G47" s="1" t="s">
        <v>264</v>
      </c>
      <c r="H47" s="1" t="n">
        <v>1208222</v>
      </c>
      <c r="I47" s="1" t="n">
        <v>1</v>
      </c>
      <c r="J47" s="1" t="s">
        <v>2975</v>
      </c>
      <c r="K47" s="67" t="n">
        <v>5578.7</v>
      </c>
      <c r="N47" s="15" t="n">
        <v>46219</v>
      </c>
      <c r="O47" s="67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2976</v>
      </c>
      <c r="D48" s="1" t="s">
        <v>2996</v>
      </c>
      <c r="E48" s="15" t="n">
        <v>46178</v>
      </c>
      <c r="F48" s="15" t="n">
        <v>46178</v>
      </c>
      <c r="G48" s="1" t="s">
        <v>221</v>
      </c>
      <c r="H48" s="1" t="n">
        <v>1207696</v>
      </c>
      <c r="I48" s="1" t="n">
        <v>1</v>
      </c>
      <c r="J48" s="1" t="s">
        <v>2975</v>
      </c>
      <c r="K48" s="67" t="n">
        <v>1210</v>
      </c>
      <c r="N48" s="15" t="n">
        <v>46220</v>
      </c>
      <c r="O48" s="67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2976</v>
      </c>
      <c r="D49" s="1" t="s">
        <v>2997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2975</v>
      </c>
      <c r="K49" s="67" t="n">
        <v>1579.16</v>
      </c>
      <c r="N49" s="15" t="n">
        <v>46221</v>
      </c>
      <c r="O49" s="67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2976</v>
      </c>
      <c r="D50" s="1" t="s">
        <v>3008</v>
      </c>
      <c r="E50" s="15" t="n">
        <v>46178</v>
      </c>
      <c r="F50" s="15" t="n">
        <v>46174</v>
      </c>
      <c r="G50" s="1" t="s">
        <v>381</v>
      </c>
      <c r="H50" s="1" t="n">
        <v>1208293</v>
      </c>
      <c r="I50" s="1" t="n">
        <v>1</v>
      </c>
      <c r="J50" s="1" t="s">
        <v>2975</v>
      </c>
      <c r="K50" s="67" t="n">
        <v>1110</v>
      </c>
      <c r="N50" s="15" t="n">
        <v>46222</v>
      </c>
      <c r="O50" s="67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2973</v>
      </c>
      <c r="D51" s="1" t="s">
        <v>2985</v>
      </c>
      <c r="E51" s="15" t="n">
        <v>46178</v>
      </c>
      <c r="F51" s="15" t="n">
        <v>46178</v>
      </c>
      <c r="G51" s="1" t="s">
        <v>102</v>
      </c>
      <c r="H51" s="1" t="n">
        <v>1228408</v>
      </c>
      <c r="I51" s="1" t="n">
        <v>1</v>
      </c>
      <c r="J51" s="1" t="s">
        <v>2975</v>
      </c>
      <c r="K51" s="67" t="n">
        <v>520</v>
      </c>
      <c r="N51" s="15" t="n">
        <v>46223</v>
      </c>
      <c r="O51" s="67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2976</v>
      </c>
      <c r="D52" s="1" t="s">
        <v>3002</v>
      </c>
      <c r="E52" s="15" t="n">
        <v>46178</v>
      </c>
      <c r="F52" s="15" t="n">
        <v>46175</v>
      </c>
      <c r="G52" s="1" t="s">
        <v>323</v>
      </c>
      <c r="H52" s="1" t="n">
        <v>1208597</v>
      </c>
      <c r="I52" s="1" t="n">
        <v>1</v>
      </c>
      <c r="J52" s="1" t="s">
        <v>2975</v>
      </c>
      <c r="K52" s="67" t="n">
        <v>241.6</v>
      </c>
      <c r="N52" s="15" t="n">
        <v>46224</v>
      </c>
      <c r="O52" s="67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2973</v>
      </c>
      <c r="D53" s="1" t="s">
        <v>3003</v>
      </c>
      <c r="E53" s="15" t="n">
        <v>46178</v>
      </c>
      <c r="F53" s="15" t="n">
        <v>46176</v>
      </c>
      <c r="G53" s="1" t="s">
        <v>74</v>
      </c>
      <c r="H53" s="1" t="n">
        <v>1208634</v>
      </c>
      <c r="I53" s="1" t="n">
        <v>1</v>
      </c>
      <c r="J53" s="1" t="s">
        <v>2975</v>
      </c>
      <c r="K53" s="67" t="n">
        <v>1400</v>
      </c>
      <c r="N53" s="15" t="n">
        <v>46225</v>
      </c>
      <c r="O53" s="67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2973</v>
      </c>
      <c r="D54" s="1" t="s">
        <v>3003</v>
      </c>
      <c r="E54" s="15" t="n">
        <v>46178</v>
      </c>
      <c r="F54" s="15" t="n">
        <v>46176</v>
      </c>
      <c r="G54" s="1" t="s">
        <v>74</v>
      </c>
      <c r="H54" s="1" t="n">
        <v>1208563</v>
      </c>
      <c r="I54" s="1" t="n">
        <v>1</v>
      </c>
      <c r="J54" s="1" t="s">
        <v>2975</v>
      </c>
      <c r="K54" s="67" t="n">
        <v>544.45</v>
      </c>
      <c r="N54" s="15" t="n">
        <v>46226</v>
      </c>
      <c r="O54" s="67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2976</v>
      </c>
      <c r="D55" s="1" t="s">
        <v>3009</v>
      </c>
      <c r="E55" s="15" t="n">
        <v>46178</v>
      </c>
      <c r="F55" s="15" t="n">
        <v>46174</v>
      </c>
      <c r="G55" s="1" t="s">
        <v>383</v>
      </c>
      <c r="H55" s="1" t="n">
        <v>1208373</v>
      </c>
      <c r="I55" s="1" t="n">
        <v>1</v>
      </c>
      <c r="J55" s="1" t="s">
        <v>2975</v>
      </c>
      <c r="K55" s="67" t="n">
        <v>1068.5</v>
      </c>
      <c r="N55" s="15" t="n">
        <v>46227</v>
      </c>
      <c r="O55" s="67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2976</v>
      </c>
      <c r="D56" s="1" t="s">
        <v>2988</v>
      </c>
      <c r="E56" s="15" t="n">
        <v>46178</v>
      </c>
      <c r="F56" s="15" t="n">
        <v>46178</v>
      </c>
      <c r="G56" s="1" t="s">
        <v>70</v>
      </c>
      <c r="H56" s="1" t="n">
        <v>1207595</v>
      </c>
      <c r="I56" s="1" t="n">
        <v>2</v>
      </c>
      <c r="J56" s="1" t="s">
        <v>2975</v>
      </c>
      <c r="K56" s="67" t="n">
        <v>3701</v>
      </c>
      <c r="N56" s="15" t="n">
        <v>46228</v>
      </c>
      <c r="O56" s="67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2976</v>
      </c>
      <c r="D57" s="1" t="s">
        <v>2988</v>
      </c>
      <c r="E57" s="15" t="n">
        <v>46178</v>
      </c>
      <c r="F57" s="15" t="n">
        <v>46178</v>
      </c>
      <c r="G57" s="1" t="s">
        <v>70</v>
      </c>
      <c r="H57" s="1" t="n">
        <v>1207551</v>
      </c>
      <c r="I57" s="1" t="n">
        <v>6</v>
      </c>
      <c r="J57" s="1" t="s">
        <v>2975</v>
      </c>
      <c r="K57" s="67" t="n">
        <v>1100</v>
      </c>
      <c r="N57" s="15" t="n">
        <v>46229</v>
      </c>
      <c r="O57" s="67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2976</v>
      </c>
      <c r="D58" s="1" t="s">
        <v>2988</v>
      </c>
      <c r="E58" s="15" t="n">
        <v>46178</v>
      </c>
      <c r="F58" s="15" t="n">
        <v>46178</v>
      </c>
      <c r="G58" s="1" t="s">
        <v>70</v>
      </c>
      <c r="H58" s="1" t="n">
        <v>1207605</v>
      </c>
      <c r="I58" s="1" t="n">
        <v>6</v>
      </c>
      <c r="J58" s="1" t="s">
        <v>2975</v>
      </c>
      <c r="K58" s="67" t="n">
        <v>3701</v>
      </c>
      <c r="N58" s="15" t="n">
        <v>46230</v>
      </c>
      <c r="O58" s="67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2976</v>
      </c>
      <c r="D59" s="1" t="s">
        <v>2988</v>
      </c>
      <c r="E59" s="15" t="n">
        <v>46178</v>
      </c>
      <c r="F59" s="15" t="n">
        <v>46178</v>
      </c>
      <c r="G59" s="1" t="s">
        <v>70</v>
      </c>
      <c r="H59" s="1" t="n">
        <v>1207923</v>
      </c>
      <c r="I59" s="1" t="n">
        <v>6</v>
      </c>
      <c r="J59" s="1" t="s">
        <v>2975</v>
      </c>
      <c r="K59" s="67" t="n">
        <v>3602.44</v>
      </c>
      <c r="N59" s="15" t="n">
        <v>46231</v>
      </c>
      <c r="O59" s="67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2976</v>
      </c>
      <c r="D60" s="1" t="s">
        <v>2988</v>
      </c>
      <c r="E60" s="15" t="n">
        <v>46178</v>
      </c>
      <c r="F60" s="15" t="n">
        <v>46178</v>
      </c>
      <c r="G60" s="1" t="s">
        <v>70</v>
      </c>
      <c r="H60" s="1" t="n">
        <v>1207909</v>
      </c>
      <c r="I60" s="1" t="n">
        <v>2</v>
      </c>
      <c r="J60" s="1" t="s">
        <v>2975</v>
      </c>
      <c r="K60" s="67" t="n">
        <v>3602.44</v>
      </c>
      <c r="N60" s="15" t="n">
        <v>46232</v>
      </c>
      <c r="O60" s="67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2976</v>
      </c>
      <c r="D61" s="1" t="s">
        <v>2988</v>
      </c>
      <c r="E61" s="15" t="n">
        <v>46178</v>
      </c>
      <c r="F61" s="15" t="n">
        <v>46178</v>
      </c>
      <c r="G61" s="1" t="s">
        <v>70</v>
      </c>
      <c r="H61" s="1" t="n">
        <v>1207538</v>
      </c>
      <c r="I61" s="1" t="n">
        <v>2</v>
      </c>
      <c r="J61" s="1" t="s">
        <v>2975</v>
      </c>
      <c r="K61" s="67" t="n">
        <v>1100</v>
      </c>
      <c r="N61" s="15" t="n">
        <v>46233</v>
      </c>
      <c r="O61" s="67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2976</v>
      </c>
      <c r="D62" s="1" t="s">
        <v>2989</v>
      </c>
      <c r="E62" s="15" t="n">
        <v>46178</v>
      </c>
      <c r="F62" s="15" t="n">
        <v>46176</v>
      </c>
      <c r="G62" s="1" t="s">
        <v>157</v>
      </c>
      <c r="H62" s="1" t="n">
        <v>1207832</v>
      </c>
      <c r="I62" s="1" t="n">
        <v>1</v>
      </c>
      <c r="J62" s="1" t="s">
        <v>2975</v>
      </c>
      <c r="K62" s="67" t="n">
        <v>3547.5</v>
      </c>
      <c r="N62" s="15" t="n">
        <v>46234</v>
      </c>
      <c r="O62" s="67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2973</v>
      </c>
      <c r="D63" s="1" t="s">
        <v>3010</v>
      </c>
      <c r="E63" s="15" t="n">
        <v>46178</v>
      </c>
      <c r="F63" s="15" t="n">
        <v>46174</v>
      </c>
      <c r="G63" s="1" t="s">
        <v>319</v>
      </c>
      <c r="H63" s="1" t="n">
        <v>1208637</v>
      </c>
      <c r="I63" s="1" t="n">
        <v>1</v>
      </c>
      <c r="J63" s="1" t="s">
        <v>2975</v>
      </c>
      <c r="K63" s="67" t="n">
        <v>1188</v>
      </c>
      <c r="N63" s="15" t="n">
        <v>46235</v>
      </c>
      <c r="O63" s="67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2976</v>
      </c>
      <c r="D64" s="1" t="s">
        <v>2992</v>
      </c>
      <c r="E64" s="15" t="n">
        <v>46179</v>
      </c>
      <c r="F64" s="15" t="n">
        <v>46178</v>
      </c>
      <c r="G64" s="1" t="s">
        <v>161</v>
      </c>
      <c r="H64" s="1" t="n">
        <v>1210899</v>
      </c>
      <c r="I64" s="1" t="n">
        <v>1</v>
      </c>
      <c r="J64" s="1" t="s">
        <v>2975</v>
      </c>
      <c r="K64" s="67" t="n">
        <v>864</v>
      </c>
      <c r="N64" s="15" t="n">
        <v>46236</v>
      </c>
      <c r="O64" s="67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2976</v>
      </c>
      <c r="D65" s="1" t="s">
        <v>2993</v>
      </c>
      <c r="E65" s="15" t="n">
        <v>46179</v>
      </c>
      <c r="F65" s="15" t="n">
        <v>46177</v>
      </c>
      <c r="G65" s="1" t="s">
        <v>328</v>
      </c>
      <c r="H65" s="1" t="n">
        <v>1211170</v>
      </c>
      <c r="I65" s="1" t="n">
        <v>1</v>
      </c>
      <c r="J65" s="1" t="s">
        <v>2975</v>
      </c>
      <c r="K65" s="67" t="n">
        <v>3105</v>
      </c>
      <c r="N65" s="15" t="n">
        <v>46237</v>
      </c>
      <c r="O65" s="67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2976</v>
      </c>
      <c r="D66" s="1" t="s">
        <v>2995</v>
      </c>
      <c r="E66" s="15" t="n">
        <v>46179</v>
      </c>
      <c r="F66" s="15" t="n">
        <v>46179</v>
      </c>
      <c r="G66" s="1" t="s">
        <v>264</v>
      </c>
      <c r="H66" s="1" t="n">
        <v>1212044</v>
      </c>
      <c r="I66" s="1" t="n">
        <v>1</v>
      </c>
      <c r="J66" s="1" t="s">
        <v>2975</v>
      </c>
      <c r="K66" s="67" t="n">
        <v>6167.15</v>
      </c>
      <c r="N66" s="15" t="n">
        <v>46238</v>
      </c>
      <c r="O66" s="67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2978</v>
      </c>
      <c r="D67" s="1" t="s">
        <v>3011</v>
      </c>
      <c r="E67" s="15" t="n">
        <v>46179</v>
      </c>
      <c r="F67" s="15" t="n">
        <v>46170</v>
      </c>
      <c r="G67" s="1" t="s">
        <v>3012</v>
      </c>
      <c r="H67" s="1" t="n">
        <v>1212406</v>
      </c>
      <c r="I67" s="1" t="n">
        <v>11</v>
      </c>
      <c r="J67" s="1" t="s">
        <v>2975</v>
      </c>
      <c r="K67" s="67" t="n">
        <v>399.5</v>
      </c>
      <c r="N67" s="15" t="n">
        <v>46239</v>
      </c>
      <c r="O67" s="67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2976</v>
      </c>
      <c r="D68" s="1" t="s">
        <v>3013</v>
      </c>
      <c r="E68" s="15" t="n">
        <v>46179</v>
      </c>
      <c r="F68" s="15" t="n">
        <v>46176</v>
      </c>
      <c r="G68" s="1" t="s">
        <v>3014</v>
      </c>
      <c r="H68" s="1" t="n">
        <v>1210942</v>
      </c>
      <c r="I68" s="1" t="n">
        <v>1</v>
      </c>
      <c r="J68" s="1" t="s">
        <v>2975</v>
      </c>
      <c r="K68" s="67" t="n">
        <v>430.3</v>
      </c>
      <c r="N68" s="15" t="n">
        <v>46240</v>
      </c>
      <c r="O68" s="67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2976</v>
      </c>
      <c r="D69" s="1" t="s">
        <v>3000</v>
      </c>
      <c r="E69" s="15" t="n">
        <v>46179</v>
      </c>
      <c r="F69" s="15" t="n">
        <v>46178</v>
      </c>
      <c r="G69" s="1" t="s">
        <v>155</v>
      </c>
      <c r="H69" s="1" t="n">
        <v>1210990</v>
      </c>
      <c r="I69" s="1" t="n">
        <v>1</v>
      </c>
      <c r="J69" s="1" t="s">
        <v>2975</v>
      </c>
      <c r="K69" s="67" t="n">
        <v>410</v>
      </c>
      <c r="N69" s="15" t="n">
        <v>46241</v>
      </c>
      <c r="O69" s="67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2976</v>
      </c>
      <c r="D70" s="1" t="s">
        <v>3015</v>
      </c>
      <c r="E70" s="15" t="n">
        <v>46179</v>
      </c>
      <c r="F70" s="15" t="n">
        <v>46176</v>
      </c>
      <c r="G70" s="1" t="s">
        <v>278</v>
      </c>
      <c r="H70" s="1" t="n">
        <v>1210916</v>
      </c>
      <c r="I70" s="1" t="n">
        <v>1</v>
      </c>
      <c r="J70" s="1" t="s">
        <v>2975</v>
      </c>
      <c r="K70" s="67" t="n">
        <v>233.5</v>
      </c>
      <c r="N70" s="15" t="n">
        <v>46242</v>
      </c>
      <c r="O70" s="67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2973</v>
      </c>
      <c r="D71" s="1" t="s">
        <v>2985</v>
      </c>
      <c r="E71" s="15" t="n">
        <v>46179</v>
      </c>
      <c r="F71" s="15" t="n">
        <v>46179</v>
      </c>
      <c r="G71" s="1" t="s">
        <v>102</v>
      </c>
      <c r="H71" s="1" t="n">
        <v>1228430</v>
      </c>
      <c r="I71" s="1" t="n">
        <v>1</v>
      </c>
      <c r="J71" s="1" t="s">
        <v>2975</v>
      </c>
      <c r="K71" s="67" t="n">
        <v>512</v>
      </c>
      <c r="N71" s="15" t="n">
        <v>46243</v>
      </c>
      <c r="O71" s="67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3016</v>
      </c>
      <c r="D72" s="1" t="s">
        <v>3017</v>
      </c>
      <c r="E72" s="15" t="n">
        <v>46179</v>
      </c>
      <c r="F72" s="15" t="n">
        <v>46175</v>
      </c>
      <c r="G72" s="1" t="s">
        <v>144</v>
      </c>
      <c r="H72" s="1" t="n">
        <v>1211417</v>
      </c>
      <c r="I72" s="1" t="n">
        <v>1</v>
      </c>
      <c r="J72" s="1" t="s">
        <v>2975</v>
      </c>
      <c r="K72" s="67" t="n">
        <v>5110.55</v>
      </c>
      <c r="N72" s="15" t="n">
        <v>46244</v>
      </c>
      <c r="O72" s="67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2976</v>
      </c>
      <c r="D73" s="1" t="s">
        <v>3018</v>
      </c>
      <c r="E73" s="15" t="n">
        <v>46179</v>
      </c>
      <c r="F73" s="15" t="n">
        <v>46178</v>
      </c>
      <c r="G73" s="1" t="s">
        <v>258</v>
      </c>
      <c r="H73" s="1" t="n">
        <v>1211026</v>
      </c>
      <c r="I73" s="1" t="n">
        <v>1</v>
      </c>
      <c r="J73" s="1" t="s">
        <v>2975</v>
      </c>
      <c r="K73" s="67" t="n">
        <v>1105.12</v>
      </c>
      <c r="N73" s="15" t="n">
        <v>46245</v>
      </c>
      <c r="O73" s="67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2978</v>
      </c>
      <c r="D74" s="1" t="s">
        <v>3019</v>
      </c>
      <c r="E74" s="15" t="n">
        <v>46179</v>
      </c>
      <c r="F74" s="15" t="n">
        <v>46178</v>
      </c>
      <c r="G74" s="1" t="s">
        <v>703</v>
      </c>
      <c r="H74" s="1" t="n">
        <v>1212483</v>
      </c>
      <c r="I74" s="1" t="n">
        <v>1</v>
      </c>
      <c r="J74" s="1" t="s">
        <v>2975</v>
      </c>
      <c r="K74" s="67" t="n">
        <v>1857.2</v>
      </c>
      <c r="N74" s="15" t="n">
        <v>46246</v>
      </c>
      <c r="O74" s="67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2973</v>
      </c>
      <c r="D75" s="1" t="s">
        <v>3003</v>
      </c>
      <c r="E75" s="15" t="n">
        <v>46179</v>
      </c>
      <c r="F75" s="15" t="n">
        <v>46178</v>
      </c>
      <c r="G75" s="1" t="s">
        <v>74</v>
      </c>
      <c r="H75" s="1" t="n">
        <v>1210926</v>
      </c>
      <c r="I75" s="1" t="n">
        <v>1</v>
      </c>
      <c r="J75" s="1" t="s">
        <v>2975</v>
      </c>
      <c r="K75" s="67" t="n">
        <v>684.35</v>
      </c>
      <c r="N75" s="15" t="n">
        <v>46247</v>
      </c>
      <c r="O75" s="67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2976</v>
      </c>
      <c r="D76" s="1" t="s">
        <v>3020</v>
      </c>
      <c r="E76" s="15" t="n">
        <v>46179</v>
      </c>
      <c r="F76" s="15" t="n">
        <v>46175</v>
      </c>
      <c r="G76" s="1" t="s">
        <v>78</v>
      </c>
      <c r="H76" s="1" t="n">
        <v>1211080</v>
      </c>
      <c r="I76" s="1" t="n">
        <v>1</v>
      </c>
      <c r="J76" s="1" t="s">
        <v>2975</v>
      </c>
      <c r="K76" s="67" t="n">
        <v>709.32</v>
      </c>
      <c r="N76" s="15" t="n">
        <v>46248</v>
      </c>
      <c r="O76" s="67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2973</v>
      </c>
      <c r="D77" s="1" t="s">
        <v>3010</v>
      </c>
      <c r="E77" s="15" t="n">
        <v>46179</v>
      </c>
      <c r="F77" s="15" t="n">
        <v>46176</v>
      </c>
      <c r="G77" s="1" t="s">
        <v>319</v>
      </c>
      <c r="H77" s="1" t="n">
        <v>1211212</v>
      </c>
      <c r="I77" s="1" t="n">
        <v>1</v>
      </c>
      <c r="J77" s="1" t="s">
        <v>2975</v>
      </c>
      <c r="K77" s="67" t="n">
        <v>1296</v>
      </c>
      <c r="N77" s="15" t="n">
        <v>46249</v>
      </c>
      <c r="O77" s="67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2978</v>
      </c>
      <c r="D78" s="1" t="s">
        <v>2991</v>
      </c>
      <c r="E78" s="15" t="n">
        <v>46179</v>
      </c>
      <c r="F78" s="15" t="n">
        <v>46179</v>
      </c>
      <c r="G78" s="1" t="s">
        <v>961</v>
      </c>
      <c r="H78" s="1" t="n">
        <v>1228489</v>
      </c>
      <c r="I78" s="1" t="n">
        <v>1</v>
      </c>
      <c r="J78" s="1" t="s">
        <v>2975</v>
      </c>
      <c r="K78" s="67" t="n">
        <v>140</v>
      </c>
      <c r="N78" s="15" t="n">
        <v>46250</v>
      </c>
      <c r="O78" s="67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2976</v>
      </c>
      <c r="D79" s="1" t="s">
        <v>3021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2975</v>
      </c>
      <c r="K79" s="67" t="n">
        <v>1752.55</v>
      </c>
      <c r="N79" s="15" t="n">
        <v>46251</v>
      </c>
      <c r="O79" s="67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3022</v>
      </c>
      <c r="D80" s="1" t="s">
        <v>3023</v>
      </c>
      <c r="E80" s="15" t="n">
        <v>46181</v>
      </c>
      <c r="F80" s="15" t="n">
        <v>46179</v>
      </c>
      <c r="G80" s="1" t="s">
        <v>568</v>
      </c>
      <c r="H80" s="1" t="n">
        <v>1222097</v>
      </c>
      <c r="I80" s="1" t="n">
        <v>1</v>
      </c>
      <c r="J80" s="1" t="s">
        <v>2975</v>
      </c>
      <c r="K80" s="67" t="n">
        <v>2422.22</v>
      </c>
      <c r="N80" s="15" t="n">
        <v>46252</v>
      </c>
      <c r="O80" s="67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2973</v>
      </c>
      <c r="D81" s="1" t="s">
        <v>2994</v>
      </c>
      <c r="E81" s="15" t="n">
        <v>46181</v>
      </c>
      <c r="F81" s="15" t="n">
        <v>46179</v>
      </c>
      <c r="G81" s="1" t="s">
        <v>66</v>
      </c>
      <c r="H81" s="1" t="n">
        <v>1221579</v>
      </c>
      <c r="I81" s="1" t="n">
        <v>1</v>
      </c>
      <c r="J81" s="1" t="s">
        <v>2975</v>
      </c>
      <c r="K81" s="67" t="n">
        <v>1144.8</v>
      </c>
      <c r="N81" s="15" t="n">
        <v>46253</v>
      </c>
      <c r="O81" s="67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3024</v>
      </c>
      <c r="D82" s="1" t="s">
        <v>3025</v>
      </c>
      <c r="E82" s="15" t="n">
        <v>46181</v>
      </c>
      <c r="F82" s="15" t="n">
        <v>46177</v>
      </c>
      <c r="G82" s="1" t="s">
        <v>311</v>
      </c>
      <c r="H82" s="1" t="n">
        <v>1222718</v>
      </c>
      <c r="I82" s="1" t="n">
        <v>1</v>
      </c>
      <c r="J82" s="1" t="s">
        <v>2975</v>
      </c>
      <c r="K82" s="67" t="n">
        <v>2180.28</v>
      </c>
      <c r="N82" s="15" t="n">
        <v>46254</v>
      </c>
      <c r="O82" s="67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2978</v>
      </c>
      <c r="D83" s="1" t="s">
        <v>2979</v>
      </c>
      <c r="E83" s="15" t="n">
        <v>46181</v>
      </c>
      <c r="F83" s="15" t="n">
        <v>46181</v>
      </c>
      <c r="G83" s="1" t="s">
        <v>388</v>
      </c>
      <c r="H83" s="1" t="n">
        <v>1223045</v>
      </c>
      <c r="I83" s="1" t="n">
        <v>11</v>
      </c>
      <c r="J83" s="1" t="s">
        <v>2975</v>
      </c>
      <c r="K83" s="67" t="n">
        <v>109</v>
      </c>
      <c r="N83" s="15" t="n">
        <v>46255</v>
      </c>
      <c r="O83" s="67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2978</v>
      </c>
      <c r="D84" s="1" t="s">
        <v>2979</v>
      </c>
      <c r="E84" s="15" t="n">
        <v>46181</v>
      </c>
      <c r="F84" s="15" t="n">
        <v>46181</v>
      </c>
      <c r="G84" s="1" t="s">
        <v>388</v>
      </c>
      <c r="H84" s="1" t="n">
        <v>1223092</v>
      </c>
      <c r="I84" s="1" t="n">
        <v>1</v>
      </c>
      <c r="J84" s="1" t="s">
        <v>2975</v>
      </c>
      <c r="K84" s="67" t="n">
        <v>779.4</v>
      </c>
      <c r="N84" s="15" t="n">
        <v>46256</v>
      </c>
      <c r="O84" s="67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2978</v>
      </c>
      <c r="D85" s="1" t="s">
        <v>2979</v>
      </c>
      <c r="E85" s="15" t="n">
        <v>46181</v>
      </c>
      <c r="F85" s="15" t="n">
        <v>46181</v>
      </c>
      <c r="G85" s="1" t="s">
        <v>388</v>
      </c>
      <c r="H85" s="1" t="n">
        <v>1223157</v>
      </c>
      <c r="I85" s="1" t="n">
        <v>1</v>
      </c>
      <c r="J85" s="1" t="s">
        <v>2975</v>
      </c>
      <c r="K85" s="67" t="n">
        <v>550.34</v>
      </c>
      <c r="N85" s="15" t="n">
        <v>46257</v>
      </c>
      <c r="O85" s="67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2976</v>
      </c>
      <c r="D86" s="1" t="s">
        <v>2997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2975</v>
      </c>
      <c r="K86" s="67" t="n">
        <v>2211.38</v>
      </c>
      <c r="N86" s="15" t="n">
        <v>46258</v>
      </c>
      <c r="O86" s="67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2973</v>
      </c>
      <c r="D87" s="1" t="s">
        <v>2984</v>
      </c>
      <c r="E87" s="15" t="n">
        <v>46181</v>
      </c>
      <c r="F87" s="15" t="n">
        <v>46181</v>
      </c>
      <c r="G87" s="1" t="s">
        <v>97</v>
      </c>
      <c r="H87" s="1" t="n">
        <v>1228519</v>
      </c>
      <c r="I87" s="1" t="n">
        <v>1</v>
      </c>
      <c r="J87" s="1" t="s">
        <v>2975</v>
      </c>
      <c r="K87" s="67" t="n">
        <v>409</v>
      </c>
      <c r="N87" s="15" t="n">
        <v>46259</v>
      </c>
      <c r="O87" s="67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2976</v>
      </c>
      <c r="D88" s="1" t="s">
        <v>3026</v>
      </c>
      <c r="E88" s="15" t="n">
        <v>46181</v>
      </c>
      <c r="F88" s="15" t="n">
        <v>46178</v>
      </c>
      <c r="G88" s="1" t="s">
        <v>309</v>
      </c>
      <c r="H88" s="1" t="n">
        <v>1221640</v>
      </c>
      <c r="I88" s="1" t="n">
        <v>1</v>
      </c>
      <c r="J88" s="1" t="s">
        <v>2975</v>
      </c>
      <c r="K88" s="67" t="n">
        <v>574.5</v>
      </c>
      <c r="N88" s="15" t="n">
        <v>46260</v>
      </c>
      <c r="O88" s="67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2976</v>
      </c>
      <c r="D89" s="1" t="s">
        <v>3027</v>
      </c>
      <c r="E89" s="15" t="n">
        <v>46181</v>
      </c>
      <c r="F89" s="15" t="n">
        <v>46176</v>
      </c>
      <c r="G89" s="1" t="s">
        <v>371</v>
      </c>
      <c r="H89" s="1" t="n">
        <v>1222961</v>
      </c>
      <c r="I89" s="1" t="n">
        <v>1</v>
      </c>
      <c r="J89" s="1" t="s">
        <v>2975</v>
      </c>
      <c r="K89" s="67" t="n">
        <v>3113.5</v>
      </c>
      <c r="N89" s="15" t="n">
        <v>46261</v>
      </c>
      <c r="O89" s="67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2973</v>
      </c>
      <c r="D90" s="1" t="s">
        <v>3003</v>
      </c>
      <c r="E90" s="15" t="n">
        <v>46181</v>
      </c>
      <c r="F90" s="15" t="n">
        <v>46181</v>
      </c>
      <c r="G90" s="1" t="s">
        <v>74</v>
      </c>
      <c r="H90" s="1" t="n">
        <v>1223438</v>
      </c>
      <c r="I90" s="1" t="n">
        <v>1</v>
      </c>
      <c r="J90" s="1" t="s">
        <v>2975</v>
      </c>
      <c r="K90" s="67" t="n">
        <v>840</v>
      </c>
      <c r="N90" s="15" t="n">
        <v>46262</v>
      </c>
      <c r="O90" s="67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2976</v>
      </c>
      <c r="D91" s="1" t="s">
        <v>2988</v>
      </c>
      <c r="E91" s="15" t="n">
        <v>46181</v>
      </c>
      <c r="F91" s="15" t="n">
        <v>46181</v>
      </c>
      <c r="G91" s="1" t="s">
        <v>70</v>
      </c>
      <c r="H91" s="1" t="n">
        <v>1221276</v>
      </c>
      <c r="I91" s="1" t="n">
        <v>6</v>
      </c>
      <c r="J91" s="1" t="s">
        <v>2975</v>
      </c>
      <c r="K91" s="67" t="n">
        <v>340</v>
      </c>
      <c r="N91" s="15" t="n">
        <v>46263</v>
      </c>
      <c r="O91" s="67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2976</v>
      </c>
      <c r="D92" s="1" t="s">
        <v>2988</v>
      </c>
      <c r="E92" s="15" t="n">
        <v>46181</v>
      </c>
      <c r="F92" s="15" t="n">
        <v>46181</v>
      </c>
      <c r="G92" s="1" t="s">
        <v>70</v>
      </c>
      <c r="H92" s="1" t="n">
        <v>1221272</v>
      </c>
      <c r="I92" s="1" t="n">
        <v>2</v>
      </c>
      <c r="J92" s="1" t="s">
        <v>2975</v>
      </c>
      <c r="K92" s="67" t="n">
        <v>340</v>
      </c>
      <c r="N92" s="15" t="n">
        <v>46264</v>
      </c>
      <c r="O92" s="67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2976</v>
      </c>
      <c r="D93" s="1" t="s">
        <v>3028</v>
      </c>
      <c r="E93" s="15" t="n">
        <v>46181</v>
      </c>
      <c r="F93" s="15" t="n">
        <v>46174</v>
      </c>
      <c r="G93" s="1" t="s">
        <v>321</v>
      </c>
      <c r="H93" s="1" t="n">
        <v>1222142</v>
      </c>
      <c r="I93" s="1" t="n">
        <v>1</v>
      </c>
      <c r="J93" s="1" t="s">
        <v>2975</v>
      </c>
      <c r="K93" s="67" t="n">
        <v>2562.75</v>
      </c>
      <c r="N93" s="15" t="n">
        <v>46265</v>
      </c>
      <c r="O93" s="67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2976</v>
      </c>
      <c r="D94" s="1" t="s">
        <v>3028</v>
      </c>
      <c r="E94" s="15" t="n">
        <v>46181</v>
      </c>
      <c r="F94" s="15" t="n">
        <v>46179</v>
      </c>
      <c r="G94" s="1" t="s">
        <v>321</v>
      </c>
      <c r="H94" s="1" t="n">
        <v>1223402</v>
      </c>
      <c r="I94" s="1" t="n">
        <v>1</v>
      </c>
      <c r="J94" s="1" t="s">
        <v>2975</v>
      </c>
      <c r="K94" s="67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2976</v>
      </c>
      <c r="D95" s="1" t="s">
        <v>3029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2975</v>
      </c>
      <c r="K95" s="67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2978</v>
      </c>
      <c r="D96" s="1" t="s">
        <v>2991</v>
      </c>
      <c r="E96" s="15" t="n">
        <v>46181</v>
      </c>
      <c r="F96" s="15" t="n">
        <v>46181</v>
      </c>
      <c r="G96" s="1" t="s">
        <v>961</v>
      </c>
      <c r="H96" s="1" t="n">
        <v>1230677</v>
      </c>
      <c r="I96" s="1" t="n">
        <v>1</v>
      </c>
      <c r="J96" s="1" t="s">
        <v>2975</v>
      </c>
      <c r="K96" s="67" t="n">
        <v>105</v>
      </c>
      <c r="N96" s="33" t="s">
        <v>3030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2976</v>
      </c>
      <c r="D97" s="1" t="s">
        <v>3031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2975</v>
      </c>
      <c r="K97" s="67" t="n">
        <v>415.75</v>
      </c>
      <c r="N97" s="66" t="s">
        <v>2887</v>
      </c>
      <c r="O97" s="66" t="s">
        <v>3032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2976</v>
      </c>
      <c r="D98" s="1" t="s">
        <v>2992</v>
      </c>
      <c r="E98" s="15" t="n">
        <v>46182</v>
      </c>
      <c r="F98" s="15" t="n">
        <v>46181</v>
      </c>
      <c r="G98" s="1" t="s">
        <v>161</v>
      </c>
      <c r="H98" s="1" t="n">
        <v>1226930</v>
      </c>
      <c r="I98" s="1" t="n">
        <v>1</v>
      </c>
      <c r="J98" s="1" t="s">
        <v>2975</v>
      </c>
      <c r="K98" s="67" t="n">
        <v>828</v>
      </c>
      <c r="N98" s="1" t="s">
        <v>2896</v>
      </c>
      <c r="O98" s="67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2976</v>
      </c>
      <c r="D99" s="1" t="s">
        <v>3033</v>
      </c>
      <c r="E99" s="15" t="n">
        <v>46182</v>
      </c>
      <c r="F99" s="15" t="n">
        <v>46174</v>
      </c>
      <c r="G99" s="1" t="s">
        <v>661</v>
      </c>
      <c r="H99" s="1" t="n">
        <v>1226943</v>
      </c>
      <c r="I99" s="1" t="n">
        <v>1</v>
      </c>
      <c r="J99" s="1" t="s">
        <v>2975</v>
      </c>
      <c r="K99" s="67" t="n">
        <v>528</v>
      </c>
      <c r="N99" s="1" t="s">
        <v>2897</v>
      </c>
      <c r="O99" s="67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2976</v>
      </c>
      <c r="D100" s="1" t="s">
        <v>3034</v>
      </c>
      <c r="E100" s="15" t="n">
        <v>46182</v>
      </c>
      <c r="F100" s="15" t="n">
        <v>46171</v>
      </c>
      <c r="G100" s="1" t="s">
        <v>1021</v>
      </c>
      <c r="H100" s="1" t="n">
        <v>1227598</v>
      </c>
      <c r="I100" s="1" t="n">
        <v>1</v>
      </c>
      <c r="J100" s="1" t="s">
        <v>2975</v>
      </c>
      <c r="K100" s="67" t="n">
        <v>1143.6</v>
      </c>
      <c r="N100" s="1" t="s">
        <v>2898</v>
      </c>
      <c r="O100" s="67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3035</v>
      </c>
      <c r="D101" s="1" t="s">
        <v>3036</v>
      </c>
      <c r="E101" s="15" t="n">
        <v>46182</v>
      </c>
      <c r="F101" s="15" t="n">
        <v>46175</v>
      </c>
      <c r="G101" s="1" t="s">
        <v>148</v>
      </c>
      <c r="H101" s="1" t="n">
        <v>1228090</v>
      </c>
      <c r="I101" s="1" t="n">
        <v>1</v>
      </c>
      <c r="J101" s="1" t="s">
        <v>2975</v>
      </c>
      <c r="K101" s="67" t="n">
        <v>4071.75</v>
      </c>
      <c r="N101" s="68" t="s">
        <v>2915</v>
      </c>
      <c r="O101" s="69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3016</v>
      </c>
      <c r="D102" s="1" t="s">
        <v>3036</v>
      </c>
      <c r="E102" s="15" t="n">
        <v>46182</v>
      </c>
      <c r="F102" s="15" t="n">
        <v>46175</v>
      </c>
      <c r="G102" s="1" t="s">
        <v>148</v>
      </c>
      <c r="H102" s="1" t="n">
        <v>1227988</v>
      </c>
      <c r="I102" s="1" t="n">
        <v>1</v>
      </c>
      <c r="J102" s="1" t="s">
        <v>2975</v>
      </c>
      <c r="K102" s="67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2976</v>
      </c>
      <c r="D103" s="1" t="s">
        <v>2996</v>
      </c>
      <c r="E103" s="15" t="n">
        <v>46182</v>
      </c>
      <c r="F103" s="15" t="n">
        <v>46182</v>
      </c>
      <c r="G103" s="1" t="s">
        <v>221</v>
      </c>
      <c r="H103" s="1" t="n">
        <v>1227699</v>
      </c>
      <c r="I103" s="1" t="n">
        <v>1</v>
      </c>
      <c r="J103" s="1" t="s">
        <v>2975</v>
      </c>
      <c r="K103" s="67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2976</v>
      </c>
      <c r="D104" s="1" t="s">
        <v>3037</v>
      </c>
      <c r="E104" s="15" t="n">
        <v>46182</v>
      </c>
      <c r="F104" s="15" t="n">
        <v>46178</v>
      </c>
      <c r="G104" s="1" t="s">
        <v>253</v>
      </c>
      <c r="H104" s="1" t="n">
        <v>1227461</v>
      </c>
      <c r="I104" s="1" t="n">
        <v>1</v>
      </c>
      <c r="J104" s="1" t="s">
        <v>2975</v>
      </c>
      <c r="K104" s="67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2976</v>
      </c>
      <c r="D105" s="1" t="s">
        <v>2980</v>
      </c>
      <c r="E105" s="15" t="n">
        <v>46182</v>
      </c>
      <c r="F105" s="15" t="n">
        <v>46181</v>
      </c>
      <c r="G105" s="1" t="s">
        <v>325</v>
      </c>
      <c r="H105" s="1" t="n">
        <v>1228326</v>
      </c>
      <c r="I105" s="1" t="n">
        <v>3</v>
      </c>
      <c r="J105" s="1" t="s">
        <v>2975</v>
      </c>
      <c r="K105" s="67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2976</v>
      </c>
      <c r="D106" s="1" t="s">
        <v>3038</v>
      </c>
      <c r="E106" s="15" t="n">
        <v>46182</v>
      </c>
      <c r="F106" s="15" t="n">
        <v>46176</v>
      </c>
      <c r="G106" s="1" t="s">
        <v>193</v>
      </c>
      <c r="H106" s="1" t="n">
        <v>1227467</v>
      </c>
      <c r="I106" s="1" t="n">
        <v>1</v>
      </c>
      <c r="J106" s="1" t="s">
        <v>2975</v>
      </c>
      <c r="K106" s="67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2976</v>
      </c>
      <c r="D107" s="1" t="s">
        <v>3039</v>
      </c>
      <c r="E107" s="15" t="n">
        <v>46182</v>
      </c>
      <c r="F107" s="15" t="n">
        <v>46178</v>
      </c>
      <c r="G107" s="1" t="s">
        <v>191</v>
      </c>
      <c r="H107" s="1" t="n">
        <v>1227621</v>
      </c>
      <c r="I107" s="1" t="n">
        <v>1</v>
      </c>
      <c r="J107" s="1" t="s">
        <v>2975</v>
      </c>
      <c r="K107" s="67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2976</v>
      </c>
      <c r="D108" s="1" t="s">
        <v>3040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2975</v>
      </c>
      <c r="K108" s="67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2973</v>
      </c>
      <c r="D109" s="1" t="s">
        <v>2999</v>
      </c>
      <c r="E109" s="15" t="n">
        <v>46182</v>
      </c>
      <c r="F109" s="15" t="n">
        <v>46181</v>
      </c>
      <c r="G109" s="1" t="s">
        <v>76</v>
      </c>
      <c r="H109" s="1" t="n">
        <v>1228179</v>
      </c>
      <c r="I109" s="1" t="n">
        <v>1</v>
      </c>
      <c r="J109" s="1" t="s">
        <v>2975</v>
      </c>
      <c r="K109" s="67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3022</v>
      </c>
      <c r="D110" s="1" t="s">
        <v>3041</v>
      </c>
      <c r="E110" s="15" t="n">
        <v>46182</v>
      </c>
      <c r="F110" s="15" t="n">
        <v>46176</v>
      </c>
      <c r="G110" s="1" t="s">
        <v>132</v>
      </c>
      <c r="H110" s="1" t="n">
        <v>1227398</v>
      </c>
      <c r="I110" s="1" t="n">
        <v>1</v>
      </c>
      <c r="J110" s="1" t="s">
        <v>2975</v>
      </c>
      <c r="K110" s="67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2976</v>
      </c>
      <c r="D111" s="1" t="s">
        <v>3042</v>
      </c>
      <c r="E111" s="15" t="n">
        <v>46182</v>
      </c>
      <c r="F111" s="15" t="n">
        <v>46176</v>
      </c>
      <c r="G111" s="1" t="s">
        <v>551</v>
      </c>
      <c r="H111" s="1" t="n">
        <v>1228300</v>
      </c>
      <c r="I111" s="1" t="n">
        <v>1</v>
      </c>
      <c r="J111" s="1" t="s">
        <v>2975</v>
      </c>
      <c r="K111" s="67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2976</v>
      </c>
      <c r="D112" s="1" t="s">
        <v>3043</v>
      </c>
      <c r="E112" s="15" t="n">
        <v>46182</v>
      </c>
      <c r="F112" s="15" t="n">
        <v>46182</v>
      </c>
      <c r="G112" s="1" t="s">
        <v>424</v>
      </c>
      <c r="H112" s="1" t="n">
        <v>1231618</v>
      </c>
      <c r="I112" s="1" t="n">
        <v>1</v>
      </c>
      <c r="J112" s="1" t="s">
        <v>2975</v>
      </c>
      <c r="K112" s="67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2973</v>
      </c>
      <c r="D113" s="1" t="s">
        <v>2985</v>
      </c>
      <c r="E113" s="15" t="n">
        <v>46182</v>
      </c>
      <c r="F113" s="15" t="n">
        <v>46182</v>
      </c>
      <c r="G113" s="1" t="s">
        <v>102</v>
      </c>
      <c r="H113" s="1" t="n">
        <v>1230733</v>
      </c>
      <c r="I113" s="1" t="n">
        <v>1</v>
      </c>
      <c r="J113" s="1" t="s">
        <v>2975</v>
      </c>
      <c r="K113" s="67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2976</v>
      </c>
      <c r="D114" s="1" t="s">
        <v>2986</v>
      </c>
      <c r="E114" s="15" t="n">
        <v>46182</v>
      </c>
      <c r="F114" s="15" t="n">
        <v>46181</v>
      </c>
      <c r="G114" s="1" t="s">
        <v>211</v>
      </c>
      <c r="H114" s="1" t="n">
        <v>1227207</v>
      </c>
      <c r="I114" s="1" t="n">
        <v>1</v>
      </c>
      <c r="J114" s="1" t="s">
        <v>2975</v>
      </c>
      <c r="K114" s="67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2976</v>
      </c>
      <c r="D115" s="1" t="s">
        <v>2986</v>
      </c>
      <c r="E115" s="15" t="n">
        <v>46182</v>
      </c>
      <c r="F115" s="15" t="n">
        <v>46182</v>
      </c>
      <c r="G115" s="1" t="s">
        <v>211</v>
      </c>
      <c r="H115" s="1" t="n">
        <v>1227270</v>
      </c>
      <c r="I115" s="1" t="n">
        <v>1</v>
      </c>
      <c r="J115" s="1" t="s">
        <v>2975</v>
      </c>
      <c r="K115" s="67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2976</v>
      </c>
      <c r="D116" s="1" t="s">
        <v>3044</v>
      </c>
      <c r="E116" s="15" t="n">
        <v>46182</v>
      </c>
      <c r="F116" s="15" t="n">
        <v>46181</v>
      </c>
      <c r="G116" s="1" t="s">
        <v>215</v>
      </c>
      <c r="H116" s="1" t="n">
        <v>1228195</v>
      </c>
      <c r="I116" s="1" t="n">
        <v>1</v>
      </c>
      <c r="J116" s="1" t="s">
        <v>2975</v>
      </c>
      <c r="K116" s="67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2976</v>
      </c>
      <c r="D117" s="1" t="s">
        <v>3002</v>
      </c>
      <c r="E117" s="15" t="n">
        <v>46182</v>
      </c>
      <c r="F117" s="15" t="n">
        <v>46178</v>
      </c>
      <c r="G117" s="1" t="s">
        <v>323</v>
      </c>
      <c r="H117" s="1" t="n">
        <v>1226935</v>
      </c>
      <c r="I117" s="1" t="n">
        <v>1</v>
      </c>
      <c r="J117" s="1" t="s">
        <v>2975</v>
      </c>
      <c r="K117" s="67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2976</v>
      </c>
      <c r="D118" s="1" t="s">
        <v>3002</v>
      </c>
      <c r="E118" s="15" t="n">
        <v>46182</v>
      </c>
      <c r="F118" s="15" t="n">
        <v>46181</v>
      </c>
      <c r="G118" s="1" t="s">
        <v>323</v>
      </c>
      <c r="H118" s="1" t="n">
        <v>1228368</v>
      </c>
      <c r="I118" s="1" t="n">
        <v>1</v>
      </c>
      <c r="J118" s="1" t="s">
        <v>2975</v>
      </c>
      <c r="K118" s="67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2976</v>
      </c>
      <c r="D119" s="1" t="s">
        <v>3045</v>
      </c>
      <c r="E119" s="15" t="n">
        <v>46182</v>
      </c>
      <c r="F119" s="15" t="n">
        <v>46180</v>
      </c>
      <c r="G119" s="1" t="s">
        <v>603</v>
      </c>
      <c r="H119" s="1" t="n">
        <v>1228251</v>
      </c>
      <c r="I119" s="1" t="n">
        <v>1</v>
      </c>
      <c r="J119" s="1" t="s">
        <v>2975</v>
      </c>
      <c r="K119" s="67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3016</v>
      </c>
      <c r="D120" s="1" t="s">
        <v>3017</v>
      </c>
      <c r="E120" s="15" t="n">
        <v>46182</v>
      </c>
      <c r="F120" s="15" t="n">
        <v>46178</v>
      </c>
      <c r="G120" s="1" t="s">
        <v>144</v>
      </c>
      <c r="H120" s="1" t="n">
        <v>1227453</v>
      </c>
      <c r="I120" s="1" t="n">
        <v>1</v>
      </c>
      <c r="J120" s="1" t="s">
        <v>2975</v>
      </c>
      <c r="K120" s="67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2973</v>
      </c>
      <c r="D121" s="1" t="s">
        <v>3003</v>
      </c>
      <c r="E121" s="15" t="n">
        <v>46182</v>
      </c>
      <c r="F121" s="15" t="n">
        <v>46181</v>
      </c>
      <c r="G121" s="1" t="s">
        <v>74</v>
      </c>
      <c r="H121" s="1" t="n">
        <v>1228359</v>
      </c>
      <c r="I121" s="1" t="n">
        <v>1</v>
      </c>
      <c r="J121" s="1" t="s">
        <v>2975</v>
      </c>
      <c r="K121" s="67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2976</v>
      </c>
      <c r="D122" s="1" t="s">
        <v>2988</v>
      </c>
      <c r="E122" s="15" t="n">
        <v>46182</v>
      </c>
      <c r="F122" s="15" t="n">
        <v>46182</v>
      </c>
      <c r="G122" s="1" t="s">
        <v>70</v>
      </c>
      <c r="H122" s="1" t="n">
        <v>1227566</v>
      </c>
      <c r="I122" s="1" t="n">
        <v>2</v>
      </c>
      <c r="J122" s="1" t="s">
        <v>2975</v>
      </c>
      <c r="K122" s="67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2976</v>
      </c>
      <c r="D123" s="1" t="s">
        <v>2988</v>
      </c>
      <c r="E123" s="15" t="n">
        <v>46182</v>
      </c>
      <c r="F123" s="15" t="n">
        <v>46182</v>
      </c>
      <c r="G123" s="1" t="s">
        <v>70</v>
      </c>
      <c r="H123" s="1" t="n">
        <v>1228026</v>
      </c>
      <c r="I123" s="1" t="n">
        <v>2</v>
      </c>
      <c r="J123" s="1" t="s">
        <v>2975</v>
      </c>
      <c r="K123" s="67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2976</v>
      </c>
      <c r="D124" s="1" t="s">
        <v>2988</v>
      </c>
      <c r="E124" s="15" t="n">
        <v>46182</v>
      </c>
      <c r="F124" s="15" t="n">
        <v>46182</v>
      </c>
      <c r="G124" s="1" t="s">
        <v>70</v>
      </c>
      <c r="H124" s="1" t="n">
        <v>1227584</v>
      </c>
      <c r="I124" s="1" t="n">
        <v>6</v>
      </c>
      <c r="J124" s="1" t="s">
        <v>2975</v>
      </c>
      <c r="K124" s="67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2976</v>
      </c>
      <c r="D125" s="1" t="s">
        <v>2988</v>
      </c>
      <c r="E125" s="15" t="n">
        <v>46182</v>
      </c>
      <c r="F125" s="15" t="n">
        <v>46182</v>
      </c>
      <c r="G125" s="1" t="s">
        <v>70</v>
      </c>
      <c r="H125" s="1" t="n">
        <v>1228045</v>
      </c>
      <c r="I125" s="1" t="n">
        <v>6</v>
      </c>
      <c r="J125" s="1" t="s">
        <v>2975</v>
      </c>
      <c r="K125" s="67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2976</v>
      </c>
      <c r="D126" s="1" t="s">
        <v>2989</v>
      </c>
      <c r="E126" s="15" t="n">
        <v>46182</v>
      </c>
      <c r="F126" s="15" t="n">
        <v>46179</v>
      </c>
      <c r="G126" s="1" t="s">
        <v>157</v>
      </c>
      <c r="H126" s="1" t="n">
        <v>1227145</v>
      </c>
      <c r="I126" s="1" t="n">
        <v>1</v>
      </c>
      <c r="J126" s="1" t="s">
        <v>2975</v>
      </c>
      <c r="K126" s="67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3046</v>
      </c>
      <c r="D127" s="1" t="s">
        <v>3047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2975</v>
      </c>
      <c r="K127" s="67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2976</v>
      </c>
      <c r="D128" s="1" t="s">
        <v>3020</v>
      </c>
      <c r="E128" s="15" t="n">
        <v>46182</v>
      </c>
      <c r="F128" s="15" t="n">
        <v>46181</v>
      </c>
      <c r="G128" s="1" t="s">
        <v>78</v>
      </c>
      <c r="H128" s="1" t="n">
        <v>1228126</v>
      </c>
      <c r="I128" s="1" t="n">
        <v>1</v>
      </c>
      <c r="J128" s="1" t="s">
        <v>2975</v>
      </c>
      <c r="K128" s="67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2976</v>
      </c>
      <c r="D129" s="1" t="s">
        <v>2993</v>
      </c>
      <c r="E129" s="15" t="n">
        <v>46183</v>
      </c>
      <c r="F129" s="15" t="n">
        <v>46182</v>
      </c>
      <c r="G129" s="1" t="s">
        <v>328</v>
      </c>
      <c r="H129" s="1" t="n">
        <v>1231130</v>
      </c>
      <c r="I129" s="1" t="n">
        <v>1</v>
      </c>
      <c r="J129" s="1" t="s">
        <v>2975</v>
      </c>
      <c r="K129" s="67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2976</v>
      </c>
      <c r="D130" s="1" t="s">
        <v>3007</v>
      </c>
      <c r="E130" s="15" t="n">
        <v>46183</v>
      </c>
      <c r="F130" s="15" t="n">
        <v>46181</v>
      </c>
      <c r="G130" s="1" t="s">
        <v>159</v>
      </c>
      <c r="H130" s="1" t="n">
        <v>1230690</v>
      </c>
      <c r="I130" s="1" t="n">
        <v>1</v>
      </c>
      <c r="J130" s="1" t="s">
        <v>2975</v>
      </c>
      <c r="K130" s="67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2976</v>
      </c>
      <c r="D131" s="1" t="s">
        <v>3048</v>
      </c>
      <c r="E131" s="15" t="n">
        <v>46183</v>
      </c>
      <c r="F131" s="15" t="n">
        <v>46134</v>
      </c>
      <c r="G131" s="1" t="s">
        <v>280</v>
      </c>
      <c r="H131" s="1" t="n">
        <v>1231040</v>
      </c>
      <c r="I131" s="1" t="n">
        <v>11</v>
      </c>
      <c r="J131" s="1" t="s">
        <v>2975</v>
      </c>
      <c r="K131" s="67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2976</v>
      </c>
      <c r="D132" s="1" t="s">
        <v>3049</v>
      </c>
      <c r="E132" s="15" t="n">
        <v>46183</v>
      </c>
      <c r="F132" s="15" t="n">
        <v>46181</v>
      </c>
      <c r="G132" s="1" t="s">
        <v>608</v>
      </c>
      <c r="H132" s="1" t="n">
        <v>1231571</v>
      </c>
      <c r="I132" s="1" t="n">
        <v>3</v>
      </c>
      <c r="J132" s="1" t="s">
        <v>2975</v>
      </c>
      <c r="K132" s="67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2976</v>
      </c>
      <c r="D133" s="1" t="s">
        <v>3050</v>
      </c>
      <c r="E133" s="15" t="n">
        <v>46183</v>
      </c>
      <c r="F133" s="15" t="n">
        <v>46178</v>
      </c>
      <c r="G133" s="1" t="s">
        <v>420</v>
      </c>
      <c r="H133" s="1" t="n">
        <v>1230974</v>
      </c>
      <c r="I133" s="1" t="n">
        <v>11</v>
      </c>
      <c r="J133" s="1" t="s">
        <v>2975</v>
      </c>
      <c r="K133" s="67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2976</v>
      </c>
      <c r="D134" s="1" t="s">
        <v>3000</v>
      </c>
      <c r="E134" s="15" t="n">
        <v>46183</v>
      </c>
      <c r="F134" s="15" t="n">
        <v>46182</v>
      </c>
      <c r="G134" s="1" t="s">
        <v>155</v>
      </c>
      <c r="H134" s="1" t="n">
        <v>1230731</v>
      </c>
      <c r="I134" s="1" t="n">
        <v>1</v>
      </c>
      <c r="J134" s="1" t="s">
        <v>2975</v>
      </c>
      <c r="K134" s="67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3016</v>
      </c>
      <c r="D135" s="1" t="s">
        <v>3017</v>
      </c>
      <c r="E135" s="15" t="n">
        <v>46183</v>
      </c>
      <c r="F135" s="15" t="n">
        <v>46182</v>
      </c>
      <c r="G135" s="1" t="s">
        <v>144</v>
      </c>
      <c r="H135" s="1" t="n">
        <v>1230698</v>
      </c>
      <c r="I135" s="1" t="n">
        <v>1</v>
      </c>
      <c r="J135" s="1" t="s">
        <v>2975</v>
      </c>
      <c r="K135" s="67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2973</v>
      </c>
      <c r="D136" s="1" t="s">
        <v>3003</v>
      </c>
      <c r="E136" s="15" t="n">
        <v>46183</v>
      </c>
      <c r="F136" s="15" t="n">
        <v>46182</v>
      </c>
      <c r="G136" s="1" t="s">
        <v>74</v>
      </c>
      <c r="H136" s="1" t="n">
        <v>1230722</v>
      </c>
      <c r="I136" s="1" t="n">
        <v>1</v>
      </c>
      <c r="J136" s="1" t="s">
        <v>2975</v>
      </c>
      <c r="K136" s="67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2976</v>
      </c>
      <c r="D137" s="1" t="s">
        <v>2988</v>
      </c>
      <c r="E137" s="15" t="n">
        <v>46183</v>
      </c>
      <c r="F137" s="15" t="n">
        <v>46183</v>
      </c>
      <c r="G137" s="1" t="s">
        <v>70</v>
      </c>
      <c r="H137" s="1" t="n">
        <v>1232087</v>
      </c>
      <c r="I137" s="1" t="n">
        <v>6</v>
      </c>
      <c r="J137" s="1" t="s">
        <v>2975</v>
      </c>
      <c r="K137" s="67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2976</v>
      </c>
      <c r="D138" s="1" t="s">
        <v>2988</v>
      </c>
      <c r="E138" s="15" t="n">
        <v>46183</v>
      </c>
      <c r="F138" s="15" t="n">
        <v>46183</v>
      </c>
      <c r="G138" s="1" t="s">
        <v>70</v>
      </c>
      <c r="H138" s="1" t="n">
        <v>1232021</v>
      </c>
      <c r="I138" s="1" t="n">
        <v>2</v>
      </c>
      <c r="J138" s="1" t="s">
        <v>2975</v>
      </c>
      <c r="K138" s="67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2976</v>
      </c>
      <c r="D139" s="1" t="s">
        <v>3051</v>
      </c>
      <c r="E139" s="15" t="n">
        <v>46183</v>
      </c>
      <c r="F139" s="15" t="n">
        <v>46178</v>
      </c>
      <c r="G139" s="1" t="s">
        <v>244</v>
      </c>
      <c r="H139" s="1" t="n">
        <v>1230768</v>
      </c>
      <c r="I139" s="1" t="n">
        <v>1</v>
      </c>
      <c r="J139" s="1" t="s">
        <v>2975</v>
      </c>
      <c r="K139" s="67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2976</v>
      </c>
      <c r="D140" s="1" t="s">
        <v>3052</v>
      </c>
      <c r="E140" s="15" t="n">
        <v>46183</v>
      </c>
      <c r="F140" s="15" t="n">
        <v>46181</v>
      </c>
      <c r="G140" s="1" t="s">
        <v>750</v>
      </c>
      <c r="H140" s="1" t="n">
        <v>1231622</v>
      </c>
      <c r="I140" s="1" t="n">
        <v>3</v>
      </c>
      <c r="J140" s="1" t="s">
        <v>2975</v>
      </c>
      <c r="K140" s="67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2976</v>
      </c>
      <c r="D141" s="1" t="s">
        <v>3053</v>
      </c>
      <c r="E141" s="15" t="n">
        <v>46183</v>
      </c>
      <c r="F141" s="15" t="n">
        <v>46181</v>
      </c>
      <c r="G141" s="1" t="s">
        <v>628</v>
      </c>
      <c r="H141" s="1" t="n">
        <v>1231605</v>
      </c>
      <c r="I141" s="1" t="n">
        <v>3</v>
      </c>
      <c r="J141" s="1" t="s">
        <v>2975</v>
      </c>
      <c r="K141" s="67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2973</v>
      </c>
      <c r="D142" s="1" t="s">
        <v>3010</v>
      </c>
      <c r="E142" s="15" t="n">
        <v>46183</v>
      </c>
      <c r="F142" s="15" t="n">
        <v>46181</v>
      </c>
      <c r="G142" s="1" t="s">
        <v>319</v>
      </c>
      <c r="H142" s="1" t="n">
        <v>1230747</v>
      </c>
      <c r="I142" s="1" t="n">
        <v>1</v>
      </c>
      <c r="J142" s="1" t="s">
        <v>2975</v>
      </c>
      <c r="K142" s="67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2976</v>
      </c>
      <c r="D143" s="1" t="s">
        <v>3021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2975</v>
      </c>
      <c r="K143" s="67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2976</v>
      </c>
      <c r="D144" s="1" t="s">
        <v>3021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2975</v>
      </c>
      <c r="K144" s="67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2976</v>
      </c>
      <c r="D145" s="1" t="s">
        <v>3054</v>
      </c>
      <c r="E145" s="15" t="n">
        <v>46184</v>
      </c>
      <c r="F145" s="15" t="n">
        <v>46153</v>
      </c>
      <c r="G145" s="1" t="s">
        <v>441</v>
      </c>
      <c r="H145" s="1" t="n">
        <v>1236489</v>
      </c>
      <c r="I145" s="1" t="n">
        <v>11</v>
      </c>
      <c r="J145" s="1" t="s">
        <v>2975</v>
      </c>
      <c r="K145" s="67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2976</v>
      </c>
      <c r="D146" s="1" t="s">
        <v>3054</v>
      </c>
      <c r="E146" s="15" t="n">
        <v>46184</v>
      </c>
      <c r="F146" s="15" t="n">
        <v>46182</v>
      </c>
      <c r="G146" s="1" t="s">
        <v>441</v>
      </c>
      <c r="H146" s="1" t="n">
        <v>1236571</v>
      </c>
      <c r="I146" s="1" t="n">
        <v>11</v>
      </c>
      <c r="J146" s="1" t="s">
        <v>2975</v>
      </c>
      <c r="K146" s="67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2976</v>
      </c>
      <c r="D147" s="1" t="s">
        <v>3055</v>
      </c>
      <c r="E147" s="15" t="n">
        <v>46184</v>
      </c>
      <c r="F147" s="15" t="n">
        <v>46183</v>
      </c>
      <c r="G147" s="1" t="s">
        <v>195</v>
      </c>
      <c r="H147" s="1" t="n">
        <v>1236408</v>
      </c>
      <c r="I147" s="1" t="n">
        <v>1</v>
      </c>
      <c r="J147" s="1" t="s">
        <v>2975</v>
      </c>
      <c r="K147" s="67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2976</v>
      </c>
      <c r="D148" s="1" t="s">
        <v>2997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2975</v>
      </c>
      <c r="K148" s="67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2976</v>
      </c>
      <c r="D149" s="1" t="s">
        <v>3056</v>
      </c>
      <c r="E149" s="15" t="n">
        <v>46184</v>
      </c>
      <c r="F149" s="15" t="n">
        <v>46182</v>
      </c>
      <c r="G149" s="1" t="s">
        <v>931</v>
      </c>
      <c r="H149" s="1" t="n">
        <v>1235655</v>
      </c>
      <c r="I149" s="1" t="n">
        <v>1</v>
      </c>
      <c r="J149" s="1" t="s">
        <v>2975</v>
      </c>
      <c r="K149" s="67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2976</v>
      </c>
      <c r="D150" s="1" t="s">
        <v>3038</v>
      </c>
      <c r="E150" s="15" t="n">
        <v>46184</v>
      </c>
      <c r="F150" s="15" t="n">
        <v>46183</v>
      </c>
      <c r="G150" s="1" t="s">
        <v>193</v>
      </c>
      <c r="H150" s="1" t="n">
        <v>1235909</v>
      </c>
      <c r="I150" s="1" t="n">
        <v>1</v>
      </c>
      <c r="J150" s="1" t="s">
        <v>2975</v>
      </c>
      <c r="K150" s="67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2976</v>
      </c>
      <c r="D151" s="1" t="s">
        <v>3057</v>
      </c>
      <c r="E151" s="15" t="n">
        <v>46184</v>
      </c>
      <c r="F151" s="15" t="n">
        <v>46126</v>
      </c>
      <c r="G151" s="1" t="s">
        <v>3058</v>
      </c>
      <c r="H151" s="1" t="n">
        <v>1235447</v>
      </c>
      <c r="I151" s="1" t="n">
        <v>39</v>
      </c>
      <c r="J151" s="1" t="s">
        <v>2975</v>
      </c>
      <c r="K151" s="67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2978</v>
      </c>
      <c r="D152" s="1" t="s">
        <v>3059</v>
      </c>
      <c r="E152" s="15" t="n">
        <v>46184</v>
      </c>
      <c r="F152" s="15" t="n">
        <v>46182</v>
      </c>
      <c r="G152" s="1" t="s">
        <v>130</v>
      </c>
      <c r="H152" s="1" t="n">
        <v>1235524</v>
      </c>
      <c r="I152" s="1" t="n">
        <v>1</v>
      </c>
      <c r="J152" s="1" t="s">
        <v>2975</v>
      </c>
      <c r="K152" s="67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2973</v>
      </c>
      <c r="D153" s="1" t="s">
        <v>3060</v>
      </c>
      <c r="E153" s="15" t="n">
        <v>46184</v>
      </c>
      <c r="F153" s="15" t="n">
        <v>46181</v>
      </c>
      <c r="G153" s="1" t="s">
        <v>1405</v>
      </c>
      <c r="H153" s="1" t="n">
        <v>1235862</v>
      </c>
      <c r="I153" s="1" t="n">
        <v>1</v>
      </c>
      <c r="J153" s="1" t="s">
        <v>2975</v>
      </c>
      <c r="K153" s="67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2976</v>
      </c>
      <c r="D154" s="1" t="s">
        <v>3061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2975</v>
      </c>
      <c r="K154" s="67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2973</v>
      </c>
      <c r="D155" s="1" t="s">
        <v>3062</v>
      </c>
      <c r="E155" s="15" t="n">
        <v>46184</v>
      </c>
      <c r="F155" s="15" t="n">
        <v>46182</v>
      </c>
      <c r="G155" s="1" t="s">
        <v>246</v>
      </c>
      <c r="H155" s="1" t="n">
        <v>1236138</v>
      </c>
      <c r="I155" s="1" t="n">
        <v>1</v>
      </c>
      <c r="J155" s="1" t="s">
        <v>2975</v>
      </c>
      <c r="K155" s="67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2978</v>
      </c>
      <c r="D156" s="1" t="s">
        <v>2991</v>
      </c>
      <c r="E156" s="15" t="n">
        <v>46184</v>
      </c>
      <c r="F156" s="15" t="n">
        <v>46184</v>
      </c>
      <c r="G156" s="1" t="s">
        <v>961</v>
      </c>
      <c r="H156" s="1" t="n">
        <v>1261327</v>
      </c>
      <c r="I156" s="1" t="n">
        <v>1</v>
      </c>
      <c r="J156" s="1" t="s">
        <v>2975</v>
      </c>
      <c r="K156" s="67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2976</v>
      </c>
      <c r="D157" s="1" t="s">
        <v>3005</v>
      </c>
      <c r="E157" s="15" t="n">
        <v>46185</v>
      </c>
      <c r="F157" s="15" t="n">
        <v>46185</v>
      </c>
      <c r="G157" s="1" t="s">
        <v>3006</v>
      </c>
      <c r="H157" s="1" t="n">
        <v>1261004</v>
      </c>
      <c r="I157" s="1" t="n">
        <v>1</v>
      </c>
      <c r="J157" s="1" t="s">
        <v>2975</v>
      </c>
      <c r="K157" s="67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2976</v>
      </c>
      <c r="D158" s="1" t="s">
        <v>2996</v>
      </c>
      <c r="E158" s="15" t="n">
        <v>46185</v>
      </c>
      <c r="F158" s="15" t="n">
        <v>46185</v>
      </c>
      <c r="G158" s="1" t="s">
        <v>221</v>
      </c>
      <c r="H158" s="1" t="n">
        <v>1241271</v>
      </c>
      <c r="I158" s="1" t="n">
        <v>1</v>
      </c>
      <c r="J158" s="1" t="s">
        <v>2975</v>
      </c>
      <c r="K158" s="67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2973</v>
      </c>
      <c r="D159" s="1" t="s">
        <v>2985</v>
      </c>
      <c r="E159" s="15" t="n">
        <v>46185</v>
      </c>
      <c r="F159" s="15" t="n">
        <v>46185</v>
      </c>
      <c r="G159" s="1" t="s">
        <v>102</v>
      </c>
      <c r="H159" s="1" t="n">
        <v>1260938</v>
      </c>
      <c r="I159" s="1" t="n">
        <v>1</v>
      </c>
      <c r="J159" s="1" t="s">
        <v>2975</v>
      </c>
      <c r="K159" s="67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2976</v>
      </c>
      <c r="D160" s="1" t="s">
        <v>2988</v>
      </c>
      <c r="E160" s="15" t="n">
        <v>46185</v>
      </c>
      <c r="F160" s="15" t="n">
        <v>46185</v>
      </c>
      <c r="G160" s="1" t="s">
        <v>70</v>
      </c>
      <c r="H160" s="1" t="n">
        <v>1361212</v>
      </c>
      <c r="I160" s="1" t="n">
        <v>2</v>
      </c>
      <c r="J160" s="1" t="s">
        <v>2975</v>
      </c>
      <c r="K160" s="67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2976</v>
      </c>
      <c r="D161" s="1" t="s">
        <v>2988</v>
      </c>
      <c r="E161" s="15" t="n">
        <v>46185</v>
      </c>
      <c r="F161" s="15" t="n">
        <v>46185</v>
      </c>
      <c r="G161" s="1" t="s">
        <v>70</v>
      </c>
      <c r="H161" s="1" t="n">
        <v>1241243</v>
      </c>
      <c r="I161" s="1" t="n">
        <v>6</v>
      </c>
      <c r="J161" s="1" t="s">
        <v>2975</v>
      </c>
      <c r="K161" s="67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2976</v>
      </c>
      <c r="D162" s="1" t="s">
        <v>2988</v>
      </c>
      <c r="E162" s="15" t="n">
        <v>46185</v>
      </c>
      <c r="F162" s="15" t="n">
        <v>46185</v>
      </c>
      <c r="G162" s="1" t="s">
        <v>70</v>
      </c>
      <c r="H162" s="1" t="n">
        <v>1241422</v>
      </c>
      <c r="I162" s="1" t="n">
        <v>6</v>
      </c>
      <c r="J162" s="1" t="s">
        <v>2975</v>
      </c>
      <c r="K162" s="67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2976</v>
      </c>
      <c r="D163" s="1" t="s">
        <v>2988</v>
      </c>
      <c r="E163" s="15" t="n">
        <v>46185</v>
      </c>
      <c r="F163" s="15" t="n">
        <v>46185</v>
      </c>
      <c r="G163" s="1" t="s">
        <v>70</v>
      </c>
      <c r="H163" s="1" t="n">
        <v>1241226</v>
      </c>
      <c r="I163" s="1" t="n">
        <v>2</v>
      </c>
      <c r="J163" s="1" t="s">
        <v>2975</v>
      </c>
      <c r="K163" s="67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2976</v>
      </c>
      <c r="D164" s="1" t="s">
        <v>2988</v>
      </c>
      <c r="E164" s="15" t="n">
        <v>46185</v>
      </c>
      <c r="F164" s="15" t="n">
        <v>46185</v>
      </c>
      <c r="G164" s="1" t="s">
        <v>70</v>
      </c>
      <c r="H164" s="1" t="n">
        <v>1241400</v>
      </c>
      <c r="I164" s="1" t="n">
        <v>2</v>
      </c>
      <c r="J164" s="1" t="s">
        <v>2975</v>
      </c>
      <c r="K164" s="67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2976</v>
      </c>
      <c r="D165" s="1" t="s">
        <v>2992</v>
      </c>
      <c r="E165" s="15" t="n">
        <v>46186</v>
      </c>
      <c r="F165" s="15" t="n">
        <v>46185</v>
      </c>
      <c r="G165" s="1" t="s">
        <v>161</v>
      </c>
      <c r="H165" s="1" t="n">
        <v>1243938</v>
      </c>
      <c r="I165" s="1" t="n">
        <v>1</v>
      </c>
      <c r="J165" s="1" t="s">
        <v>2975</v>
      </c>
      <c r="K165" s="67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2973</v>
      </c>
      <c r="D166" s="1" t="s">
        <v>2994</v>
      </c>
      <c r="E166" s="15" t="n">
        <v>46186</v>
      </c>
      <c r="F166" s="15" t="n">
        <v>46184</v>
      </c>
      <c r="G166" s="1" t="s">
        <v>66</v>
      </c>
      <c r="H166" s="1" t="n">
        <v>1243964</v>
      </c>
      <c r="I166" s="1" t="n">
        <v>1</v>
      </c>
      <c r="J166" s="1" t="s">
        <v>2975</v>
      </c>
      <c r="K166" s="67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2973</v>
      </c>
      <c r="D167" s="1" t="s">
        <v>2984</v>
      </c>
      <c r="E167" s="15" t="n">
        <v>46186</v>
      </c>
      <c r="F167" s="15" t="n">
        <v>46186</v>
      </c>
      <c r="G167" s="1" t="s">
        <v>97</v>
      </c>
      <c r="H167" s="1" t="n">
        <v>1261036</v>
      </c>
      <c r="I167" s="1" t="n">
        <v>1</v>
      </c>
      <c r="J167" s="1" t="s">
        <v>2975</v>
      </c>
      <c r="K167" s="67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2973</v>
      </c>
      <c r="D168" s="1" t="s">
        <v>2985</v>
      </c>
      <c r="E168" s="15" t="n">
        <v>46186</v>
      </c>
      <c r="F168" s="15" t="n">
        <v>46186</v>
      </c>
      <c r="G168" s="1" t="s">
        <v>102</v>
      </c>
      <c r="H168" s="1" t="n">
        <v>1260984</v>
      </c>
      <c r="I168" s="1" t="n">
        <v>1</v>
      </c>
      <c r="J168" s="1" t="s">
        <v>2975</v>
      </c>
      <c r="K168" s="67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2976</v>
      </c>
      <c r="D169" s="1" t="s">
        <v>2988</v>
      </c>
      <c r="E169" s="15" t="n">
        <v>46186</v>
      </c>
      <c r="F169" s="15" t="n">
        <v>46186</v>
      </c>
      <c r="G169" s="1" t="s">
        <v>70</v>
      </c>
      <c r="H169" s="1" t="n">
        <v>1244611</v>
      </c>
      <c r="I169" s="1" t="n">
        <v>6</v>
      </c>
      <c r="J169" s="1" t="s">
        <v>2975</v>
      </c>
      <c r="K169" s="67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2976</v>
      </c>
      <c r="D170" s="1" t="s">
        <v>2988</v>
      </c>
      <c r="E170" s="15" t="n">
        <v>46186</v>
      </c>
      <c r="F170" s="15" t="n">
        <v>46186</v>
      </c>
      <c r="G170" s="1" t="s">
        <v>70</v>
      </c>
      <c r="H170" s="1" t="n">
        <v>1244557</v>
      </c>
      <c r="I170" s="1" t="n">
        <v>2</v>
      </c>
      <c r="J170" s="1" t="s">
        <v>2975</v>
      </c>
      <c r="K170" s="67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2976</v>
      </c>
      <c r="D171" s="1" t="s">
        <v>2989</v>
      </c>
      <c r="E171" s="15" t="n">
        <v>46186</v>
      </c>
      <c r="F171" s="15" t="n">
        <v>46183</v>
      </c>
      <c r="G171" s="1" t="s">
        <v>157</v>
      </c>
      <c r="H171" s="1" t="n">
        <v>1245200</v>
      </c>
      <c r="I171" s="1" t="n">
        <v>1</v>
      </c>
      <c r="J171" s="1" t="s">
        <v>2975</v>
      </c>
      <c r="K171" s="67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2978</v>
      </c>
      <c r="D172" s="1" t="s">
        <v>2991</v>
      </c>
      <c r="E172" s="15" t="n">
        <v>46186</v>
      </c>
      <c r="F172" s="15" t="n">
        <v>46186</v>
      </c>
      <c r="G172" s="1" t="s">
        <v>961</v>
      </c>
      <c r="H172" s="1" t="n">
        <v>1261307</v>
      </c>
      <c r="I172" s="1" t="n">
        <v>1</v>
      </c>
      <c r="J172" s="1" t="s">
        <v>2975</v>
      </c>
      <c r="K172" s="67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2976</v>
      </c>
      <c r="D173" s="1" t="s">
        <v>2993</v>
      </c>
      <c r="E173" s="15" t="n">
        <v>46188</v>
      </c>
      <c r="F173" s="15" t="n">
        <v>46185</v>
      </c>
      <c r="G173" s="1" t="s">
        <v>328</v>
      </c>
      <c r="H173" s="1" t="n">
        <v>1254822</v>
      </c>
      <c r="I173" s="1" t="n">
        <v>1</v>
      </c>
      <c r="J173" s="1" t="s">
        <v>2975</v>
      </c>
      <c r="K173" s="67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2976</v>
      </c>
      <c r="D174" s="1" t="s">
        <v>3063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2975</v>
      </c>
      <c r="K174" s="67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2976</v>
      </c>
      <c r="D175" s="1" t="s">
        <v>3063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2975</v>
      </c>
      <c r="K175" s="67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2976</v>
      </c>
      <c r="D176" s="1" t="s">
        <v>3063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2975</v>
      </c>
      <c r="K176" s="67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2976</v>
      </c>
      <c r="D177" s="1" t="s">
        <v>3063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2975</v>
      </c>
      <c r="K177" s="67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2976</v>
      </c>
      <c r="D178" s="1" t="s">
        <v>3063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2975</v>
      </c>
      <c r="K178" s="67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2973</v>
      </c>
      <c r="D179" s="1" t="s">
        <v>2994</v>
      </c>
      <c r="E179" s="15" t="n">
        <v>46188</v>
      </c>
      <c r="F179" s="15" t="n">
        <v>46188</v>
      </c>
      <c r="G179" s="1" t="s">
        <v>66</v>
      </c>
      <c r="H179" s="1" t="n">
        <v>1255457</v>
      </c>
      <c r="I179" s="1" t="n">
        <v>1</v>
      </c>
      <c r="J179" s="1" t="s">
        <v>2975</v>
      </c>
      <c r="K179" s="67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2976</v>
      </c>
      <c r="D180" s="1" t="s">
        <v>2995</v>
      </c>
      <c r="E180" s="15" t="n">
        <v>46188</v>
      </c>
      <c r="F180" s="15" t="n">
        <v>46186</v>
      </c>
      <c r="G180" s="1" t="s">
        <v>264</v>
      </c>
      <c r="H180" s="1" t="n">
        <v>1257667</v>
      </c>
      <c r="I180" s="1" t="n">
        <v>1</v>
      </c>
      <c r="J180" s="1" t="s">
        <v>2975</v>
      </c>
      <c r="K180" s="67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3024</v>
      </c>
      <c r="D181" s="1" t="s">
        <v>3025</v>
      </c>
      <c r="E181" s="15" t="n">
        <v>46188</v>
      </c>
      <c r="F181" s="15" t="n">
        <v>46183</v>
      </c>
      <c r="G181" s="1" t="s">
        <v>311</v>
      </c>
      <c r="H181" s="1" t="n">
        <v>1255298</v>
      </c>
      <c r="I181" s="1" t="n">
        <v>1</v>
      </c>
      <c r="J181" s="1" t="s">
        <v>2975</v>
      </c>
      <c r="K181" s="67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3024</v>
      </c>
      <c r="D182" s="1" t="s">
        <v>3025</v>
      </c>
      <c r="E182" s="15" t="n">
        <v>46188</v>
      </c>
      <c r="F182" s="15" t="n">
        <v>46184</v>
      </c>
      <c r="G182" s="1" t="s">
        <v>311</v>
      </c>
      <c r="H182" s="1" t="n">
        <v>1255420</v>
      </c>
      <c r="I182" s="1" t="n">
        <v>1</v>
      </c>
      <c r="J182" s="1" t="s">
        <v>2975</v>
      </c>
      <c r="K182" s="67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2973</v>
      </c>
      <c r="D183" s="1" t="s">
        <v>2979</v>
      </c>
      <c r="E183" s="15" t="n">
        <v>46188</v>
      </c>
      <c r="F183" s="15" t="n">
        <v>46188</v>
      </c>
      <c r="G183" s="1" t="s">
        <v>388</v>
      </c>
      <c r="H183" s="1" t="n">
        <v>1261046</v>
      </c>
      <c r="I183" s="1" t="n">
        <v>1</v>
      </c>
      <c r="J183" s="1" t="s">
        <v>2975</v>
      </c>
      <c r="K183" s="67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2976</v>
      </c>
      <c r="D184" s="1" t="s">
        <v>2997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2975</v>
      </c>
      <c r="K184" s="67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2976</v>
      </c>
      <c r="D185" s="1" t="s">
        <v>3064</v>
      </c>
      <c r="E185" s="15" t="n">
        <v>46188</v>
      </c>
      <c r="F185" s="15" t="n">
        <v>46183</v>
      </c>
      <c r="G185" s="1" t="s">
        <v>68</v>
      </c>
      <c r="H185" s="1" t="n">
        <v>1256327</v>
      </c>
      <c r="I185" s="1" t="n">
        <v>1</v>
      </c>
      <c r="J185" s="1" t="s">
        <v>2975</v>
      </c>
      <c r="K185" s="67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2981</v>
      </c>
      <c r="D186" s="1" t="s">
        <v>2982</v>
      </c>
      <c r="E186" s="15" t="n">
        <v>46188</v>
      </c>
      <c r="F186" s="15" t="n">
        <v>46183</v>
      </c>
      <c r="G186" s="1" t="s">
        <v>591</v>
      </c>
      <c r="H186" s="1" t="n">
        <v>1255899</v>
      </c>
      <c r="I186" s="1" t="n">
        <v>1</v>
      </c>
      <c r="J186" s="1" t="s">
        <v>2975</v>
      </c>
      <c r="K186" s="67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2981</v>
      </c>
      <c r="D187" s="1" t="s">
        <v>2982</v>
      </c>
      <c r="E187" s="15" t="n">
        <v>46188</v>
      </c>
      <c r="F187" s="15" t="n">
        <v>46183</v>
      </c>
      <c r="G187" s="1" t="s">
        <v>591</v>
      </c>
      <c r="H187" s="1" t="n">
        <v>1255919</v>
      </c>
      <c r="I187" s="1" t="n">
        <v>1</v>
      </c>
      <c r="J187" s="1" t="s">
        <v>2975</v>
      </c>
      <c r="K187" s="67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2981</v>
      </c>
      <c r="D188" s="1" t="s">
        <v>2982</v>
      </c>
      <c r="E188" s="15" t="n">
        <v>46188</v>
      </c>
      <c r="F188" s="15" t="n">
        <v>46183</v>
      </c>
      <c r="G188" s="1" t="s">
        <v>591</v>
      </c>
      <c r="H188" s="1" t="n">
        <v>1255948</v>
      </c>
      <c r="I188" s="1" t="n">
        <v>1</v>
      </c>
      <c r="J188" s="1" t="s">
        <v>2975</v>
      </c>
      <c r="K188" s="67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2981</v>
      </c>
      <c r="D189" s="1" t="s">
        <v>2982</v>
      </c>
      <c r="E189" s="15" t="n">
        <v>46188</v>
      </c>
      <c r="F189" s="15" t="n">
        <v>46183</v>
      </c>
      <c r="G189" s="1" t="s">
        <v>591</v>
      </c>
      <c r="H189" s="1" t="n">
        <v>1256309</v>
      </c>
      <c r="I189" s="1" t="n">
        <v>1</v>
      </c>
      <c r="J189" s="1" t="s">
        <v>2975</v>
      </c>
      <c r="K189" s="67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2981</v>
      </c>
      <c r="D190" s="1" t="s">
        <v>2982</v>
      </c>
      <c r="E190" s="15" t="n">
        <v>46188</v>
      </c>
      <c r="F190" s="15" t="n">
        <v>46183</v>
      </c>
      <c r="G190" s="1" t="s">
        <v>591</v>
      </c>
      <c r="H190" s="1" t="n">
        <v>1256329</v>
      </c>
      <c r="I190" s="1" t="n">
        <v>1</v>
      </c>
      <c r="J190" s="1" t="s">
        <v>2975</v>
      </c>
      <c r="K190" s="67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2981</v>
      </c>
      <c r="D191" s="1" t="s">
        <v>2982</v>
      </c>
      <c r="E191" s="15" t="n">
        <v>46188</v>
      </c>
      <c r="F191" s="15" t="n">
        <v>46188</v>
      </c>
      <c r="G191" s="1" t="s">
        <v>591</v>
      </c>
      <c r="H191" s="1" t="n">
        <v>1260483</v>
      </c>
      <c r="I191" s="1" t="n">
        <v>1</v>
      </c>
      <c r="J191" s="1" t="s">
        <v>2975</v>
      </c>
      <c r="K191" s="67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2981</v>
      </c>
      <c r="D192" s="1" t="s">
        <v>2982</v>
      </c>
      <c r="E192" s="15" t="n">
        <v>46188</v>
      </c>
      <c r="F192" s="15" t="n">
        <v>46188</v>
      </c>
      <c r="G192" s="1" t="s">
        <v>591</v>
      </c>
      <c r="H192" s="1" t="n">
        <v>1260456</v>
      </c>
      <c r="I192" s="1" t="n">
        <v>1</v>
      </c>
      <c r="J192" s="1" t="s">
        <v>2975</v>
      </c>
      <c r="K192" s="67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2981</v>
      </c>
      <c r="D193" s="1" t="s">
        <v>2982</v>
      </c>
      <c r="E193" s="15" t="n">
        <v>46188</v>
      </c>
      <c r="F193" s="15" t="n">
        <v>46188</v>
      </c>
      <c r="G193" s="1" t="s">
        <v>591</v>
      </c>
      <c r="H193" s="1" t="n">
        <v>1260370</v>
      </c>
      <c r="I193" s="1" t="n">
        <v>1</v>
      </c>
      <c r="J193" s="1" t="s">
        <v>2975</v>
      </c>
      <c r="K193" s="67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2976</v>
      </c>
      <c r="D194" s="1" t="s">
        <v>2998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2975</v>
      </c>
      <c r="K194" s="67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2973</v>
      </c>
      <c r="D195" s="1" t="s">
        <v>2984</v>
      </c>
      <c r="E195" s="15" t="n">
        <v>46188</v>
      </c>
      <c r="F195" s="15" t="n">
        <v>46188</v>
      </c>
      <c r="G195" s="1" t="s">
        <v>97</v>
      </c>
      <c r="H195" s="1" t="n">
        <v>1260992</v>
      </c>
      <c r="I195" s="1" t="n">
        <v>1</v>
      </c>
      <c r="J195" s="1" t="s">
        <v>2975</v>
      </c>
      <c r="K195" s="67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2976</v>
      </c>
      <c r="D196" s="1" t="s">
        <v>3026</v>
      </c>
      <c r="E196" s="15" t="n">
        <v>46188</v>
      </c>
      <c r="F196" s="15" t="n">
        <v>46185</v>
      </c>
      <c r="G196" s="1" t="s">
        <v>309</v>
      </c>
      <c r="H196" s="1" t="n">
        <v>1255192</v>
      </c>
      <c r="I196" s="1" t="n">
        <v>1</v>
      </c>
      <c r="J196" s="1" t="s">
        <v>2975</v>
      </c>
      <c r="K196" s="67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2976</v>
      </c>
      <c r="D197" s="1" t="s">
        <v>3015</v>
      </c>
      <c r="E197" s="15" t="n">
        <v>46188</v>
      </c>
      <c r="F197" s="15" t="n">
        <v>46184</v>
      </c>
      <c r="G197" s="1" t="s">
        <v>278</v>
      </c>
      <c r="H197" s="1" t="n">
        <v>1256636</v>
      </c>
      <c r="I197" s="1" t="n">
        <v>1</v>
      </c>
      <c r="J197" s="1" t="s">
        <v>2975</v>
      </c>
      <c r="K197" s="67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2976</v>
      </c>
      <c r="D198" s="1" t="s">
        <v>3065</v>
      </c>
      <c r="E198" s="15" t="n">
        <v>46188</v>
      </c>
      <c r="F198" s="15" t="n">
        <v>46182</v>
      </c>
      <c r="G198" s="1" t="s">
        <v>3066</v>
      </c>
      <c r="H198" s="1" t="n">
        <v>1255515</v>
      </c>
      <c r="I198" s="1" t="n">
        <v>1</v>
      </c>
      <c r="J198" s="1" t="s">
        <v>2975</v>
      </c>
      <c r="K198" s="67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2976</v>
      </c>
      <c r="D199" s="1" t="s">
        <v>3065</v>
      </c>
      <c r="E199" s="15" t="n">
        <v>46188</v>
      </c>
      <c r="F199" s="15" t="n">
        <v>46182</v>
      </c>
      <c r="G199" s="1" t="s">
        <v>3066</v>
      </c>
      <c r="H199" s="1" t="n">
        <v>1255563</v>
      </c>
      <c r="I199" s="1" t="n">
        <v>1</v>
      </c>
      <c r="J199" s="1" t="s">
        <v>2975</v>
      </c>
      <c r="K199" s="67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2976</v>
      </c>
      <c r="D200" s="1" t="s">
        <v>2986</v>
      </c>
      <c r="E200" s="15" t="n">
        <v>46188</v>
      </c>
      <c r="F200" s="15" t="n">
        <v>46185</v>
      </c>
      <c r="G200" s="1" t="s">
        <v>211</v>
      </c>
      <c r="H200" s="1" t="n">
        <v>1257059</v>
      </c>
      <c r="I200" s="1" t="n">
        <v>1</v>
      </c>
      <c r="J200" s="1" t="s">
        <v>2975</v>
      </c>
      <c r="K200" s="67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3067</v>
      </c>
      <c r="D201" s="1" t="s">
        <v>3068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2975</v>
      </c>
      <c r="K201" s="67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2976</v>
      </c>
      <c r="D202" s="1" t="s">
        <v>3002</v>
      </c>
      <c r="E202" s="15" t="n">
        <v>46188</v>
      </c>
      <c r="F202" s="15" t="n">
        <v>46185</v>
      </c>
      <c r="G202" s="1" t="s">
        <v>323</v>
      </c>
      <c r="H202" s="1" t="n">
        <v>1254875</v>
      </c>
      <c r="I202" s="1" t="n">
        <v>1</v>
      </c>
      <c r="J202" s="1" t="s">
        <v>2975</v>
      </c>
      <c r="K202" s="67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3016</v>
      </c>
      <c r="D203" s="1" t="s">
        <v>3017</v>
      </c>
      <c r="E203" s="15" t="n">
        <v>46188</v>
      </c>
      <c r="F203" s="15" t="n">
        <v>46185</v>
      </c>
      <c r="G203" s="1" t="s">
        <v>144</v>
      </c>
      <c r="H203" s="1" t="n">
        <v>1255467</v>
      </c>
      <c r="I203" s="1" t="n">
        <v>1</v>
      </c>
      <c r="J203" s="1" t="s">
        <v>2975</v>
      </c>
      <c r="K203" s="67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2976</v>
      </c>
      <c r="D204" s="1" t="s">
        <v>3018</v>
      </c>
      <c r="E204" s="15" t="n">
        <v>46188</v>
      </c>
      <c r="F204" s="15" t="n">
        <v>46184</v>
      </c>
      <c r="G204" s="1" t="s">
        <v>258</v>
      </c>
      <c r="H204" s="1" t="n">
        <v>1256368</v>
      </c>
      <c r="I204" s="1" t="n">
        <v>1</v>
      </c>
      <c r="J204" s="1" t="s">
        <v>2975</v>
      </c>
      <c r="K204" s="67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2973</v>
      </c>
      <c r="D205" s="1" t="s">
        <v>3003</v>
      </c>
      <c r="E205" s="15" t="n">
        <v>46188</v>
      </c>
      <c r="F205" s="15" t="n">
        <v>46183</v>
      </c>
      <c r="G205" s="1" t="s">
        <v>74</v>
      </c>
      <c r="H205" s="1" t="n">
        <v>1254895</v>
      </c>
      <c r="I205" s="1" t="n">
        <v>1</v>
      </c>
      <c r="J205" s="1" t="s">
        <v>2975</v>
      </c>
      <c r="K205" s="67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2973</v>
      </c>
      <c r="D206" s="1" t="s">
        <v>3003</v>
      </c>
      <c r="E206" s="15" t="n">
        <v>46188</v>
      </c>
      <c r="F206" s="15" t="n">
        <v>46185</v>
      </c>
      <c r="G206" s="1" t="s">
        <v>74</v>
      </c>
      <c r="H206" s="1" t="n">
        <v>1254937</v>
      </c>
      <c r="I206" s="1" t="n">
        <v>1</v>
      </c>
      <c r="J206" s="1" t="s">
        <v>2975</v>
      </c>
      <c r="K206" s="67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2978</v>
      </c>
      <c r="D207" s="1" t="s">
        <v>3004</v>
      </c>
      <c r="E207" s="15" t="n">
        <v>46188</v>
      </c>
      <c r="F207" s="15" t="n">
        <v>46183</v>
      </c>
      <c r="G207" s="1" t="s">
        <v>753</v>
      </c>
      <c r="H207" s="1" t="n">
        <v>1256691</v>
      </c>
      <c r="I207" s="1" t="n">
        <v>1</v>
      </c>
      <c r="J207" s="1" t="s">
        <v>2975</v>
      </c>
      <c r="K207" s="67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3069</v>
      </c>
      <c r="D208" s="1" t="s">
        <v>3070</v>
      </c>
      <c r="E208" s="15" t="n">
        <v>46188</v>
      </c>
      <c r="F208" s="15" t="n">
        <v>46183</v>
      </c>
      <c r="G208" s="1" t="s">
        <v>688</v>
      </c>
      <c r="H208" s="1" t="n">
        <v>1256431</v>
      </c>
      <c r="I208" s="1" t="n">
        <v>1</v>
      </c>
      <c r="J208" s="1" t="s">
        <v>2975</v>
      </c>
      <c r="K208" s="67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2976</v>
      </c>
      <c r="D209" s="1" t="s">
        <v>3028</v>
      </c>
      <c r="E209" s="15" t="n">
        <v>46188</v>
      </c>
      <c r="F209" s="15" t="n">
        <v>46185</v>
      </c>
      <c r="G209" s="1" t="s">
        <v>321</v>
      </c>
      <c r="H209" s="1" t="n">
        <v>1255280</v>
      </c>
      <c r="I209" s="1" t="n">
        <v>1</v>
      </c>
      <c r="J209" s="1" t="s">
        <v>2975</v>
      </c>
      <c r="K209" s="67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2976</v>
      </c>
      <c r="D210" s="1" t="s">
        <v>3028</v>
      </c>
      <c r="E210" s="15" t="n">
        <v>46188</v>
      </c>
      <c r="F210" s="15" t="n">
        <v>46185</v>
      </c>
      <c r="G210" s="1" t="s">
        <v>321</v>
      </c>
      <c r="H210" s="1" t="n">
        <v>1255264</v>
      </c>
      <c r="I210" s="1" t="n">
        <v>3</v>
      </c>
      <c r="J210" s="1" t="s">
        <v>2975</v>
      </c>
      <c r="K210" s="67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2976</v>
      </c>
      <c r="D211" s="1" t="s">
        <v>2989</v>
      </c>
      <c r="E211" s="15" t="n">
        <v>46188</v>
      </c>
      <c r="F211" s="15" t="n">
        <v>46184</v>
      </c>
      <c r="G211" s="1" t="s">
        <v>157</v>
      </c>
      <c r="H211" s="1" t="n">
        <v>1256963</v>
      </c>
      <c r="I211" s="1" t="n">
        <v>1</v>
      </c>
      <c r="J211" s="1" t="s">
        <v>2975</v>
      </c>
      <c r="K211" s="67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3046</v>
      </c>
      <c r="D212" s="1" t="s">
        <v>3047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2975</v>
      </c>
      <c r="K212" s="67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2973</v>
      </c>
      <c r="D213" s="1" t="s">
        <v>3010</v>
      </c>
      <c r="E213" s="15" t="n">
        <v>46188</v>
      </c>
      <c r="F213" s="15" t="n">
        <v>46184</v>
      </c>
      <c r="G213" s="1" t="s">
        <v>319</v>
      </c>
      <c r="H213" s="1" t="n">
        <v>1255236</v>
      </c>
      <c r="I213" s="1" t="n">
        <v>1</v>
      </c>
      <c r="J213" s="1" t="s">
        <v>2975</v>
      </c>
      <c r="K213" s="67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2976</v>
      </c>
      <c r="D214" s="1" t="s">
        <v>3071</v>
      </c>
      <c r="E214" s="15" t="n">
        <v>46189</v>
      </c>
      <c r="F214" s="15" t="n">
        <v>46188</v>
      </c>
      <c r="G214" s="1" t="s">
        <v>293</v>
      </c>
      <c r="H214" s="1" t="n">
        <v>1261480</v>
      </c>
      <c r="I214" s="1" t="n">
        <v>1</v>
      </c>
      <c r="J214" s="1" t="s">
        <v>2975</v>
      </c>
      <c r="K214" s="67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2976</v>
      </c>
      <c r="D215" s="1" t="s">
        <v>2992</v>
      </c>
      <c r="E215" s="15" t="n">
        <v>46189</v>
      </c>
      <c r="F215" s="15" t="n">
        <v>46188</v>
      </c>
      <c r="G215" s="1" t="s">
        <v>161</v>
      </c>
      <c r="H215" s="1" t="n">
        <v>1261737</v>
      </c>
      <c r="I215" s="1" t="n">
        <v>1</v>
      </c>
      <c r="J215" s="1" t="s">
        <v>2975</v>
      </c>
      <c r="K215" s="67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2976</v>
      </c>
      <c r="D216" s="1" t="s">
        <v>3021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2975</v>
      </c>
      <c r="K216" s="67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2976</v>
      </c>
      <c r="D217" s="1" t="s">
        <v>3072</v>
      </c>
      <c r="E217" s="15" t="n">
        <v>46189</v>
      </c>
      <c r="F217" s="15" t="n">
        <v>46185</v>
      </c>
      <c r="G217" s="1" t="s">
        <v>934</v>
      </c>
      <c r="H217" s="1" t="n">
        <v>1262147</v>
      </c>
      <c r="I217" s="1" t="n">
        <v>1</v>
      </c>
      <c r="J217" s="1" t="s">
        <v>2975</v>
      </c>
      <c r="K217" s="67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2976</v>
      </c>
      <c r="D218" s="1" t="s">
        <v>3034</v>
      </c>
      <c r="E218" s="15" t="n">
        <v>46189</v>
      </c>
      <c r="F218" s="15" t="n">
        <v>46185</v>
      </c>
      <c r="G218" s="1" t="s">
        <v>1021</v>
      </c>
      <c r="H218" s="1" t="n">
        <v>1261009</v>
      </c>
      <c r="I218" s="1" t="n">
        <v>1</v>
      </c>
      <c r="J218" s="1" t="s">
        <v>2975</v>
      </c>
      <c r="K218" s="67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2976</v>
      </c>
      <c r="D219" s="1" t="s">
        <v>3073</v>
      </c>
      <c r="E219" s="15" t="n">
        <v>46189</v>
      </c>
      <c r="F219" s="15" t="n">
        <v>46189</v>
      </c>
      <c r="G219" s="1" t="s">
        <v>238</v>
      </c>
      <c r="H219" s="1" t="n">
        <v>1261759</v>
      </c>
      <c r="I219" s="1" t="n">
        <v>1</v>
      </c>
      <c r="J219" s="1" t="s">
        <v>2975</v>
      </c>
      <c r="K219" s="67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2976</v>
      </c>
      <c r="D220" s="1" t="s">
        <v>3074</v>
      </c>
      <c r="E220" s="15" t="n">
        <v>46189</v>
      </c>
      <c r="F220" s="15" t="n">
        <v>46185</v>
      </c>
      <c r="G220" s="1" t="s">
        <v>208</v>
      </c>
      <c r="H220" s="1" t="n">
        <v>1260864</v>
      </c>
      <c r="I220" s="1" t="n">
        <v>1</v>
      </c>
      <c r="J220" s="1" t="s">
        <v>2975</v>
      </c>
      <c r="K220" s="67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2976</v>
      </c>
      <c r="D221" s="1" t="s">
        <v>2995</v>
      </c>
      <c r="E221" s="15" t="n">
        <v>46189</v>
      </c>
      <c r="F221" s="15" t="n">
        <v>46188</v>
      </c>
      <c r="G221" s="1" t="s">
        <v>264</v>
      </c>
      <c r="H221" s="1" t="n">
        <v>1261851</v>
      </c>
      <c r="I221" s="1" t="n">
        <v>1</v>
      </c>
      <c r="J221" s="1" t="s">
        <v>2975</v>
      </c>
      <c r="K221" s="67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2976</v>
      </c>
      <c r="D222" s="1" t="s">
        <v>2995</v>
      </c>
      <c r="E222" s="15" t="n">
        <v>46189</v>
      </c>
      <c r="F222" s="15" t="n">
        <v>46189</v>
      </c>
      <c r="G222" s="1" t="s">
        <v>264</v>
      </c>
      <c r="H222" s="1" t="n">
        <v>1261946</v>
      </c>
      <c r="I222" s="1" t="n">
        <v>1</v>
      </c>
      <c r="J222" s="1" t="s">
        <v>2975</v>
      </c>
      <c r="K222" s="67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2976</v>
      </c>
      <c r="D223" s="1" t="s">
        <v>2996</v>
      </c>
      <c r="E223" s="15" t="n">
        <v>46189</v>
      </c>
      <c r="F223" s="15" t="n">
        <v>46189</v>
      </c>
      <c r="G223" s="1" t="s">
        <v>221</v>
      </c>
      <c r="H223" s="1" t="n">
        <v>1261482</v>
      </c>
      <c r="I223" s="1" t="n">
        <v>1</v>
      </c>
      <c r="J223" s="1" t="s">
        <v>2975</v>
      </c>
      <c r="K223" s="67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2976</v>
      </c>
      <c r="D224" s="1" t="s">
        <v>2980</v>
      </c>
      <c r="E224" s="15" t="n">
        <v>46189</v>
      </c>
      <c r="F224" s="15" t="n">
        <v>46184</v>
      </c>
      <c r="G224" s="1" t="s">
        <v>325</v>
      </c>
      <c r="H224" s="1" t="n">
        <v>1261641</v>
      </c>
      <c r="I224" s="1" t="n">
        <v>1</v>
      </c>
      <c r="J224" s="1" t="s">
        <v>2975</v>
      </c>
      <c r="K224" s="67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2976</v>
      </c>
      <c r="D225" s="1" t="s">
        <v>3042</v>
      </c>
      <c r="E225" s="15" t="n">
        <v>46189</v>
      </c>
      <c r="F225" s="15" t="n">
        <v>46188</v>
      </c>
      <c r="G225" s="1" t="s">
        <v>551</v>
      </c>
      <c r="H225" s="1" t="n">
        <v>1262226</v>
      </c>
      <c r="I225" s="1" t="n">
        <v>1</v>
      </c>
      <c r="J225" s="1" t="s">
        <v>2975</v>
      </c>
      <c r="K225" s="67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2976</v>
      </c>
      <c r="D226" s="1" t="s">
        <v>2988</v>
      </c>
      <c r="E226" s="15" t="n">
        <v>46189</v>
      </c>
      <c r="F226" s="15" t="n">
        <v>46189</v>
      </c>
      <c r="G226" s="1" t="s">
        <v>70</v>
      </c>
      <c r="H226" s="1" t="n">
        <v>1262418</v>
      </c>
      <c r="I226" s="1" t="n">
        <v>2</v>
      </c>
      <c r="J226" s="1" t="s">
        <v>2975</v>
      </c>
      <c r="K226" s="67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2976</v>
      </c>
      <c r="D227" s="1" t="s">
        <v>2988</v>
      </c>
      <c r="E227" s="15" t="n">
        <v>46189</v>
      </c>
      <c r="F227" s="15" t="n">
        <v>46189</v>
      </c>
      <c r="G227" s="1" t="s">
        <v>70</v>
      </c>
      <c r="H227" s="1" t="n">
        <v>1260608</v>
      </c>
      <c r="I227" s="1" t="n">
        <v>6</v>
      </c>
      <c r="J227" s="1" t="s">
        <v>2975</v>
      </c>
      <c r="K227" s="67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2976</v>
      </c>
      <c r="D228" s="1" t="s">
        <v>2988</v>
      </c>
      <c r="E228" s="15" t="n">
        <v>46189</v>
      </c>
      <c r="F228" s="15" t="n">
        <v>46189</v>
      </c>
      <c r="G228" s="1" t="s">
        <v>70</v>
      </c>
      <c r="H228" s="1" t="n">
        <v>1261388</v>
      </c>
      <c r="I228" s="1" t="n">
        <v>6</v>
      </c>
      <c r="J228" s="1" t="s">
        <v>2975</v>
      </c>
      <c r="K228" s="67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2976</v>
      </c>
      <c r="D229" s="1" t="s">
        <v>2988</v>
      </c>
      <c r="E229" s="15" t="n">
        <v>46189</v>
      </c>
      <c r="F229" s="15" t="n">
        <v>46189</v>
      </c>
      <c r="G229" s="1" t="s">
        <v>70</v>
      </c>
      <c r="H229" s="1" t="n">
        <v>1261694</v>
      </c>
      <c r="I229" s="1" t="n">
        <v>6</v>
      </c>
      <c r="J229" s="1" t="s">
        <v>2975</v>
      </c>
      <c r="K229" s="67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2976</v>
      </c>
      <c r="D230" s="1" t="s">
        <v>2988</v>
      </c>
      <c r="E230" s="15" t="n">
        <v>46189</v>
      </c>
      <c r="F230" s="15" t="n">
        <v>46189</v>
      </c>
      <c r="G230" s="1" t="s">
        <v>70</v>
      </c>
      <c r="H230" s="1" t="n">
        <v>1262590</v>
      </c>
      <c r="I230" s="1" t="n">
        <v>6</v>
      </c>
      <c r="J230" s="1" t="s">
        <v>2975</v>
      </c>
      <c r="K230" s="67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2976</v>
      </c>
      <c r="D231" s="1" t="s">
        <v>2988</v>
      </c>
      <c r="E231" s="15" t="n">
        <v>46189</v>
      </c>
      <c r="F231" s="15" t="n">
        <v>46189</v>
      </c>
      <c r="G231" s="1" t="s">
        <v>70</v>
      </c>
      <c r="H231" s="1" t="n">
        <v>1260580</v>
      </c>
      <c r="I231" s="1" t="n">
        <v>2</v>
      </c>
      <c r="J231" s="1" t="s">
        <v>2975</v>
      </c>
      <c r="K231" s="67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2976</v>
      </c>
      <c r="D232" s="1" t="s">
        <v>2988</v>
      </c>
      <c r="E232" s="15" t="n">
        <v>46189</v>
      </c>
      <c r="F232" s="15" t="n">
        <v>46189</v>
      </c>
      <c r="G232" s="1" t="s">
        <v>70</v>
      </c>
      <c r="H232" s="1" t="n">
        <v>1261373</v>
      </c>
      <c r="I232" s="1" t="n">
        <v>2</v>
      </c>
      <c r="J232" s="1" t="s">
        <v>2975</v>
      </c>
      <c r="K232" s="67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2976</v>
      </c>
      <c r="D233" s="1" t="s">
        <v>2988</v>
      </c>
      <c r="E233" s="15" t="n">
        <v>46189</v>
      </c>
      <c r="F233" s="15" t="n">
        <v>46189</v>
      </c>
      <c r="G233" s="1" t="s">
        <v>70</v>
      </c>
      <c r="H233" s="1" t="n">
        <v>1261668</v>
      </c>
      <c r="I233" s="1" t="n">
        <v>2</v>
      </c>
      <c r="J233" s="1" t="s">
        <v>2975</v>
      </c>
      <c r="K233" s="67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2976</v>
      </c>
      <c r="D234" s="1" t="s">
        <v>3075</v>
      </c>
      <c r="E234" s="15" t="n">
        <v>46189</v>
      </c>
      <c r="F234" s="15" t="n">
        <v>46184</v>
      </c>
      <c r="G234" s="1" t="s">
        <v>204</v>
      </c>
      <c r="H234" s="1" t="n">
        <v>1261364</v>
      </c>
      <c r="I234" s="1" t="n">
        <v>1</v>
      </c>
      <c r="J234" s="1" t="s">
        <v>2975</v>
      </c>
      <c r="K234" s="67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2976</v>
      </c>
      <c r="D235" s="1" t="s">
        <v>3076</v>
      </c>
      <c r="E235" s="15" t="n">
        <v>46189</v>
      </c>
      <c r="F235" s="15" t="n">
        <v>46182</v>
      </c>
      <c r="G235" s="1" t="s">
        <v>340</v>
      </c>
      <c r="H235" s="1" t="n">
        <v>1260807</v>
      </c>
      <c r="I235" s="1" t="n">
        <v>1</v>
      </c>
      <c r="J235" s="1" t="s">
        <v>2975</v>
      </c>
      <c r="K235" s="67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2976</v>
      </c>
      <c r="D236" s="1" t="s">
        <v>3077</v>
      </c>
      <c r="E236" s="15" t="n">
        <v>46190</v>
      </c>
      <c r="F236" s="15" t="n">
        <v>46190</v>
      </c>
      <c r="G236" s="1" t="s">
        <v>825</v>
      </c>
      <c r="H236" s="1" t="n">
        <v>1266127</v>
      </c>
      <c r="I236" s="1" t="n">
        <v>1</v>
      </c>
      <c r="J236" s="1" t="s">
        <v>2975</v>
      </c>
      <c r="K236" s="67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2976</v>
      </c>
      <c r="D237" s="1" t="s">
        <v>3007</v>
      </c>
      <c r="E237" s="15" t="n">
        <v>46190</v>
      </c>
      <c r="F237" s="15" t="n">
        <v>46188</v>
      </c>
      <c r="G237" s="1" t="s">
        <v>159</v>
      </c>
      <c r="H237" s="1" t="n">
        <v>1266376</v>
      </c>
      <c r="I237" s="1" t="n">
        <v>1</v>
      </c>
      <c r="J237" s="1" t="s">
        <v>2975</v>
      </c>
      <c r="K237" s="67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2976</v>
      </c>
      <c r="D238" s="1" t="s">
        <v>3078</v>
      </c>
      <c r="E238" s="15" t="n">
        <v>46190</v>
      </c>
      <c r="F238" s="15" t="n">
        <v>46189</v>
      </c>
      <c r="G238" s="1" t="s">
        <v>134</v>
      </c>
      <c r="H238" s="1" t="n">
        <v>1265272</v>
      </c>
      <c r="I238" s="1" t="n">
        <v>1</v>
      </c>
      <c r="J238" s="1" t="s">
        <v>2975</v>
      </c>
      <c r="K238" s="67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2976</v>
      </c>
      <c r="D239" s="1" t="s">
        <v>3079</v>
      </c>
      <c r="E239" s="15" t="n">
        <v>46190</v>
      </c>
      <c r="F239" s="15" t="n">
        <v>46188</v>
      </c>
      <c r="G239" s="1" t="s">
        <v>517</v>
      </c>
      <c r="H239" s="1" t="n">
        <v>1265809</v>
      </c>
      <c r="I239" s="1" t="n">
        <v>1</v>
      </c>
      <c r="J239" s="1" t="s">
        <v>2975</v>
      </c>
      <c r="K239" s="67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2981</v>
      </c>
      <c r="D240" s="1" t="s">
        <v>2982</v>
      </c>
      <c r="E240" s="15" t="n">
        <v>46190</v>
      </c>
      <c r="F240" s="15" t="n">
        <v>46190</v>
      </c>
      <c r="G240" s="1" t="s">
        <v>591</v>
      </c>
      <c r="H240" s="1" t="n">
        <v>1309593</v>
      </c>
      <c r="I240" s="1" t="n">
        <v>1</v>
      </c>
      <c r="J240" s="1" t="s">
        <v>2975</v>
      </c>
      <c r="K240" s="67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2976</v>
      </c>
      <c r="D241" s="1" t="s">
        <v>3039</v>
      </c>
      <c r="E241" s="15" t="n">
        <v>46190</v>
      </c>
      <c r="F241" s="15" t="n">
        <v>46190</v>
      </c>
      <c r="G241" s="1" t="s">
        <v>191</v>
      </c>
      <c r="H241" s="1" t="n">
        <v>1265903</v>
      </c>
      <c r="I241" s="1" t="n">
        <v>1</v>
      </c>
      <c r="J241" s="1" t="s">
        <v>2975</v>
      </c>
      <c r="K241" s="67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2976</v>
      </c>
      <c r="D242" s="1" t="s">
        <v>3027</v>
      </c>
      <c r="E242" s="15" t="n">
        <v>46190</v>
      </c>
      <c r="F242" s="15" t="n">
        <v>46188</v>
      </c>
      <c r="G242" s="1" t="s">
        <v>371</v>
      </c>
      <c r="H242" s="1" t="n">
        <v>1264669</v>
      </c>
      <c r="I242" s="1" t="n">
        <v>1</v>
      </c>
      <c r="J242" s="1" t="s">
        <v>2975</v>
      </c>
      <c r="K242" s="67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2976</v>
      </c>
      <c r="D243" s="1" t="s">
        <v>3027</v>
      </c>
      <c r="E243" s="15" t="n">
        <v>46190</v>
      </c>
      <c r="F243" s="15" t="n">
        <v>46189</v>
      </c>
      <c r="G243" s="1" t="s">
        <v>371</v>
      </c>
      <c r="H243" s="1" t="n">
        <v>1265932</v>
      </c>
      <c r="I243" s="1" t="n">
        <v>1</v>
      </c>
      <c r="J243" s="1" t="s">
        <v>2975</v>
      </c>
      <c r="K243" s="67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2976</v>
      </c>
      <c r="D244" s="1" t="s">
        <v>3027</v>
      </c>
      <c r="E244" s="15" t="n">
        <v>46190</v>
      </c>
      <c r="F244" s="15" t="n">
        <v>46189</v>
      </c>
      <c r="G244" s="1" t="s">
        <v>371</v>
      </c>
      <c r="H244" s="1" t="n">
        <v>1265996</v>
      </c>
      <c r="I244" s="1" t="n">
        <v>1</v>
      </c>
      <c r="J244" s="1" t="s">
        <v>2975</v>
      </c>
      <c r="K244" s="67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2976</v>
      </c>
      <c r="D245" s="1" t="s">
        <v>3080</v>
      </c>
      <c r="E245" s="15" t="n">
        <v>46190</v>
      </c>
      <c r="F245" s="15" t="n">
        <v>46183</v>
      </c>
      <c r="G245" s="1" t="s">
        <v>1028</v>
      </c>
      <c r="H245" s="1" t="n">
        <v>1265083</v>
      </c>
      <c r="I245" s="1" t="n">
        <v>1</v>
      </c>
      <c r="J245" s="1" t="s">
        <v>2975</v>
      </c>
      <c r="K245" s="67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2976</v>
      </c>
      <c r="D246" s="1" t="s">
        <v>3081</v>
      </c>
      <c r="E246" s="15" t="n">
        <v>46190</v>
      </c>
      <c r="F246" s="15" t="n">
        <v>46183</v>
      </c>
      <c r="G246" s="1" t="s">
        <v>201</v>
      </c>
      <c r="H246" s="1" t="n">
        <v>1265196</v>
      </c>
      <c r="I246" s="1" t="n">
        <v>1</v>
      </c>
      <c r="J246" s="1" t="s">
        <v>2975</v>
      </c>
      <c r="K246" s="67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2976</v>
      </c>
      <c r="D247" s="1" t="s">
        <v>3002</v>
      </c>
      <c r="E247" s="15" t="n">
        <v>46190</v>
      </c>
      <c r="F247" s="15" t="n">
        <v>46188</v>
      </c>
      <c r="G247" s="1" t="s">
        <v>323</v>
      </c>
      <c r="H247" s="1" t="n">
        <v>1264922</v>
      </c>
      <c r="I247" s="1" t="n">
        <v>1</v>
      </c>
      <c r="J247" s="1" t="s">
        <v>2975</v>
      </c>
      <c r="K247" s="67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3016</v>
      </c>
      <c r="D248" s="1" t="s">
        <v>3017</v>
      </c>
      <c r="E248" s="15" t="n">
        <v>46190</v>
      </c>
      <c r="F248" s="15" t="n">
        <v>46188</v>
      </c>
      <c r="G248" s="1" t="s">
        <v>144</v>
      </c>
      <c r="H248" s="1" t="n">
        <v>1266149</v>
      </c>
      <c r="I248" s="1" t="n">
        <v>1</v>
      </c>
      <c r="J248" s="1" t="s">
        <v>2975</v>
      </c>
      <c r="K248" s="67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3016</v>
      </c>
      <c r="D249" s="1" t="s">
        <v>3017</v>
      </c>
      <c r="E249" s="15" t="n">
        <v>46190</v>
      </c>
      <c r="F249" s="15" t="n">
        <v>46188</v>
      </c>
      <c r="G249" s="1" t="s">
        <v>144</v>
      </c>
      <c r="H249" s="1" t="n">
        <v>1266142</v>
      </c>
      <c r="I249" s="1" t="n">
        <v>1</v>
      </c>
      <c r="J249" s="1" t="s">
        <v>2975</v>
      </c>
      <c r="K249" s="67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2978</v>
      </c>
      <c r="D250" s="1" t="s">
        <v>3019</v>
      </c>
      <c r="E250" s="15" t="n">
        <v>46190</v>
      </c>
      <c r="F250" s="15" t="n">
        <v>46189</v>
      </c>
      <c r="G250" s="1" t="s">
        <v>703</v>
      </c>
      <c r="H250" s="1" t="n">
        <v>1265754</v>
      </c>
      <c r="I250" s="1" t="n">
        <v>1</v>
      </c>
      <c r="J250" s="1" t="s">
        <v>2975</v>
      </c>
      <c r="K250" s="67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2973</v>
      </c>
      <c r="D251" s="1" t="s">
        <v>3003</v>
      </c>
      <c r="E251" s="15" t="n">
        <v>46190</v>
      </c>
      <c r="F251" s="15" t="n">
        <v>46185</v>
      </c>
      <c r="G251" s="1" t="s">
        <v>74</v>
      </c>
      <c r="H251" s="1" t="n">
        <v>1266173</v>
      </c>
      <c r="I251" s="1" t="n">
        <v>1</v>
      </c>
      <c r="J251" s="1" t="s">
        <v>2975</v>
      </c>
      <c r="K251" s="67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2973</v>
      </c>
      <c r="D252" s="1" t="s">
        <v>3003</v>
      </c>
      <c r="E252" s="15" t="n">
        <v>46190</v>
      </c>
      <c r="F252" s="15" t="n">
        <v>46188</v>
      </c>
      <c r="G252" s="1" t="s">
        <v>74</v>
      </c>
      <c r="H252" s="1" t="n">
        <v>1266346</v>
      </c>
      <c r="I252" s="1" t="n">
        <v>1</v>
      </c>
      <c r="J252" s="1" t="s">
        <v>2975</v>
      </c>
      <c r="K252" s="67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2973</v>
      </c>
      <c r="D253" s="1" t="s">
        <v>3003</v>
      </c>
      <c r="E253" s="15" t="n">
        <v>46190</v>
      </c>
      <c r="F253" s="15" t="n">
        <v>46188</v>
      </c>
      <c r="G253" s="1" t="s">
        <v>74</v>
      </c>
      <c r="H253" s="1" t="n">
        <v>1266166</v>
      </c>
      <c r="I253" s="1" t="n">
        <v>1</v>
      </c>
      <c r="J253" s="1" t="s">
        <v>2975</v>
      </c>
      <c r="K253" s="67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2978</v>
      </c>
      <c r="D254" s="1" t="s">
        <v>3004</v>
      </c>
      <c r="E254" s="15" t="n">
        <v>46190</v>
      </c>
      <c r="F254" s="15" t="n">
        <v>46189</v>
      </c>
      <c r="G254" s="1" t="s">
        <v>753</v>
      </c>
      <c r="H254" s="1" t="n">
        <v>1265872</v>
      </c>
      <c r="I254" s="1" t="n">
        <v>1</v>
      </c>
      <c r="J254" s="1" t="s">
        <v>2975</v>
      </c>
      <c r="K254" s="67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2976</v>
      </c>
      <c r="D255" s="1" t="s">
        <v>2988</v>
      </c>
      <c r="E255" s="15" t="n">
        <v>46190</v>
      </c>
      <c r="F255" s="15" t="n">
        <v>46190</v>
      </c>
      <c r="G255" s="1" t="s">
        <v>70</v>
      </c>
      <c r="H255" s="1" t="n">
        <v>1265444</v>
      </c>
      <c r="I255" s="1" t="n">
        <v>2</v>
      </c>
      <c r="J255" s="1" t="s">
        <v>2975</v>
      </c>
      <c r="K255" s="67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2976</v>
      </c>
      <c r="D256" s="1" t="s">
        <v>2988</v>
      </c>
      <c r="E256" s="15" t="n">
        <v>46190</v>
      </c>
      <c r="F256" s="15" t="n">
        <v>46190</v>
      </c>
      <c r="G256" s="1" t="s">
        <v>70</v>
      </c>
      <c r="H256" s="1" t="n">
        <v>1264998</v>
      </c>
      <c r="I256" s="1" t="n">
        <v>2</v>
      </c>
      <c r="J256" s="1" t="s">
        <v>2975</v>
      </c>
      <c r="K256" s="67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2976</v>
      </c>
      <c r="D257" s="1" t="s">
        <v>2988</v>
      </c>
      <c r="E257" s="15" t="n">
        <v>46190</v>
      </c>
      <c r="F257" s="15" t="n">
        <v>46190</v>
      </c>
      <c r="G257" s="1" t="s">
        <v>70</v>
      </c>
      <c r="H257" s="1" t="n">
        <v>1265181</v>
      </c>
      <c r="I257" s="1" t="n">
        <v>2</v>
      </c>
      <c r="J257" s="1" t="s">
        <v>2975</v>
      </c>
      <c r="K257" s="67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2976</v>
      </c>
      <c r="D258" s="1" t="s">
        <v>2988</v>
      </c>
      <c r="E258" s="15" t="n">
        <v>46190</v>
      </c>
      <c r="F258" s="15" t="n">
        <v>46190</v>
      </c>
      <c r="G258" s="1" t="s">
        <v>70</v>
      </c>
      <c r="H258" s="1" t="n">
        <v>1265292</v>
      </c>
      <c r="I258" s="1" t="n">
        <v>2</v>
      </c>
      <c r="J258" s="1" t="s">
        <v>2975</v>
      </c>
      <c r="K258" s="67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2976</v>
      </c>
      <c r="D259" s="1" t="s">
        <v>2988</v>
      </c>
      <c r="E259" s="15" t="n">
        <v>46190</v>
      </c>
      <c r="F259" s="15" t="n">
        <v>46190</v>
      </c>
      <c r="G259" s="1" t="s">
        <v>70</v>
      </c>
      <c r="H259" s="1" t="n">
        <v>1265334</v>
      </c>
      <c r="I259" s="1" t="n">
        <v>2</v>
      </c>
      <c r="J259" s="1" t="s">
        <v>2975</v>
      </c>
      <c r="K259" s="67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2976</v>
      </c>
      <c r="D260" s="1" t="s">
        <v>2988</v>
      </c>
      <c r="E260" s="15" t="n">
        <v>46190</v>
      </c>
      <c r="F260" s="15" t="n">
        <v>46190</v>
      </c>
      <c r="G260" s="1" t="s">
        <v>70</v>
      </c>
      <c r="H260" s="1" t="n">
        <v>1265379</v>
      </c>
      <c r="I260" s="1" t="n">
        <v>2</v>
      </c>
      <c r="J260" s="1" t="s">
        <v>2975</v>
      </c>
      <c r="K260" s="67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2976</v>
      </c>
      <c r="D261" s="1" t="s">
        <v>2988</v>
      </c>
      <c r="E261" s="15" t="n">
        <v>46190</v>
      </c>
      <c r="F261" s="15" t="n">
        <v>46190</v>
      </c>
      <c r="G261" s="1" t="s">
        <v>70</v>
      </c>
      <c r="H261" s="1" t="n">
        <v>1265759</v>
      </c>
      <c r="I261" s="1" t="n">
        <v>2</v>
      </c>
      <c r="J261" s="1" t="s">
        <v>2975</v>
      </c>
      <c r="K261" s="67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2976</v>
      </c>
      <c r="D262" s="1" t="s">
        <v>2988</v>
      </c>
      <c r="E262" s="15" t="n">
        <v>46190</v>
      </c>
      <c r="F262" s="15" t="n">
        <v>46190</v>
      </c>
      <c r="G262" s="1" t="s">
        <v>70</v>
      </c>
      <c r="H262" s="1" t="n">
        <v>1265003</v>
      </c>
      <c r="I262" s="1" t="n">
        <v>6</v>
      </c>
      <c r="J262" s="1" t="s">
        <v>2975</v>
      </c>
      <c r="K262" s="67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2976</v>
      </c>
      <c r="D263" s="1" t="s">
        <v>2988</v>
      </c>
      <c r="E263" s="15" t="n">
        <v>46190</v>
      </c>
      <c r="F263" s="15" t="n">
        <v>46190</v>
      </c>
      <c r="G263" s="1" t="s">
        <v>70</v>
      </c>
      <c r="H263" s="1" t="n">
        <v>1265184</v>
      </c>
      <c r="I263" s="1" t="n">
        <v>6</v>
      </c>
      <c r="J263" s="1" t="s">
        <v>2975</v>
      </c>
      <c r="K263" s="67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2976</v>
      </c>
      <c r="D264" s="1" t="s">
        <v>2988</v>
      </c>
      <c r="E264" s="15" t="n">
        <v>46190</v>
      </c>
      <c r="F264" s="15" t="n">
        <v>46190</v>
      </c>
      <c r="G264" s="1" t="s">
        <v>70</v>
      </c>
      <c r="H264" s="1" t="n">
        <v>1265303</v>
      </c>
      <c r="I264" s="1" t="n">
        <v>6</v>
      </c>
      <c r="J264" s="1" t="s">
        <v>2975</v>
      </c>
      <c r="K264" s="67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2976</v>
      </c>
      <c r="D265" s="1" t="s">
        <v>2988</v>
      </c>
      <c r="E265" s="15" t="n">
        <v>46190</v>
      </c>
      <c r="F265" s="15" t="n">
        <v>46190</v>
      </c>
      <c r="G265" s="1" t="s">
        <v>70</v>
      </c>
      <c r="H265" s="1" t="n">
        <v>1265341</v>
      </c>
      <c r="I265" s="1" t="n">
        <v>6</v>
      </c>
      <c r="J265" s="1" t="s">
        <v>2975</v>
      </c>
      <c r="K265" s="67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2976</v>
      </c>
      <c r="D266" s="1" t="s">
        <v>2988</v>
      </c>
      <c r="E266" s="15" t="n">
        <v>46190</v>
      </c>
      <c r="F266" s="15" t="n">
        <v>46190</v>
      </c>
      <c r="G266" s="1" t="s">
        <v>70</v>
      </c>
      <c r="H266" s="1" t="n">
        <v>1265382</v>
      </c>
      <c r="I266" s="1" t="n">
        <v>6</v>
      </c>
      <c r="J266" s="1" t="s">
        <v>2975</v>
      </c>
      <c r="K266" s="67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2976</v>
      </c>
      <c r="D267" s="1" t="s">
        <v>2988</v>
      </c>
      <c r="E267" s="15" t="n">
        <v>46190</v>
      </c>
      <c r="F267" s="15" t="n">
        <v>46190</v>
      </c>
      <c r="G267" s="1" t="s">
        <v>70</v>
      </c>
      <c r="H267" s="1" t="n">
        <v>1265457</v>
      </c>
      <c r="I267" s="1" t="n">
        <v>6</v>
      </c>
      <c r="J267" s="1" t="s">
        <v>2975</v>
      </c>
      <c r="K267" s="67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2976</v>
      </c>
      <c r="D268" s="1" t="s">
        <v>2988</v>
      </c>
      <c r="E268" s="15" t="n">
        <v>46190</v>
      </c>
      <c r="F268" s="15" t="n">
        <v>46190</v>
      </c>
      <c r="G268" s="1" t="s">
        <v>70</v>
      </c>
      <c r="H268" s="1" t="n">
        <v>1265764</v>
      </c>
      <c r="I268" s="1" t="n">
        <v>6</v>
      </c>
      <c r="J268" s="1" t="s">
        <v>2975</v>
      </c>
      <c r="K268" s="67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2976</v>
      </c>
      <c r="D269" s="1" t="s">
        <v>2988</v>
      </c>
      <c r="E269" s="15" t="n">
        <v>46190</v>
      </c>
      <c r="F269" s="15" t="n">
        <v>46190</v>
      </c>
      <c r="G269" s="1" t="s">
        <v>70</v>
      </c>
      <c r="H269" s="1" t="n">
        <v>1265892</v>
      </c>
      <c r="I269" s="1" t="n">
        <v>6</v>
      </c>
      <c r="J269" s="1" t="s">
        <v>2975</v>
      </c>
      <c r="K269" s="67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2976</v>
      </c>
      <c r="D270" s="1" t="s">
        <v>2988</v>
      </c>
      <c r="E270" s="15" t="n">
        <v>46190</v>
      </c>
      <c r="F270" s="15" t="n">
        <v>46190</v>
      </c>
      <c r="G270" s="1" t="s">
        <v>70</v>
      </c>
      <c r="H270" s="1" t="n">
        <v>1265890</v>
      </c>
      <c r="I270" s="1" t="n">
        <v>2</v>
      </c>
      <c r="J270" s="1" t="s">
        <v>2975</v>
      </c>
      <c r="K270" s="67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2978</v>
      </c>
      <c r="D271" s="1" t="s">
        <v>3082</v>
      </c>
      <c r="E271" s="15" t="n">
        <v>46190</v>
      </c>
      <c r="F271" s="15" t="n">
        <v>46185</v>
      </c>
      <c r="G271" s="1" t="s">
        <v>373</v>
      </c>
      <c r="H271" s="1" t="n">
        <v>1265535</v>
      </c>
      <c r="I271" s="1" t="n">
        <v>1</v>
      </c>
      <c r="J271" s="1" t="s">
        <v>2975</v>
      </c>
      <c r="K271" s="67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2978</v>
      </c>
      <c r="D272" s="1" t="s">
        <v>2991</v>
      </c>
      <c r="E272" s="15" t="n">
        <v>46190</v>
      </c>
      <c r="F272" s="15" t="n">
        <v>46190</v>
      </c>
      <c r="G272" s="1" t="s">
        <v>961</v>
      </c>
      <c r="H272" s="1" t="n">
        <v>1309173</v>
      </c>
      <c r="I272" s="1" t="n">
        <v>1</v>
      </c>
      <c r="J272" s="1" t="s">
        <v>2975</v>
      </c>
      <c r="K272" s="67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2976</v>
      </c>
      <c r="D273" s="1" t="s">
        <v>2993</v>
      </c>
      <c r="E273" s="15" t="n">
        <v>46191</v>
      </c>
      <c r="F273" s="15" t="n">
        <v>46190</v>
      </c>
      <c r="G273" s="1" t="s">
        <v>328</v>
      </c>
      <c r="H273" s="1" t="n">
        <v>1270154</v>
      </c>
      <c r="I273" s="1" t="n">
        <v>1</v>
      </c>
      <c r="J273" s="1" t="s">
        <v>2975</v>
      </c>
      <c r="K273" s="67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2976</v>
      </c>
      <c r="D274" s="1" t="s">
        <v>3007</v>
      </c>
      <c r="E274" s="15" t="n">
        <v>46191</v>
      </c>
      <c r="F274" s="15" t="n">
        <v>46184</v>
      </c>
      <c r="G274" s="1" t="s">
        <v>159</v>
      </c>
      <c r="H274" s="1" t="n">
        <v>1269474</v>
      </c>
      <c r="I274" s="1" t="n">
        <v>1</v>
      </c>
      <c r="J274" s="1" t="s">
        <v>2975</v>
      </c>
      <c r="K274" s="67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2976</v>
      </c>
      <c r="D275" s="1" t="s">
        <v>3055</v>
      </c>
      <c r="E275" s="15" t="n">
        <v>46191</v>
      </c>
      <c r="F275" s="15" t="n">
        <v>46189</v>
      </c>
      <c r="G275" s="1" t="s">
        <v>195</v>
      </c>
      <c r="H275" s="1" t="n">
        <v>1268785</v>
      </c>
      <c r="I275" s="1" t="n">
        <v>1</v>
      </c>
      <c r="J275" s="1" t="s">
        <v>2975</v>
      </c>
      <c r="K275" s="67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2976</v>
      </c>
      <c r="D276" s="1" t="s">
        <v>2997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2975</v>
      </c>
      <c r="K276" s="67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2976</v>
      </c>
      <c r="D277" s="1" t="s">
        <v>2997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2975</v>
      </c>
      <c r="K277" s="67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2976</v>
      </c>
      <c r="D278" s="1" t="s">
        <v>3064</v>
      </c>
      <c r="E278" s="15" t="n">
        <v>46191</v>
      </c>
      <c r="F278" s="15" t="n">
        <v>46189</v>
      </c>
      <c r="G278" s="1" t="s">
        <v>68</v>
      </c>
      <c r="H278" s="1" t="n">
        <v>1269420</v>
      </c>
      <c r="I278" s="1" t="n">
        <v>1</v>
      </c>
      <c r="J278" s="1" t="s">
        <v>2975</v>
      </c>
      <c r="K278" s="67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2976</v>
      </c>
      <c r="D279" s="1" t="s">
        <v>3064</v>
      </c>
      <c r="E279" s="15" t="n">
        <v>46191</v>
      </c>
      <c r="F279" s="15" t="n">
        <v>46189</v>
      </c>
      <c r="G279" s="1" t="s">
        <v>68</v>
      </c>
      <c r="H279" s="1" t="n">
        <v>1269778</v>
      </c>
      <c r="I279" s="1" t="n">
        <v>1</v>
      </c>
      <c r="J279" s="1" t="s">
        <v>2975</v>
      </c>
      <c r="K279" s="67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2976</v>
      </c>
      <c r="D280" s="1" t="s">
        <v>3064</v>
      </c>
      <c r="E280" s="15" t="n">
        <v>46191</v>
      </c>
      <c r="F280" s="15" t="n">
        <v>46189</v>
      </c>
      <c r="G280" s="1" t="s">
        <v>68</v>
      </c>
      <c r="H280" s="1" t="n">
        <v>1269369</v>
      </c>
      <c r="I280" s="1" t="n">
        <v>1</v>
      </c>
      <c r="J280" s="1" t="s">
        <v>2975</v>
      </c>
      <c r="K280" s="67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2976</v>
      </c>
      <c r="D281" s="1" t="s">
        <v>3040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2975</v>
      </c>
      <c r="K281" s="67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2973</v>
      </c>
      <c r="D282" s="1" t="s">
        <v>2999</v>
      </c>
      <c r="E282" s="15" t="n">
        <v>46191</v>
      </c>
      <c r="F282" s="15" t="n">
        <v>46188</v>
      </c>
      <c r="G282" s="1" t="s">
        <v>76</v>
      </c>
      <c r="H282" s="1" t="n">
        <v>1269936</v>
      </c>
      <c r="I282" s="1" t="n">
        <v>1</v>
      </c>
      <c r="J282" s="1" t="s">
        <v>2975</v>
      </c>
      <c r="K282" s="67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2976</v>
      </c>
      <c r="D283" s="1" t="s">
        <v>3083</v>
      </c>
      <c r="E283" s="15" t="n">
        <v>46191</v>
      </c>
      <c r="F283" s="15" t="n">
        <v>46188</v>
      </c>
      <c r="G283" s="1" t="s">
        <v>770</v>
      </c>
      <c r="H283" s="1" t="n">
        <v>1269922</v>
      </c>
      <c r="I283" s="1" t="n">
        <v>1</v>
      </c>
      <c r="J283" s="1" t="s">
        <v>2975</v>
      </c>
      <c r="K283" s="67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2976</v>
      </c>
      <c r="D284" s="1" t="s">
        <v>3000</v>
      </c>
      <c r="E284" s="15" t="n">
        <v>46191</v>
      </c>
      <c r="F284" s="15" t="n">
        <v>46190</v>
      </c>
      <c r="G284" s="1" t="s">
        <v>155</v>
      </c>
      <c r="H284" s="1" t="n">
        <v>1269857</v>
      </c>
      <c r="I284" s="1" t="n">
        <v>1</v>
      </c>
      <c r="J284" s="1" t="s">
        <v>2975</v>
      </c>
      <c r="K284" s="67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2976</v>
      </c>
      <c r="D285" s="1" t="s">
        <v>3065</v>
      </c>
      <c r="E285" s="15" t="n">
        <v>46191</v>
      </c>
      <c r="F285" s="15" t="n">
        <v>46189</v>
      </c>
      <c r="G285" s="1" t="s">
        <v>3066</v>
      </c>
      <c r="H285" s="1" t="n">
        <v>1270189</v>
      </c>
      <c r="I285" s="1" t="n">
        <v>1</v>
      </c>
      <c r="J285" s="1" t="s">
        <v>2975</v>
      </c>
      <c r="K285" s="67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2976</v>
      </c>
      <c r="D286" s="1" t="s">
        <v>3081</v>
      </c>
      <c r="E286" s="15" t="n">
        <v>46191</v>
      </c>
      <c r="F286" s="15" t="n">
        <v>46182</v>
      </c>
      <c r="G286" s="1" t="s">
        <v>201</v>
      </c>
      <c r="H286" s="1" t="n">
        <v>1269942</v>
      </c>
      <c r="I286" s="1" t="n">
        <v>1</v>
      </c>
      <c r="J286" s="1" t="s">
        <v>2975</v>
      </c>
      <c r="K286" s="67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2976</v>
      </c>
      <c r="D287" s="1" t="s">
        <v>3081</v>
      </c>
      <c r="E287" s="15" t="n">
        <v>46191</v>
      </c>
      <c r="F287" s="15" t="n">
        <v>46182</v>
      </c>
      <c r="G287" s="1" t="s">
        <v>201</v>
      </c>
      <c r="H287" s="1" t="n">
        <v>1269964</v>
      </c>
      <c r="I287" s="1" t="n">
        <v>1</v>
      </c>
      <c r="J287" s="1" t="s">
        <v>2975</v>
      </c>
      <c r="K287" s="67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2976</v>
      </c>
      <c r="D288" s="1" t="s">
        <v>3081</v>
      </c>
      <c r="E288" s="15" t="n">
        <v>46191</v>
      </c>
      <c r="F288" s="15" t="n">
        <v>46182</v>
      </c>
      <c r="G288" s="1" t="s">
        <v>201</v>
      </c>
      <c r="H288" s="1" t="n">
        <v>1269997</v>
      </c>
      <c r="I288" s="1" t="n">
        <v>1</v>
      </c>
      <c r="J288" s="1" t="s">
        <v>2975</v>
      </c>
      <c r="K288" s="67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2976</v>
      </c>
      <c r="D289" s="1" t="s">
        <v>3020</v>
      </c>
      <c r="E289" s="15" t="n">
        <v>46191</v>
      </c>
      <c r="F289" s="15" t="n">
        <v>46188</v>
      </c>
      <c r="G289" s="1" t="s">
        <v>78</v>
      </c>
      <c r="H289" s="1" t="n">
        <v>1269931</v>
      </c>
      <c r="I289" s="1" t="n">
        <v>1</v>
      </c>
      <c r="J289" s="1" t="s">
        <v>2975</v>
      </c>
      <c r="K289" s="67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2976</v>
      </c>
      <c r="D290" s="1" t="s">
        <v>2990</v>
      </c>
      <c r="E290" s="15" t="n">
        <v>46191</v>
      </c>
      <c r="F290" s="15" t="n">
        <v>46188</v>
      </c>
      <c r="G290" s="1" t="s">
        <v>405</v>
      </c>
      <c r="H290" s="1" t="n">
        <v>1269918</v>
      </c>
      <c r="I290" s="1" t="n">
        <v>3</v>
      </c>
      <c r="J290" s="1" t="s">
        <v>2975</v>
      </c>
      <c r="K290" s="67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2973</v>
      </c>
      <c r="D291" s="1" t="s">
        <v>3010</v>
      </c>
      <c r="E291" s="15" t="n">
        <v>46191</v>
      </c>
      <c r="F291" s="15" t="n">
        <v>46188</v>
      </c>
      <c r="G291" s="1" t="s">
        <v>319</v>
      </c>
      <c r="H291" s="1" t="n">
        <v>1269852</v>
      </c>
      <c r="I291" s="1" t="n">
        <v>1</v>
      </c>
      <c r="J291" s="1" t="s">
        <v>2975</v>
      </c>
      <c r="K291" s="67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2976</v>
      </c>
      <c r="D292" s="1" t="s">
        <v>3005</v>
      </c>
      <c r="E292" s="15" t="n">
        <v>46192</v>
      </c>
      <c r="F292" s="15" t="n">
        <v>46192</v>
      </c>
      <c r="G292" s="1" t="s">
        <v>3006</v>
      </c>
      <c r="H292" s="1" t="n">
        <v>1309128</v>
      </c>
      <c r="I292" s="1" t="n">
        <v>1</v>
      </c>
      <c r="J292" s="1" t="s">
        <v>2975</v>
      </c>
      <c r="K292" s="67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3035</v>
      </c>
      <c r="D293" s="1" t="s">
        <v>3036</v>
      </c>
      <c r="E293" s="15" t="n">
        <v>46192</v>
      </c>
      <c r="F293" s="15" t="n">
        <v>46190</v>
      </c>
      <c r="G293" s="1" t="s">
        <v>148</v>
      </c>
      <c r="H293" s="1" t="n">
        <v>1272899</v>
      </c>
      <c r="I293" s="1" t="n">
        <v>1</v>
      </c>
      <c r="J293" s="1" t="s">
        <v>2975</v>
      </c>
      <c r="K293" s="67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3016</v>
      </c>
      <c r="D294" s="1" t="s">
        <v>3036</v>
      </c>
      <c r="E294" s="15" t="n">
        <v>46192</v>
      </c>
      <c r="F294" s="15" t="n">
        <v>46184</v>
      </c>
      <c r="G294" s="1" t="s">
        <v>148</v>
      </c>
      <c r="H294" s="1" t="n">
        <v>1272650</v>
      </c>
      <c r="I294" s="1" t="n">
        <v>1</v>
      </c>
      <c r="J294" s="1" t="s">
        <v>2975</v>
      </c>
      <c r="K294" s="67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2976</v>
      </c>
      <c r="D295" s="1" t="s">
        <v>3074</v>
      </c>
      <c r="E295" s="15" t="n">
        <v>46192</v>
      </c>
      <c r="F295" s="15" t="n">
        <v>46189</v>
      </c>
      <c r="G295" s="1" t="s">
        <v>208</v>
      </c>
      <c r="H295" s="1" t="n">
        <v>1272759</v>
      </c>
      <c r="I295" s="1" t="n">
        <v>1</v>
      </c>
      <c r="J295" s="1" t="s">
        <v>2975</v>
      </c>
      <c r="K295" s="67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2973</v>
      </c>
      <c r="D296" s="1" t="s">
        <v>2994</v>
      </c>
      <c r="E296" s="15" t="n">
        <v>46192</v>
      </c>
      <c r="F296" s="15" t="n">
        <v>46192</v>
      </c>
      <c r="G296" s="1" t="s">
        <v>66</v>
      </c>
      <c r="H296" s="1" t="n">
        <v>1274116</v>
      </c>
      <c r="I296" s="1" t="n">
        <v>1</v>
      </c>
      <c r="J296" s="1" t="s">
        <v>2975</v>
      </c>
      <c r="K296" s="67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2976</v>
      </c>
      <c r="D297" s="1" t="s">
        <v>2996</v>
      </c>
      <c r="E297" s="15" t="n">
        <v>46192</v>
      </c>
      <c r="F297" s="15" t="n">
        <v>46192</v>
      </c>
      <c r="G297" s="1" t="s">
        <v>221</v>
      </c>
      <c r="H297" s="1" t="n">
        <v>1274036</v>
      </c>
      <c r="I297" s="1" t="n">
        <v>1</v>
      </c>
      <c r="J297" s="1" t="s">
        <v>2975</v>
      </c>
      <c r="K297" s="67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3024</v>
      </c>
      <c r="D298" s="1" t="s">
        <v>3025</v>
      </c>
      <c r="E298" s="15" t="n">
        <v>46192</v>
      </c>
      <c r="F298" s="15" t="n">
        <v>46190</v>
      </c>
      <c r="G298" s="1" t="s">
        <v>311</v>
      </c>
      <c r="H298" s="1" t="n">
        <v>1273522</v>
      </c>
      <c r="I298" s="1" t="n">
        <v>1</v>
      </c>
      <c r="J298" s="1" t="s">
        <v>2975</v>
      </c>
      <c r="K298" s="67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2976</v>
      </c>
      <c r="D299" s="1" t="s">
        <v>2983</v>
      </c>
      <c r="E299" s="15" t="n">
        <v>46192</v>
      </c>
      <c r="F299" s="15" t="n">
        <v>46191</v>
      </c>
      <c r="G299" s="1" t="s">
        <v>540</v>
      </c>
      <c r="H299" s="1" t="n">
        <v>1273218</v>
      </c>
      <c r="I299" s="1" t="n">
        <v>1</v>
      </c>
      <c r="J299" s="1" t="s">
        <v>2975</v>
      </c>
      <c r="K299" s="67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3022</v>
      </c>
      <c r="D300" s="1" t="s">
        <v>3041</v>
      </c>
      <c r="E300" s="15" t="n">
        <v>46192</v>
      </c>
      <c r="F300" s="15" t="n">
        <v>46184</v>
      </c>
      <c r="G300" s="1" t="s">
        <v>132</v>
      </c>
      <c r="H300" s="1" t="n">
        <v>1272947</v>
      </c>
      <c r="I300" s="1" t="n">
        <v>1</v>
      </c>
      <c r="J300" s="1" t="s">
        <v>2975</v>
      </c>
      <c r="K300" s="67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3022</v>
      </c>
      <c r="D301" s="1" t="s">
        <v>3041</v>
      </c>
      <c r="E301" s="15" t="n">
        <v>46192</v>
      </c>
      <c r="F301" s="15" t="n">
        <v>46185</v>
      </c>
      <c r="G301" s="1" t="s">
        <v>132</v>
      </c>
      <c r="H301" s="1" t="n">
        <v>1273631</v>
      </c>
      <c r="I301" s="1" t="n">
        <v>1</v>
      </c>
      <c r="J301" s="1" t="s">
        <v>2975</v>
      </c>
      <c r="K301" s="67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3022</v>
      </c>
      <c r="D302" s="1" t="s">
        <v>3041</v>
      </c>
      <c r="E302" s="15" t="n">
        <v>46192</v>
      </c>
      <c r="F302" s="15" t="n">
        <v>46186</v>
      </c>
      <c r="G302" s="1" t="s">
        <v>132</v>
      </c>
      <c r="H302" s="1" t="n">
        <v>1273051</v>
      </c>
      <c r="I302" s="1" t="n">
        <v>1</v>
      </c>
      <c r="J302" s="1" t="s">
        <v>2975</v>
      </c>
      <c r="K302" s="67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2973</v>
      </c>
      <c r="D303" s="1" t="s">
        <v>2984</v>
      </c>
      <c r="E303" s="15" t="n">
        <v>46192</v>
      </c>
      <c r="F303" s="15" t="n">
        <v>46192</v>
      </c>
      <c r="G303" s="1" t="s">
        <v>97</v>
      </c>
      <c r="H303" s="1" t="n">
        <v>1309020</v>
      </c>
      <c r="I303" s="1" t="n">
        <v>1</v>
      </c>
      <c r="J303" s="1" t="s">
        <v>2975</v>
      </c>
      <c r="K303" s="67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2976</v>
      </c>
      <c r="D304" s="1" t="s">
        <v>3084</v>
      </c>
      <c r="E304" s="15" t="n">
        <v>46192</v>
      </c>
      <c r="F304" s="15" t="n">
        <v>46189</v>
      </c>
      <c r="G304" s="1" t="s">
        <v>240</v>
      </c>
      <c r="H304" s="1" t="n">
        <v>1272612</v>
      </c>
      <c r="I304" s="1" t="n">
        <v>1</v>
      </c>
      <c r="J304" s="1" t="s">
        <v>2975</v>
      </c>
      <c r="K304" s="67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2976</v>
      </c>
      <c r="D305" s="1" t="s">
        <v>3085</v>
      </c>
      <c r="E305" s="15" t="n">
        <v>46192</v>
      </c>
      <c r="F305" s="15" t="n">
        <v>46189</v>
      </c>
      <c r="G305" s="1" t="s">
        <v>217</v>
      </c>
      <c r="H305" s="1" t="n">
        <v>1272440</v>
      </c>
      <c r="I305" s="1" t="n">
        <v>1</v>
      </c>
      <c r="J305" s="1" t="s">
        <v>2975</v>
      </c>
      <c r="K305" s="67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2976</v>
      </c>
      <c r="D306" s="1" t="s">
        <v>2986</v>
      </c>
      <c r="E306" s="15" t="n">
        <v>46192</v>
      </c>
      <c r="F306" s="15" t="n">
        <v>46191</v>
      </c>
      <c r="G306" s="1" t="s">
        <v>211</v>
      </c>
      <c r="H306" s="1" t="n">
        <v>1274336</v>
      </c>
      <c r="I306" s="1" t="n">
        <v>1</v>
      </c>
      <c r="J306" s="1" t="s">
        <v>2975</v>
      </c>
      <c r="K306" s="67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2976</v>
      </c>
      <c r="D307" s="1" t="s">
        <v>2986</v>
      </c>
      <c r="E307" s="15" t="n">
        <v>46192</v>
      </c>
      <c r="F307" s="15" t="n">
        <v>46192</v>
      </c>
      <c r="G307" s="1" t="s">
        <v>211</v>
      </c>
      <c r="H307" s="1" t="n">
        <v>1274505</v>
      </c>
      <c r="I307" s="1" t="n">
        <v>1</v>
      </c>
      <c r="J307" s="1" t="s">
        <v>2975</v>
      </c>
      <c r="K307" s="67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3067</v>
      </c>
      <c r="D308" s="1" t="s">
        <v>3068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2975</v>
      </c>
      <c r="K308" s="67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3067</v>
      </c>
      <c r="D309" s="1" t="s">
        <v>3068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2975</v>
      </c>
      <c r="K309" s="67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2973</v>
      </c>
      <c r="D310" s="1" t="s">
        <v>3003</v>
      </c>
      <c r="E310" s="15" t="n">
        <v>46192</v>
      </c>
      <c r="F310" s="15" t="n">
        <v>46189</v>
      </c>
      <c r="G310" s="1" t="s">
        <v>74</v>
      </c>
      <c r="H310" s="1" t="n">
        <v>1272620</v>
      </c>
      <c r="I310" s="1" t="n">
        <v>1</v>
      </c>
      <c r="J310" s="1" t="s">
        <v>2975</v>
      </c>
      <c r="K310" s="67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2976</v>
      </c>
      <c r="D311" s="1" t="s">
        <v>2988</v>
      </c>
      <c r="E311" s="15" t="n">
        <v>46192</v>
      </c>
      <c r="F311" s="15" t="n">
        <v>46192</v>
      </c>
      <c r="G311" s="1" t="s">
        <v>70</v>
      </c>
      <c r="H311" s="1" t="n">
        <v>1273963</v>
      </c>
      <c r="I311" s="1" t="n">
        <v>2</v>
      </c>
      <c r="J311" s="1" t="s">
        <v>2975</v>
      </c>
      <c r="K311" s="67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2976</v>
      </c>
      <c r="D312" s="1" t="s">
        <v>2988</v>
      </c>
      <c r="E312" s="15" t="n">
        <v>46192</v>
      </c>
      <c r="F312" s="15" t="n">
        <v>46192</v>
      </c>
      <c r="G312" s="1" t="s">
        <v>70</v>
      </c>
      <c r="H312" s="1" t="n">
        <v>1273809</v>
      </c>
      <c r="I312" s="1" t="n">
        <v>2</v>
      </c>
      <c r="J312" s="1" t="s">
        <v>2975</v>
      </c>
      <c r="K312" s="67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2976</v>
      </c>
      <c r="D313" s="1" t="s">
        <v>2988</v>
      </c>
      <c r="E313" s="15" t="n">
        <v>46192</v>
      </c>
      <c r="F313" s="15" t="n">
        <v>46192</v>
      </c>
      <c r="G313" s="1" t="s">
        <v>70</v>
      </c>
      <c r="H313" s="1" t="n">
        <v>1273837</v>
      </c>
      <c r="I313" s="1" t="n">
        <v>6</v>
      </c>
      <c r="J313" s="1" t="s">
        <v>2975</v>
      </c>
      <c r="K313" s="67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2976</v>
      </c>
      <c r="D314" s="1" t="s">
        <v>2988</v>
      </c>
      <c r="E314" s="15" t="n">
        <v>46192</v>
      </c>
      <c r="F314" s="15" t="n">
        <v>46192</v>
      </c>
      <c r="G314" s="1" t="s">
        <v>70</v>
      </c>
      <c r="H314" s="1" t="n">
        <v>1273979</v>
      </c>
      <c r="I314" s="1" t="n">
        <v>6</v>
      </c>
      <c r="J314" s="1" t="s">
        <v>2975</v>
      </c>
      <c r="K314" s="67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2976</v>
      </c>
      <c r="D315" s="1" t="s">
        <v>3086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2975</v>
      </c>
      <c r="K315" s="67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2976</v>
      </c>
      <c r="D316" s="1" t="s">
        <v>3028</v>
      </c>
      <c r="E316" s="15" t="n">
        <v>46192</v>
      </c>
      <c r="F316" s="15" t="n">
        <v>46189</v>
      </c>
      <c r="G316" s="1" t="s">
        <v>321</v>
      </c>
      <c r="H316" s="1" t="n">
        <v>1272643</v>
      </c>
      <c r="I316" s="1" t="n">
        <v>1</v>
      </c>
      <c r="J316" s="1" t="s">
        <v>2975</v>
      </c>
      <c r="K316" s="67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2976</v>
      </c>
      <c r="D317" s="1" t="s">
        <v>3087</v>
      </c>
      <c r="E317" s="15" t="n">
        <v>46193</v>
      </c>
      <c r="F317" s="15" t="n">
        <v>46188</v>
      </c>
      <c r="G317" s="1" t="s">
        <v>745</v>
      </c>
      <c r="H317" s="1" t="n">
        <v>1279942</v>
      </c>
      <c r="I317" s="1" t="n">
        <v>1</v>
      </c>
      <c r="J317" s="1" t="s">
        <v>2975</v>
      </c>
      <c r="K317" s="67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2976</v>
      </c>
      <c r="D318" s="1" t="s">
        <v>2992</v>
      </c>
      <c r="E318" s="15" t="n">
        <v>46193</v>
      </c>
      <c r="F318" s="15" t="n">
        <v>46192</v>
      </c>
      <c r="G318" s="1" t="s">
        <v>161</v>
      </c>
      <c r="H318" s="1" t="n">
        <v>1279904</v>
      </c>
      <c r="I318" s="1" t="n">
        <v>1</v>
      </c>
      <c r="J318" s="1" t="s">
        <v>2975</v>
      </c>
      <c r="K318" s="67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2976</v>
      </c>
      <c r="D319" s="1" t="s">
        <v>3078</v>
      </c>
      <c r="E319" s="15" t="n">
        <v>46193</v>
      </c>
      <c r="F319" s="15" t="n">
        <v>46190</v>
      </c>
      <c r="G319" s="1" t="s">
        <v>134</v>
      </c>
      <c r="H319" s="1" t="n">
        <v>1280728</v>
      </c>
      <c r="I319" s="1" t="n">
        <v>1</v>
      </c>
      <c r="J319" s="1" t="s">
        <v>2975</v>
      </c>
      <c r="K319" s="67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2976</v>
      </c>
      <c r="D320" s="1" t="s">
        <v>2997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2975</v>
      </c>
      <c r="K320" s="67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2976</v>
      </c>
      <c r="D321" s="1" t="s">
        <v>3064</v>
      </c>
      <c r="E321" s="15" t="n">
        <v>46193</v>
      </c>
      <c r="F321" s="15" t="n">
        <v>46190</v>
      </c>
      <c r="G321" s="1" t="s">
        <v>68</v>
      </c>
      <c r="H321" s="1" t="n">
        <v>1280604</v>
      </c>
      <c r="I321" s="1" t="n">
        <v>1</v>
      </c>
      <c r="J321" s="1" t="s">
        <v>2975</v>
      </c>
      <c r="K321" s="67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2976</v>
      </c>
      <c r="D322" s="1" t="s">
        <v>3064</v>
      </c>
      <c r="E322" s="15" t="n">
        <v>46193</v>
      </c>
      <c r="F322" s="15" t="n">
        <v>46190</v>
      </c>
      <c r="G322" s="1" t="s">
        <v>68</v>
      </c>
      <c r="H322" s="1" t="n">
        <v>1280589</v>
      </c>
      <c r="I322" s="1" t="n">
        <v>1</v>
      </c>
      <c r="J322" s="1" t="s">
        <v>2975</v>
      </c>
      <c r="K322" s="67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2976</v>
      </c>
      <c r="D323" s="1" t="s">
        <v>3088</v>
      </c>
      <c r="E323" s="15" t="n">
        <v>46193</v>
      </c>
      <c r="F323" s="15" t="n">
        <v>46190</v>
      </c>
      <c r="G323" s="1" t="s">
        <v>1059</v>
      </c>
      <c r="H323" s="1" t="n">
        <v>1279554</v>
      </c>
      <c r="I323" s="1" t="n">
        <v>1</v>
      </c>
      <c r="J323" s="1" t="s">
        <v>2975</v>
      </c>
      <c r="K323" s="67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2976</v>
      </c>
      <c r="D324" s="1" t="s">
        <v>3089</v>
      </c>
      <c r="E324" s="15" t="n">
        <v>46193</v>
      </c>
      <c r="F324" s="15" t="n">
        <v>46190</v>
      </c>
      <c r="G324" s="1" t="s">
        <v>1062</v>
      </c>
      <c r="H324" s="1" t="n">
        <v>1280916</v>
      </c>
      <c r="I324" s="1" t="n">
        <v>1</v>
      </c>
      <c r="J324" s="1" t="s">
        <v>2975</v>
      </c>
      <c r="K324" s="67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3022</v>
      </c>
      <c r="D325" s="1" t="s">
        <v>3090</v>
      </c>
      <c r="E325" s="15" t="n">
        <v>46193</v>
      </c>
      <c r="F325" s="15" t="n">
        <v>46190</v>
      </c>
      <c r="G325" s="1" t="s">
        <v>535</v>
      </c>
      <c r="H325" s="1" t="n">
        <v>1279613</v>
      </c>
      <c r="I325" s="1" t="n">
        <v>69</v>
      </c>
      <c r="J325" s="1" t="s">
        <v>2975</v>
      </c>
      <c r="K325" s="67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2976</v>
      </c>
      <c r="D326" s="1" t="s">
        <v>3026</v>
      </c>
      <c r="E326" s="15" t="n">
        <v>46193</v>
      </c>
      <c r="F326" s="15" t="n">
        <v>46192</v>
      </c>
      <c r="G326" s="1" t="s">
        <v>309</v>
      </c>
      <c r="H326" s="1" t="n">
        <v>1280685</v>
      </c>
      <c r="I326" s="1" t="n">
        <v>1</v>
      </c>
      <c r="J326" s="1" t="s">
        <v>2975</v>
      </c>
      <c r="K326" s="67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2976</v>
      </c>
      <c r="D327" s="1" t="s">
        <v>3000</v>
      </c>
      <c r="E327" s="15" t="n">
        <v>46193</v>
      </c>
      <c r="F327" s="15" t="n">
        <v>46192</v>
      </c>
      <c r="G327" s="1" t="s">
        <v>155</v>
      </c>
      <c r="H327" s="1" t="n">
        <v>1279751</v>
      </c>
      <c r="I327" s="1" t="n">
        <v>1</v>
      </c>
      <c r="J327" s="1" t="s">
        <v>2975</v>
      </c>
      <c r="K327" s="67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2976</v>
      </c>
      <c r="D328" s="1" t="s">
        <v>3018</v>
      </c>
      <c r="E328" s="15" t="n">
        <v>46193</v>
      </c>
      <c r="F328" s="15" t="n">
        <v>46191</v>
      </c>
      <c r="G328" s="1" t="s">
        <v>258</v>
      </c>
      <c r="H328" s="1" t="n">
        <v>1278879</v>
      </c>
      <c r="I328" s="1" t="n">
        <v>1</v>
      </c>
      <c r="J328" s="1" t="s">
        <v>2975</v>
      </c>
      <c r="K328" s="67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2973</v>
      </c>
      <c r="D329" s="1" t="s">
        <v>3003</v>
      </c>
      <c r="E329" s="15" t="n">
        <v>46193</v>
      </c>
      <c r="F329" s="15" t="n">
        <v>46190</v>
      </c>
      <c r="G329" s="1" t="s">
        <v>74</v>
      </c>
      <c r="H329" s="1" t="n">
        <v>1279917</v>
      </c>
      <c r="I329" s="1" t="n">
        <v>1</v>
      </c>
      <c r="J329" s="1" t="s">
        <v>2975</v>
      </c>
      <c r="K329" s="67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2976</v>
      </c>
      <c r="D330" s="1" t="s">
        <v>3076</v>
      </c>
      <c r="E330" s="15" t="n">
        <v>46193</v>
      </c>
      <c r="F330" s="15" t="n">
        <v>46189</v>
      </c>
      <c r="G330" s="1" t="s">
        <v>340</v>
      </c>
      <c r="H330" s="1" t="n">
        <v>1279710</v>
      </c>
      <c r="I330" s="1" t="n">
        <v>1</v>
      </c>
      <c r="J330" s="1" t="s">
        <v>2975</v>
      </c>
      <c r="K330" s="67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2976</v>
      </c>
      <c r="D331" s="1" t="s">
        <v>3091</v>
      </c>
      <c r="E331" s="15" t="n">
        <v>46195</v>
      </c>
      <c r="F331" s="15" t="n">
        <v>46195</v>
      </c>
      <c r="G331" s="1" t="s">
        <v>787</v>
      </c>
      <c r="H331" s="1" t="n">
        <v>1309532</v>
      </c>
      <c r="I331" s="1" t="n">
        <v>1</v>
      </c>
      <c r="J331" s="1" t="s">
        <v>2975</v>
      </c>
      <c r="K331" s="67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2976</v>
      </c>
      <c r="D332" s="1" t="s">
        <v>3091</v>
      </c>
      <c r="E332" s="15" t="n">
        <v>46195</v>
      </c>
      <c r="F332" s="15" t="n">
        <v>46195</v>
      </c>
      <c r="G332" s="1" t="s">
        <v>787</v>
      </c>
      <c r="H332" s="1" t="n">
        <v>1309449</v>
      </c>
      <c r="I332" s="1" t="n">
        <v>1</v>
      </c>
      <c r="J332" s="1" t="s">
        <v>2975</v>
      </c>
      <c r="K332" s="67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2976</v>
      </c>
      <c r="D333" s="1" t="s">
        <v>3091</v>
      </c>
      <c r="E333" s="15" t="n">
        <v>46195</v>
      </c>
      <c r="F333" s="15" t="n">
        <v>46195</v>
      </c>
      <c r="G333" s="1" t="s">
        <v>787</v>
      </c>
      <c r="H333" s="1" t="n">
        <v>1309398</v>
      </c>
      <c r="I333" s="1" t="n">
        <v>1</v>
      </c>
      <c r="J333" s="1" t="s">
        <v>2975</v>
      </c>
      <c r="K333" s="67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2976</v>
      </c>
      <c r="D334" s="1" t="s">
        <v>3091</v>
      </c>
      <c r="E334" s="15" t="n">
        <v>46195</v>
      </c>
      <c r="F334" s="15" t="n">
        <v>46195</v>
      </c>
      <c r="G334" s="1" t="s">
        <v>787</v>
      </c>
      <c r="H334" s="1" t="n">
        <v>1309360</v>
      </c>
      <c r="I334" s="1" t="n">
        <v>1</v>
      </c>
      <c r="J334" s="1" t="s">
        <v>2975</v>
      </c>
      <c r="K334" s="67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2976</v>
      </c>
      <c r="D335" s="1" t="s">
        <v>3021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2975</v>
      </c>
      <c r="K335" s="67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2976</v>
      </c>
      <c r="D336" s="1" t="s">
        <v>3033</v>
      </c>
      <c r="E336" s="15" t="n">
        <v>46195</v>
      </c>
      <c r="F336" s="15" t="n">
        <v>46193</v>
      </c>
      <c r="G336" s="1" t="s">
        <v>661</v>
      </c>
      <c r="H336" s="1" t="n">
        <v>1291357</v>
      </c>
      <c r="I336" s="1" t="n">
        <v>1</v>
      </c>
      <c r="J336" s="1" t="s">
        <v>2975</v>
      </c>
      <c r="K336" s="67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2976</v>
      </c>
      <c r="D337" s="1" t="s">
        <v>3063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2975</v>
      </c>
      <c r="K337" s="67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2976</v>
      </c>
      <c r="D338" s="1" t="s">
        <v>3063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2975</v>
      </c>
      <c r="K338" s="67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3022</v>
      </c>
      <c r="D339" s="1" t="s">
        <v>3023</v>
      </c>
      <c r="E339" s="15" t="n">
        <v>46195</v>
      </c>
      <c r="F339" s="15" t="n">
        <v>46192</v>
      </c>
      <c r="G339" s="1" t="s">
        <v>568</v>
      </c>
      <c r="H339" s="1" t="n">
        <v>1289622</v>
      </c>
      <c r="I339" s="1" t="n">
        <v>1</v>
      </c>
      <c r="J339" s="1" t="s">
        <v>2975</v>
      </c>
      <c r="K339" s="67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2976</v>
      </c>
      <c r="D340" s="1" t="s">
        <v>3074</v>
      </c>
      <c r="E340" s="15" t="n">
        <v>46195</v>
      </c>
      <c r="F340" s="15" t="n">
        <v>46191</v>
      </c>
      <c r="G340" s="1" t="s">
        <v>208</v>
      </c>
      <c r="H340" s="1" t="n">
        <v>1290054</v>
      </c>
      <c r="I340" s="1" t="n">
        <v>1</v>
      </c>
      <c r="J340" s="1" t="s">
        <v>2975</v>
      </c>
      <c r="K340" s="67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2976</v>
      </c>
      <c r="D341" s="1" t="s">
        <v>3074</v>
      </c>
      <c r="E341" s="15" t="n">
        <v>46195</v>
      </c>
      <c r="F341" s="15" t="n">
        <v>46192</v>
      </c>
      <c r="G341" s="1" t="s">
        <v>208</v>
      </c>
      <c r="H341" s="1" t="n">
        <v>1290083</v>
      </c>
      <c r="I341" s="1" t="n">
        <v>1</v>
      </c>
      <c r="J341" s="1" t="s">
        <v>2975</v>
      </c>
      <c r="K341" s="67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2973</v>
      </c>
      <c r="D342" s="1" t="s">
        <v>2994</v>
      </c>
      <c r="E342" s="15" t="n">
        <v>46195</v>
      </c>
      <c r="F342" s="15" t="n">
        <v>46195</v>
      </c>
      <c r="G342" s="1" t="s">
        <v>66</v>
      </c>
      <c r="H342" s="1" t="n">
        <v>1289995</v>
      </c>
      <c r="I342" s="1" t="n">
        <v>1</v>
      </c>
      <c r="J342" s="1" t="s">
        <v>2975</v>
      </c>
      <c r="K342" s="67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2976</v>
      </c>
      <c r="D343" s="1" t="s">
        <v>3092</v>
      </c>
      <c r="E343" s="15" t="n">
        <v>46195</v>
      </c>
      <c r="F343" s="15" t="n">
        <v>46190</v>
      </c>
      <c r="G343" s="1" t="s">
        <v>925</v>
      </c>
      <c r="H343" s="1" t="n">
        <v>1291255</v>
      </c>
      <c r="I343" s="1" t="n">
        <v>1</v>
      </c>
      <c r="J343" s="1" t="s">
        <v>2975</v>
      </c>
      <c r="K343" s="67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2978</v>
      </c>
      <c r="D344" s="1" t="s">
        <v>2979</v>
      </c>
      <c r="E344" s="15" t="n">
        <v>46195</v>
      </c>
      <c r="F344" s="15" t="n">
        <v>46192</v>
      </c>
      <c r="G344" s="1" t="s">
        <v>388</v>
      </c>
      <c r="H344" s="1" t="n">
        <v>1289245</v>
      </c>
      <c r="I344" s="1" t="n">
        <v>1</v>
      </c>
      <c r="J344" s="1" t="s">
        <v>2975</v>
      </c>
      <c r="K344" s="67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2976</v>
      </c>
      <c r="D345" s="1" t="s">
        <v>3037</v>
      </c>
      <c r="E345" s="15" t="n">
        <v>46195</v>
      </c>
      <c r="F345" s="15" t="n">
        <v>46191</v>
      </c>
      <c r="G345" s="1" t="s">
        <v>253</v>
      </c>
      <c r="H345" s="1" t="n">
        <v>1290025</v>
      </c>
      <c r="I345" s="1" t="n">
        <v>1</v>
      </c>
      <c r="J345" s="1" t="s">
        <v>2975</v>
      </c>
      <c r="K345" s="67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2976</v>
      </c>
      <c r="D346" s="1" t="s">
        <v>3093</v>
      </c>
      <c r="E346" s="15" t="n">
        <v>46195</v>
      </c>
      <c r="F346" s="15" t="n">
        <v>46195</v>
      </c>
      <c r="G346" s="1" t="s">
        <v>940</v>
      </c>
      <c r="H346" s="1" t="n">
        <v>1289646</v>
      </c>
      <c r="I346" s="1" t="n">
        <v>1</v>
      </c>
      <c r="J346" s="1" t="s">
        <v>2975</v>
      </c>
      <c r="K346" s="67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3069</v>
      </c>
      <c r="D347" s="1" t="s">
        <v>3094</v>
      </c>
      <c r="E347" s="15" t="n">
        <v>46195</v>
      </c>
      <c r="F347" s="15" t="n">
        <v>46191</v>
      </c>
      <c r="G347" s="1" t="s">
        <v>250</v>
      </c>
      <c r="H347" s="1" t="n">
        <v>1289499</v>
      </c>
      <c r="I347" s="1" t="n">
        <v>11</v>
      </c>
      <c r="J347" s="1" t="s">
        <v>2975</v>
      </c>
      <c r="K347" s="67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2976</v>
      </c>
      <c r="D348" s="1" t="s">
        <v>3008</v>
      </c>
      <c r="E348" s="15" t="n">
        <v>46195</v>
      </c>
      <c r="F348" s="15" t="n">
        <v>46192</v>
      </c>
      <c r="G348" s="1" t="s">
        <v>381</v>
      </c>
      <c r="H348" s="1" t="n">
        <v>1289665</v>
      </c>
      <c r="I348" s="1" t="n">
        <v>1</v>
      </c>
      <c r="J348" s="1" t="s">
        <v>2975</v>
      </c>
      <c r="K348" s="67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2973</v>
      </c>
      <c r="D349" s="1" t="s">
        <v>2984</v>
      </c>
      <c r="E349" s="15" t="n">
        <v>46195</v>
      </c>
      <c r="F349" s="15" t="n">
        <v>46195</v>
      </c>
      <c r="G349" s="1" t="s">
        <v>97</v>
      </c>
      <c r="H349" s="1" t="n">
        <v>1309027</v>
      </c>
      <c r="I349" s="1" t="n">
        <v>1</v>
      </c>
      <c r="J349" s="1" t="s">
        <v>2975</v>
      </c>
      <c r="K349" s="67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2976</v>
      </c>
      <c r="D350" s="1" t="s">
        <v>3013</v>
      </c>
      <c r="E350" s="15" t="n">
        <v>46195</v>
      </c>
      <c r="F350" s="15" t="n">
        <v>46191</v>
      </c>
      <c r="G350" s="1" t="s">
        <v>3014</v>
      </c>
      <c r="H350" s="1" t="n">
        <v>1289506</v>
      </c>
      <c r="I350" s="1" t="n">
        <v>1</v>
      </c>
      <c r="J350" s="1" t="s">
        <v>2975</v>
      </c>
      <c r="K350" s="67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2976</v>
      </c>
      <c r="D351" s="1" t="s">
        <v>3095</v>
      </c>
      <c r="E351" s="15" t="n">
        <v>46195</v>
      </c>
      <c r="F351" s="15" t="n">
        <v>46191</v>
      </c>
      <c r="G351" s="1" t="s">
        <v>853</v>
      </c>
      <c r="H351" s="1" t="n">
        <v>1289427</v>
      </c>
      <c r="I351" s="1" t="n">
        <v>1</v>
      </c>
      <c r="J351" s="1" t="s">
        <v>2975</v>
      </c>
      <c r="K351" s="67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2976</v>
      </c>
      <c r="D352" s="1" t="s">
        <v>3015</v>
      </c>
      <c r="E352" s="15" t="n">
        <v>46195</v>
      </c>
      <c r="F352" s="15" t="n">
        <v>46191</v>
      </c>
      <c r="G352" s="1" t="s">
        <v>278</v>
      </c>
      <c r="H352" s="1" t="n">
        <v>1289632</v>
      </c>
      <c r="I352" s="1" t="n">
        <v>1</v>
      </c>
      <c r="J352" s="1" t="s">
        <v>2975</v>
      </c>
      <c r="K352" s="67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2976</v>
      </c>
      <c r="D353" s="1" t="s">
        <v>2986</v>
      </c>
      <c r="E353" s="15" t="n">
        <v>46195</v>
      </c>
      <c r="F353" s="15" t="n">
        <v>46193</v>
      </c>
      <c r="G353" s="1" t="s">
        <v>211</v>
      </c>
      <c r="H353" s="1" t="n">
        <v>1289204</v>
      </c>
      <c r="I353" s="1" t="n">
        <v>1</v>
      </c>
      <c r="J353" s="1" t="s">
        <v>2975</v>
      </c>
      <c r="K353" s="67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2976</v>
      </c>
      <c r="D354" s="1" t="s">
        <v>3002</v>
      </c>
      <c r="E354" s="15" t="n">
        <v>46195</v>
      </c>
      <c r="F354" s="15" t="n">
        <v>46192</v>
      </c>
      <c r="G354" s="1" t="s">
        <v>323</v>
      </c>
      <c r="H354" s="1" t="n">
        <v>1289688</v>
      </c>
      <c r="I354" s="1" t="n">
        <v>1</v>
      </c>
      <c r="J354" s="1" t="s">
        <v>2975</v>
      </c>
      <c r="K354" s="67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2976</v>
      </c>
      <c r="D355" s="1" t="s">
        <v>3018</v>
      </c>
      <c r="E355" s="15" t="n">
        <v>46195</v>
      </c>
      <c r="F355" s="15" t="n">
        <v>46192</v>
      </c>
      <c r="G355" s="1" t="s">
        <v>258</v>
      </c>
      <c r="H355" s="1" t="n">
        <v>1289301</v>
      </c>
      <c r="I355" s="1" t="n">
        <v>1</v>
      </c>
      <c r="J355" s="1" t="s">
        <v>2975</v>
      </c>
      <c r="K355" s="67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2978</v>
      </c>
      <c r="D356" s="1" t="s">
        <v>3096</v>
      </c>
      <c r="E356" s="15" t="n">
        <v>46195</v>
      </c>
      <c r="F356" s="15" t="n">
        <v>46190</v>
      </c>
      <c r="G356" s="1" t="s">
        <v>189</v>
      </c>
      <c r="H356" s="1" t="n">
        <v>1291292</v>
      </c>
      <c r="I356" s="1" t="n">
        <v>1</v>
      </c>
      <c r="J356" s="1" t="s">
        <v>2975</v>
      </c>
      <c r="K356" s="67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2973</v>
      </c>
      <c r="D357" s="1" t="s">
        <v>3003</v>
      </c>
      <c r="E357" s="15" t="n">
        <v>46195</v>
      </c>
      <c r="F357" s="15" t="n">
        <v>46191</v>
      </c>
      <c r="G357" s="1" t="s">
        <v>74</v>
      </c>
      <c r="H357" s="1" t="n">
        <v>1289255</v>
      </c>
      <c r="I357" s="1" t="n">
        <v>1</v>
      </c>
      <c r="J357" s="1" t="s">
        <v>2975</v>
      </c>
      <c r="K357" s="67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2973</v>
      </c>
      <c r="D358" s="1" t="s">
        <v>3003</v>
      </c>
      <c r="E358" s="15" t="n">
        <v>46195</v>
      </c>
      <c r="F358" s="15" t="n">
        <v>46192</v>
      </c>
      <c r="G358" s="1" t="s">
        <v>74</v>
      </c>
      <c r="H358" s="1" t="n">
        <v>1289269</v>
      </c>
      <c r="I358" s="1" t="n">
        <v>1</v>
      </c>
      <c r="J358" s="1" t="s">
        <v>2975</v>
      </c>
      <c r="K358" s="67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2976</v>
      </c>
      <c r="D359" s="1" t="s">
        <v>2988</v>
      </c>
      <c r="E359" s="15" t="n">
        <v>46195</v>
      </c>
      <c r="F359" s="15" t="n">
        <v>46195</v>
      </c>
      <c r="G359" s="1" t="s">
        <v>70</v>
      </c>
      <c r="H359" s="1" t="n">
        <v>1290725</v>
      </c>
      <c r="I359" s="1" t="n">
        <v>6</v>
      </c>
      <c r="J359" s="1" t="s">
        <v>2975</v>
      </c>
      <c r="K359" s="67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2976</v>
      </c>
      <c r="D360" s="1" t="s">
        <v>2988</v>
      </c>
      <c r="E360" s="15" t="n">
        <v>46195</v>
      </c>
      <c r="F360" s="15" t="n">
        <v>46195</v>
      </c>
      <c r="G360" s="1" t="s">
        <v>70</v>
      </c>
      <c r="H360" s="1" t="n">
        <v>1290682</v>
      </c>
      <c r="I360" s="1" t="n">
        <v>2</v>
      </c>
      <c r="J360" s="1" t="s">
        <v>2975</v>
      </c>
      <c r="K360" s="67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2976</v>
      </c>
      <c r="D361" s="1" t="s">
        <v>3028</v>
      </c>
      <c r="E361" s="15" t="n">
        <v>46195</v>
      </c>
      <c r="F361" s="15" t="n">
        <v>46192</v>
      </c>
      <c r="G361" s="1" t="s">
        <v>321</v>
      </c>
      <c r="H361" s="1" t="n">
        <v>1289607</v>
      </c>
      <c r="I361" s="1" t="n">
        <v>3</v>
      </c>
      <c r="J361" s="1" t="s">
        <v>2975</v>
      </c>
      <c r="K361" s="67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2976</v>
      </c>
      <c r="D362" s="1" t="s">
        <v>3028</v>
      </c>
      <c r="E362" s="15" t="n">
        <v>46195</v>
      </c>
      <c r="F362" s="15" t="n">
        <v>46192</v>
      </c>
      <c r="G362" s="1" t="s">
        <v>321</v>
      </c>
      <c r="H362" s="1" t="n">
        <v>1289612</v>
      </c>
      <c r="I362" s="1" t="n">
        <v>1</v>
      </c>
      <c r="J362" s="1" t="s">
        <v>2975</v>
      </c>
      <c r="K362" s="67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2976</v>
      </c>
      <c r="D363" s="1" t="s">
        <v>2989</v>
      </c>
      <c r="E363" s="15" t="n">
        <v>46195</v>
      </c>
      <c r="F363" s="15" t="n">
        <v>46193</v>
      </c>
      <c r="G363" s="1" t="s">
        <v>157</v>
      </c>
      <c r="H363" s="1" t="n">
        <v>1289125</v>
      </c>
      <c r="I363" s="1" t="n">
        <v>1</v>
      </c>
      <c r="J363" s="1" t="s">
        <v>2975</v>
      </c>
      <c r="K363" s="67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2976</v>
      </c>
      <c r="D364" s="1" t="s">
        <v>2989</v>
      </c>
      <c r="E364" s="15" t="n">
        <v>46195</v>
      </c>
      <c r="F364" s="15" t="n">
        <v>46193</v>
      </c>
      <c r="G364" s="1" t="s">
        <v>157</v>
      </c>
      <c r="H364" s="1" t="n">
        <v>1289188</v>
      </c>
      <c r="I364" s="1" t="n">
        <v>1</v>
      </c>
      <c r="J364" s="1" t="s">
        <v>2975</v>
      </c>
      <c r="K364" s="67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2976</v>
      </c>
      <c r="D365" s="1" t="s">
        <v>3097</v>
      </c>
      <c r="E365" s="15" t="n">
        <v>46195</v>
      </c>
      <c r="F365" s="15" t="n">
        <v>46191</v>
      </c>
      <c r="G365" s="1" t="s">
        <v>1064</v>
      </c>
      <c r="H365" s="1" t="n">
        <v>1289278</v>
      </c>
      <c r="I365" s="1" t="n">
        <v>1</v>
      </c>
      <c r="J365" s="1" t="s">
        <v>2975</v>
      </c>
      <c r="K365" s="67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2976</v>
      </c>
      <c r="D366" s="1" t="s">
        <v>3020</v>
      </c>
      <c r="E366" s="15" t="n">
        <v>46195</v>
      </c>
      <c r="F366" s="15" t="n">
        <v>46195</v>
      </c>
      <c r="G366" s="1" t="s">
        <v>78</v>
      </c>
      <c r="H366" s="1" t="n">
        <v>1291379</v>
      </c>
      <c r="I366" s="1" t="n">
        <v>1</v>
      </c>
      <c r="J366" s="1" t="s">
        <v>2975</v>
      </c>
      <c r="K366" s="67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2973</v>
      </c>
      <c r="D367" s="1" t="s">
        <v>3010</v>
      </c>
      <c r="E367" s="15" t="n">
        <v>46195</v>
      </c>
      <c r="F367" s="15" t="n">
        <v>46191</v>
      </c>
      <c r="G367" s="1" t="s">
        <v>319</v>
      </c>
      <c r="H367" s="1" t="n">
        <v>1289273</v>
      </c>
      <c r="I367" s="1" t="n">
        <v>1</v>
      </c>
      <c r="J367" s="1" t="s">
        <v>2975</v>
      </c>
      <c r="K367" s="67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2978</v>
      </c>
      <c r="D368" s="1" t="s">
        <v>2991</v>
      </c>
      <c r="E368" s="15" t="n">
        <v>46195</v>
      </c>
      <c r="F368" s="15" t="n">
        <v>46195</v>
      </c>
      <c r="G368" s="1" t="s">
        <v>961</v>
      </c>
      <c r="H368" s="1" t="n">
        <v>1309210</v>
      </c>
      <c r="I368" s="1" t="n">
        <v>1</v>
      </c>
      <c r="J368" s="1" t="s">
        <v>2975</v>
      </c>
      <c r="K368" s="67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2976</v>
      </c>
      <c r="D369" s="1" t="s">
        <v>3091</v>
      </c>
      <c r="E369" s="15" t="n">
        <v>46196</v>
      </c>
      <c r="F369" s="15" t="n">
        <v>46196</v>
      </c>
      <c r="G369" s="1" t="s">
        <v>787</v>
      </c>
      <c r="H369" s="1" t="n">
        <v>1309564</v>
      </c>
      <c r="I369" s="1" t="n">
        <v>1</v>
      </c>
      <c r="J369" s="1" t="s">
        <v>2975</v>
      </c>
      <c r="K369" s="67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2976</v>
      </c>
      <c r="D370" s="1" t="s">
        <v>3063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2975</v>
      </c>
      <c r="K370" s="67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2976</v>
      </c>
      <c r="D371" s="1" t="s">
        <v>3063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2975</v>
      </c>
      <c r="K371" s="67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3035</v>
      </c>
      <c r="D372" s="1" t="s">
        <v>3036</v>
      </c>
      <c r="E372" s="15" t="n">
        <v>46196</v>
      </c>
      <c r="F372" s="15" t="n">
        <v>46191</v>
      </c>
      <c r="G372" s="1" t="s">
        <v>148</v>
      </c>
      <c r="H372" s="1" t="n">
        <v>1295867</v>
      </c>
      <c r="I372" s="1" t="n">
        <v>1</v>
      </c>
      <c r="J372" s="1" t="s">
        <v>2975</v>
      </c>
      <c r="K372" s="67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3035</v>
      </c>
      <c r="D373" s="1" t="s">
        <v>3036</v>
      </c>
      <c r="E373" s="15" t="n">
        <v>46196</v>
      </c>
      <c r="F373" s="15" t="n">
        <v>46192</v>
      </c>
      <c r="G373" s="1" t="s">
        <v>148</v>
      </c>
      <c r="H373" s="1" t="n">
        <v>1295709</v>
      </c>
      <c r="I373" s="1" t="n">
        <v>1</v>
      </c>
      <c r="J373" s="1" t="s">
        <v>2975</v>
      </c>
      <c r="K373" s="67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3016</v>
      </c>
      <c r="D374" s="1" t="s">
        <v>3036</v>
      </c>
      <c r="E374" s="15" t="n">
        <v>46196</v>
      </c>
      <c r="F374" s="15" t="n">
        <v>46191</v>
      </c>
      <c r="G374" s="1" t="s">
        <v>148</v>
      </c>
      <c r="H374" s="1" t="n">
        <v>1296332</v>
      </c>
      <c r="I374" s="1" t="n">
        <v>1</v>
      </c>
      <c r="J374" s="1" t="s">
        <v>2975</v>
      </c>
      <c r="K374" s="67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2976</v>
      </c>
      <c r="D375" s="1" t="s">
        <v>2996</v>
      </c>
      <c r="E375" s="15" t="n">
        <v>46196</v>
      </c>
      <c r="F375" s="15" t="n">
        <v>46196</v>
      </c>
      <c r="G375" s="1" t="s">
        <v>221</v>
      </c>
      <c r="H375" s="1" t="n">
        <v>1295750</v>
      </c>
      <c r="I375" s="1" t="n">
        <v>1</v>
      </c>
      <c r="J375" s="1" t="s">
        <v>2975</v>
      </c>
      <c r="K375" s="67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2976</v>
      </c>
      <c r="D376" s="1" t="s">
        <v>3079</v>
      </c>
      <c r="E376" s="15" t="n">
        <v>46196</v>
      </c>
      <c r="F376" s="15" t="n">
        <v>46193</v>
      </c>
      <c r="G376" s="1" t="s">
        <v>517</v>
      </c>
      <c r="H376" s="1" t="n">
        <v>1296431</v>
      </c>
      <c r="I376" s="1" t="n">
        <v>1</v>
      </c>
      <c r="J376" s="1" t="s">
        <v>2975</v>
      </c>
      <c r="K376" s="67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2976</v>
      </c>
      <c r="D377" s="1" t="s">
        <v>3079</v>
      </c>
      <c r="E377" s="15" t="n">
        <v>46196</v>
      </c>
      <c r="F377" s="15" t="n">
        <v>46193</v>
      </c>
      <c r="G377" s="1" t="s">
        <v>517</v>
      </c>
      <c r="H377" s="1" t="n">
        <v>1296447</v>
      </c>
      <c r="I377" s="1" t="n">
        <v>1</v>
      </c>
      <c r="J377" s="1" t="s">
        <v>2975</v>
      </c>
      <c r="K377" s="67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3022</v>
      </c>
      <c r="D378" s="1" t="s">
        <v>3090</v>
      </c>
      <c r="E378" s="15" t="n">
        <v>46196</v>
      </c>
      <c r="F378" s="15" t="n">
        <v>46190</v>
      </c>
      <c r="G378" s="1" t="s">
        <v>535</v>
      </c>
      <c r="H378" s="1" t="n">
        <v>1293794</v>
      </c>
      <c r="I378" s="1" t="n">
        <v>1</v>
      </c>
      <c r="J378" s="1" t="s">
        <v>2975</v>
      </c>
      <c r="K378" s="67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2976</v>
      </c>
      <c r="D379" s="1" t="s">
        <v>3065</v>
      </c>
      <c r="E379" s="15" t="n">
        <v>46196</v>
      </c>
      <c r="F379" s="15" t="n">
        <v>46192</v>
      </c>
      <c r="G379" s="1" t="s">
        <v>3066</v>
      </c>
      <c r="H379" s="1" t="n">
        <v>1293719</v>
      </c>
      <c r="I379" s="1" t="n">
        <v>1</v>
      </c>
      <c r="J379" s="1" t="s">
        <v>2975</v>
      </c>
      <c r="K379" s="67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3067</v>
      </c>
      <c r="D380" s="1" t="s">
        <v>3098</v>
      </c>
      <c r="E380" s="15" t="n">
        <v>46196</v>
      </c>
      <c r="F380" s="15" t="n">
        <v>46190</v>
      </c>
      <c r="G380" s="1" t="s">
        <v>206</v>
      </c>
      <c r="H380" s="1" t="n">
        <v>1294735</v>
      </c>
      <c r="I380" s="1" t="n">
        <v>11</v>
      </c>
      <c r="J380" s="1" t="s">
        <v>2975</v>
      </c>
      <c r="K380" s="67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3067</v>
      </c>
      <c r="D381" s="1" t="s">
        <v>3098</v>
      </c>
      <c r="E381" s="15" t="n">
        <v>46196</v>
      </c>
      <c r="F381" s="15" t="n">
        <v>46190</v>
      </c>
      <c r="G381" s="1" t="s">
        <v>206</v>
      </c>
      <c r="H381" s="1" t="n">
        <v>1294954</v>
      </c>
      <c r="I381" s="1" t="n">
        <v>11</v>
      </c>
      <c r="J381" s="1" t="s">
        <v>2975</v>
      </c>
      <c r="K381" s="67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2978</v>
      </c>
      <c r="D382" s="1" t="s">
        <v>3059</v>
      </c>
      <c r="E382" s="15" t="n">
        <v>46196</v>
      </c>
      <c r="F382" s="15" t="n">
        <v>46192</v>
      </c>
      <c r="G382" s="1" t="s">
        <v>130</v>
      </c>
      <c r="H382" s="1" t="n">
        <v>1294118</v>
      </c>
      <c r="I382" s="1" t="n">
        <v>1</v>
      </c>
      <c r="J382" s="1" t="s">
        <v>2975</v>
      </c>
      <c r="K382" s="67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2978</v>
      </c>
      <c r="D383" s="1" t="s">
        <v>3059</v>
      </c>
      <c r="E383" s="15" t="n">
        <v>46196</v>
      </c>
      <c r="F383" s="15" t="n">
        <v>46192</v>
      </c>
      <c r="G383" s="1" t="s">
        <v>130</v>
      </c>
      <c r="H383" s="1" t="n">
        <v>1294268</v>
      </c>
      <c r="I383" s="1" t="n">
        <v>1</v>
      </c>
      <c r="J383" s="1" t="s">
        <v>2975</v>
      </c>
      <c r="K383" s="67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2976</v>
      </c>
      <c r="D384" s="1" t="s">
        <v>2988</v>
      </c>
      <c r="E384" s="15" t="n">
        <v>46196</v>
      </c>
      <c r="F384" s="15" t="n">
        <v>46196</v>
      </c>
      <c r="G384" s="1" t="s">
        <v>70</v>
      </c>
      <c r="H384" s="1" t="n">
        <v>1295507</v>
      </c>
      <c r="I384" s="1" t="n">
        <v>2</v>
      </c>
      <c r="J384" s="1" t="s">
        <v>2975</v>
      </c>
      <c r="K384" s="67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2976</v>
      </c>
      <c r="D385" s="1" t="s">
        <v>2988</v>
      </c>
      <c r="E385" s="15" t="n">
        <v>46196</v>
      </c>
      <c r="F385" s="15" t="n">
        <v>46196</v>
      </c>
      <c r="G385" s="1" t="s">
        <v>70</v>
      </c>
      <c r="H385" s="1" t="n">
        <v>1295636</v>
      </c>
      <c r="I385" s="1" t="n">
        <v>2</v>
      </c>
      <c r="J385" s="1" t="s">
        <v>2975</v>
      </c>
      <c r="K385" s="67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2976</v>
      </c>
      <c r="D386" s="1" t="s">
        <v>2988</v>
      </c>
      <c r="E386" s="15" t="n">
        <v>46196</v>
      </c>
      <c r="F386" s="15" t="n">
        <v>46196</v>
      </c>
      <c r="G386" s="1" t="s">
        <v>70</v>
      </c>
      <c r="H386" s="1" t="n">
        <v>1295521</v>
      </c>
      <c r="I386" s="1" t="n">
        <v>6</v>
      </c>
      <c r="J386" s="1" t="s">
        <v>2975</v>
      </c>
      <c r="K386" s="67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2976</v>
      </c>
      <c r="D387" s="1" t="s">
        <v>2988</v>
      </c>
      <c r="E387" s="15" t="n">
        <v>46196</v>
      </c>
      <c r="F387" s="15" t="n">
        <v>46196</v>
      </c>
      <c r="G387" s="1" t="s">
        <v>70</v>
      </c>
      <c r="H387" s="1" t="n">
        <v>1295699</v>
      </c>
      <c r="I387" s="1" t="n">
        <v>6</v>
      </c>
      <c r="J387" s="1" t="s">
        <v>2975</v>
      </c>
      <c r="K387" s="67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3046</v>
      </c>
      <c r="D388" s="1" t="s">
        <v>3047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2975</v>
      </c>
      <c r="K388" s="67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2978</v>
      </c>
      <c r="D389" s="1" t="s">
        <v>3082</v>
      </c>
      <c r="E389" s="15" t="n">
        <v>46196</v>
      </c>
      <c r="F389" s="15" t="n">
        <v>46191</v>
      </c>
      <c r="G389" s="1" t="s">
        <v>373</v>
      </c>
      <c r="H389" s="1" t="n">
        <v>1293749</v>
      </c>
      <c r="I389" s="1" t="n">
        <v>1</v>
      </c>
      <c r="J389" s="1" t="s">
        <v>2975</v>
      </c>
      <c r="K389" s="67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2976</v>
      </c>
      <c r="D390" s="1" t="s">
        <v>3091</v>
      </c>
      <c r="E390" s="15" t="n">
        <v>46197</v>
      </c>
      <c r="F390" s="15" t="n">
        <v>46197</v>
      </c>
      <c r="G390" s="1" t="s">
        <v>787</v>
      </c>
      <c r="H390" s="1" t="n">
        <v>1309308</v>
      </c>
      <c r="I390" s="1" t="n">
        <v>1</v>
      </c>
      <c r="J390" s="1" t="s">
        <v>2975</v>
      </c>
      <c r="K390" s="67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2976</v>
      </c>
      <c r="D391" s="1" t="s">
        <v>2992</v>
      </c>
      <c r="E391" s="15" t="n">
        <v>46197</v>
      </c>
      <c r="F391" s="15" t="n">
        <v>46195</v>
      </c>
      <c r="G391" s="1" t="s">
        <v>161</v>
      </c>
      <c r="H391" s="1" t="n">
        <v>1299594</v>
      </c>
      <c r="I391" s="1" t="n">
        <v>1</v>
      </c>
      <c r="J391" s="1" t="s">
        <v>2975</v>
      </c>
      <c r="K391" s="67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2976</v>
      </c>
      <c r="D392" s="1" t="s">
        <v>3021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2975</v>
      </c>
      <c r="K392" s="67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2976</v>
      </c>
      <c r="D393" s="1" t="s">
        <v>2993</v>
      </c>
      <c r="E393" s="15" t="n">
        <v>46197</v>
      </c>
      <c r="F393" s="15" t="n">
        <v>46193</v>
      </c>
      <c r="G393" s="1" t="s">
        <v>328</v>
      </c>
      <c r="H393" s="1" t="n">
        <v>1300675</v>
      </c>
      <c r="I393" s="1" t="n">
        <v>1</v>
      </c>
      <c r="J393" s="1" t="s">
        <v>2975</v>
      </c>
      <c r="K393" s="67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2976</v>
      </c>
      <c r="D394" s="1" t="s">
        <v>3099</v>
      </c>
      <c r="E394" s="15" t="n">
        <v>46197</v>
      </c>
      <c r="F394" s="15" t="n">
        <v>46196</v>
      </c>
      <c r="G394" s="1" t="s">
        <v>142</v>
      </c>
      <c r="H394" s="1" t="n">
        <v>1300300</v>
      </c>
      <c r="I394" s="1" t="n">
        <v>1</v>
      </c>
      <c r="J394" s="1" t="s">
        <v>2975</v>
      </c>
      <c r="K394" s="67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2976</v>
      </c>
      <c r="D395" s="1" t="s">
        <v>3100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2975</v>
      </c>
      <c r="K395" s="67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2976</v>
      </c>
      <c r="D396" s="1" t="s">
        <v>2997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2975</v>
      </c>
      <c r="K396" s="67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2976</v>
      </c>
      <c r="D397" s="1" t="s">
        <v>2997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2975</v>
      </c>
      <c r="K397" s="67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2976</v>
      </c>
      <c r="D398" s="1" t="s">
        <v>2997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2975</v>
      </c>
      <c r="K398" s="67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3067</v>
      </c>
      <c r="D399" s="1" t="s">
        <v>3098</v>
      </c>
      <c r="E399" s="15" t="n">
        <v>46197</v>
      </c>
      <c r="F399" s="15" t="n">
        <v>46196</v>
      </c>
      <c r="G399" s="1" t="s">
        <v>206</v>
      </c>
      <c r="H399" s="1" t="n">
        <v>1300570</v>
      </c>
      <c r="I399" s="1" t="n">
        <v>11</v>
      </c>
      <c r="J399" s="1" t="s">
        <v>2975</v>
      </c>
      <c r="K399" s="67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3067</v>
      </c>
      <c r="D400" s="1" t="s">
        <v>3098</v>
      </c>
      <c r="E400" s="15" t="n">
        <v>46197</v>
      </c>
      <c r="F400" s="15" t="n">
        <v>46196</v>
      </c>
      <c r="G400" s="1" t="s">
        <v>206</v>
      </c>
      <c r="H400" s="1" t="n">
        <v>1300552</v>
      </c>
      <c r="I400" s="1" t="n">
        <v>11</v>
      </c>
      <c r="J400" s="1" t="s">
        <v>2975</v>
      </c>
      <c r="K400" s="67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2976</v>
      </c>
      <c r="D401" s="1" t="s">
        <v>2988</v>
      </c>
      <c r="E401" s="15" t="n">
        <v>46197</v>
      </c>
      <c r="F401" s="15" t="n">
        <v>46197</v>
      </c>
      <c r="G401" s="1" t="s">
        <v>70</v>
      </c>
      <c r="H401" s="1" t="n">
        <v>1299886</v>
      </c>
      <c r="I401" s="1" t="n">
        <v>6</v>
      </c>
      <c r="J401" s="1" t="s">
        <v>2975</v>
      </c>
      <c r="K401" s="67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2976</v>
      </c>
      <c r="D402" s="1" t="s">
        <v>2988</v>
      </c>
      <c r="E402" s="15" t="n">
        <v>46197</v>
      </c>
      <c r="F402" s="15" t="n">
        <v>46197</v>
      </c>
      <c r="G402" s="1" t="s">
        <v>70</v>
      </c>
      <c r="H402" s="1" t="n">
        <v>1299854</v>
      </c>
      <c r="I402" s="1" t="n">
        <v>2</v>
      </c>
      <c r="J402" s="1" t="s">
        <v>2975</v>
      </c>
      <c r="K402" s="67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2976</v>
      </c>
      <c r="D403" s="1" t="s">
        <v>2989</v>
      </c>
      <c r="E403" s="15" t="n">
        <v>46197</v>
      </c>
      <c r="F403" s="15" t="n">
        <v>46195</v>
      </c>
      <c r="G403" s="1" t="s">
        <v>157</v>
      </c>
      <c r="H403" s="1" t="n">
        <v>1300713</v>
      </c>
      <c r="I403" s="1" t="n">
        <v>1</v>
      </c>
      <c r="J403" s="1" t="s">
        <v>2975</v>
      </c>
      <c r="K403" s="67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2976</v>
      </c>
      <c r="D404" s="1" t="s">
        <v>2989</v>
      </c>
      <c r="E404" s="15" t="n">
        <v>46197</v>
      </c>
      <c r="F404" s="15" t="n">
        <v>46196</v>
      </c>
      <c r="G404" s="1" t="s">
        <v>157</v>
      </c>
      <c r="H404" s="1" t="n">
        <v>1300974</v>
      </c>
      <c r="I404" s="1" t="n">
        <v>1</v>
      </c>
      <c r="J404" s="1" t="s">
        <v>2975</v>
      </c>
      <c r="K404" s="67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2973</v>
      </c>
      <c r="D405" s="1" t="s">
        <v>3101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2975</v>
      </c>
      <c r="K405" s="67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3069</v>
      </c>
      <c r="D406" s="1" t="s">
        <v>3102</v>
      </c>
      <c r="E406" s="15" t="n">
        <v>46197</v>
      </c>
      <c r="F406" s="15" t="n">
        <v>46196</v>
      </c>
      <c r="G406" s="1" t="s">
        <v>248</v>
      </c>
      <c r="H406" s="1" t="n">
        <v>1300399</v>
      </c>
      <c r="I406" s="1" t="n">
        <v>1</v>
      </c>
      <c r="J406" s="1" t="s">
        <v>2975</v>
      </c>
      <c r="K406" s="67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2976</v>
      </c>
      <c r="D407" s="1" t="s">
        <v>3091</v>
      </c>
      <c r="E407" s="15" t="n">
        <v>46198</v>
      </c>
      <c r="F407" s="15" t="n">
        <v>46198</v>
      </c>
      <c r="G407" s="1" t="s">
        <v>787</v>
      </c>
      <c r="H407" s="1" t="n">
        <v>1312804</v>
      </c>
      <c r="I407" s="1" t="n">
        <v>1</v>
      </c>
      <c r="J407" s="1" t="s">
        <v>2975</v>
      </c>
      <c r="K407" s="67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2976</v>
      </c>
      <c r="D408" s="1" t="s">
        <v>3103</v>
      </c>
      <c r="E408" s="15" t="n">
        <v>46198</v>
      </c>
      <c r="F408" s="15" t="n">
        <v>46197</v>
      </c>
      <c r="G408" s="1" t="s">
        <v>1035</v>
      </c>
      <c r="H408" s="1" t="n">
        <v>1306051</v>
      </c>
      <c r="I408" s="1" t="n">
        <v>1</v>
      </c>
      <c r="J408" s="1" t="s">
        <v>2975</v>
      </c>
      <c r="K408" s="67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2976</v>
      </c>
      <c r="D409" s="1" t="s">
        <v>3063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2975</v>
      </c>
      <c r="K409" s="67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2976</v>
      </c>
      <c r="D410" s="1" t="s">
        <v>3063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2975</v>
      </c>
      <c r="K410" s="67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2976</v>
      </c>
      <c r="D411" s="1" t="s">
        <v>3063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2975</v>
      </c>
      <c r="K411" s="67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2976</v>
      </c>
      <c r="D412" s="1" t="s">
        <v>3063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2975</v>
      </c>
      <c r="K412" s="67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2976</v>
      </c>
      <c r="D413" s="1" t="s">
        <v>3063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2975</v>
      </c>
      <c r="K413" s="67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2976</v>
      </c>
      <c r="D414" s="1" t="s">
        <v>3063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2975</v>
      </c>
      <c r="K414" s="67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2976</v>
      </c>
      <c r="D415" s="1" t="s">
        <v>3063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2975</v>
      </c>
      <c r="K415" s="67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2976</v>
      </c>
      <c r="D416" s="1" t="s">
        <v>2995</v>
      </c>
      <c r="E416" s="15" t="n">
        <v>46198</v>
      </c>
      <c r="F416" s="15" t="n">
        <v>46197</v>
      </c>
      <c r="G416" s="1" t="s">
        <v>264</v>
      </c>
      <c r="H416" s="1" t="n">
        <v>1306185</v>
      </c>
      <c r="I416" s="1" t="n">
        <v>1</v>
      </c>
      <c r="J416" s="1" t="s">
        <v>2975</v>
      </c>
      <c r="K416" s="67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2976</v>
      </c>
      <c r="D417" s="1" t="s">
        <v>3040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2975</v>
      </c>
      <c r="K417" s="67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2973</v>
      </c>
      <c r="D418" s="1" t="s">
        <v>2984</v>
      </c>
      <c r="E418" s="15" t="n">
        <v>46198</v>
      </c>
      <c r="F418" s="15" t="n">
        <v>46198</v>
      </c>
      <c r="G418" s="1" t="s">
        <v>97</v>
      </c>
      <c r="H418" s="1" t="n">
        <v>1308996</v>
      </c>
      <c r="I418" s="1" t="n">
        <v>1</v>
      </c>
      <c r="J418" s="1" t="s">
        <v>2975</v>
      </c>
      <c r="K418" s="67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2976</v>
      </c>
      <c r="D419" s="1" t="s">
        <v>3042</v>
      </c>
      <c r="E419" s="15" t="n">
        <v>46198</v>
      </c>
      <c r="F419" s="15" t="n">
        <v>46196</v>
      </c>
      <c r="G419" s="1" t="s">
        <v>551</v>
      </c>
      <c r="H419" s="1" t="n">
        <v>1304557</v>
      </c>
      <c r="I419" s="1" t="n">
        <v>1</v>
      </c>
      <c r="J419" s="1" t="s">
        <v>2975</v>
      </c>
      <c r="K419" s="67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2976</v>
      </c>
      <c r="D420" s="1" t="s">
        <v>3104</v>
      </c>
      <c r="E420" s="15" t="n">
        <v>46198</v>
      </c>
      <c r="F420" s="15" t="n">
        <v>46198</v>
      </c>
      <c r="G420" s="1" t="s">
        <v>867</v>
      </c>
      <c r="H420" s="1" t="n">
        <v>1309245</v>
      </c>
      <c r="I420" s="1" t="n">
        <v>1</v>
      </c>
      <c r="J420" s="1" t="s">
        <v>2975</v>
      </c>
      <c r="K420" s="67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2976</v>
      </c>
      <c r="D421" s="1" t="s">
        <v>3076</v>
      </c>
      <c r="E421" s="15" t="n">
        <v>46198</v>
      </c>
      <c r="F421" s="15" t="n">
        <v>46192</v>
      </c>
      <c r="G421" s="1" t="s">
        <v>340</v>
      </c>
      <c r="H421" s="1" t="n">
        <v>1304959</v>
      </c>
      <c r="I421" s="1" t="n">
        <v>1</v>
      </c>
      <c r="J421" s="1" t="s">
        <v>2975</v>
      </c>
      <c r="K421" s="67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2978</v>
      </c>
      <c r="D422" s="1" t="s">
        <v>2991</v>
      </c>
      <c r="E422" s="15" t="n">
        <v>46198</v>
      </c>
      <c r="F422" s="15" t="n">
        <v>46198</v>
      </c>
      <c r="G422" s="1" t="s">
        <v>961</v>
      </c>
      <c r="H422" s="1" t="n">
        <v>1309149</v>
      </c>
      <c r="I422" s="1" t="n">
        <v>1</v>
      </c>
      <c r="J422" s="1" t="s">
        <v>2975</v>
      </c>
      <c r="K422" s="67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2976</v>
      </c>
      <c r="D423" s="1" t="s">
        <v>3005</v>
      </c>
      <c r="E423" s="15" t="n">
        <v>46199</v>
      </c>
      <c r="F423" s="15" t="n">
        <v>46199</v>
      </c>
      <c r="G423" s="1" t="s">
        <v>3006</v>
      </c>
      <c r="H423" s="1" t="n">
        <v>1309767</v>
      </c>
      <c r="I423" s="1" t="n">
        <v>1</v>
      </c>
      <c r="J423" s="1" t="s">
        <v>2975</v>
      </c>
      <c r="K423" s="67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2976</v>
      </c>
      <c r="D424" s="1" t="s">
        <v>2993</v>
      </c>
      <c r="E424" s="15" t="n">
        <v>46199</v>
      </c>
      <c r="F424" s="15" t="n">
        <v>46198</v>
      </c>
      <c r="G424" s="1" t="s">
        <v>328</v>
      </c>
      <c r="H424" s="1" t="n">
        <v>1309485</v>
      </c>
      <c r="I424" s="1" t="n">
        <v>1</v>
      </c>
      <c r="J424" s="1" t="s">
        <v>2975</v>
      </c>
      <c r="K424" s="67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3035</v>
      </c>
      <c r="D425" s="1" t="s">
        <v>3036</v>
      </c>
      <c r="E425" s="15" t="n">
        <v>46199</v>
      </c>
      <c r="F425" s="15" t="n">
        <v>46196</v>
      </c>
      <c r="G425" s="1" t="s">
        <v>148</v>
      </c>
      <c r="H425" s="1" t="n">
        <v>1309451</v>
      </c>
      <c r="I425" s="1" t="n">
        <v>1</v>
      </c>
      <c r="J425" s="1" t="s">
        <v>2975</v>
      </c>
      <c r="K425" s="67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3035</v>
      </c>
      <c r="D426" s="1" t="s">
        <v>3036</v>
      </c>
      <c r="E426" s="15" t="n">
        <v>46199</v>
      </c>
      <c r="F426" s="15" t="n">
        <v>46196</v>
      </c>
      <c r="G426" s="1" t="s">
        <v>148</v>
      </c>
      <c r="H426" s="1" t="n">
        <v>1309446</v>
      </c>
      <c r="I426" s="1" t="n">
        <v>1</v>
      </c>
      <c r="J426" s="1" t="s">
        <v>2975</v>
      </c>
      <c r="K426" s="67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3035</v>
      </c>
      <c r="D427" s="1" t="s">
        <v>3036</v>
      </c>
      <c r="E427" s="15" t="n">
        <v>46199</v>
      </c>
      <c r="F427" s="15" t="n">
        <v>46196</v>
      </c>
      <c r="G427" s="1" t="s">
        <v>148</v>
      </c>
      <c r="H427" s="1" t="n">
        <v>1309396</v>
      </c>
      <c r="I427" s="1" t="n">
        <v>1</v>
      </c>
      <c r="J427" s="1" t="s">
        <v>2975</v>
      </c>
      <c r="K427" s="67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3016</v>
      </c>
      <c r="D428" s="1" t="s">
        <v>3036</v>
      </c>
      <c r="E428" s="15" t="n">
        <v>46199</v>
      </c>
      <c r="F428" s="15" t="n">
        <v>46196</v>
      </c>
      <c r="G428" s="1" t="s">
        <v>148</v>
      </c>
      <c r="H428" s="1" t="n">
        <v>1309384</v>
      </c>
      <c r="I428" s="1" t="n">
        <v>1</v>
      </c>
      <c r="J428" s="1" t="s">
        <v>2975</v>
      </c>
      <c r="K428" s="67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2976</v>
      </c>
      <c r="D429" s="1" t="s">
        <v>3074</v>
      </c>
      <c r="E429" s="15" t="n">
        <v>46199</v>
      </c>
      <c r="F429" s="15" t="n">
        <v>46199</v>
      </c>
      <c r="G429" s="1" t="s">
        <v>208</v>
      </c>
      <c r="H429" s="1" t="n">
        <v>1309293</v>
      </c>
      <c r="I429" s="1" t="n">
        <v>1</v>
      </c>
      <c r="J429" s="1" t="s">
        <v>2975</v>
      </c>
      <c r="K429" s="67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2976</v>
      </c>
      <c r="D430" s="1" t="s">
        <v>3007</v>
      </c>
      <c r="E430" s="15" t="n">
        <v>46199</v>
      </c>
      <c r="F430" s="15" t="n">
        <v>46195</v>
      </c>
      <c r="G430" s="1" t="s">
        <v>159</v>
      </c>
      <c r="H430" s="1" t="n">
        <v>1308875</v>
      </c>
      <c r="I430" s="1" t="n">
        <v>1</v>
      </c>
      <c r="J430" s="1" t="s">
        <v>2975</v>
      </c>
      <c r="K430" s="67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2976</v>
      </c>
      <c r="D431" s="1" t="s">
        <v>3007</v>
      </c>
      <c r="E431" s="15" t="n">
        <v>46199</v>
      </c>
      <c r="F431" s="15" t="n">
        <v>46198</v>
      </c>
      <c r="G431" s="1" t="s">
        <v>159</v>
      </c>
      <c r="H431" s="1" t="n">
        <v>1309270</v>
      </c>
      <c r="I431" s="1" t="n">
        <v>1</v>
      </c>
      <c r="J431" s="1" t="s">
        <v>2975</v>
      </c>
      <c r="K431" s="67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2973</v>
      </c>
      <c r="D432" s="1" t="s">
        <v>2994</v>
      </c>
      <c r="E432" s="15" t="n">
        <v>46199</v>
      </c>
      <c r="F432" s="15" t="n">
        <v>46198</v>
      </c>
      <c r="G432" s="1" t="s">
        <v>66</v>
      </c>
      <c r="H432" s="1" t="n">
        <v>1308813</v>
      </c>
      <c r="I432" s="1" t="n">
        <v>1</v>
      </c>
      <c r="J432" s="1" t="s">
        <v>2975</v>
      </c>
      <c r="K432" s="67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2976</v>
      </c>
      <c r="D433" s="1" t="s">
        <v>2995</v>
      </c>
      <c r="E433" s="15" t="n">
        <v>46199</v>
      </c>
      <c r="F433" s="15" t="n">
        <v>46198</v>
      </c>
      <c r="G433" s="1" t="s">
        <v>264</v>
      </c>
      <c r="H433" s="1" t="n">
        <v>1309867</v>
      </c>
      <c r="I433" s="1" t="n">
        <v>1</v>
      </c>
      <c r="J433" s="1" t="s">
        <v>2975</v>
      </c>
      <c r="K433" s="67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2976</v>
      </c>
      <c r="D434" s="1" t="s">
        <v>2996</v>
      </c>
      <c r="E434" s="15" t="n">
        <v>46199</v>
      </c>
      <c r="F434" s="15" t="n">
        <v>46199</v>
      </c>
      <c r="G434" s="1" t="s">
        <v>221</v>
      </c>
      <c r="H434" s="1" t="n">
        <v>1310365</v>
      </c>
      <c r="I434" s="1" t="n">
        <v>1</v>
      </c>
      <c r="J434" s="1" t="s">
        <v>2975</v>
      </c>
      <c r="K434" s="67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3024</v>
      </c>
      <c r="D435" s="1" t="s">
        <v>3025</v>
      </c>
      <c r="E435" s="15" t="n">
        <v>46199</v>
      </c>
      <c r="F435" s="15" t="n">
        <v>46197</v>
      </c>
      <c r="G435" s="1" t="s">
        <v>311</v>
      </c>
      <c r="H435" s="1" t="n">
        <v>1309533</v>
      </c>
      <c r="I435" s="1" t="n">
        <v>1</v>
      </c>
      <c r="J435" s="1" t="s">
        <v>2975</v>
      </c>
      <c r="K435" s="67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3024</v>
      </c>
      <c r="D436" s="1" t="s">
        <v>3025</v>
      </c>
      <c r="E436" s="15" t="n">
        <v>46199</v>
      </c>
      <c r="F436" s="15" t="n">
        <v>46197</v>
      </c>
      <c r="G436" s="1" t="s">
        <v>311</v>
      </c>
      <c r="H436" s="1" t="n">
        <v>1309771</v>
      </c>
      <c r="I436" s="1" t="n">
        <v>1</v>
      </c>
      <c r="J436" s="1" t="s">
        <v>2975</v>
      </c>
      <c r="K436" s="67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3024</v>
      </c>
      <c r="D437" s="1" t="s">
        <v>3025</v>
      </c>
      <c r="E437" s="15" t="n">
        <v>46199</v>
      </c>
      <c r="F437" s="15" t="n">
        <v>46197</v>
      </c>
      <c r="G437" s="1" t="s">
        <v>311</v>
      </c>
      <c r="H437" s="1" t="n">
        <v>1309766</v>
      </c>
      <c r="I437" s="1" t="n">
        <v>1</v>
      </c>
      <c r="J437" s="1" t="s">
        <v>2975</v>
      </c>
      <c r="K437" s="67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2976</v>
      </c>
      <c r="D438" s="1" t="s">
        <v>2997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2975</v>
      </c>
      <c r="K438" s="67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2981</v>
      </c>
      <c r="D439" s="1" t="s">
        <v>2982</v>
      </c>
      <c r="E439" s="15" t="n">
        <v>46199</v>
      </c>
      <c r="F439" s="15" t="n">
        <v>46199</v>
      </c>
      <c r="G439" s="1" t="s">
        <v>591</v>
      </c>
      <c r="H439" s="1" t="n">
        <v>1312961</v>
      </c>
      <c r="I439" s="1" t="n">
        <v>1</v>
      </c>
      <c r="J439" s="1" t="s">
        <v>2975</v>
      </c>
      <c r="K439" s="67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2981</v>
      </c>
      <c r="D440" s="1" t="s">
        <v>2982</v>
      </c>
      <c r="E440" s="15" t="n">
        <v>46199</v>
      </c>
      <c r="F440" s="15" t="n">
        <v>46199</v>
      </c>
      <c r="G440" s="1" t="s">
        <v>591</v>
      </c>
      <c r="H440" s="1" t="n">
        <v>1312944</v>
      </c>
      <c r="I440" s="1" t="n">
        <v>1</v>
      </c>
      <c r="J440" s="1" t="s">
        <v>2975</v>
      </c>
      <c r="K440" s="67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2981</v>
      </c>
      <c r="D441" s="1" t="s">
        <v>2982</v>
      </c>
      <c r="E441" s="15" t="n">
        <v>46199</v>
      </c>
      <c r="F441" s="15" t="n">
        <v>46199</v>
      </c>
      <c r="G441" s="1" t="s">
        <v>591</v>
      </c>
      <c r="H441" s="1" t="n">
        <v>1312884</v>
      </c>
      <c r="I441" s="1" t="n">
        <v>1</v>
      </c>
      <c r="J441" s="1" t="s">
        <v>2975</v>
      </c>
      <c r="K441" s="67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2981</v>
      </c>
      <c r="D442" s="1" t="s">
        <v>2982</v>
      </c>
      <c r="E442" s="15" t="n">
        <v>46199</v>
      </c>
      <c r="F442" s="15" t="n">
        <v>46199</v>
      </c>
      <c r="G442" s="1" t="s">
        <v>591</v>
      </c>
      <c r="H442" s="1" t="n">
        <v>1312842</v>
      </c>
      <c r="I442" s="1" t="n">
        <v>1</v>
      </c>
      <c r="J442" s="1" t="s">
        <v>2975</v>
      </c>
      <c r="K442" s="67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3105</v>
      </c>
      <c r="D443" s="1" t="s">
        <v>3106</v>
      </c>
      <c r="E443" s="15" t="n">
        <v>46199</v>
      </c>
      <c r="F443" s="15" t="n">
        <v>46197</v>
      </c>
      <c r="G443" s="1" t="s">
        <v>315</v>
      </c>
      <c r="H443" s="1" t="n">
        <v>1309969</v>
      </c>
      <c r="I443" s="1" t="n">
        <v>1</v>
      </c>
      <c r="J443" s="1" t="s">
        <v>2975</v>
      </c>
      <c r="K443" s="67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2976</v>
      </c>
      <c r="D444" s="1" t="s">
        <v>3038</v>
      </c>
      <c r="E444" s="15" t="n">
        <v>46199</v>
      </c>
      <c r="F444" s="15" t="n">
        <v>46198</v>
      </c>
      <c r="G444" s="1" t="s">
        <v>193</v>
      </c>
      <c r="H444" s="1" t="n">
        <v>1309121</v>
      </c>
      <c r="I444" s="1" t="n">
        <v>1</v>
      </c>
      <c r="J444" s="1" t="s">
        <v>2975</v>
      </c>
      <c r="K444" s="67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2973</v>
      </c>
      <c r="D445" s="1" t="s">
        <v>2999</v>
      </c>
      <c r="E445" s="15" t="n">
        <v>46199</v>
      </c>
      <c r="F445" s="15" t="n">
        <v>46195</v>
      </c>
      <c r="G445" s="1" t="s">
        <v>76</v>
      </c>
      <c r="H445" s="1" t="n">
        <v>1309005</v>
      </c>
      <c r="I445" s="1" t="n">
        <v>1</v>
      </c>
      <c r="J445" s="1" t="s">
        <v>2975</v>
      </c>
      <c r="K445" s="67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2973</v>
      </c>
      <c r="D446" s="1" t="s">
        <v>2999</v>
      </c>
      <c r="E446" s="15" t="n">
        <v>46199</v>
      </c>
      <c r="F446" s="15" t="n">
        <v>46198</v>
      </c>
      <c r="G446" s="1" t="s">
        <v>76</v>
      </c>
      <c r="H446" s="1" t="n">
        <v>1309015</v>
      </c>
      <c r="I446" s="1" t="n">
        <v>1</v>
      </c>
      <c r="J446" s="1" t="s">
        <v>2975</v>
      </c>
      <c r="K446" s="67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2976</v>
      </c>
      <c r="D447" s="1" t="s">
        <v>3000</v>
      </c>
      <c r="E447" s="15" t="n">
        <v>46199</v>
      </c>
      <c r="F447" s="15" t="n">
        <v>46196</v>
      </c>
      <c r="G447" s="1" t="s">
        <v>155</v>
      </c>
      <c r="H447" s="1" t="n">
        <v>1308855</v>
      </c>
      <c r="I447" s="1" t="n">
        <v>1</v>
      </c>
      <c r="J447" s="1" t="s">
        <v>2975</v>
      </c>
      <c r="K447" s="67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2976</v>
      </c>
      <c r="D448" s="1" t="s">
        <v>3085</v>
      </c>
      <c r="E448" s="15" t="n">
        <v>46199</v>
      </c>
      <c r="F448" s="15" t="n">
        <v>46195</v>
      </c>
      <c r="G448" s="1" t="s">
        <v>217</v>
      </c>
      <c r="H448" s="1" t="n">
        <v>1308931</v>
      </c>
      <c r="I448" s="1" t="n">
        <v>1</v>
      </c>
      <c r="J448" s="1" t="s">
        <v>2975</v>
      </c>
      <c r="K448" s="67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2976</v>
      </c>
      <c r="D449" s="1" t="s">
        <v>3107</v>
      </c>
      <c r="E449" s="15" t="n">
        <v>46199</v>
      </c>
      <c r="F449" s="15" t="n">
        <v>46199</v>
      </c>
      <c r="G449" s="1" t="s">
        <v>899</v>
      </c>
      <c r="H449" s="1" t="n">
        <v>1312820</v>
      </c>
      <c r="I449" s="1" t="n">
        <v>1</v>
      </c>
      <c r="J449" s="1" t="s">
        <v>2975</v>
      </c>
      <c r="K449" s="67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2976</v>
      </c>
      <c r="D450" s="1" t="s">
        <v>2986</v>
      </c>
      <c r="E450" s="15" t="n">
        <v>46199</v>
      </c>
      <c r="F450" s="15" t="n">
        <v>46199</v>
      </c>
      <c r="G450" s="1" t="s">
        <v>211</v>
      </c>
      <c r="H450" s="1" t="n">
        <v>1310018</v>
      </c>
      <c r="I450" s="1" t="n">
        <v>1</v>
      </c>
      <c r="J450" s="1" t="s">
        <v>2975</v>
      </c>
      <c r="K450" s="67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3067</v>
      </c>
      <c r="D451" s="1" t="s">
        <v>3068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2975</v>
      </c>
      <c r="K451" s="67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2976</v>
      </c>
      <c r="D452" s="1" t="s">
        <v>3044</v>
      </c>
      <c r="E452" s="15" t="n">
        <v>46199</v>
      </c>
      <c r="F452" s="15" t="n">
        <v>46198</v>
      </c>
      <c r="G452" s="1" t="s">
        <v>215</v>
      </c>
      <c r="H452" s="1" t="n">
        <v>1309009</v>
      </c>
      <c r="I452" s="1" t="n">
        <v>1</v>
      </c>
      <c r="J452" s="1" t="s">
        <v>2975</v>
      </c>
      <c r="K452" s="67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2976</v>
      </c>
      <c r="D453" s="1" t="s">
        <v>3002</v>
      </c>
      <c r="E453" s="15" t="n">
        <v>46199</v>
      </c>
      <c r="F453" s="15" t="n">
        <v>46196</v>
      </c>
      <c r="G453" s="1" t="s">
        <v>323</v>
      </c>
      <c r="H453" s="1" t="n">
        <v>1308839</v>
      </c>
      <c r="I453" s="1" t="n">
        <v>1</v>
      </c>
      <c r="J453" s="1" t="s">
        <v>2975</v>
      </c>
      <c r="K453" s="67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3016</v>
      </c>
      <c r="D454" s="1" t="s">
        <v>3017</v>
      </c>
      <c r="E454" s="15" t="n">
        <v>46199</v>
      </c>
      <c r="F454" s="15" t="n">
        <v>46191</v>
      </c>
      <c r="G454" s="1" t="s">
        <v>144</v>
      </c>
      <c r="H454" s="1" t="n">
        <v>1308963</v>
      </c>
      <c r="I454" s="1" t="n">
        <v>1</v>
      </c>
      <c r="J454" s="1" t="s">
        <v>2975</v>
      </c>
      <c r="K454" s="67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3016</v>
      </c>
      <c r="D455" s="1" t="s">
        <v>3017</v>
      </c>
      <c r="E455" s="15" t="n">
        <v>46199</v>
      </c>
      <c r="F455" s="15" t="n">
        <v>46196</v>
      </c>
      <c r="G455" s="1" t="s">
        <v>144</v>
      </c>
      <c r="H455" s="1" t="n">
        <v>1308995</v>
      </c>
      <c r="I455" s="1" t="n">
        <v>1</v>
      </c>
      <c r="J455" s="1" t="s">
        <v>2975</v>
      </c>
      <c r="K455" s="67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2973</v>
      </c>
      <c r="D456" s="1" t="s">
        <v>3003</v>
      </c>
      <c r="E456" s="15" t="n">
        <v>46199</v>
      </c>
      <c r="F456" s="15" t="n">
        <v>46195</v>
      </c>
      <c r="G456" s="1" t="s">
        <v>74</v>
      </c>
      <c r="H456" s="1" t="n">
        <v>1308891</v>
      </c>
      <c r="I456" s="1" t="n">
        <v>1</v>
      </c>
      <c r="J456" s="1" t="s">
        <v>2975</v>
      </c>
      <c r="K456" s="67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2973</v>
      </c>
      <c r="D457" s="1" t="s">
        <v>3003</v>
      </c>
      <c r="E457" s="15" t="n">
        <v>46199</v>
      </c>
      <c r="F457" s="15" t="n">
        <v>46196</v>
      </c>
      <c r="G457" s="1" t="s">
        <v>74</v>
      </c>
      <c r="H457" s="1" t="n">
        <v>1308921</v>
      </c>
      <c r="I457" s="1" t="n">
        <v>1</v>
      </c>
      <c r="J457" s="1" t="s">
        <v>2975</v>
      </c>
      <c r="K457" s="67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2973</v>
      </c>
      <c r="D458" s="1" t="s">
        <v>3003</v>
      </c>
      <c r="E458" s="15" t="n">
        <v>46199</v>
      </c>
      <c r="F458" s="15" t="n">
        <v>46198</v>
      </c>
      <c r="G458" s="1" t="s">
        <v>74</v>
      </c>
      <c r="H458" s="1" t="n">
        <v>1308928</v>
      </c>
      <c r="I458" s="1" t="n">
        <v>1</v>
      </c>
      <c r="J458" s="1" t="s">
        <v>2975</v>
      </c>
      <c r="K458" s="67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2978</v>
      </c>
      <c r="D459" s="1" t="s">
        <v>3004</v>
      </c>
      <c r="E459" s="15" t="n">
        <v>46199</v>
      </c>
      <c r="F459" s="15" t="n">
        <v>46197</v>
      </c>
      <c r="G459" s="1" t="s">
        <v>753</v>
      </c>
      <c r="H459" s="1" t="n">
        <v>1310224</v>
      </c>
      <c r="I459" s="1" t="n">
        <v>1</v>
      </c>
      <c r="J459" s="1" t="s">
        <v>2975</v>
      </c>
      <c r="K459" s="67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2976</v>
      </c>
      <c r="D460" s="1" t="s">
        <v>2988</v>
      </c>
      <c r="E460" s="15" t="n">
        <v>46199</v>
      </c>
      <c r="F460" s="15" t="n">
        <v>46199</v>
      </c>
      <c r="G460" s="1" t="s">
        <v>70</v>
      </c>
      <c r="H460" s="1" t="n">
        <v>1310010</v>
      </c>
      <c r="I460" s="1" t="n">
        <v>2</v>
      </c>
      <c r="J460" s="1" t="s">
        <v>2975</v>
      </c>
      <c r="K460" s="67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2976</v>
      </c>
      <c r="D461" s="1" t="s">
        <v>2988</v>
      </c>
      <c r="E461" s="15" t="n">
        <v>46199</v>
      </c>
      <c r="F461" s="15" t="n">
        <v>46199</v>
      </c>
      <c r="G461" s="1" t="s">
        <v>70</v>
      </c>
      <c r="H461" s="1" t="n">
        <v>1309570</v>
      </c>
      <c r="I461" s="1" t="n">
        <v>6</v>
      </c>
      <c r="J461" s="1" t="s">
        <v>2975</v>
      </c>
      <c r="K461" s="67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2976</v>
      </c>
      <c r="D462" s="1" t="s">
        <v>2988</v>
      </c>
      <c r="E462" s="15" t="n">
        <v>46199</v>
      </c>
      <c r="F462" s="15" t="n">
        <v>46199</v>
      </c>
      <c r="G462" s="1" t="s">
        <v>70</v>
      </c>
      <c r="H462" s="1" t="n">
        <v>1310034</v>
      </c>
      <c r="I462" s="1" t="n">
        <v>6</v>
      </c>
      <c r="J462" s="1" t="s">
        <v>2975</v>
      </c>
      <c r="K462" s="67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2976</v>
      </c>
      <c r="D463" s="1" t="s">
        <v>2988</v>
      </c>
      <c r="E463" s="15" t="n">
        <v>46199</v>
      </c>
      <c r="F463" s="15" t="n">
        <v>46199</v>
      </c>
      <c r="G463" s="1" t="s">
        <v>70</v>
      </c>
      <c r="H463" s="1" t="n">
        <v>1310202</v>
      </c>
      <c r="I463" s="1" t="n">
        <v>6</v>
      </c>
      <c r="J463" s="1" t="s">
        <v>2975</v>
      </c>
      <c r="K463" s="67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2976</v>
      </c>
      <c r="D464" s="1" t="s">
        <v>2988</v>
      </c>
      <c r="E464" s="15" t="n">
        <v>46199</v>
      </c>
      <c r="F464" s="15" t="n">
        <v>46199</v>
      </c>
      <c r="G464" s="1" t="s">
        <v>70</v>
      </c>
      <c r="H464" s="1" t="n">
        <v>1310189</v>
      </c>
      <c r="I464" s="1" t="n">
        <v>2</v>
      </c>
      <c r="J464" s="1" t="s">
        <v>2975</v>
      </c>
      <c r="K464" s="67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2976</v>
      </c>
      <c r="D465" s="1" t="s">
        <v>2988</v>
      </c>
      <c r="E465" s="15" t="n">
        <v>46199</v>
      </c>
      <c r="F465" s="15" t="n">
        <v>46199</v>
      </c>
      <c r="G465" s="1" t="s">
        <v>70</v>
      </c>
      <c r="H465" s="1" t="n">
        <v>1309565</v>
      </c>
      <c r="I465" s="1" t="n">
        <v>2</v>
      </c>
      <c r="J465" s="1" t="s">
        <v>2975</v>
      </c>
      <c r="K465" s="67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2973</v>
      </c>
      <c r="D466" s="1" t="s">
        <v>3062</v>
      </c>
      <c r="E466" s="15" t="n">
        <v>46199</v>
      </c>
      <c r="F466" s="15" t="n">
        <v>46196</v>
      </c>
      <c r="G466" s="1" t="s">
        <v>246</v>
      </c>
      <c r="H466" s="1" t="n">
        <v>1310155</v>
      </c>
      <c r="I466" s="1" t="n">
        <v>1</v>
      </c>
      <c r="J466" s="1" t="s">
        <v>2975</v>
      </c>
      <c r="K466" s="67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2973</v>
      </c>
      <c r="D467" s="1" t="s">
        <v>3010</v>
      </c>
      <c r="E467" s="15" t="n">
        <v>46199</v>
      </c>
      <c r="F467" s="15" t="n">
        <v>46195</v>
      </c>
      <c r="G467" s="1" t="s">
        <v>319</v>
      </c>
      <c r="H467" s="1" t="n">
        <v>1308949</v>
      </c>
      <c r="I467" s="1" t="n">
        <v>1</v>
      </c>
      <c r="J467" s="1" t="s">
        <v>2975</v>
      </c>
      <c r="K467" s="67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2978</v>
      </c>
      <c r="D468" s="1" t="s">
        <v>2991</v>
      </c>
      <c r="E468" s="15" t="n">
        <v>46199</v>
      </c>
      <c r="F468" s="15" t="n">
        <v>46199</v>
      </c>
      <c r="G468" s="1" t="s">
        <v>961</v>
      </c>
      <c r="H468" s="1" t="n">
        <v>1309780</v>
      </c>
      <c r="I468" s="1" t="n">
        <v>1</v>
      </c>
      <c r="J468" s="1" t="s">
        <v>2975</v>
      </c>
      <c r="K468" s="67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3022</v>
      </c>
      <c r="D469" s="1" t="s">
        <v>3023</v>
      </c>
      <c r="E469" s="15" t="n">
        <v>46200</v>
      </c>
      <c r="F469" s="15" t="n">
        <v>46199</v>
      </c>
      <c r="G469" s="1" t="s">
        <v>568</v>
      </c>
      <c r="H469" s="1" t="n">
        <v>1312829</v>
      </c>
      <c r="I469" s="1" t="n">
        <v>1</v>
      </c>
      <c r="J469" s="1" t="s">
        <v>2975</v>
      </c>
      <c r="K469" s="67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2981</v>
      </c>
      <c r="D470" s="1" t="s">
        <v>2982</v>
      </c>
      <c r="E470" s="15" t="n">
        <v>46200</v>
      </c>
      <c r="F470" s="15" t="n">
        <v>46199</v>
      </c>
      <c r="G470" s="1" t="s">
        <v>591</v>
      </c>
      <c r="H470" s="1" t="n">
        <v>1312862</v>
      </c>
      <c r="I470" s="1" t="n">
        <v>1</v>
      </c>
      <c r="J470" s="1" t="s">
        <v>2975</v>
      </c>
      <c r="K470" s="67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2981</v>
      </c>
      <c r="D471" s="1" t="s">
        <v>2982</v>
      </c>
      <c r="E471" s="15" t="n">
        <v>46200</v>
      </c>
      <c r="F471" s="15" t="n">
        <v>46200</v>
      </c>
      <c r="G471" s="1" t="s">
        <v>591</v>
      </c>
      <c r="H471" s="1" t="n">
        <v>1321915</v>
      </c>
      <c r="I471" s="1" t="n">
        <v>1</v>
      </c>
      <c r="J471" s="1" t="s">
        <v>2975</v>
      </c>
      <c r="K471" s="67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2973</v>
      </c>
      <c r="D472" s="1" t="s">
        <v>2984</v>
      </c>
      <c r="E472" s="15" t="n">
        <v>46200</v>
      </c>
      <c r="F472" s="15" t="n">
        <v>46200</v>
      </c>
      <c r="G472" s="1" t="s">
        <v>97</v>
      </c>
      <c r="H472" s="1" t="n">
        <v>1313023</v>
      </c>
      <c r="I472" s="1" t="n">
        <v>1</v>
      </c>
      <c r="J472" s="1" t="s">
        <v>2975</v>
      </c>
      <c r="K472" s="67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2976</v>
      </c>
      <c r="D473" s="1" t="s">
        <v>3013</v>
      </c>
      <c r="E473" s="15" t="n">
        <v>46200</v>
      </c>
      <c r="F473" s="15" t="n">
        <v>46199</v>
      </c>
      <c r="G473" s="1" t="s">
        <v>3014</v>
      </c>
      <c r="H473" s="1" t="n">
        <v>1313860</v>
      </c>
      <c r="I473" s="1" t="n">
        <v>1</v>
      </c>
      <c r="J473" s="1" t="s">
        <v>2975</v>
      </c>
      <c r="K473" s="67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2976</v>
      </c>
      <c r="D474" s="1" t="s">
        <v>3000</v>
      </c>
      <c r="E474" s="15" t="n">
        <v>46200</v>
      </c>
      <c r="F474" s="15" t="n">
        <v>46199</v>
      </c>
      <c r="G474" s="1" t="s">
        <v>155</v>
      </c>
      <c r="H474" s="1" t="n">
        <v>1313451</v>
      </c>
      <c r="I474" s="1" t="n">
        <v>1</v>
      </c>
      <c r="J474" s="1" t="s">
        <v>2975</v>
      </c>
      <c r="K474" s="67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2976</v>
      </c>
      <c r="D475" s="1" t="s">
        <v>3043</v>
      </c>
      <c r="E475" s="15" t="n">
        <v>46200</v>
      </c>
      <c r="F475" s="15" t="n">
        <v>46200</v>
      </c>
      <c r="G475" s="1" t="s">
        <v>424</v>
      </c>
      <c r="H475" s="1" t="n">
        <v>1360419</v>
      </c>
      <c r="I475" s="1" t="n">
        <v>1</v>
      </c>
      <c r="J475" s="1" t="s">
        <v>2975</v>
      </c>
      <c r="K475" s="67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2978</v>
      </c>
      <c r="D476" s="1" t="s">
        <v>3019</v>
      </c>
      <c r="E476" s="15" t="n">
        <v>46200</v>
      </c>
      <c r="F476" s="15" t="n">
        <v>46199</v>
      </c>
      <c r="G476" s="1" t="s">
        <v>703</v>
      </c>
      <c r="H476" s="1" t="n">
        <v>1312870</v>
      </c>
      <c r="I476" s="1" t="n">
        <v>1</v>
      </c>
      <c r="J476" s="1" t="s">
        <v>2975</v>
      </c>
      <c r="K476" s="67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2973</v>
      </c>
      <c r="D477" s="1" t="s">
        <v>3003</v>
      </c>
      <c r="E477" s="15" t="n">
        <v>46200</v>
      </c>
      <c r="F477" s="15" t="n">
        <v>46198</v>
      </c>
      <c r="G477" s="1" t="s">
        <v>74</v>
      </c>
      <c r="H477" s="1" t="n">
        <v>1312476</v>
      </c>
      <c r="I477" s="1" t="n">
        <v>1</v>
      </c>
      <c r="J477" s="1" t="s">
        <v>2975</v>
      </c>
      <c r="K477" s="67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2973</v>
      </c>
      <c r="D478" s="1" t="s">
        <v>3003</v>
      </c>
      <c r="E478" s="15" t="n">
        <v>46200</v>
      </c>
      <c r="F478" s="15" t="n">
        <v>46199</v>
      </c>
      <c r="G478" s="1" t="s">
        <v>74</v>
      </c>
      <c r="H478" s="1" t="n">
        <v>1313440</v>
      </c>
      <c r="I478" s="1" t="n">
        <v>1</v>
      </c>
      <c r="J478" s="1" t="s">
        <v>2975</v>
      </c>
      <c r="K478" s="67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3069</v>
      </c>
      <c r="D479" s="1" t="s">
        <v>3070</v>
      </c>
      <c r="E479" s="15" t="n">
        <v>46200</v>
      </c>
      <c r="F479" s="15" t="n">
        <v>46197</v>
      </c>
      <c r="G479" s="1" t="s">
        <v>688</v>
      </c>
      <c r="H479" s="1" t="n">
        <v>1313525</v>
      </c>
      <c r="I479" s="1" t="n">
        <v>1</v>
      </c>
      <c r="J479" s="1" t="s">
        <v>2975</v>
      </c>
      <c r="K479" s="67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3046</v>
      </c>
      <c r="D480" s="1" t="s">
        <v>3047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2975</v>
      </c>
      <c r="K480" s="67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2973</v>
      </c>
      <c r="D481" s="1" t="s">
        <v>3010</v>
      </c>
      <c r="E481" s="15" t="n">
        <v>46200</v>
      </c>
      <c r="F481" s="15" t="n">
        <v>46198</v>
      </c>
      <c r="G481" s="1" t="s">
        <v>319</v>
      </c>
      <c r="H481" s="1" t="n">
        <v>1313459</v>
      </c>
      <c r="I481" s="1" t="n">
        <v>1</v>
      </c>
      <c r="J481" s="1" t="s">
        <v>2975</v>
      </c>
      <c r="K481" s="67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2978</v>
      </c>
      <c r="D482" s="1" t="s">
        <v>2991</v>
      </c>
      <c r="E482" s="15" t="n">
        <v>46200</v>
      </c>
      <c r="F482" s="15" t="n">
        <v>46200</v>
      </c>
      <c r="G482" s="1" t="s">
        <v>961</v>
      </c>
      <c r="H482" s="1" t="n">
        <v>1313009</v>
      </c>
      <c r="I482" s="1" t="n">
        <v>1</v>
      </c>
      <c r="J482" s="1" t="s">
        <v>2975</v>
      </c>
      <c r="K482" s="67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2976</v>
      </c>
      <c r="D483" s="1" t="s">
        <v>2992</v>
      </c>
      <c r="E483" s="15" t="n">
        <v>46202</v>
      </c>
      <c r="F483" s="15" t="n">
        <v>46199</v>
      </c>
      <c r="G483" s="1" t="s">
        <v>161</v>
      </c>
      <c r="H483" s="1" t="n">
        <v>1321719</v>
      </c>
      <c r="I483" s="1" t="n">
        <v>1</v>
      </c>
      <c r="J483" s="1" t="s">
        <v>2975</v>
      </c>
      <c r="K483" s="67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2976</v>
      </c>
      <c r="D484" s="1" t="s">
        <v>3021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2975</v>
      </c>
      <c r="K484" s="67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2976</v>
      </c>
      <c r="D485" s="1" t="s">
        <v>3108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2975</v>
      </c>
      <c r="K485" s="67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2973</v>
      </c>
      <c r="D486" s="1" t="s">
        <v>2994</v>
      </c>
      <c r="E486" s="15" t="n">
        <v>46202</v>
      </c>
      <c r="F486" s="15" t="n">
        <v>46202</v>
      </c>
      <c r="G486" s="1" t="s">
        <v>66</v>
      </c>
      <c r="H486" s="1" t="n">
        <v>1321750</v>
      </c>
      <c r="I486" s="1" t="n">
        <v>1</v>
      </c>
      <c r="J486" s="1" t="s">
        <v>2975</v>
      </c>
      <c r="K486" s="67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2976</v>
      </c>
      <c r="D487" s="1" t="s">
        <v>2980</v>
      </c>
      <c r="E487" s="15" t="n">
        <v>46202</v>
      </c>
      <c r="F487" s="15" t="n">
        <v>46199</v>
      </c>
      <c r="G487" s="1" t="s">
        <v>325</v>
      </c>
      <c r="H487" s="1" t="n">
        <v>1322709</v>
      </c>
      <c r="I487" s="1" t="n">
        <v>3</v>
      </c>
      <c r="J487" s="1" t="s">
        <v>2975</v>
      </c>
      <c r="K487" s="67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2981</v>
      </c>
      <c r="D488" s="1" t="s">
        <v>2982</v>
      </c>
      <c r="E488" s="15" t="n">
        <v>46202</v>
      </c>
      <c r="F488" s="15" t="n">
        <v>46202</v>
      </c>
      <c r="G488" s="1" t="s">
        <v>591</v>
      </c>
      <c r="H488" s="1" t="n">
        <v>1325564</v>
      </c>
      <c r="I488" s="1" t="n">
        <v>1</v>
      </c>
      <c r="J488" s="1" t="s">
        <v>2975</v>
      </c>
      <c r="K488" s="67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2973</v>
      </c>
      <c r="D489" s="1" t="s">
        <v>2984</v>
      </c>
      <c r="E489" s="15" t="n">
        <v>46202</v>
      </c>
      <c r="F489" s="15" t="n">
        <v>46202</v>
      </c>
      <c r="G489" s="1" t="s">
        <v>97</v>
      </c>
      <c r="H489" s="1" t="n">
        <v>1360396</v>
      </c>
      <c r="I489" s="1" t="n">
        <v>1</v>
      </c>
      <c r="J489" s="1" t="s">
        <v>2975</v>
      </c>
      <c r="K489" s="67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3109</v>
      </c>
      <c r="D490" s="1" t="s">
        <v>3110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2975</v>
      </c>
      <c r="K490" s="67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3067</v>
      </c>
      <c r="D491" s="1" t="s">
        <v>3068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2975</v>
      </c>
      <c r="K491" s="67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2976</v>
      </c>
      <c r="D492" s="1" t="s">
        <v>3081</v>
      </c>
      <c r="E492" s="15" t="n">
        <v>46202</v>
      </c>
      <c r="F492" s="15" t="n">
        <v>46197</v>
      </c>
      <c r="G492" s="1" t="s">
        <v>201</v>
      </c>
      <c r="H492" s="1" t="n">
        <v>1324513</v>
      </c>
      <c r="I492" s="1" t="n">
        <v>1</v>
      </c>
      <c r="J492" s="1" t="s">
        <v>2975</v>
      </c>
      <c r="K492" s="67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2976</v>
      </c>
      <c r="D493" s="1" t="s">
        <v>3081</v>
      </c>
      <c r="E493" s="15" t="n">
        <v>46202</v>
      </c>
      <c r="F493" s="15" t="n">
        <v>46198</v>
      </c>
      <c r="G493" s="1" t="s">
        <v>201</v>
      </c>
      <c r="H493" s="1" t="n">
        <v>1324820</v>
      </c>
      <c r="I493" s="1" t="n">
        <v>1</v>
      </c>
      <c r="J493" s="1" t="s">
        <v>2975</v>
      </c>
      <c r="K493" s="67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2976</v>
      </c>
      <c r="D494" s="1" t="s">
        <v>3002</v>
      </c>
      <c r="E494" s="15" t="n">
        <v>46202</v>
      </c>
      <c r="F494" s="15" t="n">
        <v>46199</v>
      </c>
      <c r="G494" s="1" t="s">
        <v>323</v>
      </c>
      <c r="H494" s="1" t="n">
        <v>1321792</v>
      </c>
      <c r="I494" s="1" t="n">
        <v>1</v>
      </c>
      <c r="J494" s="1" t="s">
        <v>2975</v>
      </c>
      <c r="K494" s="67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3016</v>
      </c>
      <c r="D495" s="1" t="s">
        <v>3017</v>
      </c>
      <c r="E495" s="15" t="n">
        <v>46202</v>
      </c>
      <c r="F495" s="15" t="n">
        <v>46199</v>
      </c>
      <c r="G495" s="1" t="s">
        <v>144</v>
      </c>
      <c r="H495" s="1" t="n">
        <v>1322353</v>
      </c>
      <c r="I495" s="1" t="n">
        <v>1</v>
      </c>
      <c r="J495" s="1" t="s">
        <v>2975</v>
      </c>
      <c r="K495" s="67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2976</v>
      </c>
      <c r="D496" s="1" t="s">
        <v>3018</v>
      </c>
      <c r="E496" s="15" t="n">
        <v>46202</v>
      </c>
      <c r="F496" s="15" t="n">
        <v>46198</v>
      </c>
      <c r="G496" s="1" t="s">
        <v>258</v>
      </c>
      <c r="H496" s="1" t="n">
        <v>1325622</v>
      </c>
      <c r="I496" s="1" t="n">
        <v>1</v>
      </c>
      <c r="J496" s="1" t="s">
        <v>2975</v>
      </c>
      <c r="K496" s="67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2976</v>
      </c>
      <c r="D497" s="1" t="s">
        <v>3018</v>
      </c>
      <c r="E497" s="15" t="n">
        <v>46202</v>
      </c>
      <c r="F497" s="15" t="n">
        <v>46199</v>
      </c>
      <c r="G497" s="1" t="s">
        <v>258</v>
      </c>
      <c r="H497" s="1" t="n">
        <v>1322290</v>
      </c>
      <c r="I497" s="1" t="n">
        <v>1</v>
      </c>
      <c r="J497" s="1" t="s">
        <v>2975</v>
      </c>
      <c r="K497" s="67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2978</v>
      </c>
      <c r="D498" s="1" t="s">
        <v>3019</v>
      </c>
      <c r="E498" s="15" t="n">
        <v>46202</v>
      </c>
      <c r="F498" s="15" t="n">
        <v>46200</v>
      </c>
      <c r="G498" s="1" t="s">
        <v>703</v>
      </c>
      <c r="H498" s="1" t="n">
        <v>1323701</v>
      </c>
      <c r="I498" s="1" t="n">
        <v>1</v>
      </c>
      <c r="J498" s="1" t="s">
        <v>2975</v>
      </c>
      <c r="K498" s="67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2976</v>
      </c>
      <c r="D499" s="1" t="s">
        <v>3051</v>
      </c>
      <c r="E499" s="15" t="n">
        <v>46202</v>
      </c>
      <c r="F499" s="15" t="n">
        <v>46197</v>
      </c>
      <c r="G499" s="1" t="s">
        <v>244</v>
      </c>
      <c r="H499" s="1" t="n">
        <v>1322405</v>
      </c>
      <c r="I499" s="1" t="n">
        <v>1</v>
      </c>
      <c r="J499" s="1" t="s">
        <v>2975</v>
      </c>
      <c r="K499" s="67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2976</v>
      </c>
      <c r="D500" s="1" t="s">
        <v>3053</v>
      </c>
      <c r="E500" s="15" t="n">
        <v>46202</v>
      </c>
      <c r="F500" s="15" t="n">
        <v>46195</v>
      </c>
      <c r="G500" s="1" t="s">
        <v>628</v>
      </c>
      <c r="H500" s="1" t="n">
        <v>1323014</v>
      </c>
      <c r="I500" s="1" t="n">
        <v>3</v>
      </c>
      <c r="J500" s="1" t="s">
        <v>2975</v>
      </c>
      <c r="K500" s="67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2976</v>
      </c>
      <c r="D501" s="1" t="s">
        <v>2992</v>
      </c>
      <c r="E501" s="15" t="n">
        <v>46203</v>
      </c>
      <c r="F501" s="15" t="n">
        <v>46202</v>
      </c>
      <c r="G501" s="1" t="s">
        <v>161</v>
      </c>
      <c r="H501" s="1" t="n">
        <v>1330506</v>
      </c>
      <c r="I501" s="1" t="n">
        <v>1</v>
      </c>
      <c r="J501" s="1" t="s">
        <v>2975</v>
      </c>
      <c r="K501" s="67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2976</v>
      </c>
      <c r="D502" s="1" t="s">
        <v>3007</v>
      </c>
      <c r="E502" s="15" t="n">
        <v>46203</v>
      </c>
      <c r="F502" s="15" t="n">
        <v>46202</v>
      </c>
      <c r="G502" s="1" t="s">
        <v>159</v>
      </c>
      <c r="H502" s="1" t="n">
        <v>1331216</v>
      </c>
      <c r="I502" s="1" t="n">
        <v>1</v>
      </c>
      <c r="J502" s="1" t="s">
        <v>2975</v>
      </c>
      <c r="K502" s="67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2976</v>
      </c>
      <c r="D503" s="1" t="s">
        <v>2996</v>
      </c>
      <c r="E503" s="15" t="n">
        <v>46203</v>
      </c>
      <c r="F503" s="15" t="n">
        <v>46203</v>
      </c>
      <c r="G503" s="1" t="s">
        <v>221</v>
      </c>
      <c r="H503" s="1" t="n">
        <v>1330809</v>
      </c>
      <c r="I503" s="1" t="n">
        <v>1</v>
      </c>
      <c r="J503" s="1" t="s">
        <v>2975</v>
      </c>
      <c r="K503" s="67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2976</v>
      </c>
      <c r="D504" s="1" t="s">
        <v>2980</v>
      </c>
      <c r="E504" s="15" t="n">
        <v>46203</v>
      </c>
      <c r="F504" s="15" t="n">
        <v>46199</v>
      </c>
      <c r="G504" s="1" t="s">
        <v>325</v>
      </c>
      <c r="H504" s="1" t="n">
        <v>1330337</v>
      </c>
      <c r="I504" s="1" t="n">
        <v>1</v>
      </c>
      <c r="J504" s="1" t="s">
        <v>2975</v>
      </c>
      <c r="K504" s="67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2976</v>
      </c>
      <c r="D505" s="1" t="s">
        <v>2983</v>
      </c>
      <c r="E505" s="15" t="n">
        <v>46203</v>
      </c>
      <c r="F505" s="15" t="n">
        <v>46195</v>
      </c>
      <c r="G505" s="1" t="s">
        <v>540</v>
      </c>
      <c r="H505" s="1" t="n">
        <v>1329937</v>
      </c>
      <c r="I505" s="1" t="n">
        <v>1</v>
      </c>
      <c r="J505" s="1" t="s">
        <v>2975</v>
      </c>
      <c r="K505" s="67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2976</v>
      </c>
      <c r="D506" s="1" t="s">
        <v>3000</v>
      </c>
      <c r="E506" s="15" t="n">
        <v>46203</v>
      </c>
      <c r="F506" s="15" t="n">
        <v>46203</v>
      </c>
      <c r="G506" s="1" t="s">
        <v>155</v>
      </c>
      <c r="H506" s="1" t="n">
        <v>1331234</v>
      </c>
      <c r="I506" s="1" t="n">
        <v>1</v>
      </c>
      <c r="J506" s="1" t="s">
        <v>2975</v>
      </c>
      <c r="K506" s="67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2976</v>
      </c>
      <c r="D507" s="1" t="s">
        <v>2986</v>
      </c>
      <c r="E507" s="15" t="n">
        <v>46203</v>
      </c>
      <c r="F507" s="15" t="n">
        <v>46200</v>
      </c>
      <c r="G507" s="1" t="s">
        <v>211</v>
      </c>
      <c r="H507" s="1" t="n">
        <v>1329338</v>
      </c>
      <c r="I507" s="1" t="n">
        <v>1</v>
      </c>
      <c r="J507" s="1" t="s">
        <v>2975</v>
      </c>
      <c r="K507" s="67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2976</v>
      </c>
      <c r="D508" s="1" t="s">
        <v>2986</v>
      </c>
      <c r="E508" s="15" t="n">
        <v>46203</v>
      </c>
      <c r="F508" s="15" t="n">
        <v>46202</v>
      </c>
      <c r="G508" s="1" t="s">
        <v>211</v>
      </c>
      <c r="H508" s="1" t="n">
        <v>1329501</v>
      </c>
      <c r="I508" s="1" t="n">
        <v>1</v>
      </c>
      <c r="J508" s="1" t="s">
        <v>2975</v>
      </c>
      <c r="K508" s="67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2976</v>
      </c>
      <c r="D509" s="1" t="s">
        <v>2986</v>
      </c>
      <c r="E509" s="15" t="n">
        <v>46203</v>
      </c>
      <c r="F509" s="15" t="n">
        <v>46203</v>
      </c>
      <c r="G509" s="1" t="s">
        <v>211</v>
      </c>
      <c r="H509" s="1" t="n">
        <v>1330590</v>
      </c>
      <c r="I509" s="1" t="n">
        <v>1</v>
      </c>
      <c r="J509" s="1" t="s">
        <v>2975</v>
      </c>
      <c r="K509" s="67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2978</v>
      </c>
      <c r="D510" s="1" t="s">
        <v>3096</v>
      </c>
      <c r="E510" s="15" t="n">
        <v>46203</v>
      </c>
      <c r="F510" s="15" t="n">
        <v>46198</v>
      </c>
      <c r="G510" s="1" t="s">
        <v>189</v>
      </c>
      <c r="H510" s="1" t="n">
        <v>1330475</v>
      </c>
      <c r="I510" s="1" t="n">
        <v>1</v>
      </c>
      <c r="J510" s="1" t="s">
        <v>2975</v>
      </c>
      <c r="K510" s="67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2973</v>
      </c>
      <c r="D511" s="1" t="s">
        <v>3003</v>
      </c>
      <c r="E511" s="15" t="n">
        <v>46203</v>
      </c>
      <c r="F511" s="15" t="n">
        <v>46202</v>
      </c>
      <c r="G511" s="1" t="s">
        <v>74</v>
      </c>
      <c r="H511" s="1" t="n">
        <v>1331254</v>
      </c>
      <c r="I511" s="1" t="n">
        <v>1</v>
      </c>
      <c r="J511" s="1" t="s">
        <v>2975</v>
      </c>
      <c r="K511" s="67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2976</v>
      </c>
      <c r="D512" s="1" t="s">
        <v>2988</v>
      </c>
      <c r="E512" s="15" t="n">
        <v>46203</v>
      </c>
      <c r="F512" s="15" t="n">
        <v>46203</v>
      </c>
      <c r="G512" s="1" t="s">
        <v>70</v>
      </c>
      <c r="H512" s="1" t="n">
        <v>1329356</v>
      </c>
      <c r="I512" s="1" t="n">
        <v>2</v>
      </c>
      <c r="J512" s="1" t="s">
        <v>2975</v>
      </c>
      <c r="K512" s="67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2976</v>
      </c>
      <c r="D513" s="1" t="s">
        <v>2988</v>
      </c>
      <c r="E513" s="15" t="n">
        <v>46203</v>
      </c>
      <c r="F513" s="15" t="n">
        <v>46203</v>
      </c>
      <c r="G513" s="1" t="s">
        <v>70</v>
      </c>
      <c r="H513" s="1" t="n">
        <v>1329842</v>
      </c>
      <c r="I513" s="1" t="n">
        <v>2</v>
      </c>
      <c r="J513" s="1" t="s">
        <v>2975</v>
      </c>
      <c r="K513" s="67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2976</v>
      </c>
      <c r="D514" s="1" t="s">
        <v>2988</v>
      </c>
      <c r="E514" s="15" t="n">
        <v>46203</v>
      </c>
      <c r="F514" s="15" t="n">
        <v>46203</v>
      </c>
      <c r="G514" s="1" t="s">
        <v>70</v>
      </c>
      <c r="H514" s="1" t="n">
        <v>1330286</v>
      </c>
      <c r="I514" s="1" t="n">
        <v>2</v>
      </c>
      <c r="J514" s="1" t="s">
        <v>2975</v>
      </c>
      <c r="K514" s="67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2976</v>
      </c>
      <c r="D515" s="1" t="s">
        <v>2988</v>
      </c>
      <c r="E515" s="15" t="n">
        <v>46203</v>
      </c>
      <c r="F515" s="15" t="n">
        <v>46203</v>
      </c>
      <c r="G515" s="1" t="s">
        <v>70</v>
      </c>
      <c r="H515" s="1" t="n">
        <v>1330547</v>
      </c>
      <c r="I515" s="1" t="n">
        <v>2</v>
      </c>
      <c r="J515" s="1" t="s">
        <v>2975</v>
      </c>
      <c r="K515" s="67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2976</v>
      </c>
      <c r="D516" s="1" t="s">
        <v>2988</v>
      </c>
      <c r="E516" s="15" t="n">
        <v>46203</v>
      </c>
      <c r="F516" s="15" t="n">
        <v>46203</v>
      </c>
      <c r="G516" s="1" t="s">
        <v>70</v>
      </c>
      <c r="H516" s="1" t="n">
        <v>1329372</v>
      </c>
      <c r="I516" s="1" t="n">
        <v>6</v>
      </c>
      <c r="J516" s="1" t="s">
        <v>2975</v>
      </c>
      <c r="K516" s="67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2976</v>
      </c>
      <c r="D517" s="1" t="s">
        <v>2988</v>
      </c>
      <c r="E517" s="15" t="n">
        <v>46203</v>
      </c>
      <c r="F517" s="15" t="n">
        <v>46203</v>
      </c>
      <c r="G517" s="1" t="s">
        <v>70</v>
      </c>
      <c r="H517" s="1" t="n">
        <v>1329846</v>
      </c>
      <c r="I517" s="1" t="n">
        <v>6</v>
      </c>
      <c r="J517" s="1" t="s">
        <v>2975</v>
      </c>
      <c r="K517" s="67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2976</v>
      </c>
      <c r="D518" s="1" t="s">
        <v>2988</v>
      </c>
      <c r="E518" s="15" t="n">
        <v>46203</v>
      </c>
      <c r="F518" s="15" t="n">
        <v>46203</v>
      </c>
      <c r="G518" s="1" t="s">
        <v>70</v>
      </c>
      <c r="H518" s="1" t="n">
        <v>1330289</v>
      </c>
      <c r="I518" s="1" t="n">
        <v>6</v>
      </c>
      <c r="J518" s="1" t="s">
        <v>2975</v>
      </c>
      <c r="K518" s="67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2976</v>
      </c>
      <c r="D519" s="1" t="s">
        <v>2988</v>
      </c>
      <c r="E519" s="15" t="n">
        <v>46203</v>
      </c>
      <c r="F519" s="15" t="n">
        <v>46203</v>
      </c>
      <c r="G519" s="1" t="s">
        <v>70</v>
      </c>
      <c r="H519" s="1" t="n">
        <v>1330575</v>
      </c>
      <c r="I519" s="1" t="n">
        <v>6</v>
      </c>
      <c r="J519" s="1" t="s">
        <v>2975</v>
      </c>
      <c r="K519" s="67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2976</v>
      </c>
      <c r="D520" s="1" t="s">
        <v>2988</v>
      </c>
      <c r="E520" s="15" t="n">
        <v>46203</v>
      </c>
      <c r="F520" s="15" t="n">
        <v>46203</v>
      </c>
      <c r="G520" s="1" t="s">
        <v>70</v>
      </c>
      <c r="H520" s="1" t="n">
        <v>1330729</v>
      </c>
      <c r="I520" s="1" t="n">
        <v>6</v>
      </c>
      <c r="J520" s="1" t="s">
        <v>2975</v>
      </c>
      <c r="K520" s="67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2976</v>
      </c>
      <c r="D521" s="1" t="s">
        <v>2988</v>
      </c>
      <c r="E521" s="15" t="n">
        <v>46203</v>
      </c>
      <c r="F521" s="15" t="n">
        <v>46203</v>
      </c>
      <c r="G521" s="1" t="s">
        <v>70</v>
      </c>
      <c r="H521" s="1" t="n">
        <v>1330722</v>
      </c>
      <c r="I521" s="1" t="n">
        <v>2</v>
      </c>
      <c r="J521" s="1" t="s">
        <v>2975</v>
      </c>
      <c r="K521" s="67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2976</v>
      </c>
      <c r="D522" s="1" t="s">
        <v>3020</v>
      </c>
      <c r="E522" s="15" t="n">
        <v>46203</v>
      </c>
      <c r="F522" s="15" t="n">
        <v>46203</v>
      </c>
      <c r="G522" s="1" t="s">
        <v>78</v>
      </c>
      <c r="H522" s="1" t="n">
        <v>1331169</v>
      </c>
      <c r="I522" s="1" t="n">
        <v>1</v>
      </c>
      <c r="J522" s="1" t="s">
        <v>2975</v>
      </c>
      <c r="K522" s="67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2978</v>
      </c>
      <c r="D523" s="1" t="s">
        <v>2991</v>
      </c>
      <c r="E523" s="15" t="n">
        <v>46203</v>
      </c>
      <c r="F523" s="15" t="n">
        <v>46203</v>
      </c>
      <c r="G523" s="1" t="s">
        <v>961</v>
      </c>
      <c r="H523" s="1" t="n">
        <v>1331159</v>
      </c>
      <c r="I523" s="1" t="n">
        <v>1</v>
      </c>
      <c r="J523" s="1" t="s">
        <v>2975</v>
      </c>
      <c r="K523" s="67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2976</v>
      </c>
      <c r="D524" s="1" t="s">
        <v>3063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2975</v>
      </c>
      <c r="K524" s="67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3035</v>
      </c>
      <c r="D525" s="1" t="s">
        <v>3036</v>
      </c>
      <c r="E525" s="15" t="n">
        <v>46204</v>
      </c>
      <c r="F525" s="15" t="n">
        <v>46198</v>
      </c>
      <c r="G525" s="1" t="s">
        <v>148</v>
      </c>
      <c r="H525" s="1" t="n">
        <v>1334185</v>
      </c>
      <c r="I525" s="1" t="n">
        <v>1</v>
      </c>
      <c r="J525" s="1" t="s">
        <v>2975</v>
      </c>
      <c r="K525" s="67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3016</v>
      </c>
      <c r="D526" s="1" t="s">
        <v>3036</v>
      </c>
      <c r="E526" s="15" t="n">
        <v>46204</v>
      </c>
      <c r="F526" s="15" t="n">
        <v>46198</v>
      </c>
      <c r="G526" s="1" t="s">
        <v>148</v>
      </c>
      <c r="H526" s="1" t="n">
        <v>1334190</v>
      </c>
      <c r="I526" s="1" t="n">
        <v>1</v>
      </c>
      <c r="J526" s="1" t="s">
        <v>2975</v>
      </c>
      <c r="K526" s="67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2976</v>
      </c>
      <c r="D527" s="1" t="s">
        <v>2995</v>
      </c>
      <c r="E527" s="15" t="n">
        <v>46204</v>
      </c>
      <c r="F527" s="15" t="n">
        <v>46204</v>
      </c>
      <c r="G527" s="1" t="s">
        <v>264</v>
      </c>
      <c r="H527" s="1" t="n">
        <v>1335893</v>
      </c>
      <c r="I527" s="1" t="n">
        <v>1</v>
      </c>
      <c r="J527" s="1" t="s">
        <v>2975</v>
      </c>
      <c r="K527" s="67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2976</v>
      </c>
      <c r="D528" s="1" t="s">
        <v>3049</v>
      </c>
      <c r="E528" s="15" t="n">
        <v>46204</v>
      </c>
      <c r="F528" s="15" t="n">
        <v>46202</v>
      </c>
      <c r="G528" s="1" t="s">
        <v>608</v>
      </c>
      <c r="H528" s="1" t="n">
        <v>1334239</v>
      </c>
      <c r="I528" s="1" t="n">
        <v>3</v>
      </c>
      <c r="J528" s="1" t="s">
        <v>2975</v>
      </c>
      <c r="K528" s="67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2976</v>
      </c>
      <c r="D529" s="1" t="s">
        <v>2997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2975</v>
      </c>
      <c r="K529" s="67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2976</v>
      </c>
      <c r="D530" s="1" t="s">
        <v>2997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2975</v>
      </c>
      <c r="K530" s="67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2973</v>
      </c>
      <c r="D531" s="1" t="s">
        <v>2999</v>
      </c>
      <c r="E531" s="15" t="n">
        <v>46204</v>
      </c>
      <c r="F531" s="15" t="n">
        <v>46202</v>
      </c>
      <c r="G531" s="1" t="s">
        <v>76</v>
      </c>
      <c r="H531" s="1" t="n">
        <v>1334025</v>
      </c>
      <c r="I531" s="1" t="n">
        <v>1</v>
      </c>
      <c r="J531" s="1" t="s">
        <v>2975</v>
      </c>
      <c r="K531" s="67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2976</v>
      </c>
      <c r="D532" s="1" t="s">
        <v>3027</v>
      </c>
      <c r="E532" s="15" t="n">
        <v>46204</v>
      </c>
      <c r="F532" s="15" t="n">
        <v>46202</v>
      </c>
      <c r="G532" s="1" t="s">
        <v>371</v>
      </c>
      <c r="H532" s="1" t="n">
        <v>1334706</v>
      </c>
      <c r="I532" s="1" t="n">
        <v>1</v>
      </c>
      <c r="J532" s="1" t="s">
        <v>2975</v>
      </c>
      <c r="K532" s="67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3016</v>
      </c>
      <c r="D533" s="1" t="s">
        <v>3017</v>
      </c>
      <c r="E533" s="15" t="n">
        <v>46204</v>
      </c>
      <c r="F533" s="15" t="n">
        <v>46203</v>
      </c>
      <c r="G533" s="1" t="s">
        <v>144</v>
      </c>
      <c r="H533" s="1" t="n">
        <v>1333931</v>
      </c>
      <c r="I533" s="1" t="n">
        <v>1</v>
      </c>
      <c r="J533" s="1" t="s">
        <v>2975</v>
      </c>
      <c r="K533" s="67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2978</v>
      </c>
      <c r="D534" s="1" t="s">
        <v>3059</v>
      </c>
      <c r="E534" s="15" t="n">
        <v>46204</v>
      </c>
      <c r="F534" s="15" t="n">
        <v>46200</v>
      </c>
      <c r="G534" s="1" t="s">
        <v>130</v>
      </c>
      <c r="H534" s="1" t="n">
        <v>1335361</v>
      </c>
      <c r="I534" s="1" t="n">
        <v>1</v>
      </c>
      <c r="J534" s="1" t="s">
        <v>2975</v>
      </c>
      <c r="K534" s="67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2973</v>
      </c>
      <c r="D535" s="1" t="s">
        <v>3003</v>
      </c>
      <c r="E535" s="15" t="n">
        <v>46204</v>
      </c>
      <c r="F535" s="15" t="n">
        <v>46202</v>
      </c>
      <c r="G535" s="1" t="s">
        <v>74</v>
      </c>
      <c r="H535" s="1" t="n">
        <v>1333858</v>
      </c>
      <c r="I535" s="1" t="n">
        <v>1</v>
      </c>
      <c r="J535" s="1" t="s">
        <v>2975</v>
      </c>
      <c r="K535" s="67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2976</v>
      </c>
      <c r="D536" s="1" t="s">
        <v>3111</v>
      </c>
      <c r="E536" s="15" t="n">
        <v>46204</v>
      </c>
      <c r="F536" s="15" t="n">
        <v>46203</v>
      </c>
      <c r="G536" s="1" t="s">
        <v>182</v>
      </c>
      <c r="H536" s="1" t="n">
        <v>1335231</v>
      </c>
      <c r="I536" s="1" t="n">
        <v>1</v>
      </c>
      <c r="J536" s="1" t="s">
        <v>2975</v>
      </c>
      <c r="K536" s="67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2976</v>
      </c>
      <c r="D537" s="1" t="s">
        <v>3028</v>
      </c>
      <c r="E537" s="15" t="n">
        <v>46204</v>
      </c>
      <c r="F537" s="15" t="n">
        <v>46202</v>
      </c>
      <c r="G537" s="1" t="s">
        <v>321</v>
      </c>
      <c r="H537" s="1" t="n">
        <v>1333866</v>
      </c>
      <c r="I537" s="1" t="n">
        <v>1</v>
      </c>
      <c r="J537" s="1" t="s">
        <v>2975</v>
      </c>
      <c r="K537" s="67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2976</v>
      </c>
      <c r="D538" s="1" t="s">
        <v>2989</v>
      </c>
      <c r="E538" s="15" t="n">
        <v>46204</v>
      </c>
      <c r="F538" s="15" t="n">
        <v>46203</v>
      </c>
      <c r="G538" s="1" t="s">
        <v>157</v>
      </c>
      <c r="H538" s="1" t="n">
        <v>1335621</v>
      </c>
      <c r="I538" s="1" t="n">
        <v>1</v>
      </c>
      <c r="J538" s="1" t="s">
        <v>2975</v>
      </c>
      <c r="K538" s="67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2976</v>
      </c>
      <c r="D539" s="1" t="s">
        <v>2989</v>
      </c>
      <c r="E539" s="15" t="n">
        <v>46204</v>
      </c>
      <c r="F539" s="15" t="n">
        <v>46203</v>
      </c>
      <c r="G539" s="1" t="s">
        <v>157</v>
      </c>
      <c r="H539" s="1" t="n">
        <v>1335562</v>
      </c>
      <c r="I539" s="1" t="n">
        <v>1</v>
      </c>
      <c r="J539" s="1" t="s">
        <v>2975</v>
      </c>
      <c r="K539" s="67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2976</v>
      </c>
      <c r="D540" s="1" t="s">
        <v>3053</v>
      </c>
      <c r="E540" s="15" t="n">
        <v>46204</v>
      </c>
      <c r="F540" s="15" t="n">
        <v>46202</v>
      </c>
      <c r="G540" s="1" t="s">
        <v>628</v>
      </c>
      <c r="H540" s="1" t="n">
        <v>1334301</v>
      </c>
      <c r="I540" s="1" t="n">
        <v>3</v>
      </c>
      <c r="J540" s="1" t="s">
        <v>2975</v>
      </c>
      <c r="K540" s="67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2978</v>
      </c>
      <c r="D541" s="1" t="s">
        <v>3082</v>
      </c>
      <c r="E541" s="15" t="n">
        <v>46204</v>
      </c>
      <c r="F541" s="15" t="n">
        <v>46199</v>
      </c>
      <c r="G541" s="1" t="s">
        <v>373</v>
      </c>
      <c r="H541" s="1" t="n">
        <v>1334569</v>
      </c>
      <c r="I541" s="1" t="n">
        <v>1</v>
      </c>
      <c r="J541" s="1" t="s">
        <v>2975</v>
      </c>
      <c r="K541" s="67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2973</v>
      </c>
      <c r="D542" s="1" t="s">
        <v>3010</v>
      </c>
      <c r="E542" s="15" t="n">
        <v>46204</v>
      </c>
      <c r="F542" s="15" t="n">
        <v>46202</v>
      </c>
      <c r="G542" s="1" t="s">
        <v>319</v>
      </c>
      <c r="H542" s="1" t="n">
        <v>1333888</v>
      </c>
      <c r="I542" s="1" t="n">
        <v>1</v>
      </c>
      <c r="J542" s="1" t="s">
        <v>2975</v>
      </c>
      <c r="K542" s="67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2976</v>
      </c>
      <c r="D543" s="1" t="s">
        <v>3112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2975</v>
      </c>
      <c r="K543" s="67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2976</v>
      </c>
      <c r="D544" s="1" t="s">
        <v>3113</v>
      </c>
      <c r="E544" s="15" t="n">
        <v>46205</v>
      </c>
      <c r="F544" s="15" t="n">
        <v>46204</v>
      </c>
      <c r="G544" s="1" t="s">
        <v>2083</v>
      </c>
      <c r="H544" s="1" t="n">
        <v>1339593</v>
      </c>
      <c r="I544" s="1" t="n">
        <v>35</v>
      </c>
      <c r="J544" s="1" t="s">
        <v>2975</v>
      </c>
      <c r="K544" s="67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2976</v>
      </c>
      <c r="D545" s="1" t="s">
        <v>2993</v>
      </c>
      <c r="E545" s="15" t="n">
        <v>46205</v>
      </c>
      <c r="F545" s="15" t="n">
        <v>46204</v>
      </c>
      <c r="G545" s="1" t="s">
        <v>328</v>
      </c>
      <c r="H545" s="1" t="n">
        <v>1340368</v>
      </c>
      <c r="I545" s="1" t="n">
        <v>1</v>
      </c>
      <c r="J545" s="1" t="s">
        <v>2975</v>
      </c>
      <c r="K545" s="67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2976</v>
      </c>
      <c r="D546" s="1" t="s">
        <v>3073</v>
      </c>
      <c r="E546" s="15" t="n">
        <v>46205</v>
      </c>
      <c r="F546" s="15" t="n">
        <v>46205</v>
      </c>
      <c r="G546" s="1" t="s">
        <v>238</v>
      </c>
      <c r="H546" s="1" t="n">
        <v>1341594</v>
      </c>
      <c r="I546" s="1" t="n">
        <v>1</v>
      </c>
      <c r="J546" s="1" t="s">
        <v>2975</v>
      </c>
      <c r="K546" s="67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2976</v>
      </c>
      <c r="D547" s="1" t="s">
        <v>2998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2975</v>
      </c>
      <c r="K547" s="67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2976</v>
      </c>
      <c r="D548" s="1" t="s">
        <v>3114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2975</v>
      </c>
      <c r="K548" s="67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2978</v>
      </c>
      <c r="D549" s="1" t="s">
        <v>3115</v>
      </c>
      <c r="E549" s="15" t="n">
        <v>46205</v>
      </c>
      <c r="F549" s="15" t="n">
        <v>46190</v>
      </c>
      <c r="G549" s="1" t="s">
        <v>433</v>
      </c>
      <c r="H549" s="1" t="n">
        <v>1339427</v>
      </c>
      <c r="I549" s="1" t="n">
        <v>39</v>
      </c>
      <c r="J549" s="1" t="s">
        <v>2975</v>
      </c>
      <c r="K549" s="67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2976</v>
      </c>
      <c r="D550" s="1" t="s">
        <v>3116</v>
      </c>
      <c r="E550" s="15" t="n">
        <v>46205</v>
      </c>
      <c r="F550" s="15" t="n">
        <v>46190</v>
      </c>
      <c r="G550" s="1" t="s">
        <v>80</v>
      </c>
      <c r="H550" s="1" t="n">
        <v>1341229</v>
      </c>
      <c r="I550" s="1" t="n">
        <v>1</v>
      </c>
      <c r="J550" s="1" t="s">
        <v>2975</v>
      </c>
      <c r="K550" s="67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2976</v>
      </c>
      <c r="D551" s="1" t="s">
        <v>3081</v>
      </c>
      <c r="E551" s="15" t="n">
        <v>46205</v>
      </c>
      <c r="F551" s="15" t="n">
        <v>46203</v>
      </c>
      <c r="G551" s="1" t="s">
        <v>201</v>
      </c>
      <c r="H551" s="1" t="n">
        <v>1340832</v>
      </c>
      <c r="I551" s="1" t="n">
        <v>1</v>
      </c>
      <c r="J551" s="1" t="s">
        <v>2975</v>
      </c>
      <c r="K551" s="67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2976</v>
      </c>
      <c r="D552" s="1" t="s">
        <v>3081</v>
      </c>
      <c r="E552" s="15" t="n">
        <v>46205</v>
      </c>
      <c r="F552" s="15" t="n">
        <v>46203</v>
      </c>
      <c r="G552" s="1" t="s">
        <v>201</v>
      </c>
      <c r="H552" s="1" t="n">
        <v>1340751</v>
      </c>
      <c r="I552" s="1" t="n">
        <v>1</v>
      </c>
      <c r="J552" s="1" t="s">
        <v>2975</v>
      </c>
      <c r="K552" s="67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2976</v>
      </c>
      <c r="D553" s="1" t="s">
        <v>3117</v>
      </c>
      <c r="E553" s="15" t="n">
        <v>46205</v>
      </c>
      <c r="F553" s="15" t="n">
        <v>46203</v>
      </c>
      <c r="G553" s="1" t="s">
        <v>1413</v>
      </c>
      <c r="H553" s="1" t="n">
        <v>1340626</v>
      </c>
      <c r="I553" s="1" t="n">
        <v>1</v>
      </c>
      <c r="J553" s="1" t="s">
        <v>2975</v>
      </c>
      <c r="K553" s="67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2976</v>
      </c>
      <c r="D554" s="1" t="s">
        <v>3002</v>
      </c>
      <c r="E554" s="15" t="n">
        <v>46205</v>
      </c>
      <c r="F554" s="15" t="n">
        <v>46204</v>
      </c>
      <c r="G554" s="1" t="s">
        <v>323</v>
      </c>
      <c r="H554" s="1" t="n">
        <v>1340407</v>
      </c>
      <c r="I554" s="1" t="n">
        <v>1</v>
      </c>
      <c r="J554" s="1" t="s">
        <v>2975</v>
      </c>
      <c r="K554" s="67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2976</v>
      </c>
      <c r="D555" s="1" t="s">
        <v>3018</v>
      </c>
      <c r="E555" s="15" t="n">
        <v>46205</v>
      </c>
      <c r="F555" s="15" t="n">
        <v>46205</v>
      </c>
      <c r="G555" s="1" t="s">
        <v>258</v>
      </c>
      <c r="H555" s="1" t="n">
        <v>1340464</v>
      </c>
      <c r="I555" s="1" t="n">
        <v>1</v>
      </c>
      <c r="J555" s="1" t="s">
        <v>2975</v>
      </c>
      <c r="K555" s="67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2976</v>
      </c>
      <c r="D556" s="1" t="s">
        <v>2988</v>
      </c>
      <c r="E556" s="15" t="n">
        <v>46205</v>
      </c>
      <c r="F556" s="15" t="n">
        <v>46205</v>
      </c>
      <c r="G556" s="1" t="s">
        <v>70</v>
      </c>
      <c r="H556" s="1" t="n">
        <v>1339660</v>
      </c>
      <c r="I556" s="1" t="n">
        <v>2</v>
      </c>
      <c r="J556" s="1" t="s">
        <v>2975</v>
      </c>
      <c r="K556" s="67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2976</v>
      </c>
      <c r="D557" s="1" t="s">
        <v>2988</v>
      </c>
      <c r="E557" s="15" t="n">
        <v>46205</v>
      </c>
      <c r="F557" s="15" t="n">
        <v>46205</v>
      </c>
      <c r="G557" s="1" t="s">
        <v>70</v>
      </c>
      <c r="H557" s="1" t="n">
        <v>1339663</v>
      </c>
      <c r="I557" s="1" t="n">
        <v>6</v>
      </c>
      <c r="J557" s="1" t="s">
        <v>2975</v>
      </c>
      <c r="K557" s="67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2976</v>
      </c>
      <c r="D558" s="1" t="s">
        <v>2988</v>
      </c>
      <c r="E558" s="15" t="n">
        <v>46205</v>
      </c>
      <c r="F558" s="15" t="n">
        <v>46205</v>
      </c>
      <c r="G558" s="1" t="s">
        <v>70</v>
      </c>
      <c r="H558" s="1" t="n">
        <v>1339711</v>
      </c>
      <c r="I558" s="1" t="n">
        <v>6</v>
      </c>
      <c r="J558" s="1" t="s">
        <v>2975</v>
      </c>
      <c r="K558" s="67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2976</v>
      </c>
      <c r="D559" s="1" t="s">
        <v>2988</v>
      </c>
      <c r="E559" s="15" t="n">
        <v>46205</v>
      </c>
      <c r="F559" s="15" t="n">
        <v>46205</v>
      </c>
      <c r="G559" s="1" t="s">
        <v>70</v>
      </c>
      <c r="H559" s="1" t="n">
        <v>1340357</v>
      </c>
      <c r="I559" s="1" t="n">
        <v>6</v>
      </c>
      <c r="J559" s="1" t="s">
        <v>2975</v>
      </c>
      <c r="K559" s="67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2976</v>
      </c>
      <c r="D560" s="1" t="s">
        <v>2988</v>
      </c>
      <c r="E560" s="15" t="n">
        <v>46205</v>
      </c>
      <c r="F560" s="15" t="n">
        <v>46205</v>
      </c>
      <c r="G560" s="1" t="s">
        <v>70</v>
      </c>
      <c r="H560" s="1" t="n">
        <v>1339700</v>
      </c>
      <c r="I560" s="1" t="n">
        <v>2</v>
      </c>
      <c r="J560" s="1" t="s">
        <v>2975</v>
      </c>
      <c r="K560" s="67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2976</v>
      </c>
      <c r="D561" s="1" t="s">
        <v>2988</v>
      </c>
      <c r="E561" s="15" t="n">
        <v>46205</v>
      </c>
      <c r="F561" s="15" t="n">
        <v>46205</v>
      </c>
      <c r="G561" s="1" t="s">
        <v>70</v>
      </c>
      <c r="H561" s="1" t="n">
        <v>1340348</v>
      </c>
      <c r="I561" s="1" t="n">
        <v>2</v>
      </c>
      <c r="J561" s="1" t="s">
        <v>2975</v>
      </c>
      <c r="K561" s="67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2976</v>
      </c>
      <c r="D562" s="1" t="s">
        <v>3005</v>
      </c>
      <c r="E562" s="15" t="n">
        <v>46206</v>
      </c>
      <c r="F562" s="15" t="n">
        <v>46206</v>
      </c>
      <c r="G562" s="1" t="s">
        <v>3006</v>
      </c>
      <c r="H562" s="1" t="n">
        <v>1370315</v>
      </c>
      <c r="I562" s="1" t="n">
        <v>1</v>
      </c>
      <c r="J562" s="1" t="s">
        <v>2975</v>
      </c>
      <c r="K562" s="67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2976</v>
      </c>
      <c r="D563" s="1" t="s">
        <v>2993</v>
      </c>
      <c r="E563" s="15" t="n">
        <v>46206</v>
      </c>
      <c r="F563" s="15" t="n">
        <v>46206</v>
      </c>
      <c r="G563" s="1" t="s">
        <v>328</v>
      </c>
      <c r="H563" s="1" t="n">
        <v>1345994</v>
      </c>
      <c r="I563" s="1" t="n">
        <v>1</v>
      </c>
      <c r="J563" s="1" t="s">
        <v>2975</v>
      </c>
      <c r="K563" s="67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2973</v>
      </c>
      <c r="D564" s="1" t="s">
        <v>3118</v>
      </c>
      <c r="E564" s="15" t="n">
        <v>46206</v>
      </c>
      <c r="F564" s="15" t="n">
        <v>46204</v>
      </c>
      <c r="G564" s="1" t="s">
        <v>366</v>
      </c>
      <c r="H564" s="1" t="n">
        <v>1344279</v>
      </c>
      <c r="I564" s="1" t="n">
        <v>1</v>
      </c>
      <c r="J564" s="1" t="s">
        <v>2975</v>
      </c>
      <c r="K564" s="67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2973</v>
      </c>
      <c r="D565" s="1" t="s">
        <v>3118</v>
      </c>
      <c r="E565" s="15" t="n">
        <v>46206</v>
      </c>
      <c r="F565" s="15" t="n">
        <v>46204</v>
      </c>
      <c r="G565" s="1" t="s">
        <v>366</v>
      </c>
      <c r="H565" s="1" t="n">
        <v>1344526</v>
      </c>
      <c r="I565" s="1" t="n">
        <v>1</v>
      </c>
      <c r="J565" s="1" t="s">
        <v>2975</v>
      </c>
      <c r="K565" s="67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2973</v>
      </c>
      <c r="D566" s="1" t="s">
        <v>2994</v>
      </c>
      <c r="E566" s="15" t="n">
        <v>46206</v>
      </c>
      <c r="F566" s="15" t="n">
        <v>46205</v>
      </c>
      <c r="G566" s="1" t="s">
        <v>66</v>
      </c>
      <c r="H566" s="1" t="n">
        <v>1346045</v>
      </c>
      <c r="I566" s="1" t="n">
        <v>1</v>
      </c>
      <c r="J566" s="1" t="s">
        <v>2975</v>
      </c>
      <c r="K566" s="67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2976</v>
      </c>
      <c r="D567" s="1" t="s">
        <v>2995</v>
      </c>
      <c r="E567" s="15" t="n">
        <v>46206</v>
      </c>
      <c r="F567" s="15" t="n">
        <v>46205</v>
      </c>
      <c r="G567" s="1" t="s">
        <v>264</v>
      </c>
      <c r="H567" s="1" t="n">
        <v>1345749</v>
      </c>
      <c r="I567" s="1" t="n">
        <v>1</v>
      </c>
      <c r="J567" s="1" t="s">
        <v>2975</v>
      </c>
      <c r="K567" s="67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2976</v>
      </c>
      <c r="D568" s="1" t="s">
        <v>2996</v>
      </c>
      <c r="E568" s="15" t="n">
        <v>46206</v>
      </c>
      <c r="F568" s="15" t="n">
        <v>46206</v>
      </c>
      <c r="G568" s="1" t="s">
        <v>221</v>
      </c>
      <c r="H568" s="1" t="n">
        <v>1345556</v>
      </c>
      <c r="I568" s="1" t="n">
        <v>1</v>
      </c>
      <c r="J568" s="1" t="s">
        <v>2975</v>
      </c>
      <c r="K568" s="67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2976</v>
      </c>
      <c r="D569" s="1" t="s">
        <v>2997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2975</v>
      </c>
      <c r="K569" s="67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2973</v>
      </c>
      <c r="D570" s="1" t="s">
        <v>2984</v>
      </c>
      <c r="E570" s="15" t="n">
        <v>46206</v>
      </c>
      <c r="F570" s="15" t="n">
        <v>46206</v>
      </c>
      <c r="G570" s="1" t="s">
        <v>97</v>
      </c>
      <c r="H570" s="1" t="n">
        <v>1370269</v>
      </c>
      <c r="I570" s="1" t="n">
        <v>1</v>
      </c>
      <c r="J570" s="1" t="s">
        <v>2975</v>
      </c>
      <c r="K570" s="67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2976</v>
      </c>
      <c r="D571" s="1" t="s">
        <v>3083</v>
      </c>
      <c r="E571" s="15" t="n">
        <v>46206</v>
      </c>
      <c r="F571" s="15" t="n">
        <v>46205</v>
      </c>
      <c r="G571" s="1" t="s">
        <v>770</v>
      </c>
      <c r="H571" s="1" t="n">
        <v>1343917</v>
      </c>
      <c r="I571" s="1" t="n">
        <v>1</v>
      </c>
      <c r="J571" s="1" t="s">
        <v>2975</v>
      </c>
      <c r="K571" s="67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2976</v>
      </c>
      <c r="D572" s="1" t="s">
        <v>3000</v>
      </c>
      <c r="E572" s="15" t="n">
        <v>46206</v>
      </c>
      <c r="F572" s="15" t="n">
        <v>46205</v>
      </c>
      <c r="G572" s="1" t="s">
        <v>155</v>
      </c>
      <c r="H572" s="1" t="n">
        <v>1346072</v>
      </c>
      <c r="I572" s="1" t="n">
        <v>1</v>
      </c>
      <c r="J572" s="1" t="s">
        <v>2975</v>
      </c>
      <c r="K572" s="67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2976</v>
      </c>
      <c r="D573" s="1" t="s">
        <v>3015</v>
      </c>
      <c r="E573" s="15" t="n">
        <v>46206</v>
      </c>
      <c r="F573" s="15" t="n">
        <v>46205</v>
      </c>
      <c r="G573" s="1" t="s">
        <v>278</v>
      </c>
      <c r="H573" s="1" t="n">
        <v>1346095</v>
      </c>
      <c r="I573" s="1" t="n">
        <v>1</v>
      </c>
      <c r="J573" s="1" t="s">
        <v>2975</v>
      </c>
      <c r="K573" s="67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2976</v>
      </c>
      <c r="D574" s="1" t="s">
        <v>3116</v>
      </c>
      <c r="E574" s="15" t="n">
        <v>46206</v>
      </c>
      <c r="F574" s="15" t="n">
        <v>46203</v>
      </c>
      <c r="G574" s="1" t="s">
        <v>80</v>
      </c>
      <c r="H574" s="1" t="n">
        <v>1344964</v>
      </c>
      <c r="I574" s="1" t="n">
        <v>1</v>
      </c>
      <c r="J574" s="1" t="s">
        <v>2975</v>
      </c>
      <c r="K574" s="67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2976</v>
      </c>
      <c r="D575" s="1" t="s">
        <v>2986</v>
      </c>
      <c r="E575" s="15" t="n">
        <v>46206</v>
      </c>
      <c r="F575" s="15" t="n">
        <v>46206</v>
      </c>
      <c r="G575" s="1" t="s">
        <v>211</v>
      </c>
      <c r="H575" s="1" t="n">
        <v>1345941</v>
      </c>
      <c r="I575" s="1" t="n">
        <v>1</v>
      </c>
      <c r="J575" s="1" t="s">
        <v>2975</v>
      </c>
      <c r="K575" s="67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2973</v>
      </c>
      <c r="D576" s="1" t="s">
        <v>3003</v>
      </c>
      <c r="E576" s="15" t="n">
        <v>46206</v>
      </c>
      <c r="F576" s="15" t="n">
        <v>46203</v>
      </c>
      <c r="G576" s="1" t="s">
        <v>74</v>
      </c>
      <c r="H576" s="1" t="n">
        <v>1343556</v>
      </c>
      <c r="I576" s="1" t="n">
        <v>1</v>
      </c>
      <c r="J576" s="1" t="s">
        <v>2975</v>
      </c>
      <c r="K576" s="67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2973</v>
      </c>
      <c r="D577" s="1" t="s">
        <v>3003</v>
      </c>
      <c r="E577" s="15" t="n">
        <v>46206</v>
      </c>
      <c r="F577" s="15" t="n">
        <v>46205</v>
      </c>
      <c r="G577" s="1" t="s">
        <v>74</v>
      </c>
      <c r="H577" s="1" t="n">
        <v>1343884</v>
      </c>
      <c r="I577" s="1" t="n">
        <v>1</v>
      </c>
      <c r="J577" s="1" t="s">
        <v>2975</v>
      </c>
      <c r="K577" s="67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2973</v>
      </c>
      <c r="D578" s="1" t="s">
        <v>3003</v>
      </c>
      <c r="E578" s="15" t="n">
        <v>46206</v>
      </c>
      <c r="F578" s="15" t="n">
        <v>46205</v>
      </c>
      <c r="G578" s="1" t="s">
        <v>74</v>
      </c>
      <c r="H578" s="1" t="n">
        <v>1343853</v>
      </c>
      <c r="I578" s="1" t="n">
        <v>1</v>
      </c>
      <c r="J578" s="1" t="s">
        <v>2975</v>
      </c>
      <c r="K578" s="67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2973</v>
      </c>
      <c r="D579" s="1" t="s">
        <v>3003</v>
      </c>
      <c r="E579" s="15" t="n">
        <v>46206</v>
      </c>
      <c r="F579" s="15" t="n">
        <v>46205</v>
      </c>
      <c r="G579" s="1" t="s">
        <v>74</v>
      </c>
      <c r="H579" s="1" t="n">
        <v>1343872</v>
      </c>
      <c r="I579" s="1" t="n">
        <v>1</v>
      </c>
      <c r="J579" s="1" t="s">
        <v>2975</v>
      </c>
      <c r="K579" s="67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2976</v>
      </c>
      <c r="D580" s="1" t="s">
        <v>2988</v>
      </c>
      <c r="E580" s="15" t="n">
        <v>46206</v>
      </c>
      <c r="F580" s="15" t="n">
        <v>46206</v>
      </c>
      <c r="G580" s="1" t="s">
        <v>70</v>
      </c>
      <c r="H580" s="1" t="n">
        <v>1345323</v>
      </c>
      <c r="I580" s="1" t="n">
        <v>2</v>
      </c>
      <c r="J580" s="1" t="s">
        <v>2975</v>
      </c>
      <c r="K580" s="67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2976</v>
      </c>
      <c r="D581" s="1" t="s">
        <v>2988</v>
      </c>
      <c r="E581" s="15" t="n">
        <v>46206</v>
      </c>
      <c r="F581" s="15" t="n">
        <v>46206</v>
      </c>
      <c r="G581" s="1" t="s">
        <v>70</v>
      </c>
      <c r="H581" s="1" t="n">
        <v>1345211</v>
      </c>
      <c r="I581" s="1" t="n">
        <v>2</v>
      </c>
      <c r="J581" s="1" t="s">
        <v>2975</v>
      </c>
      <c r="K581" s="67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2976</v>
      </c>
      <c r="D582" s="1" t="s">
        <v>2988</v>
      </c>
      <c r="E582" s="15" t="n">
        <v>46206</v>
      </c>
      <c r="F582" s="15" t="n">
        <v>46206</v>
      </c>
      <c r="G582" s="1" t="s">
        <v>70</v>
      </c>
      <c r="H582" s="1" t="n">
        <v>1345523</v>
      </c>
      <c r="I582" s="1" t="n">
        <v>2</v>
      </c>
      <c r="J582" s="1" t="s">
        <v>2975</v>
      </c>
      <c r="K582" s="67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2976</v>
      </c>
      <c r="D583" s="1" t="s">
        <v>2988</v>
      </c>
      <c r="E583" s="15" t="n">
        <v>46206</v>
      </c>
      <c r="F583" s="15" t="n">
        <v>46206</v>
      </c>
      <c r="G583" s="1" t="s">
        <v>70</v>
      </c>
      <c r="H583" s="1" t="n">
        <v>1345214</v>
      </c>
      <c r="I583" s="1" t="n">
        <v>6</v>
      </c>
      <c r="J583" s="1" t="s">
        <v>2975</v>
      </c>
      <c r="K583" s="67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2976</v>
      </c>
      <c r="D584" s="1" t="s">
        <v>2988</v>
      </c>
      <c r="E584" s="15" t="n">
        <v>46206</v>
      </c>
      <c r="F584" s="15" t="n">
        <v>46206</v>
      </c>
      <c r="G584" s="1" t="s">
        <v>70</v>
      </c>
      <c r="H584" s="1" t="n">
        <v>1345330</v>
      </c>
      <c r="I584" s="1" t="n">
        <v>6</v>
      </c>
      <c r="J584" s="1" t="s">
        <v>2975</v>
      </c>
      <c r="K584" s="67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2976</v>
      </c>
      <c r="D585" s="1" t="s">
        <v>2988</v>
      </c>
      <c r="E585" s="15" t="n">
        <v>46206</v>
      </c>
      <c r="F585" s="15" t="n">
        <v>46206</v>
      </c>
      <c r="G585" s="1" t="s">
        <v>70</v>
      </c>
      <c r="H585" s="1" t="n">
        <v>1345531</v>
      </c>
      <c r="I585" s="1" t="n">
        <v>6</v>
      </c>
      <c r="J585" s="1" t="s">
        <v>2975</v>
      </c>
      <c r="K585" s="67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2976</v>
      </c>
      <c r="D586" s="1" t="s">
        <v>2988</v>
      </c>
      <c r="E586" s="15" t="n">
        <v>46206</v>
      </c>
      <c r="F586" s="15" t="n">
        <v>46206</v>
      </c>
      <c r="G586" s="1" t="s">
        <v>70</v>
      </c>
      <c r="H586" s="1" t="n">
        <v>1346016</v>
      </c>
      <c r="I586" s="1" t="n">
        <v>6</v>
      </c>
      <c r="J586" s="1" t="s">
        <v>2975</v>
      </c>
      <c r="K586" s="67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2976</v>
      </c>
      <c r="D587" s="1" t="s">
        <v>2988</v>
      </c>
      <c r="E587" s="15" t="n">
        <v>46206</v>
      </c>
      <c r="F587" s="15" t="n">
        <v>46206</v>
      </c>
      <c r="G587" s="1" t="s">
        <v>70</v>
      </c>
      <c r="H587" s="1" t="n">
        <v>1346008</v>
      </c>
      <c r="I587" s="1" t="n">
        <v>2</v>
      </c>
      <c r="J587" s="1" t="s">
        <v>2975</v>
      </c>
      <c r="K587" s="67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2976</v>
      </c>
      <c r="D588" s="1" t="s">
        <v>3097</v>
      </c>
      <c r="E588" s="15" t="n">
        <v>46206</v>
      </c>
      <c r="F588" s="15" t="n">
        <v>46205</v>
      </c>
      <c r="G588" s="1" t="s">
        <v>1064</v>
      </c>
      <c r="H588" s="1" t="n">
        <v>1343984</v>
      </c>
      <c r="I588" s="1" t="n">
        <v>1</v>
      </c>
      <c r="J588" s="1" t="s">
        <v>2975</v>
      </c>
      <c r="K588" s="67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2976</v>
      </c>
      <c r="D589" s="1" t="s">
        <v>2992</v>
      </c>
      <c r="E589" s="15" t="n">
        <v>46207</v>
      </c>
      <c r="F589" s="15" t="n">
        <v>46206</v>
      </c>
      <c r="G589" s="1" t="s">
        <v>161</v>
      </c>
      <c r="H589" s="1" t="n">
        <v>1348664</v>
      </c>
      <c r="I589" s="1" t="n">
        <v>1</v>
      </c>
      <c r="J589" s="1" t="s">
        <v>2975</v>
      </c>
      <c r="K589" s="67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3022</v>
      </c>
      <c r="D590" s="1" t="s">
        <v>3023</v>
      </c>
      <c r="E590" s="15" t="n">
        <v>46207</v>
      </c>
      <c r="F590" s="15" t="n">
        <v>46206</v>
      </c>
      <c r="G590" s="1" t="s">
        <v>568</v>
      </c>
      <c r="H590" s="1" t="n">
        <v>1348708</v>
      </c>
      <c r="I590" s="1" t="n">
        <v>1</v>
      </c>
      <c r="J590" s="1" t="s">
        <v>2975</v>
      </c>
      <c r="K590" s="67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3035</v>
      </c>
      <c r="D591" s="1" t="s">
        <v>3036</v>
      </c>
      <c r="E591" s="15" t="n">
        <v>46207</v>
      </c>
      <c r="F591" s="15" t="n">
        <v>46203</v>
      </c>
      <c r="G591" s="1" t="s">
        <v>148</v>
      </c>
      <c r="H591" s="1" t="n">
        <v>1348564</v>
      </c>
      <c r="I591" s="1" t="n">
        <v>1</v>
      </c>
      <c r="J591" s="1" t="s">
        <v>2975</v>
      </c>
      <c r="K591" s="67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3035</v>
      </c>
      <c r="D592" s="1" t="s">
        <v>3036</v>
      </c>
      <c r="E592" s="15" t="n">
        <v>46207</v>
      </c>
      <c r="F592" s="15" t="n">
        <v>46203</v>
      </c>
      <c r="G592" s="1" t="s">
        <v>148</v>
      </c>
      <c r="H592" s="1" t="n">
        <v>1348586</v>
      </c>
      <c r="I592" s="1" t="n">
        <v>1</v>
      </c>
      <c r="J592" s="1" t="s">
        <v>2975</v>
      </c>
      <c r="K592" s="67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3016</v>
      </c>
      <c r="D593" s="1" t="s">
        <v>3036</v>
      </c>
      <c r="E593" s="15" t="n">
        <v>46207</v>
      </c>
      <c r="F593" s="15" t="n">
        <v>46203</v>
      </c>
      <c r="G593" s="1" t="s">
        <v>148</v>
      </c>
      <c r="H593" s="1" t="n">
        <v>1348536</v>
      </c>
      <c r="I593" s="1" t="n">
        <v>1</v>
      </c>
      <c r="J593" s="1" t="s">
        <v>2975</v>
      </c>
      <c r="K593" s="67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3016</v>
      </c>
      <c r="D594" s="1" t="s">
        <v>3036</v>
      </c>
      <c r="E594" s="15" t="n">
        <v>46207</v>
      </c>
      <c r="F594" s="15" t="n">
        <v>46203</v>
      </c>
      <c r="G594" s="1" t="s">
        <v>148</v>
      </c>
      <c r="H594" s="1" t="n">
        <v>1348607</v>
      </c>
      <c r="I594" s="1" t="n">
        <v>1</v>
      </c>
      <c r="J594" s="1" t="s">
        <v>2975</v>
      </c>
      <c r="K594" s="67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2976</v>
      </c>
      <c r="D595" s="1" t="s">
        <v>3074</v>
      </c>
      <c r="E595" s="15" t="n">
        <v>46207</v>
      </c>
      <c r="F595" s="15" t="n">
        <v>46206</v>
      </c>
      <c r="G595" s="1" t="s">
        <v>208</v>
      </c>
      <c r="H595" s="1" t="n">
        <v>1348480</v>
      </c>
      <c r="I595" s="1" t="n">
        <v>1</v>
      </c>
      <c r="J595" s="1" t="s">
        <v>2975</v>
      </c>
      <c r="K595" s="67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2976</v>
      </c>
      <c r="D596" s="1" t="s">
        <v>3007</v>
      </c>
      <c r="E596" s="15" t="n">
        <v>46207</v>
      </c>
      <c r="F596" s="15" t="n">
        <v>46205</v>
      </c>
      <c r="G596" s="1" t="s">
        <v>159</v>
      </c>
      <c r="H596" s="1" t="n">
        <v>1348430</v>
      </c>
      <c r="I596" s="1" t="n">
        <v>1</v>
      </c>
      <c r="J596" s="1" t="s">
        <v>2975</v>
      </c>
      <c r="K596" s="67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3024</v>
      </c>
      <c r="D597" s="1" t="s">
        <v>3025</v>
      </c>
      <c r="E597" s="15" t="n">
        <v>46207</v>
      </c>
      <c r="F597" s="15" t="n">
        <v>46203</v>
      </c>
      <c r="G597" s="1" t="s">
        <v>311</v>
      </c>
      <c r="H597" s="1" t="n">
        <v>1348619</v>
      </c>
      <c r="I597" s="1" t="n">
        <v>1</v>
      </c>
      <c r="J597" s="1" t="s">
        <v>2975</v>
      </c>
      <c r="K597" s="67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3024</v>
      </c>
      <c r="D598" s="1" t="s">
        <v>3025</v>
      </c>
      <c r="E598" s="15" t="n">
        <v>46207</v>
      </c>
      <c r="F598" s="15" t="n">
        <v>46203</v>
      </c>
      <c r="G598" s="1" t="s">
        <v>311</v>
      </c>
      <c r="H598" s="1" t="n">
        <v>1348630</v>
      </c>
      <c r="I598" s="1" t="n">
        <v>1</v>
      </c>
      <c r="J598" s="1" t="s">
        <v>2975</v>
      </c>
      <c r="K598" s="67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3024</v>
      </c>
      <c r="D599" s="1" t="s">
        <v>3025</v>
      </c>
      <c r="E599" s="15" t="n">
        <v>46207</v>
      </c>
      <c r="F599" s="15" t="n">
        <v>46203</v>
      </c>
      <c r="G599" s="1" t="s">
        <v>311</v>
      </c>
      <c r="H599" s="1" t="n">
        <v>1348651</v>
      </c>
      <c r="I599" s="1" t="n">
        <v>1</v>
      </c>
      <c r="J599" s="1" t="s">
        <v>2975</v>
      </c>
      <c r="K599" s="67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2976</v>
      </c>
      <c r="D600" s="1" t="s">
        <v>3064</v>
      </c>
      <c r="E600" s="15" t="n">
        <v>46207</v>
      </c>
      <c r="F600" s="15" t="n">
        <v>46205</v>
      </c>
      <c r="G600" s="1" t="s">
        <v>68</v>
      </c>
      <c r="H600" s="1" t="n">
        <v>1348691</v>
      </c>
      <c r="I600" s="1" t="n">
        <v>3</v>
      </c>
      <c r="J600" s="1" t="s">
        <v>2975</v>
      </c>
      <c r="K600" s="67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2976</v>
      </c>
      <c r="D601" s="1" t="s">
        <v>3042</v>
      </c>
      <c r="E601" s="15" t="n">
        <v>46207</v>
      </c>
      <c r="F601" s="15" t="n">
        <v>46205</v>
      </c>
      <c r="G601" s="1" t="s">
        <v>551</v>
      </c>
      <c r="H601" s="1" t="n">
        <v>1348411</v>
      </c>
      <c r="I601" s="1" t="n">
        <v>1</v>
      </c>
      <c r="J601" s="1" t="s">
        <v>2975</v>
      </c>
      <c r="K601" s="67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2976</v>
      </c>
      <c r="D602" s="1" t="s">
        <v>3065</v>
      </c>
      <c r="E602" s="15" t="n">
        <v>46207</v>
      </c>
      <c r="F602" s="15" t="n">
        <v>46205</v>
      </c>
      <c r="G602" s="1" t="s">
        <v>3066</v>
      </c>
      <c r="H602" s="1" t="n">
        <v>1348878</v>
      </c>
      <c r="I602" s="1" t="n">
        <v>1</v>
      </c>
      <c r="J602" s="1" t="s">
        <v>2975</v>
      </c>
      <c r="K602" s="67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3067</v>
      </c>
      <c r="D603" s="1" t="s">
        <v>3068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2975</v>
      </c>
      <c r="K603" s="67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3016</v>
      </c>
      <c r="D604" s="1" t="s">
        <v>3017</v>
      </c>
      <c r="E604" s="15" t="n">
        <v>46207</v>
      </c>
      <c r="F604" s="15" t="n">
        <v>46206</v>
      </c>
      <c r="G604" s="1" t="s">
        <v>144</v>
      </c>
      <c r="H604" s="1" t="n">
        <v>1348443</v>
      </c>
      <c r="I604" s="1" t="n">
        <v>1</v>
      </c>
      <c r="J604" s="1" t="s">
        <v>2975</v>
      </c>
      <c r="K604" s="67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2973</v>
      </c>
      <c r="D605" s="1" t="s">
        <v>3003</v>
      </c>
      <c r="E605" s="15" t="n">
        <v>46207</v>
      </c>
      <c r="F605" s="15" t="n">
        <v>46206</v>
      </c>
      <c r="G605" s="1" t="s">
        <v>74</v>
      </c>
      <c r="H605" s="1" t="n">
        <v>1348846</v>
      </c>
      <c r="I605" s="1" t="n">
        <v>1</v>
      </c>
      <c r="J605" s="1" t="s">
        <v>2975</v>
      </c>
      <c r="K605" s="67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3069</v>
      </c>
      <c r="D606" s="1" t="s">
        <v>3070</v>
      </c>
      <c r="E606" s="15" t="n">
        <v>46207</v>
      </c>
      <c r="F606" s="15" t="n">
        <v>46204</v>
      </c>
      <c r="G606" s="1" t="s">
        <v>688</v>
      </c>
      <c r="H606" s="1" t="n">
        <v>1348502</v>
      </c>
      <c r="I606" s="1" t="n">
        <v>1</v>
      </c>
      <c r="J606" s="1" t="s">
        <v>2975</v>
      </c>
      <c r="K606" s="67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2976</v>
      </c>
      <c r="D607" s="1" t="s">
        <v>2988</v>
      </c>
      <c r="E607" s="15" t="n">
        <v>46207</v>
      </c>
      <c r="F607" s="15" t="n">
        <v>46207</v>
      </c>
      <c r="G607" s="1" t="s">
        <v>70</v>
      </c>
      <c r="H607" s="1" t="n">
        <v>1348390</v>
      </c>
      <c r="I607" s="1" t="n">
        <v>2</v>
      </c>
      <c r="J607" s="1" t="s">
        <v>2975</v>
      </c>
      <c r="K607" s="67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2976</v>
      </c>
      <c r="D608" s="1" t="s">
        <v>2988</v>
      </c>
      <c r="E608" s="15" t="n">
        <v>46207</v>
      </c>
      <c r="F608" s="15" t="n">
        <v>46207</v>
      </c>
      <c r="G608" s="1" t="s">
        <v>70</v>
      </c>
      <c r="H608" s="1" t="n">
        <v>1348399</v>
      </c>
      <c r="I608" s="1" t="n">
        <v>6</v>
      </c>
      <c r="J608" s="1" t="s">
        <v>2975</v>
      </c>
      <c r="K608" s="67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2973</v>
      </c>
      <c r="D609" s="1" t="s">
        <v>3010</v>
      </c>
      <c r="E609" s="15" t="n">
        <v>46207</v>
      </c>
      <c r="F609" s="15" t="n">
        <v>46205</v>
      </c>
      <c r="G609" s="1" t="s">
        <v>319</v>
      </c>
      <c r="H609" s="1" t="n">
        <v>1348417</v>
      </c>
      <c r="I609" s="1" t="n">
        <v>1</v>
      </c>
      <c r="J609" s="1" t="s">
        <v>2975</v>
      </c>
      <c r="K609" s="67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2978</v>
      </c>
      <c r="D610" s="1" t="s">
        <v>2991</v>
      </c>
      <c r="E610" s="15" t="n">
        <v>46207</v>
      </c>
      <c r="F610" s="15" t="n">
        <v>46207</v>
      </c>
      <c r="G610" s="1" t="s">
        <v>961</v>
      </c>
      <c r="H610" s="1" t="n">
        <v>1370367</v>
      </c>
      <c r="I610" s="1" t="n">
        <v>1</v>
      </c>
      <c r="J610" s="1" t="s">
        <v>2975</v>
      </c>
      <c r="K610" s="67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2976</v>
      </c>
      <c r="D611" s="1" t="s">
        <v>3119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2975</v>
      </c>
      <c r="K611" s="67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2973</v>
      </c>
      <c r="D612" s="1" t="s">
        <v>2994</v>
      </c>
      <c r="E612" s="15" t="n">
        <v>46209</v>
      </c>
      <c r="F612" s="15" t="n">
        <v>46209</v>
      </c>
      <c r="G612" s="1" t="s">
        <v>66</v>
      </c>
      <c r="H612" s="1" t="n">
        <v>1360000</v>
      </c>
      <c r="I612" s="1" t="n">
        <v>1</v>
      </c>
      <c r="J612" s="1" t="s">
        <v>2975</v>
      </c>
      <c r="K612" s="67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2976</v>
      </c>
      <c r="D613" s="1" t="s">
        <v>2995</v>
      </c>
      <c r="E613" s="15" t="n">
        <v>46209</v>
      </c>
      <c r="F613" s="15" t="n">
        <v>46207</v>
      </c>
      <c r="G613" s="1" t="s">
        <v>264</v>
      </c>
      <c r="H613" s="1" t="n">
        <v>1361249</v>
      </c>
      <c r="I613" s="1" t="n">
        <v>1</v>
      </c>
      <c r="J613" s="1" t="s">
        <v>2975</v>
      </c>
      <c r="K613" s="67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2976</v>
      </c>
      <c r="D614" s="1" t="s">
        <v>3120</v>
      </c>
      <c r="E614" s="15" t="n">
        <v>46209</v>
      </c>
      <c r="F614" s="15" t="n">
        <v>46208</v>
      </c>
      <c r="G614" s="1" t="s">
        <v>260</v>
      </c>
      <c r="H614" s="1" t="n">
        <v>1360452</v>
      </c>
      <c r="I614" s="1" t="n">
        <v>1</v>
      </c>
      <c r="J614" s="1" t="s">
        <v>2975</v>
      </c>
      <c r="K614" s="67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2973</v>
      </c>
      <c r="D615" s="1" t="s">
        <v>2984</v>
      </c>
      <c r="E615" s="15" t="n">
        <v>46209</v>
      </c>
      <c r="F615" s="15" t="n">
        <v>46209</v>
      </c>
      <c r="G615" s="1" t="s">
        <v>97</v>
      </c>
      <c r="H615" s="1" t="n">
        <v>1370204</v>
      </c>
      <c r="I615" s="1" t="n">
        <v>1</v>
      </c>
      <c r="J615" s="1" t="s">
        <v>2975</v>
      </c>
      <c r="K615" s="67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3067</v>
      </c>
      <c r="D616" s="1" t="s">
        <v>3098</v>
      </c>
      <c r="E616" s="15" t="n">
        <v>46209</v>
      </c>
      <c r="F616" s="15" t="n">
        <v>46203</v>
      </c>
      <c r="G616" s="1" t="s">
        <v>206</v>
      </c>
      <c r="H616" s="1" t="n">
        <v>1360332</v>
      </c>
      <c r="I616" s="1" t="n">
        <v>11</v>
      </c>
      <c r="J616" s="1" t="s">
        <v>2975</v>
      </c>
      <c r="K616" s="67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3067</v>
      </c>
      <c r="D617" s="1" t="s">
        <v>3098</v>
      </c>
      <c r="E617" s="15" t="n">
        <v>46209</v>
      </c>
      <c r="F617" s="15" t="n">
        <v>46203</v>
      </c>
      <c r="G617" s="1" t="s">
        <v>206</v>
      </c>
      <c r="H617" s="1" t="n">
        <v>1361048</v>
      </c>
      <c r="I617" s="1" t="n">
        <v>11</v>
      </c>
      <c r="J617" s="1" t="s">
        <v>2975</v>
      </c>
      <c r="K617" s="67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3067</v>
      </c>
      <c r="D618" s="1" t="s">
        <v>3098</v>
      </c>
      <c r="E618" s="15" t="n">
        <v>46209</v>
      </c>
      <c r="F618" s="15" t="n">
        <v>46203</v>
      </c>
      <c r="G618" s="1" t="s">
        <v>206</v>
      </c>
      <c r="H618" s="1" t="n">
        <v>1361131</v>
      </c>
      <c r="I618" s="1" t="n">
        <v>11</v>
      </c>
      <c r="J618" s="1" t="s">
        <v>2975</v>
      </c>
      <c r="K618" s="67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2976</v>
      </c>
      <c r="D619" s="1" t="s">
        <v>2986</v>
      </c>
      <c r="E619" s="15" t="n">
        <v>46209</v>
      </c>
      <c r="F619" s="15" t="n">
        <v>46207</v>
      </c>
      <c r="G619" s="1" t="s">
        <v>211</v>
      </c>
      <c r="H619" s="1" t="n">
        <v>1361386</v>
      </c>
      <c r="I619" s="1" t="n">
        <v>1</v>
      </c>
      <c r="J619" s="1" t="s">
        <v>2975</v>
      </c>
      <c r="K619" s="67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2976</v>
      </c>
      <c r="D620" s="1" t="s">
        <v>3081</v>
      </c>
      <c r="E620" s="15" t="n">
        <v>46209</v>
      </c>
      <c r="F620" s="15" t="n">
        <v>46206</v>
      </c>
      <c r="G620" s="1" t="s">
        <v>201</v>
      </c>
      <c r="H620" s="1" t="n">
        <v>1360393</v>
      </c>
      <c r="I620" s="1" t="n">
        <v>1</v>
      </c>
      <c r="J620" s="1" t="s">
        <v>2975</v>
      </c>
      <c r="K620" s="67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2976</v>
      </c>
      <c r="D621" s="1" t="s">
        <v>2988</v>
      </c>
      <c r="E621" s="15" t="n">
        <v>46209</v>
      </c>
      <c r="F621" s="15" t="n">
        <v>46209</v>
      </c>
      <c r="G621" s="1" t="s">
        <v>70</v>
      </c>
      <c r="H621" s="1" t="n">
        <v>1362027</v>
      </c>
      <c r="I621" s="1" t="n">
        <v>2</v>
      </c>
      <c r="J621" s="1" t="s">
        <v>2975</v>
      </c>
      <c r="K621" s="67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2976</v>
      </c>
      <c r="D622" s="1" t="s">
        <v>2988</v>
      </c>
      <c r="E622" s="15" t="n">
        <v>46209</v>
      </c>
      <c r="F622" s="15" t="n">
        <v>46209</v>
      </c>
      <c r="G622" s="1" t="s">
        <v>70</v>
      </c>
      <c r="H622" s="1" t="n">
        <v>1362180</v>
      </c>
      <c r="I622" s="1" t="n">
        <v>2</v>
      </c>
      <c r="J622" s="1" t="s">
        <v>2975</v>
      </c>
      <c r="K622" s="67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2976</v>
      </c>
      <c r="D623" s="1" t="s">
        <v>2988</v>
      </c>
      <c r="E623" s="15" t="n">
        <v>46209</v>
      </c>
      <c r="F623" s="15" t="n">
        <v>46209</v>
      </c>
      <c r="G623" s="1" t="s">
        <v>70</v>
      </c>
      <c r="H623" s="1" t="n">
        <v>1362280</v>
      </c>
      <c r="I623" s="1" t="n">
        <v>2</v>
      </c>
      <c r="J623" s="1" t="s">
        <v>2975</v>
      </c>
      <c r="K623" s="67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2976</v>
      </c>
      <c r="D624" s="1" t="s">
        <v>2988</v>
      </c>
      <c r="E624" s="15" t="n">
        <v>46209</v>
      </c>
      <c r="F624" s="15" t="n">
        <v>46209</v>
      </c>
      <c r="G624" s="1" t="s">
        <v>70</v>
      </c>
      <c r="H624" s="1" t="n">
        <v>1361133</v>
      </c>
      <c r="I624" s="1" t="n">
        <v>2</v>
      </c>
      <c r="J624" s="1" t="s">
        <v>2975</v>
      </c>
      <c r="K624" s="67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2976</v>
      </c>
      <c r="D625" s="1" t="s">
        <v>2988</v>
      </c>
      <c r="E625" s="15" t="n">
        <v>46209</v>
      </c>
      <c r="F625" s="15" t="n">
        <v>46209</v>
      </c>
      <c r="G625" s="1" t="s">
        <v>70</v>
      </c>
      <c r="H625" s="1" t="n">
        <v>1361052</v>
      </c>
      <c r="I625" s="1" t="n">
        <v>2</v>
      </c>
      <c r="J625" s="1" t="s">
        <v>2975</v>
      </c>
      <c r="K625" s="67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2976</v>
      </c>
      <c r="D626" s="1" t="s">
        <v>2988</v>
      </c>
      <c r="E626" s="15" t="n">
        <v>46209</v>
      </c>
      <c r="F626" s="15" t="n">
        <v>46209</v>
      </c>
      <c r="G626" s="1" t="s">
        <v>70</v>
      </c>
      <c r="H626" s="1" t="n">
        <v>1361011</v>
      </c>
      <c r="I626" s="1" t="n">
        <v>2</v>
      </c>
      <c r="J626" s="1" t="s">
        <v>2975</v>
      </c>
      <c r="K626" s="67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2976</v>
      </c>
      <c r="D627" s="1" t="s">
        <v>2988</v>
      </c>
      <c r="E627" s="15" t="n">
        <v>46209</v>
      </c>
      <c r="F627" s="15" t="n">
        <v>46209</v>
      </c>
      <c r="G627" s="1" t="s">
        <v>70</v>
      </c>
      <c r="H627" s="1" t="n">
        <v>1360947</v>
      </c>
      <c r="I627" s="1" t="n">
        <v>6</v>
      </c>
      <c r="J627" s="1" t="s">
        <v>2975</v>
      </c>
      <c r="K627" s="67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2976</v>
      </c>
      <c r="D628" s="1" t="s">
        <v>2988</v>
      </c>
      <c r="E628" s="15" t="n">
        <v>46209</v>
      </c>
      <c r="F628" s="15" t="n">
        <v>46209</v>
      </c>
      <c r="G628" s="1" t="s">
        <v>70</v>
      </c>
      <c r="H628" s="1" t="n">
        <v>1361016</v>
      </c>
      <c r="I628" s="1" t="n">
        <v>6</v>
      </c>
      <c r="J628" s="1" t="s">
        <v>2975</v>
      </c>
      <c r="K628" s="67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2976</v>
      </c>
      <c r="D629" s="1" t="s">
        <v>2988</v>
      </c>
      <c r="E629" s="15" t="n">
        <v>46209</v>
      </c>
      <c r="F629" s="15" t="n">
        <v>46209</v>
      </c>
      <c r="G629" s="1" t="s">
        <v>70</v>
      </c>
      <c r="H629" s="1" t="n">
        <v>1361059</v>
      </c>
      <c r="I629" s="1" t="n">
        <v>6</v>
      </c>
      <c r="J629" s="1" t="s">
        <v>2975</v>
      </c>
      <c r="K629" s="67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2976</v>
      </c>
      <c r="D630" s="1" t="s">
        <v>2988</v>
      </c>
      <c r="E630" s="15" t="n">
        <v>46209</v>
      </c>
      <c r="F630" s="15" t="n">
        <v>46209</v>
      </c>
      <c r="G630" s="1" t="s">
        <v>70</v>
      </c>
      <c r="H630" s="1" t="n">
        <v>1361148</v>
      </c>
      <c r="I630" s="1" t="n">
        <v>6</v>
      </c>
      <c r="J630" s="1" t="s">
        <v>2975</v>
      </c>
      <c r="K630" s="67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2976</v>
      </c>
      <c r="D631" s="1" t="s">
        <v>2988</v>
      </c>
      <c r="E631" s="15" t="n">
        <v>46209</v>
      </c>
      <c r="F631" s="15" t="n">
        <v>46209</v>
      </c>
      <c r="G631" s="1" t="s">
        <v>70</v>
      </c>
      <c r="H631" s="1" t="n">
        <v>1361223</v>
      </c>
      <c r="I631" s="1" t="n">
        <v>6</v>
      </c>
      <c r="J631" s="1" t="s">
        <v>2975</v>
      </c>
      <c r="K631" s="67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2976</v>
      </c>
      <c r="D632" s="1" t="s">
        <v>2988</v>
      </c>
      <c r="E632" s="15" t="n">
        <v>46209</v>
      </c>
      <c r="F632" s="15" t="n">
        <v>46209</v>
      </c>
      <c r="G632" s="1" t="s">
        <v>70</v>
      </c>
      <c r="H632" s="1" t="n">
        <v>1362077</v>
      </c>
      <c r="I632" s="1" t="n">
        <v>6</v>
      </c>
      <c r="J632" s="1" t="s">
        <v>2975</v>
      </c>
      <c r="K632" s="67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2976</v>
      </c>
      <c r="D633" s="1" t="s">
        <v>2988</v>
      </c>
      <c r="E633" s="15" t="n">
        <v>46209</v>
      </c>
      <c r="F633" s="15" t="n">
        <v>46209</v>
      </c>
      <c r="G633" s="1" t="s">
        <v>70</v>
      </c>
      <c r="H633" s="1" t="n">
        <v>1362193</v>
      </c>
      <c r="I633" s="1" t="n">
        <v>6</v>
      </c>
      <c r="J633" s="1" t="s">
        <v>2975</v>
      </c>
      <c r="K633" s="67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2976</v>
      </c>
      <c r="D634" s="1" t="s">
        <v>2988</v>
      </c>
      <c r="E634" s="15" t="n">
        <v>46209</v>
      </c>
      <c r="F634" s="15" t="n">
        <v>46209</v>
      </c>
      <c r="G634" s="1" t="s">
        <v>70</v>
      </c>
      <c r="H634" s="1" t="n">
        <v>1362292</v>
      </c>
      <c r="I634" s="1" t="n">
        <v>6</v>
      </c>
      <c r="J634" s="1" t="s">
        <v>2975</v>
      </c>
      <c r="K634" s="67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2976</v>
      </c>
      <c r="D635" s="1" t="s">
        <v>2988</v>
      </c>
      <c r="E635" s="15" t="n">
        <v>46209</v>
      </c>
      <c r="F635" s="15" t="n">
        <v>46209</v>
      </c>
      <c r="G635" s="1" t="s">
        <v>70</v>
      </c>
      <c r="H635" s="1" t="n">
        <v>1360940</v>
      </c>
      <c r="I635" s="1" t="n">
        <v>2</v>
      </c>
      <c r="J635" s="1" t="s">
        <v>2975</v>
      </c>
      <c r="K635" s="67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2976</v>
      </c>
      <c r="D636" s="1" t="s">
        <v>3020</v>
      </c>
      <c r="E636" s="15" t="n">
        <v>46209</v>
      </c>
      <c r="F636" s="15" t="n">
        <v>46209</v>
      </c>
      <c r="G636" s="1" t="s">
        <v>78</v>
      </c>
      <c r="H636" s="1" t="n">
        <v>1362011</v>
      </c>
      <c r="I636" s="1" t="n">
        <v>1</v>
      </c>
      <c r="J636" s="1" t="s">
        <v>2975</v>
      </c>
      <c r="K636" s="67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2976</v>
      </c>
      <c r="D637" s="1" t="s">
        <v>3121</v>
      </c>
      <c r="E637" s="15" t="n">
        <v>46210</v>
      </c>
      <c r="F637" s="15" t="n">
        <v>46193</v>
      </c>
      <c r="G637" s="1" t="s">
        <v>860</v>
      </c>
      <c r="H637" s="1" t="n">
        <v>1364635</v>
      </c>
      <c r="I637" s="1" t="n">
        <v>11</v>
      </c>
      <c r="J637" s="1" t="s">
        <v>2975</v>
      </c>
      <c r="K637" s="67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2976</v>
      </c>
      <c r="D638" s="1" t="s">
        <v>3122</v>
      </c>
      <c r="E638" s="15" t="n">
        <v>46210</v>
      </c>
      <c r="F638" s="15" t="n">
        <v>46206</v>
      </c>
      <c r="G638" s="1" t="s">
        <v>1356</v>
      </c>
      <c r="H638" s="1" t="n">
        <v>1366201</v>
      </c>
      <c r="I638" s="1" t="n">
        <v>1</v>
      </c>
      <c r="J638" s="1" t="s">
        <v>2975</v>
      </c>
      <c r="K638" s="67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2976</v>
      </c>
      <c r="D639" s="1" t="s">
        <v>3007</v>
      </c>
      <c r="E639" s="15" t="n">
        <v>46210</v>
      </c>
      <c r="F639" s="15" t="n">
        <v>46209</v>
      </c>
      <c r="G639" s="1" t="s">
        <v>159</v>
      </c>
      <c r="H639" s="1" t="n">
        <v>1366342</v>
      </c>
      <c r="I639" s="1" t="n">
        <v>1</v>
      </c>
      <c r="J639" s="1" t="s">
        <v>2975</v>
      </c>
      <c r="K639" s="67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2976</v>
      </c>
      <c r="D640" s="1" t="s">
        <v>2996</v>
      </c>
      <c r="E640" s="15" t="n">
        <v>46210</v>
      </c>
      <c r="F640" s="15" t="n">
        <v>46210</v>
      </c>
      <c r="G640" s="1" t="s">
        <v>221</v>
      </c>
      <c r="H640" s="1" t="n">
        <v>1365980</v>
      </c>
      <c r="I640" s="1" t="n">
        <v>1</v>
      </c>
      <c r="J640" s="1" t="s">
        <v>2975</v>
      </c>
      <c r="K640" s="67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2976</v>
      </c>
      <c r="D641" s="1" t="s">
        <v>2997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2975</v>
      </c>
      <c r="K641" s="67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2976</v>
      </c>
      <c r="D642" s="1" t="s">
        <v>3000</v>
      </c>
      <c r="E642" s="15" t="n">
        <v>46210</v>
      </c>
      <c r="F642" s="15" t="n">
        <v>46210</v>
      </c>
      <c r="G642" s="1" t="s">
        <v>155</v>
      </c>
      <c r="H642" s="1" t="n">
        <v>1366370</v>
      </c>
      <c r="I642" s="1" t="n">
        <v>1</v>
      </c>
      <c r="J642" s="1" t="s">
        <v>2975</v>
      </c>
      <c r="K642" s="67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2976</v>
      </c>
      <c r="D643" s="1" t="s">
        <v>3080</v>
      </c>
      <c r="E643" s="15" t="n">
        <v>46210</v>
      </c>
      <c r="F643" s="15" t="n">
        <v>46206</v>
      </c>
      <c r="G643" s="1" t="s">
        <v>1028</v>
      </c>
      <c r="H643" s="1" t="n">
        <v>1440523</v>
      </c>
      <c r="I643" s="1" t="n">
        <v>11</v>
      </c>
      <c r="J643" s="1" t="s">
        <v>2975</v>
      </c>
      <c r="K643" s="67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2976</v>
      </c>
      <c r="D644" s="1" t="s">
        <v>2986</v>
      </c>
      <c r="E644" s="15" t="n">
        <v>46210</v>
      </c>
      <c r="F644" s="15" t="n">
        <v>46209</v>
      </c>
      <c r="G644" s="1" t="s">
        <v>211</v>
      </c>
      <c r="H644" s="1" t="n">
        <v>1364552</v>
      </c>
      <c r="I644" s="1" t="n">
        <v>1</v>
      </c>
      <c r="J644" s="1" t="s">
        <v>2975</v>
      </c>
      <c r="K644" s="67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2976</v>
      </c>
      <c r="D645" s="1" t="s">
        <v>2986</v>
      </c>
      <c r="E645" s="15" t="n">
        <v>46210</v>
      </c>
      <c r="F645" s="15" t="n">
        <v>46210</v>
      </c>
      <c r="G645" s="1" t="s">
        <v>211</v>
      </c>
      <c r="H645" s="1" t="n">
        <v>1365606</v>
      </c>
      <c r="I645" s="1" t="n">
        <v>1</v>
      </c>
      <c r="J645" s="1" t="s">
        <v>2975</v>
      </c>
      <c r="K645" s="67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2976</v>
      </c>
      <c r="D646" s="1" t="s">
        <v>3045</v>
      </c>
      <c r="E646" s="15" t="n">
        <v>46210</v>
      </c>
      <c r="F646" s="15" t="n">
        <v>46209</v>
      </c>
      <c r="G646" s="1" t="s">
        <v>603</v>
      </c>
      <c r="H646" s="1" t="n">
        <v>1366430</v>
      </c>
      <c r="I646" s="1" t="n">
        <v>1</v>
      </c>
      <c r="J646" s="1" t="s">
        <v>2975</v>
      </c>
      <c r="K646" s="67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3016</v>
      </c>
      <c r="D647" s="1" t="s">
        <v>3017</v>
      </c>
      <c r="E647" s="15" t="n">
        <v>46210</v>
      </c>
      <c r="F647" s="15" t="n">
        <v>46209</v>
      </c>
      <c r="G647" s="1" t="s">
        <v>144</v>
      </c>
      <c r="H647" s="1" t="n">
        <v>1366284</v>
      </c>
      <c r="I647" s="1" t="n">
        <v>1</v>
      </c>
      <c r="J647" s="1" t="s">
        <v>2975</v>
      </c>
      <c r="K647" s="67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2973</v>
      </c>
      <c r="D648" s="1" t="s">
        <v>3003</v>
      </c>
      <c r="E648" s="15" t="n">
        <v>46210</v>
      </c>
      <c r="F648" s="15" t="n">
        <v>46209</v>
      </c>
      <c r="G648" s="1" t="s">
        <v>74</v>
      </c>
      <c r="H648" s="1" t="n">
        <v>1364147</v>
      </c>
      <c r="I648" s="1" t="n">
        <v>1</v>
      </c>
      <c r="J648" s="1" t="s">
        <v>2975</v>
      </c>
      <c r="K648" s="67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2973</v>
      </c>
      <c r="D649" s="1" t="s">
        <v>3003</v>
      </c>
      <c r="E649" s="15" t="n">
        <v>46210</v>
      </c>
      <c r="F649" s="15" t="n">
        <v>46209</v>
      </c>
      <c r="G649" s="1" t="s">
        <v>74</v>
      </c>
      <c r="H649" s="1" t="n">
        <v>1364144</v>
      </c>
      <c r="I649" s="1" t="n">
        <v>1</v>
      </c>
      <c r="J649" s="1" t="s">
        <v>2975</v>
      </c>
      <c r="K649" s="67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2976</v>
      </c>
      <c r="D650" s="1" t="s">
        <v>3009</v>
      </c>
      <c r="E650" s="15" t="n">
        <v>46210</v>
      </c>
      <c r="F650" s="15" t="n">
        <v>46207</v>
      </c>
      <c r="G650" s="1" t="s">
        <v>383</v>
      </c>
      <c r="H650" s="1" t="n">
        <v>1364155</v>
      </c>
      <c r="I650" s="1" t="n">
        <v>1</v>
      </c>
      <c r="J650" s="1" t="s">
        <v>2975</v>
      </c>
      <c r="K650" s="67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2976</v>
      </c>
      <c r="D651" s="1" t="s">
        <v>2988</v>
      </c>
      <c r="E651" s="15" t="n">
        <v>46210</v>
      </c>
      <c r="F651" s="15" t="n">
        <v>46210</v>
      </c>
      <c r="G651" s="1" t="s">
        <v>70</v>
      </c>
      <c r="H651" s="1" t="n">
        <v>1364550</v>
      </c>
      <c r="I651" s="1" t="n">
        <v>2</v>
      </c>
      <c r="J651" s="1" t="s">
        <v>2975</v>
      </c>
      <c r="K651" s="67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2976</v>
      </c>
      <c r="D652" s="1" t="s">
        <v>2988</v>
      </c>
      <c r="E652" s="15" t="n">
        <v>46210</v>
      </c>
      <c r="F652" s="15" t="n">
        <v>46210</v>
      </c>
      <c r="G652" s="1" t="s">
        <v>70</v>
      </c>
      <c r="H652" s="1" t="n">
        <v>1364628</v>
      </c>
      <c r="I652" s="1" t="n">
        <v>2</v>
      </c>
      <c r="J652" s="1" t="s">
        <v>2975</v>
      </c>
      <c r="K652" s="67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2976</v>
      </c>
      <c r="D653" s="1" t="s">
        <v>2988</v>
      </c>
      <c r="E653" s="15" t="n">
        <v>46210</v>
      </c>
      <c r="F653" s="15" t="n">
        <v>46210</v>
      </c>
      <c r="G653" s="1" t="s">
        <v>70</v>
      </c>
      <c r="H653" s="1" t="n">
        <v>1365592</v>
      </c>
      <c r="I653" s="1" t="n">
        <v>2</v>
      </c>
      <c r="J653" s="1" t="s">
        <v>2975</v>
      </c>
      <c r="K653" s="67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2976</v>
      </c>
      <c r="D654" s="1" t="s">
        <v>2988</v>
      </c>
      <c r="E654" s="15" t="n">
        <v>46210</v>
      </c>
      <c r="F654" s="15" t="n">
        <v>46210</v>
      </c>
      <c r="G654" s="1" t="s">
        <v>70</v>
      </c>
      <c r="H654" s="1" t="n">
        <v>1364558</v>
      </c>
      <c r="I654" s="1" t="n">
        <v>6</v>
      </c>
      <c r="J654" s="1" t="s">
        <v>2975</v>
      </c>
      <c r="K654" s="67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2976</v>
      </c>
      <c r="D655" s="1" t="s">
        <v>2988</v>
      </c>
      <c r="E655" s="15" t="n">
        <v>46210</v>
      </c>
      <c r="F655" s="15" t="n">
        <v>46210</v>
      </c>
      <c r="G655" s="1" t="s">
        <v>70</v>
      </c>
      <c r="H655" s="1" t="n">
        <v>1364644</v>
      </c>
      <c r="I655" s="1" t="n">
        <v>6</v>
      </c>
      <c r="J655" s="1" t="s">
        <v>2975</v>
      </c>
      <c r="K655" s="67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2976</v>
      </c>
      <c r="D656" s="1" t="s">
        <v>2988</v>
      </c>
      <c r="E656" s="15" t="n">
        <v>46210</v>
      </c>
      <c r="F656" s="15" t="n">
        <v>46210</v>
      </c>
      <c r="G656" s="1" t="s">
        <v>70</v>
      </c>
      <c r="H656" s="1" t="n">
        <v>1365603</v>
      </c>
      <c r="I656" s="1" t="n">
        <v>6</v>
      </c>
      <c r="J656" s="1" t="s">
        <v>2975</v>
      </c>
      <c r="K656" s="67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2976</v>
      </c>
      <c r="D657" s="1" t="s">
        <v>2988</v>
      </c>
      <c r="E657" s="15" t="n">
        <v>46210</v>
      </c>
      <c r="F657" s="15" t="n">
        <v>46210</v>
      </c>
      <c r="G657" s="1" t="s">
        <v>70</v>
      </c>
      <c r="H657" s="1" t="n">
        <v>1365711</v>
      </c>
      <c r="I657" s="1" t="n">
        <v>6</v>
      </c>
      <c r="J657" s="1" t="s">
        <v>2975</v>
      </c>
      <c r="K657" s="67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2976</v>
      </c>
      <c r="D658" s="1" t="s">
        <v>2988</v>
      </c>
      <c r="E658" s="15" t="n">
        <v>46210</v>
      </c>
      <c r="F658" s="15" t="n">
        <v>46210</v>
      </c>
      <c r="G658" s="1" t="s">
        <v>70</v>
      </c>
      <c r="H658" s="1" t="n">
        <v>1365704</v>
      </c>
      <c r="I658" s="1" t="n">
        <v>2</v>
      </c>
      <c r="J658" s="1" t="s">
        <v>2975</v>
      </c>
      <c r="K658" s="67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2976</v>
      </c>
      <c r="D659" s="1" t="s">
        <v>3028</v>
      </c>
      <c r="E659" s="15" t="n">
        <v>46210</v>
      </c>
      <c r="F659" s="15" t="n">
        <v>46206</v>
      </c>
      <c r="G659" s="1" t="s">
        <v>321</v>
      </c>
      <c r="H659" s="1" t="n">
        <v>1364168</v>
      </c>
      <c r="I659" s="1" t="n">
        <v>1</v>
      </c>
      <c r="J659" s="1" t="s">
        <v>2975</v>
      </c>
      <c r="K659" s="67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2976</v>
      </c>
      <c r="D660" s="1" t="s">
        <v>3028</v>
      </c>
      <c r="E660" s="15" t="n">
        <v>46210</v>
      </c>
      <c r="F660" s="15" t="n">
        <v>46206</v>
      </c>
      <c r="G660" s="1" t="s">
        <v>321</v>
      </c>
      <c r="H660" s="1" t="n">
        <v>1364180</v>
      </c>
      <c r="I660" s="1" t="n">
        <v>3</v>
      </c>
      <c r="J660" s="1" t="s">
        <v>2975</v>
      </c>
      <c r="K660" s="67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2976</v>
      </c>
      <c r="D661" s="1" t="s">
        <v>3053</v>
      </c>
      <c r="E661" s="15" t="n">
        <v>46210</v>
      </c>
      <c r="F661" s="15" t="n">
        <v>46209</v>
      </c>
      <c r="G661" s="1" t="s">
        <v>628</v>
      </c>
      <c r="H661" s="1" t="n">
        <v>1366273</v>
      </c>
      <c r="I661" s="1" t="n">
        <v>3</v>
      </c>
      <c r="J661" s="1" t="s">
        <v>2975</v>
      </c>
      <c r="K661" s="67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2973</v>
      </c>
      <c r="D662" s="1" t="s">
        <v>3010</v>
      </c>
      <c r="E662" s="15" t="n">
        <v>46210</v>
      </c>
      <c r="F662" s="15" t="n">
        <v>46209</v>
      </c>
      <c r="G662" s="1" t="s">
        <v>319</v>
      </c>
      <c r="H662" s="1" t="n">
        <v>1366378</v>
      </c>
      <c r="I662" s="1" t="n">
        <v>1</v>
      </c>
      <c r="J662" s="1" t="s">
        <v>2975</v>
      </c>
      <c r="K662" s="67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2976</v>
      </c>
      <c r="D663" s="1" t="s">
        <v>2992</v>
      </c>
      <c r="E663" s="15" t="n">
        <v>46211</v>
      </c>
      <c r="F663" s="15" t="n">
        <v>46209</v>
      </c>
      <c r="G663" s="1" t="s">
        <v>161</v>
      </c>
      <c r="H663" s="1" t="n">
        <v>1370408</v>
      </c>
      <c r="I663" s="1" t="n">
        <v>1</v>
      </c>
      <c r="J663" s="1" t="s">
        <v>2975</v>
      </c>
      <c r="K663" s="67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3035</v>
      </c>
      <c r="D664" s="1" t="s">
        <v>3036</v>
      </c>
      <c r="E664" s="15" t="n">
        <v>46211</v>
      </c>
      <c r="F664" s="15" t="n">
        <v>46209</v>
      </c>
      <c r="G664" s="1" t="s">
        <v>148</v>
      </c>
      <c r="H664" s="1" t="n">
        <v>1369139</v>
      </c>
      <c r="I664" s="1" t="n">
        <v>1</v>
      </c>
      <c r="J664" s="1" t="s">
        <v>2975</v>
      </c>
      <c r="K664" s="67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3035</v>
      </c>
      <c r="D665" s="1" t="s">
        <v>3036</v>
      </c>
      <c r="E665" s="15" t="n">
        <v>46211</v>
      </c>
      <c r="F665" s="15" t="n">
        <v>46210</v>
      </c>
      <c r="G665" s="1" t="s">
        <v>148</v>
      </c>
      <c r="H665" s="1" t="n">
        <v>1369065</v>
      </c>
      <c r="I665" s="1" t="n">
        <v>1</v>
      </c>
      <c r="J665" s="1" t="s">
        <v>2975</v>
      </c>
      <c r="K665" s="67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3016</v>
      </c>
      <c r="D666" s="1" t="s">
        <v>3036</v>
      </c>
      <c r="E666" s="15" t="n">
        <v>46211</v>
      </c>
      <c r="F666" s="15" t="n">
        <v>46210</v>
      </c>
      <c r="G666" s="1" t="s">
        <v>148</v>
      </c>
      <c r="H666" s="1" t="n">
        <v>1369074</v>
      </c>
      <c r="I666" s="1" t="n">
        <v>1</v>
      </c>
      <c r="J666" s="1" t="s">
        <v>2975</v>
      </c>
      <c r="K666" s="67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3016</v>
      </c>
      <c r="D667" s="1" t="s">
        <v>3036</v>
      </c>
      <c r="E667" s="15" t="n">
        <v>46211</v>
      </c>
      <c r="F667" s="15" t="n">
        <v>46210</v>
      </c>
      <c r="G667" s="1" t="s">
        <v>148</v>
      </c>
      <c r="H667" s="1" t="n">
        <v>1369102</v>
      </c>
      <c r="I667" s="1" t="n">
        <v>1</v>
      </c>
      <c r="J667" s="1" t="s">
        <v>2975</v>
      </c>
      <c r="K667" s="67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2976</v>
      </c>
      <c r="D668" s="1" t="s">
        <v>3074</v>
      </c>
      <c r="E668" s="15" t="n">
        <v>46211</v>
      </c>
      <c r="F668" s="15" t="n">
        <v>46210</v>
      </c>
      <c r="G668" s="1" t="s">
        <v>208</v>
      </c>
      <c r="H668" s="1" t="n">
        <v>1368798</v>
      </c>
      <c r="I668" s="1" t="n">
        <v>1</v>
      </c>
      <c r="J668" s="1" t="s">
        <v>2975</v>
      </c>
      <c r="K668" s="67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2976</v>
      </c>
      <c r="D669" s="1" t="s">
        <v>2995</v>
      </c>
      <c r="E669" s="15" t="n">
        <v>46211</v>
      </c>
      <c r="F669" s="15" t="n">
        <v>46211</v>
      </c>
      <c r="G669" s="1" t="s">
        <v>264</v>
      </c>
      <c r="H669" s="1" t="n">
        <v>1370529</v>
      </c>
      <c r="I669" s="1" t="n">
        <v>1</v>
      </c>
      <c r="J669" s="1" t="s">
        <v>2975</v>
      </c>
      <c r="K669" s="67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2976</v>
      </c>
      <c r="D670" s="1" t="s">
        <v>3037</v>
      </c>
      <c r="E670" s="15" t="n">
        <v>46211</v>
      </c>
      <c r="F670" s="15" t="n">
        <v>46210</v>
      </c>
      <c r="G670" s="1" t="s">
        <v>253</v>
      </c>
      <c r="H670" s="1" t="n">
        <v>1369047</v>
      </c>
      <c r="I670" s="1" t="n">
        <v>1</v>
      </c>
      <c r="J670" s="1" t="s">
        <v>2975</v>
      </c>
      <c r="K670" s="67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2976</v>
      </c>
      <c r="D671" s="1" t="s">
        <v>3064</v>
      </c>
      <c r="E671" s="15" t="n">
        <v>46211</v>
      </c>
      <c r="F671" s="15" t="n">
        <v>46210</v>
      </c>
      <c r="G671" s="1" t="s">
        <v>68</v>
      </c>
      <c r="H671" s="1" t="n">
        <v>1370892</v>
      </c>
      <c r="I671" s="1" t="n">
        <v>1</v>
      </c>
      <c r="J671" s="1" t="s">
        <v>2975</v>
      </c>
      <c r="K671" s="67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2981</v>
      </c>
      <c r="D672" s="1" t="s">
        <v>2982</v>
      </c>
      <c r="E672" s="15" t="n">
        <v>46211</v>
      </c>
      <c r="F672" s="15" t="n">
        <v>46211</v>
      </c>
      <c r="G672" s="1" t="s">
        <v>591</v>
      </c>
      <c r="H672" s="1" t="n">
        <v>1398444</v>
      </c>
      <c r="I672" s="1" t="n">
        <v>1</v>
      </c>
      <c r="J672" s="1" t="s">
        <v>2975</v>
      </c>
      <c r="K672" s="67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2981</v>
      </c>
      <c r="D673" s="1" t="s">
        <v>2982</v>
      </c>
      <c r="E673" s="15" t="n">
        <v>46211</v>
      </c>
      <c r="F673" s="15" t="n">
        <v>46211</v>
      </c>
      <c r="G673" s="1" t="s">
        <v>591</v>
      </c>
      <c r="H673" s="1" t="n">
        <v>1398528</v>
      </c>
      <c r="I673" s="1" t="n">
        <v>1</v>
      </c>
      <c r="J673" s="1" t="s">
        <v>2975</v>
      </c>
      <c r="K673" s="67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2981</v>
      </c>
      <c r="D674" s="1" t="s">
        <v>2982</v>
      </c>
      <c r="E674" s="15" t="n">
        <v>46211</v>
      </c>
      <c r="F674" s="15" t="n">
        <v>46211</v>
      </c>
      <c r="G674" s="1" t="s">
        <v>591</v>
      </c>
      <c r="H674" s="1" t="n">
        <v>1398464</v>
      </c>
      <c r="I674" s="1" t="n">
        <v>1</v>
      </c>
      <c r="J674" s="1" t="s">
        <v>2975</v>
      </c>
      <c r="K674" s="67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2981</v>
      </c>
      <c r="D675" s="1" t="s">
        <v>2982</v>
      </c>
      <c r="E675" s="15" t="n">
        <v>46211</v>
      </c>
      <c r="F675" s="15" t="n">
        <v>46211</v>
      </c>
      <c r="G675" s="1" t="s">
        <v>591</v>
      </c>
      <c r="H675" s="1" t="n">
        <v>1398549</v>
      </c>
      <c r="I675" s="1" t="n">
        <v>1</v>
      </c>
      <c r="J675" s="1" t="s">
        <v>2975</v>
      </c>
      <c r="K675" s="67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2981</v>
      </c>
      <c r="D676" s="1" t="s">
        <v>2982</v>
      </c>
      <c r="E676" s="15" t="n">
        <v>46211</v>
      </c>
      <c r="F676" s="15" t="n">
        <v>46211</v>
      </c>
      <c r="G676" s="1" t="s">
        <v>591</v>
      </c>
      <c r="H676" s="1" t="n">
        <v>1401380</v>
      </c>
      <c r="I676" s="1" t="n">
        <v>1</v>
      </c>
      <c r="J676" s="1" t="s">
        <v>2975</v>
      </c>
      <c r="K676" s="67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2973</v>
      </c>
      <c r="D677" s="1" t="s">
        <v>2999</v>
      </c>
      <c r="E677" s="15" t="n">
        <v>46211</v>
      </c>
      <c r="F677" s="15" t="n">
        <v>46210</v>
      </c>
      <c r="G677" s="1" t="s">
        <v>76</v>
      </c>
      <c r="H677" s="1" t="n">
        <v>1368814</v>
      </c>
      <c r="I677" s="1" t="n">
        <v>1</v>
      </c>
      <c r="J677" s="1" t="s">
        <v>2975</v>
      </c>
      <c r="K677" s="67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2973</v>
      </c>
      <c r="D678" s="1" t="s">
        <v>2999</v>
      </c>
      <c r="E678" s="15" t="n">
        <v>46211</v>
      </c>
      <c r="F678" s="15" t="n">
        <v>46210</v>
      </c>
      <c r="G678" s="1" t="s">
        <v>76</v>
      </c>
      <c r="H678" s="1" t="n">
        <v>1368818</v>
      </c>
      <c r="I678" s="1" t="n">
        <v>1</v>
      </c>
      <c r="J678" s="1" t="s">
        <v>2975</v>
      </c>
      <c r="K678" s="67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2973</v>
      </c>
      <c r="D679" s="1" t="s">
        <v>2984</v>
      </c>
      <c r="E679" s="15" t="n">
        <v>46211</v>
      </c>
      <c r="F679" s="15" t="n">
        <v>46211</v>
      </c>
      <c r="G679" s="1" t="s">
        <v>97</v>
      </c>
      <c r="H679" s="1" t="n">
        <v>1370233</v>
      </c>
      <c r="I679" s="1" t="n">
        <v>1</v>
      </c>
      <c r="J679" s="1" t="s">
        <v>2975</v>
      </c>
      <c r="K679" s="67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3022</v>
      </c>
      <c r="D680" s="1" t="s">
        <v>3123</v>
      </c>
      <c r="E680" s="15" t="n">
        <v>46211</v>
      </c>
      <c r="F680" s="15" t="n">
        <v>46210</v>
      </c>
      <c r="G680" s="1" t="s">
        <v>306</v>
      </c>
      <c r="H680" s="1" t="n">
        <v>1368773</v>
      </c>
      <c r="I680" s="1" t="n">
        <v>1</v>
      </c>
      <c r="J680" s="1" t="s">
        <v>2975</v>
      </c>
      <c r="K680" s="67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2976</v>
      </c>
      <c r="D681" s="1" t="s">
        <v>3026</v>
      </c>
      <c r="E681" s="15" t="n">
        <v>46211</v>
      </c>
      <c r="F681" s="15" t="n">
        <v>46205</v>
      </c>
      <c r="G681" s="1" t="s">
        <v>309</v>
      </c>
      <c r="H681" s="1" t="n">
        <v>1369484</v>
      </c>
      <c r="I681" s="1" t="n">
        <v>1</v>
      </c>
      <c r="J681" s="1" t="s">
        <v>2975</v>
      </c>
      <c r="K681" s="67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2976</v>
      </c>
      <c r="D682" s="1" t="s">
        <v>3107</v>
      </c>
      <c r="E682" s="15" t="n">
        <v>46211</v>
      </c>
      <c r="F682" s="15" t="n">
        <v>46211</v>
      </c>
      <c r="G682" s="1" t="s">
        <v>899</v>
      </c>
      <c r="H682" s="1" t="n">
        <v>1370242</v>
      </c>
      <c r="I682" s="1" t="n">
        <v>1</v>
      </c>
      <c r="J682" s="1" t="s">
        <v>2975</v>
      </c>
      <c r="K682" s="67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2973</v>
      </c>
      <c r="D683" s="1" t="s">
        <v>3003</v>
      </c>
      <c r="E683" s="15" t="n">
        <v>46211</v>
      </c>
      <c r="F683" s="15" t="n">
        <v>46210</v>
      </c>
      <c r="G683" s="1" t="s">
        <v>74</v>
      </c>
      <c r="H683" s="1" t="n">
        <v>1368782</v>
      </c>
      <c r="I683" s="1" t="n">
        <v>1</v>
      </c>
      <c r="J683" s="1" t="s">
        <v>2975</v>
      </c>
      <c r="K683" s="67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2976</v>
      </c>
      <c r="D684" s="1" t="s">
        <v>2988</v>
      </c>
      <c r="E684" s="15" t="n">
        <v>46211</v>
      </c>
      <c r="F684" s="15" t="n">
        <v>46211</v>
      </c>
      <c r="G684" s="1" t="s">
        <v>70</v>
      </c>
      <c r="H684" s="1" t="n">
        <v>1369426</v>
      </c>
      <c r="I684" s="1" t="n">
        <v>6</v>
      </c>
      <c r="J684" s="1" t="s">
        <v>2975</v>
      </c>
      <c r="K684" s="67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2976</v>
      </c>
      <c r="D685" s="1" t="s">
        <v>2988</v>
      </c>
      <c r="E685" s="15" t="n">
        <v>46211</v>
      </c>
      <c r="F685" s="15" t="n">
        <v>46211</v>
      </c>
      <c r="G685" s="1" t="s">
        <v>70</v>
      </c>
      <c r="H685" s="1" t="n">
        <v>1370221</v>
      </c>
      <c r="I685" s="1" t="n">
        <v>6</v>
      </c>
      <c r="J685" s="1" t="s">
        <v>2975</v>
      </c>
      <c r="K685" s="67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2976</v>
      </c>
      <c r="D686" s="1" t="s">
        <v>2989</v>
      </c>
      <c r="E686" s="15" t="n">
        <v>46211</v>
      </c>
      <c r="F686" s="15" t="n">
        <v>46210</v>
      </c>
      <c r="G686" s="1" t="s">
        <v>157</v>
      </c>
      <c r="H686" s="1" t="n">
        <v>1369311</v>
      </c>
      <c r="I686" s="1" t="n">
        <v>1</v>
      </c>
      <c r="J686" s="1" t="s">
        <v>2975</v>
      </c>
      <c r="K686" s="67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2976</v>
      </c>
      <c r="D687" s="1" t="s">
        <v>3119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2975</v>
      </c>
      <c r="K687" s="67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2976</v>
      </c>
      <c r="D688" s="1" t="s">
        <v>2993</v>
      </c>
      <c r="E688" s="15" t="n">
        <v>46212</v>
      </c>
      <c r="F688" s="15" t="n">
        <v>46211</v>
      </c>
      <c r="G688" s="1" t="s">
        <v>328</v>
      </c>
      <c r="H688" s="1" t="n">
        <v>1373800</v>
      </c>
      <c r="I688" s="1" t="n">
        <v>1</v>
      </c>
      <c r="J688" s="1" t="s">
        <v>2975</v>
      </c>
      <c r="K688" s="67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2976</v>
      </c>
      <c r="D689" s="1" t="s">
        <v>3124</v>
      </c>
      <c r="E689" s="15" t="n">
        <v>46212</v>
      </c>
      <c r="F689" s="15" t="n">
        <v>46208</v>
      </c>
      <c r="G689" s="1" t="s">
        <v>256</v>
      </c>
      <c r="H689" s="1" t="n">
        <v>1374338</v>
      </c>
      <c r="I689" s="1" t="n">
        <v>11</v>
      </c>
      <c r="J689" s="1" t="s">
        <v>2975</v>
      </c>
      <c r="K689" s="67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2976</v>
      </c>
      <c r="D690" s="1" t="s">
        <v>3033</v>
      </c>
      <c r="E690" s="15" t="n">
        <v>46212</v>
      </c>
      <c r="F690" s="15" t="n">
        <v>46210</v>
      </c>
      <c r="G690" s="1" t="s">
        <v>661</v>
      </c>
      <c r="H690" s="1" t="n">
        <v>1374364</v>
      </c>
      <c r="I690" s="1" t="n">
        <v>11</v>
      </c>
      <c r="J690" s="1" t="s">
        <v>2975</v>
      </c>
      <c r="K690" s="67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2976</v>
      </c>
      <c r="D691" s="1" t="s">
        <v>3078</v>
      </c>
      <c r="E691" s="15" t="n">
        <v>46212</v>
      </c>
      <c r="F691" s="15" t="n">
        <v>46212</v>
      </c>
      <c r="G691" s="1" t="s">
        <v>134</v>
      </c>
      <c r="H691" s="1" t="n">
        <v>1375408</v>
      </c>
      <c r="I691" s="1" t="n">
        <v>11</v>
      </c>
      <c r="J691" s="1" t="s">
        <v>2975</v>
      </c>
      <c r="K691" s="67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2976</v>
      </c>
      <c r="D692" s="1" t="s">
        <v>3039</v>
      </c>
      <c r="E692" s="15" t="n">
        <v>46212</v>
      </c>
      <c r="F692" s="15" t="n">
        <v>46211</v>
      </c>
      <c r="G692" s="1" t="s">
        <v>191</v>
      </c>
      <c r="H692" s="1" t="n">
        <v>1374163</v>
      </c>
      <c r="I692" s="1" t="n">
        <v>1</v>
      </c>
      <c r="J692" s="1" t="s">
        <v>2975</v>
      </c>
      <c r="K692" s="67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2976</v>
      </c>
      <c r="D693" s="1" t="s">
        <v>3008</v>
      </c>
      <c r="E693" s="15" t="n">
        <v>46212</v>
      </c>
      <c r="F693" s="15" t="n">
        <v>46210</v>
      </c>
      <c r="G693" s="1" t="s">
        <v>381</v>
      </c>
      <c r="H693" s="1" t="n">
        <v>1374622</v>
      </c>
      <c r="I693" s="1" t="n">
        <v>11</v>
      </c>
      <c r="J693" s="1" t="s">
        <v>2975</v>
      </c>
      <c r="K693" s="67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2976</v>
      </c>
      <c r="D694" s="1" t="s">
        <v>2983</v>
      </c>
      <c r="E694" s="15" t="n">
        <v>46212</v>
      </c>
      <c r="F694" s="15" t="n">
        <v>46211</v>
      </c>
      <c r="G694" s="1" t="s">
        <v>540</v>
      </c>
      <c r="H694" s="1" t="n">
        <v>1374663</v>
      </c>
      <c r="I694" s="1" t="n">
        <v>11</v>
      </c>
      <c r="J694" s="1" t="s">
        <v>2975</v>
      </c>
      <c r="K694" s="67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2976</v>
      </c>
      <c r="D695" s="1" t="s">
        <v>3002</v>
      </c>
      <c r="E695" s="15" t="n">
        <v>46212</v>
      </c>
      <c r="F695" s="15" t="n">
        <v>46210</v>
      </c>
      <c r="G695" s="1" t="s">
        <v>323</v>
      </c>
      <c r="H695" s="1" t="n">
        <v>1374270</v>
      </c>
      <c r="I695" s="1" t="n">
        <v>11</v>
      </c>
      <c r="J695" s="1" t="s">
        <v>2975</v>
      </c>
      <c r="K695" s="67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2978</v>
      </c>
      <c r="D696" s="1" t="s">
        <v>3096</v>
      </c>
      <c r="E696" s="15" t="n">
        <v>46212</v>
      </c>
      <c r="F696" s="15" t="n">
        <v>46211</v>
      </c>
      <c r="G696" s="1" t="s">
        <v>189</v>
      </c>
      <c r="H696" s="1" t="n">
        <v>1375343</v>
      </c>
      <c r="I696" s="1" t="n">
        <v>11</v>
      </c>
      <c r="J696" s="1" t="s">
        <v>2975</v>
      </c>
      <c r="K696" s="67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2973</v>
      </c>
      <c r="D697" s="1" t="s">
        <v>3003</v>
      </c>
      <c r="E697" s="15" t="n">
        <v>46212</v>
      </c>
      <c r="F697" s="15" t="n">
        <v>46211</v>
      </c>
      <c r="G697" s="1" t="s">
        <v>74</v>
      </c>
      <c r="H697" s="1" t="n">
        <v>1374217</v>
      </c>
      <c r="I697" s="1" t="n">
        <v>11</v>
      </c>
      <c r="J697" s="1" t="s">
        <v>2975</v>
      </c>
      <c r="K697" s="67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2976</v>
      </c>
      <c r="D698" s="1" t="s">
        <v>2989</v>
      </c>
      <c r="E698" s="15" t="n">
        <v>46212</v>
      </c>
      <c r="F698" s="15" t="n">
        <v>46212</v>
      </c>
      <c r="G698" s="1" t="s">
        <v>157</v>
      </c>
      <c r="H698" s="1" t="n">
        <v>1374860</v>
      </c>
      <c r="I698" s="1" t="n">
        <v>11</v>
      </c>
      <c r="J698" s="1" t="s">
        <v>2975</v>
      </c>
      <c r="K698" s="67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2976</v>
      </c>
      <c r="D699" s="1" t="s">
        <v>3005</v>
      </c>
      <c r="E699" s="15" t="n">
        <v>46213</v>
      </c>
      <c r="F699" s="15" t="n">
        <v>46213</v>
      </c>
      <c r="G699" s="1" t="s">
        <v>3006</v>
      </c>
      <c r="H699" s="1" t="n">
        <v>1381767</v>
      </c>
      <c r="I699" s="1" t="n">
        <v>1</v>
      </c>
      <c r="J699" s="1" t="s">
        <v>2975</v>
      </c>
      <c r="K699" s="67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2976</v>
      </c>
      <c r="D700" s="1" t="s">
        <v>3122</v>
      </c>
      <c r="E700" s="15" t="n">
        <v>46213</v>
      </c>
      <c r="F700" s="15" t="n">
        <v>46213</v>
      </c>
      <c r="G700" s="1" t="s">
        <v>1356</v>
      </c>
      <c r="H700" s="1" t="n">
        <v>1377386</v>
      </c>
      <c r="I700" s="1" t="n">
        <v>11</v>
      </c>
      <c r="J700" s="1" t="s">
        <v>2975</v>
      </c>
      <c r="K700" s="67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3022</v>
      </c>
      <c r="D701" s="1" t="s">
        <v>3023</v>
      </c>
      <c r="E701" s="15" t="n">
        <v>46213</v>
      </c>
      <c r="F701" s="15" t="n">
        <v>46213</v>
      </c>
      <c r="G701" s="1" t="s">
        <v>568</v>
      </c>
      <c r="H701" s="1" t="n">
        <v>1377446</v>
      </c>
      <c r="I701" s="1" t="n">
        <v>11</v>
      </c>
      <c r="J701" s="1" t="s">
        <v>2975</v>
      </c>
      <c r="K701" s="67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2976</v>
      </c>
      <c r="D702" s="1" t="s">
        <v>3007</v>
      </c>
      <c r="E702" s="15" t="n">
        <v>46213</v>
      </c>
      <c r="F702" s="15" t="n">
        <v>46212</v>
      </c>
      <c r="G702" s="1" t="s">
        <v>159</v>
      </c>
      <c r="H702" s="1" t="n">
        <v>1376506</v>
      </c>
      <c r="I702" s="1" t="n">
        <v>11</v>
      </c>
      <c r="J702" s="1" t="s">
        <v>2975</v>
      </c>
      <c r="K702" s="67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2973</v>
      </c>
      <c r="D703" s="1" t="s">
        <v>2994</v>
      </c>
      <c r="E703" s="15" t="n">
        <v>46213</v>
      </c>
      <c r="F703" s="15" t="n">
        <v>46212</v>
      </c>
      <c r="G703" s="1" t="s">
        <v>66</v>
      </c>
      <c r="H703" s="1" t="n">
        <v>1376907</v>
      </c>
      <c r="I703" s="1" t="n">
        <v>11</v>
      </c>
      <c r="J703" s="1" t="s">
        <v>2975</v>
      </c>
      <c r="K703" s="67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2976</v>
      </c>
      <c r="D704" s="1" t="s">
        <v>3125</v>
      </c>
      <c r="E704" s="15" t="n">
        <v>46213</v>
      </c>
      <c r="F704" s="15" t="n">
        <v>46209</v>
      </c>
      <c r="G704" s="1" t="s">
        <v>478</v>
      </c>
      <c r="H704" s="1" t="n">
        <v>1376961</v>
      </c>
      <c r="I704" s="1" t="n">
        <v>11</v>
      </c>
      <c r="J704" s="1" t="s">
        <v>2975</v>
      </c>
      <c r="K704" s="67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2976</v>
      </c>
      <c r="D705" s="1" t="s">
        <v>2996</v>
      </c>
      <c r="E705" s="15" t="n">
        <v>46213</v>
      </c>
      <c r="F705" s="15" t="n">
        <v>46213</v>
      </c>
      <c r="G705" s="1" t="s">
        <v>221</v>
      </c>
      <c r="H705" s="1" t="n">
        <v>1377301</v>
      </c>
      <c r="I705" s="1" t="n">
        <v>1</v>
      </c>
      <c r="J705" s="1" t="s">
        <v>2975</v>
      </c>
      <c r="K705" s="67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2981</v>
      </c>
      <c r="D706" s="1" t="s">
        <v>2982</v>
      </c>
      <c r="E706" s="15" t="n">
        <v>46213</v>
      </c>
      <c r="F706" s="15" t="n">
        <v>46213</v>
      </c>
      <c r="G706" s="1" t="s">
        <v>591</v>
      </c>
      <c r="H706" s="1" t="n">
        <v>1401410</v>
      </c>
      <c r="I706" s="1" t="n">
        <v>1</v>
      </c>
      <c r="J706" s="1" t="s">
        <v>2975</v>
      </c>
      <c r="K706" s="67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2976</v>
      </c>
      <c r="D707" s="1" t="s">
        <v>3040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2975</v>
      </c>
      <c r="K707" s="67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2976</v>
      </c>
      <c r="D708" s="1" t="s">
        <v>3018</v>
      </c>
      <c r="E708" s="15" t="n">
        <v>46213</v>
      </c>
      <c r="F708" s="15" t="n">
        <v>46212</v>
      </c>
      <c r="G708" s="1" t="s">
        <v>258</v>
      </c>
      <c r="H708" s="1" t="n">
        <v>1376993</v>
      </c>
      <c r="I708" s="1" t="n">
        <v>11</v>
      </c>
      <c r="J708" s="1" t="s">
        <v>2975</v>
      </c>
      <c r="K708" s="67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2976</v>
      </c>
      <c r="D709" s="1" t="s">
        <v>2988</v>
      </c>
      <c r="E709" s="15" t="n">
        <v>46213</v>
      </c>
      <c r="F709" s="15" t="n">
        <v>46213</v>
      </c>
      <c r="G709" s="1" t="s">
        <v>70</v>
      </c>
      <c r="H709" s="1" t="n">
        <v>1377147</v>
      </c>
      <c r="I709" s="1" t="n">
        <v>6</v>
      </c>
      <c r="J709" s="1" t="s">
        <v>2975</v>
      </c>
      <c r="K709" s="67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2976</v>
      </c>
      <c r="D710" s="1" t="s">
        <v>2988</v>
      </c>
      <c r="E710" s="15" t="n">
        <v>46213</v>
      </c>
      <c r="F710" s="15" t="n">
        <v>46213</v>
      </c>
      <c r="G710" s="1" t="s">
        <v>70</v>
      </c>
      <c r="H710" s="1" t="n">
        <v>1377251</v>
      </c>
      <c r="I710" s="1" t="n">
        <v>6</v>
      </c>
      <c r="J710" s="1" t="s">
        <v>2975</v>
      </c>
      <c r="K710" s="67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2976</v>
      </c>
      <c r="D711" s="1" t="s">
        <v>2988</v>
      </c>
      <c r="E711" s="15" t="n">
        <v>46213</v>
      </c>
      <c r="F711" s="15" t="n">
        <v>46213</v>
      </c>
      <c r="G711" s="1" t="s">
        <v>70</v>
      </c>
      <c r="H711" s="1" t="n">
        <v>1377401</v>
      </c>
      <c r="I711" s="1" t="n">
        <v>6</v>
      </c>
      <c r="J711" s="1" t="s">
        <v>2975</v>
      </c>
      <c r="K711" s="67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3046</v>
      </c>
      <c r="D712" s="1" t="s">
        <v>3047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2975</v>
      </c>
      <c r="K712" s="67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3046</v>
      </c>
      <c r="D713" s="1" t="s">
        <v>3047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2975</v>
      </c>
      <c r="K713" s="67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3046</v>
      </c>
      <c r="D714" s="1" t="s">
        <v>3047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2975</v>
      </c>
      <c r="K714" s="67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2973</v>
      </c>
      <c r="D715" s="1" t="s">
        <v>3010</v>
      </c>
      <c r="E715" s="15" t="n">
        <v>46213</v>
      </c>
      <c r="F715" s="15" t="n">
        <v>46212</v>
      </c>
      <c r="G715" s="1" t="s">
        <v>319</v>
      </c>
      <c r="H715" s="1" t="n">
        <v>1377327</v>
      </c>
      <c r="I715" s="1" t="n">
        <v>11</v>
      </c>
      <c r="J715" s="1" t="s">
        <v>2975</v>
      </c>
      <c r="K715" s="67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2976</v>
      </c>
      <c r="D716" s="1" t="s">
        <v>2992</v>
      </c>
      <c r="E716" s="15" t="n">
        <v>46214</v>
      </c>
      <c r="F716" s="15" t="n">
        <v>46213</v>
      </c>
      <c r="G716" s="1" t="s">
        <v>161</v>
      </c>
      <c r="H716" s="1" t="n">
        <v>1381979</v>
      </c>
      <c r="I716" s="1" t="n">
        <v>11</v>
      </c>
      <c r="J716" s="1" t="s">
        <v>2975</v>
      </c>
      <c r="K716" s="67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2976</v>
      </c>
      <c r="D717" s="1" t="s">
        <v>3074</v>
      </c>
      <c r="E717" s="15" t="n">
        <v>46214</v>
      </c>
      <c r="F717" s="15" t="n">
        <v>46213</v>
      </c>
      <c r="G717" s="1" t="s">
        <v>208</v>
      </c>
      <c r="H717" s="1" t="n">
        <v>1382557</v>
      </c>
      <c r="I717" s="1" t="n">
        <v>11</v>
      </c>
      <c r="J717" s="1" t="s">
        <v>2975</v>
      </c>
      <c r="K717" s="67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2976</v>
      </c>
      <c r="D718" s="1" t="s">
        <v>2980</v>
      </c>
      <c r="E718" s="15" t="n">
        <v>46214</v>
      </c>
      <c r="F718" s="15" t="n">
        <v>46213</v>
      </c>
      <c r="G718" s="1" t="s">
        <v>325</v>
      </c>
      <c r="H718" s="1" t="n">
        <v>1381996</v>
      </c>
      <c r="I718" s="1" t="n">
        <v>11</v>
      </c>
      <c r="J718" s="1" t="s">
        <v>2975</v>
      </c>
      <c r="K718" s="67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2973</v>
      </c>
      <c r="D719" s="1" t="s">
        <v>2999</v>
      </c>
      <c r="E719" s="15" t="n">
        <v>46214</v>
      </c>
      <c r="F719" s="15" t="n">
        <v>46213</v>
      </c>
      <c r="G719" s="1" t="s">
        <v>76</v>
      </c>
      <c r="H719" s="1" t="n">
        <v>1382323</v>
      </c>
      <c r="I719" s="1" t="n">
        <v>11</v>
      </c>
      <c r="J719" s="1" t="s">
        <v>2975</v>
      </c>
      <c r="K719" s="67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2973</v>
      </c>
      <c r="D720" s="1" t="s">
        <v>2984</v>
      </c>
      <c r="E720" s="15" t="n">
        <v>46214</v>
      </c>
      <c r="F720" s="15" t="n">
        <v>46214</v>
      </c>
      <c r="G720" s="1" t="s">
        <v>97</v>
      </c>
      <c r="H720" s="1" t="n">
        <v>1396627</v>
      </c>
      <c r="I720" s="1" t="n">
        <v>1</v>
      </c>
      <c r="J720" s="1" t="s">
        <v>2975</v>
      </c>
      <c r="K720" s="67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2976</v>
      </c>
      <c r="D721" s="1" t="s">
        <v>3013</v>
      </c>
      <c r="E721" s="15" t="n">
        <v>46214</v>
      </c>
      <c r="F721" s="15" t="n">
        <v>46213</v>
      </c>
      <c r="G721" s="1" t="s">
        <v>3014</v>
      </c>
      <c r="H721" s="1" t="n">
        <v>1382474</v>
      </c>
      <c r="I721" s="1" t="n">
        <v>11</v>
      </c>
      <c r="J721" s="1" t="s">
        <v>2975</v>
      </c>
      <c r="K721" s="67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2976</v>
      </c>
      <c r="D722" s="1" t="s">
        <v>3042</v>
      </c>
      <c r="E722" s="15" t="n">
        <v>46214</v>
      </c>
      <c r="F722" s="15" t="n">
        <v>46212</v>
      </c>
      <c r="G722" s="1" t="s">
        <v>551</v>
      </c>
      <c r="H722" s="1" t="n">
        <v>1382435</v>
      </c>
      <c r="I722" s="1" t="n">
        <v>11</v>
      </c>
      <c r="J722" s="1" t="s">
        <v>2975</v>
      </c>
      <c r="K722" s="67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2976</v>
      </c>
      <c r="D723" s="1" t="s">
        <v>3026</v>
      </c>
      <c r="E723" s="15" t="n">
        <v>46214</v>
      </c>
      <c r="F723" s="15" t="n">
        <v>46213</v>
      </c>
      <c r="G723" s="1" t="s">
        <v>309</v>
      </c>
      <c r="H723" s="1" t="n">
        <v>1382076</v>
      </c>
      <c r="I723" s="1" t="n">
        <v>11</v>
      </c>
      <c r="J723" s="1" t="s">
        <v>2975</v>
      </c>
      <c r="K723" s="67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2976</v>
      </c>
      <c r="D724" s="1" t="s">
        <v>3081</v>
      </c>
      <c r="E724" s="15" t="n">
        <v>46214</v>
      </c>
      <c r="F724" s="15" t="n">
        <v>46211</v>
      </c>
      <c r="G724" s="1" t="s">
        <v>201</v>
      </c>
      <c r="H724" s="1" t="n">
        <v>1382137</v>
      </c>
      <c r="I724" s="1" t="n">
        <v>11</v>
      </c>
      <c r="J724" s="1" t="s">
        <v>2975</v>
      </c>
      <c r="K724" s="67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2976</v>
      </c>
      <c r="D725" s="1" t="s">
        <v>3044</v>
      </c>
      <c r="E725" s="15" t="n">
        <v>46214</v>
      </c>
      <c r="F725" s="15" t="n">
        <v>46213</v>
      </c>
      <c r="G725" s="1" t="s">
        <v>215</v>
      </c>
      <c r="H725" s="1" t="n">
        <v>1382296</v>
      </c>
      <c r="I725" s="1" t="n">
        <v>11</v>
      </c>
      <c r="J725" s="1" t="s">
        <v>2975</v>
      </c>
      <c r="K725" s="67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3016</v>
      </c>
      <c r="D726" s="1" t="s">
        <v>3017</v>
      </c>
      <c r="E726" s="15" t="n">
        <v>46214</v>
      </c>
      <c r="F726" s="15" t="n">
        <v>46212</v>
      </c>
      <c r="G726" s="1" t="s">
        <v>144</v>
      </c>
      <c r="H726" s="1" t="n">
        <v>1382513</v>
      </c>
      <c r="I726" s="1" t="n">
        <v>11</v>
      </c>
      <c r="J726" s="1" t="s">
        <v>2975</v>
      </c>
      <c r="K726" s="67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2976</v>
      </c>
      <c r="D727" s="1" t="s">
        <v>3126</v>
      </c>
      <c r="E727" s="15" t="n">
        <v>46214</v>
      </c>
      <c r="F727" s="15" t="n">
        <v>46213</v>
      </c>
      <c r="G727" s="1" t="s">
        <v>780</v>
      </c>
      <c r="H727" s="1" t="n">
        <v>1381736</v>
      </c>
      <c r="I727" s="1" t="n">
        <v>11</v>
      </c>
      <c r="J727" s="1" t="s">
        <v>2975</v>
      </c>
      <c r="K727" s="67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2973</v>
      </c>
      <c r="D728" s="1" t="s">
        <v>3003</v>
      </c>
      <c r="E728" s="15" t="n">
        <v>46214</v>
      </c>
      <c r="F728" s="15" t="n">
        <v>46213</v>
      </c>
      <c r="G728" s="1" t="s">
        <v>74</v>
      </c>
      <c r="H728" s="1" t="n">
        <v>1381925</v>
      </c>
      <c r="I728" s="1" t="n">
        <v>11</v>
      </c>
      <c r="J728" s="1" t="s">
        <v>2975</v>
      </c>
      <c r="K728" s="67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2978</v>
      </c>
      <c r="D729" s="1" t="s">
        <v>2991</v>
      </c>
      <c r="E729" s="15" t="n">
        <v>46214</v>
      </c>
      <c r="F729" s="15" t="n">
        <v>46214</v>
      </c>
      <c r="G729" s="1" t="s">
        <v>961</v>
      </c>
      <c r="H729" s="1" t="n">
        <v>1396639</v>
      </c>
      <c r="I729" s="1" t="n">
        <v>1</v>
      </c>
      <c r="J729" s="1" t="s">
        <v>2975</v>
      </c>
      <c r="K729" s="67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2973</v>
      </c>
      <c r="D730" s="1" t="s">
        <v>2974</v>
      </c>
      <c r="E730" s="15" t="n">
        <v>46216</v>
      </c>
      <c r="F730" s="15" t="n">
        <v>46213</v>
      </c>
      <c r="G730" s="1" t="s">
        <v>352</v>
      </c>
      <c r="H730" s="1" t="n">
        <v>1393747</v>
      </c>
      <c r="I730" s="1" t="n">
        <v>11</v>
      </c>
      <c r="J730" s="1" t="s">
        <v>2975</v>
      </c>
      <c r="K730" s="67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2976</v>
      </c>
      <c r="D731" s="1" t="s">
        <v>3127</v>
      </c>
      <c r="E731" s="15" t="n">
        <v>46216</v>
      </c>
      <c r="F731" s="15" t="n">
        <v>46216</v>
      </c>
      <c r="G731" s="1" t="s">
        <v>1396</v>
      </c>
      <c r="H731" s="1" t="n">
        <v>1394133</v>
      </c>
      <c r="I731" s="1" t="n">
        <v>11</v>
      </c>
      <c r="J731" s="1" t="s">
        <v>2975</v>
      </c>
      <c r="K731" s="67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3035</v>
      </c>
      <c r="D732" s="1" t="s">
        <v>3036</v>
      </c>
      <c r="E732" s="15" t="n">
        <v>46216</v>
      </c>
      <c r="F732" s="15" t="n">
        <v>46212</v>
      </c>
      <c r="G732" s="1" t="s">
        <v>148</v>
      </c>
      <c r="H732" s="1" t="n">
        <v>1392951</v>
      </c>
      <c r="I732" s="1" t="n">
        <v>11</v>
      </c>
      <c r="J732" s="1" t="s">
        <v>2975</v>
      </c>
      <c r="K732" s="67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3035</v>
      </c>
      <c r="D733" s="1" t="s">
        <v>3036</v>
      </c>
      <c r="E733" s="15" t="n">
        <v>46216</v>
      </c>
      <c r="F733" s="15" t="n">
        <v>46212</v>
      </c>
      <c r="G733" s="1" t="s">
        <v>148</v>
      </c>
      <c r="H733" s="1" t="n">
        <v>1392646</v>
      </c>
      <c r="I733" s="1" t="n">
        <v>11</v>
      </c>
      <c r="J733" s="1" t="s">
        <v>2975</v>
      </c>
      <c r="K733" s="67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3016</v>
      </c>
      <c r="D734" s="1" t="s">
        <v>3036</v>
      </c>
      <c r="E734" s="15" t="n">
        <v>46216</v>
      </c>
      <c r="F734" s="15" t="n">
        <v>46212</v>
      </c>
      <c r="G734" s="1" t="s">
        <v>148</v>
      </c>
      <c r="H734" s="1" t="n">
        <v>1392682</v>
      </c>
      <c r="I734" s="1" t="n">
        <v>11</v>
      </c>
      <c r="J734" s="1" t="s">
        <v>2975</v>
      </c>
      <c r="K734" s="67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3016</v>
      </c>
      <c r="D735" s="1" t="s">
        <v>3036</v>
      </c>
      <c r="E735" s="15" t="n">
        <v>46216</v>
      </c>
      <c r="F735" s="15" t="n">
        <v>46212</v>
      </c>
      <c r="G735" s="1" t="s">
        <v>148</v>
      </c>
      <c r="H735" s="1" t="n">
        <v>1392597</v>
      </c>
      <c r="I735" s="1" t="n">
        <v>11</v>
      </c>
      <c r="J735" s="1" t="s">
        <v>2975</v>
      </c>
      <c r="K735" s="67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2973</v>
      </c>
      <c r="D736" s="1" t="s">
        <v>2994</v>
      </c>
      <c r="E736" s="15" t="n">
        <v>46216</v>
      </c>
      <c r="F736" s="15" t="n">
        <v>46216</v>
      </c>
      <c r="G736" s="1" t="s">
        <v>66</v>
      </c>
      <c r="H736" s="1" t="n">
        <v>1393773</v>
      </c>
      <c r="I736" s="1" t="n">
        <v>11</v>
      </c>
      <c r="J736" s="1" t="s">
        <v>2975</v>
      </c>
      <c r="K736" s="67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3024</v>
      </c>
      <c r="D737" s="1" t="s">
        <v>3025</v>
      </c>
      <c r="E737" s="15" t="n">
        <v>46216</v>
      </c>
      <c r="F737" s="15" t="n">
        <v>46212</v>
      </c>
      <c r="G737" s="1" t="s">
        <v>311</v>
      </c>
      <c r="H737" s="1" t="n">
        <v>1392458</v>
      </c>
      <c r="I737" s="1" t="n">
        <v>11</v>
      </c>
      <c r="J737" s="1" t="s">
        <v>2975</v>
      </c>
      <c r="K737" s="67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3024</v>
      </c>
      <c r="D738" s="1" t="s">
        <v>3025</v>
      </c>
      <c r="E738" s="15" t="n">
        <v>46216</v>
      </c>
      <c r="F738" s="15" t="n">
        <v>46212</v>
      </c>
      <c r="G738" s="1" t="s">
        <v>311</v>
      </c>
      <c r="H738" s="1" t="n">
        <v>1392496</v>
      </c>
      <c r="I738" s="1" t="n">
        <v>11</v>
      </c>
      <c r="J738" s="1" t="s">
        <v>2975</v>
      </c>
      <c r="K738" s="67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2976</v>
      </c>
      <c r="D739" s="1" t="s">
        <v>2997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2975</v>
      </c>
      <c r="K739" s="67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2976</v>
      </c>
      <c r="D740" s="1" t="s">
        <v>2997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2975</v>
      </c>
      <c r="K740" s="67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2976</v>
      </c>
      <c r="D741" s="1" t="s">
        <v>2980</v>
      </c>
      <c r="E741" s="15" t="n">
        <v>46216</v>
      </c>
      <c r="F741" s="15" t="n">
        <v>46213</v>
      </c>
      <c r="G741" s="1" t="s">
        <v>325</v>
      </c>
      <c r="H741" s="1" t="n">
        <v>1393086</v>
      </c>
      <c r="I741" s="1" t="n">
        <v>39</v>
      </c>
      <c r="J741" s="1" t="s">
        <v>2975</v>
      </c>
      <c r="K741" s="67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2976</v>
      </c>
      <c r="D742" s="1" t="s">
        <v>3095</v>
      </c>
      <c r="E742" s="15" t="n">
        <v>46216</v>
      </c>
      <c r="F742" s="15" t="n">
        <v>46215</v>
      </c>
      <c r="G742" s="1" t="s">
        <v>853</v>
      </c>
      <c r="H742" s="1" t="n">
        <v>1393680</v>
      </c>
      <c r="I742" s="1" t="n">
        <v>11</v>
      </c>
      <c r="J742" s="1" t="s">
        <v>2975</v>
      </c>
      <c r="K742" s="67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2976</v>
      </c>
      <c r="D743" s="1" t="s">
        <v>3015</v>
      </c>
      <c r="E743" s="15" t="n">
        <v>46216</v>
      </c>
      <c r="F743" s="15" t="n">
        <v>46212</v>
      </c>
      <c r="G743" s="1" t="s">
        <v>278</v>
      </c>
      <c r="H743" s="1" t="n">
        <v>1392938</v>
      </c>
      <c r="I743" s="1" t="n">
        <v>11</v>
      </c>
      <c r="J743" s="1" t="s">
        <v>2975</v>
      </c>
      <c r="K743" s="67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2976</v>
      </c>
      <c r="D744" s="1" t="s">
        <v>2986</v>
      </c>
      <c r="E744" s="15" t="n">
        <v>46216</v>
      </c>
      <c r="F744" s="15" t="n">
        <v>46214</v>
      </c>
      <c r="G744" s="1" t="s">
        <v>211</v>
      </c>
      <c r="H744" s="1" t="n">
        <v>1392830</v>
      </c>
      <c r="I744" s="1" t="n">
        <v>11</v>
      </c>
      <c r="J744" s="1" t="s">
        <v>2975</v>
      </c>
      <c r="K744" s="67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2976</v>
      </c>
      <c r="D745" s="1" t="s">
        <v>2986</v>
      </c>
      <c r="E745" s="15" t="n">
        <v>46216</v>
      </c>
      <c r="F745" s="15" t="n">
        <v>46216</v>
      </c>
      <c r="G745" s="1" t="s">
        <v>211</v>
      </c>
      <c r="H745" s="1" t="n">
        <v>1394179</v>
      </c>
      <c r="I745" s="1" t="n">
        <v>11</v>
      </c>
      <c r="J745" s="1" t="s">
        <v>2975</v>
      </c>
      <c r="K745" s="67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2973</v>
      </c>
      <c r="D746" s="1" t="s">
        <v>3003</v>
      </c>
      <c r="E746" s="15" t="n">
        <v>46216</v>
      </c>
      <c r="F746" s="15" t="n">
        <v>46214</v>
      </c>
      <c r="G746" s="1" t="s">
        <v>74</v>
      </c>
      <c r="H746" s="1" t="n">
        <v>1393622</v>
      </c>
      <c r="I746" s="1" t="n">
        <v>11</v>
      </c>
      <c r="J746" s="1" t="s">
        <v>2975</v>
      </c>
      <c r="K746" s="67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2976</v>
      </c>
      <c r="D747" s="1" t="s">
        <v>3051</v>
      </c>
      <c r="E747" s="15" t="n">
        <v>46216</v>
      </c>
      <c r="F747" s="15" t="n">
        <v>46210</v>
      </c>
      <c r="G747" s="1" t="s">
        <v>244</v>
      </c>
      <c r="H747" s="1" t="n">
        <v>1393008</v>
      </c>
      <c r="I747" s="1" t="n">
        <v>11</v>
      </c>
      <c r="J747" s="1" t="s">
        <v>2975</v>
      </c>
      <c r="K747" s="67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2976</v>
      </c>
      <c r="D748" s="1" t="s">
        <v>3028</v>
      </c>
      <c r="E748" s="15" t="n">
        <v>46216</v>
      </c>
      <c r="F748" s="15" t="n">
        <v>46214</v>
      </c>
      <c r="G748" s="1" t="s">
        <v>321</v>
      </c>
      <c r="H748" s="1" t="n">
        <v>1393590</v>
      </c>
      <c r="I748" s="1" t="n">
        <v>39</v>
      </c>
      <c r="J748" s="1" t="s">
        <v>2975</v>
      </c>
      <c r="K748" s="67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3128</v>
      </c>
      <c r="D749" s="1" t="s">
        <v>3129</v>
      </c>
      <c r="E749" s="15" t="n">
        <v>46216</v>
      </c>
      <c r="F749" s="15" t="n">
        <v>46216</v>
      </c>
      <c r="G749" s="1" t="s">
        <v>2095</v>
      </c>
      <c r="H749" s="1" t="n">
        <v>1394085</v>
      </c>
      <c r="I749" s="1" t="n">
        <v>11</v>
      </c>
      <c r="J749" s="1" t="s">
        <v>2975</v>
      </c>
      <c r="K749" s="67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2976</v>
      </c>
      <c r="D750" s="1" t="s">
        <v>2992</v>
      </c>
      <c r="E750" s="15" t="n">
        <v>46217</v>
      </c>
      <c r="F750" s="15" t="n">
        <v>46216</v>
      </c>
      <c r="G750" s="1" t="s">
        <v>161</v>
      </c>
      <c r="H750" s="1" t="n">
        <v>1398369</v>
      </c>
      <c r="I750" s="1" t="n">
        <v>11</v>
      </c>
      <c r="J750" s="1" t="s">
        <v>2975</v>
      </c>
      <c r="K750" s="67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2976</v>
      </c>
      <c r="D751" s="1" t="s">
        <v>3130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2975</v>
      </c>
      <c r="K751" s="67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2976</v>
      </c>
      <c r="D752" s="1" t="s">
        <v>3007</v>
      </c>
      <c r="E752" s="15" t="n">
        <v>46217</v>
      </c>
      <c r="F752" s="15" t="n">
        <v>46216</v>
      </c>
      <c r="G752" s="1" t="s">
        <v>159</v>
      </c>
      <c r="H752" s="1" t="n">
        <v>1397311</v>
      </c>
      <c r="I752" s="1" t="n">
        <v>11</v>
      </c>
      <c r="J752" s="1" t="s">
        <v>2975</v>
      </c>
      <c r="K752" s="67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2976</v>
      </c>
      <c r="D753" s="1" t="s">
        <v>3131</v>
      </c>
      <c r="E753" s="15" t="n">
        <v>46217</v>
      </c>
      <c r="F753" s="15" t="n">
        <v>46209</v>
      </c>
      <c r="G753" s="1" t="s">
        <v>2087</v>
      </c>
      <c r="H753" s="1" t="n">
        <v>1397226</v>
      </c>
      <c r="I753" s="1" t="n">
        <v>35</v>
      </c>
      <c r="J753" s="1" t="s">
        <v>2975</v>
      </c>
      <c r="K753" s="67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2976</v>
      </c>
      <c r="D754" s="1" t="s">
        <v>2995</v>
      </c>
      <c r="E754" s="15" t="n">
        <v>46217</v>
      </c>
      <c r="F754" s="15" t="n">
        <v>46217</v>
      </c>
      <c r="G754" s="1" t="s">
        <v>264</v>
      </c>
      <c r="H754" s="1" t="n">
        <v>1398026</v>
      </c>
      <c r="I754" s="1" t="n">
        <v>11</v>
      </c>
      <c r="J754" s="1" t="s">
        <v>2975</v>
      </c>
      <c r="K754" s="67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2976</v>
      </c>
      <c r="D755" s="1" t="s">
        <v>2996</v>
      </c>
      <c r="E755" s="15" t="n">
        <v>46217</v>
      </c>
      <c r="F755" s="15" t="n">
        <v>46217</v>
      </c>
      <c r="G755" s="1" t="s">
        <v>221</v>
      </c>
      <c r="H755" s="1" t="n">
        <v>1397792</v>
      </c>
      <c r="I755" s="1" t="n">
        <v>1</v>
      </c>
      <c r="J755" s="1" t="s">
        <v>2975</v>
      </c>
      <c r="K755" s="67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2976</v>
      </c>
      <c r="D756" s="1" t="s">
        <v>3048</v>
      </c>
      <c r="E756" s="15" t="n">
        <v>46217</v>
      </c>
      <c r="F756" s="15" t="n">
        <v>46214</v>
      </c>
      <c r="G756" s="1" t="s">
        <v>280</v>
      </c>
      <c r="H756" s="1" t="n">
        <v>1397172</v>
      </c>
      <c r="I756" s="1" t="n">
        <v>11</v>
      </c>
      <c r="J756" s="1" t="s">
        <v>2975</v>
      </c>
      <c r="K756" s="67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2981</v>
      </c>
      <c r="D757" s="1" t="s">
        <v>2982</v>
      </c>
      <c r="E757" s="15" t="n">
        <v>46217</v>
      </c>
      <c r="F757" s="15" t="n">
        <v>46217</v>
      </c>
      <c r="G757" s="1" t="s">
        <v>591</v>
      </c>
      <c r="H757" s="1" t="n">
        <v>1401472</v>
      </c>
      <c r="I757" s="1" t="n">
        <v>1</v>
      </c>
      <c r="J757" s="1" t="s">
        <v>2975</v>
      </c>
      <c r="K757" s="67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2981</v>
      </c>
      <c r="D758" s="1" t="s">
        <v>2982</v>
      </c>
      <c r="E758" s="15" t="n">
        <v>46217</v>
      </c>
      <c r="F758" s="15" t="n">
        <v>46217</v>
      </c>
      <c r="G758" s="1" t="s">
        <v>591</v>
      </c>
      <c r="H758" s="1" t="n">
        <v>1401502</v>
      </c>
      <c r="I758" s="1" t="n">
        <v>1</v>
      </c>
      <c r="J758" s="1" t="s">
        <v>2975</v>
      </c>
      <c r="K758" s="67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3105</v>
      </c>
      <c r="D759" s="1" t="s">
        <v>3106</v>
      </c>
      <c r="E759" s="15" t="n">
        <v>46217</v>
      </c>
      <c r="F759" s="15" t="n">
        <v>46217</v>
      </c>
      <c r="G759" s="1" t="s">
        <v>315</v>
      </c>
      <c r="H759" s="1" t="n">
        <v>1398188</v>
      </c>
      <c r="I759" s="1" t="n">
        <v>11</v>
      </c>
      <c r="J759" s="1" t="s">
        <v>2975</v>
      </c>
      <c r="K759" s="67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2978</v>
      </c>
      <c r="D760" s="1" t="s">
        <v>3132</v>
      </c>
      <c r="E760" s="15" t="n">
        <v>46217</v>
      </c>
      <c r="F760" s="15" t="n">
        <v>46216</v>
      </c>
      <c r="G760" s="1" t="s">
        <v>138</v>
      </c>
      <c r="H760" s="1" t="n">
        <v>1397097</v>
      </c>
      <c r="I760" s="1" t="n">
        <v>11</v>
      </c>
      <c r="J760" s="1" t="s">
        <v>2975</v>
      </c>
      <c r="K760" s="67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2973</v>
      </c>
      <c r="D761" s="1" t="s">
        <v>2984</v>
      </c>
      <c r="E761" s="15" t="n">
        <v>46217</v>
      </c>
      <c r="F761" s="15" t="n">
        <v>46217</v>
      </c>
      <c r="G761" s="1" t="s">
        <v>97</v>
      </c>
      <c r="H761" s="1" t="n">
        <v>1435607</v>
      </c>
      <c r="I761" s="1" t="n">
        <v>1</v>
      </c>
      <c r="J761" s="1" t="s">
        <v>2975</v>
      </c>
      <c r="K761" s="67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2976</v>
      </c>
      <c r="D762" s="1" t="s">
        <v>3000</v>
      </c>
      <c r="E762" s="15" t="n">
        <v>46217</v>
      </c>
      <c r="F762" s="15" t="n">
        <v>46216</v>
      </c>
      <c r="G762" s="1" t="s">
        <v>155</v>
      </c>
      <c r="H762" s="1" t="n">
        <v>1397374</v>
      </c>
      <c r="I762" s="1" t="n">
        <v>11</v>
      </c>
      <c r="J762" s="1" t="s">
        <v>2975</v>
      </c>
      <c r="K762" s="67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2976</v>
      </c>
      <c r="D763" s="1" t="s">
        <v>3002</v>
      </c>
      <c r="E763" s="15" t="n">
        <v>46217</v>
      </c>
      <c r="F763" s="15" t="n">
        <v>46216</v>
      </c>
      <c r="G763" s="1" t="s">
        <v>323</v>
      </c>
      <c r="H763" s="1" t="n">
        <v>1397275</v>
      </c>
      <c r="I763" s="1" t="n">
        <v>11</v>
      </c>
      <c r="J763" s="1" t="s">
        <v>2975</v>
      </c>
      <c r="K763" s="67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3016</v>
      </c>
      <c r="D764" s="1" t="s">
        <v>3017</v>
      </c>
      <c r="E764" s="15" t="n">
        <v>46217</v>
      </c>
      <c r="F764" s="15" t="n">
        <v>46216</v>
      </c>
      <c r="G764" s="1" t="s">
        <v>144</v>
      </c>
      <c r="H764" s="1" t="n">
        <v>1397267</v>
      </c>
      <c r="I764" s="1" t="n">
        <v>11</v>
      </c>
      <c r="J764" s="1" t="s">
        <v>2975</v>
      </c>
      <c r="K764" s="67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2973</v>
      </c>
      <c r="D765" s="1" t="s">
        <v>3003</v>
      </c>
      <c r="E765" s="15" t="n">
        <v>46217</v>
      </c>
      <c r="F765" s="15" t="n">
        <v>46216</v>
      </c>
      <c r="G765" s="1" t="s">
        <v>74</v>
      </c>
      <c r="H765" s="1" t="n">
        <v>1397124</v>
      </c>
      <c r="I765" s="1" t="n">
        <v>11</v>
      </c>
      <c r="J765" s="1" t="s">
        <v>2975</v>
      </c>
      <c r="K765" s="67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2973</v>
      </c>
      <c r="D766" s="1" t="s">
        <v>3003</v>
      </c>
      <c r="E766" s="15" t="n">
        <v>46217</v>
      </c>
      <c r="F766" s="15" t="n">
        <v>46216</v>
      </c>
      <c r="G766" s="1" t="s">
        <v>74</v>
      </c>
      <c r="H766" s="1" t="n">
        <v>1397356</v>
      </c>
      <c r="I766" s="1" t="n">
        <v>11</v>
      </c>
      <c r="J766" s="1" t="s">
        <v>2975</v>
      </c>
      <c r="K766" s="67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2976</v>
      </c>
      <c r="D767" s="1" t="s">
        <v>2988</v>
      </c>
      <c r="E767" s="15" t="n">
        <v>46217</v>
      </c>
      <c r="F767" s="15" t="n">
        <v>46217</v>
      </c>
      <c r="G767" s="1" t="s">
        <v>70</v>
      </c>
      <c r="H767" s="1" t="n">
        <v>1397765</v>
      </c>
      <c r="I767" s="1" t="n">
        <v>6</v>
      </c>
      <c r="J767" s="1" t="s">
        <v>2975</v>
      </c>
      <c r="K767" s="67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2976</v>
      </c>
      <c r="D768" s="1" t="s">
        <v>2988</v>
      </c>
      <c r="E768" s="15" t="n">
        <v>46217</v>
      </c>
      <c r="F768" s="15" t="n">
        <v>46217</v>
      </c>
      <c r="G768" s="1" t="s">
        <v>70</v>
      </c>
      <c r="H768" s="1" t="n">
        <v>1397824</v>
      </c>
      <c r="I768" s="1" t="n">
        <v>6</v>
      </c>
      <c r="J768" s="1" t="s">
        <v>2975</v>
      </c>
      <c r="K768" s="67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2976</v>
      </c>
      <c r="D769" s="1" t="s">
        <v>2988</v>
      </c>
      <c r="E769" s="15" t="n">
        <v>46217</v>
      </c>
      <c r="F769" s="15" t="n">
        <v>46217</v>
      </c>
      <c r="G769" s="1" t="s">
        <v>70</v>
      </c>
      <c r="H769" s="1" t="n">
        <v>1397913</v>
      </c>
      <c r="I769" s="1" t="n">
        <v>6</v>
      </c>
      <c r="J769" s="1" t="s">
        <v>2975</v>
      </c>
      <c r="K769" s="67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2976</v>
      </c>
      <c r="D770" s="1" t="s">
        <v>2988</v>
      </c>
      <c r="E770" s="15" t="n">
        <v>46217</v>
      </c>
      <c r="F770" s="15" t="n">
        <v>46217</v>
      </c>
      <c r="G770" s="1" t="s">
        <v>70</v>
      </c>
      <c r="H770" s="1" t="n">
        <v>1398159</v>
      </c>
      <c r="I770" s="1" t="n">
        <v>6</v>
      </c>
      <c r="J770" s="1" t="s">
        <v>2975</v>
      </c>
      <c r="K770" s="67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2976</v>
      </c>
      <c r="D771" s="1" t="s">
        <v>3020</v>
      </c>
      <c r="E771" s="15" t="n">
        <v>46217</v>
      </c>
      <c r="F771" s="15" t="n">
        <v>46216</v>
      </c>
      <c r="G771" s="1" t="s">
        <v>78</v>
      </c>
      <c r="H771" s="1" t="n">
        <v>1397409</v>
      </c>
      <c r="I771" s="1" t="n">
        <v>11</v>
      </c>
      <c r="J771" s="1" t="s">
        <v>2975</v>
      </c>
      <c r="K771" s="67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2981</v>
      </c>
      <c r="D772" s="1" t="s">
        <v>2982</v>
      </c>
      <c r="E772" s="15" t="n">
        <v>46218</v>
      </c>
      <c r="F772" s="15" t="n">
        <v>46218</v>
      </c>
      <c r="G772" s="1" t="s">
        <v>591</v>
      </c>
      <c r="H772" s="1" t="n">
        <v>1406042</v>
      </c>
      <c r="I772" s="1" t="n">
        <v>1</v>
      </c>
      <c r="J772" s="1" t="s">
        <v>2975</v>
      </c>
      <c r="K772" s="67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2976</v>
      </c>
      <c r="D773" s="1" t="s">
        <v>3038</v>
      </c>
      <c r="E773" s="15" t="n">
        <v>46218</v>
      </c>
      <c r="F773" s="15" t="n">
        <v>46216</v>
      </c>
      <c r="G773" s="1" t="s">
        <v>193</v>
      </c>
      <c r="H773" s="1" t="n">
        <v>1401538</v>
      </c>
      <c r="I773" s="1" t="n">
        <v>11</v>
      </c>
      <c r="J773" s="1" t="s">
        <v>2975</v>
      </c>
      <c r="K773" s="67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2976</v>
      </c>
      <c r="D774" s="1" t="s">
        <v>3038</v>
      </c>
      <c r="E774" s="15" t="n">
        <v>46218</v>
      </c>
      <c r="F774" s="15" t="n">
        <v>46216</v>
      </c>
      <c r="G774" s="1" t="s">
        <v>193</v>
      </c>
      <c r="H774" s="1" t="n">
        <v>1401591</v>
      </c>
      <c r="I774" s="1" t="n">
        <v>11</v>
      </c>
      <c r="J774" s="1" t="s">
        <v>2975</v>
      </c>
      <c r="K774" s="67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2976</v>
      </c>
      <c r="D775" s="1" t="s">
        <v>2998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2975</v>
      </c>
      <c r="K775" s="67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3022</v>
      </c>
      <c r="D776" s="1" t="s">
        <v>3041</v>
      </c>
      <c r="E776" s="15" t="n">
        <v>46218</v>
      </c>
      <c r="F776" s="15" t="n">
        <v>46214</v>
      </c>
      <c r="G776" s="1" t="s">
        <v>132</v>
      </c>
      <c r="H776" s="1" t="n">
        <v>1402051</v>
      </c>
      <c r="I776" s="1" t="n">
        <v>11</v>
      </c>
      <c r="J776" s="1" t="s">
        <v>2975</v>
      </c>
      <c r="K776" s="67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3022</v>
      </c>
      <c r="D777" s="1" t="s">
        <v>3041</v>
      </c>
      <c r="E777" s="15" t="n">
        <v>46218</v>
      </c>
      <c r="F777" s="15" t="n">
        <v>46214</v>
      </c>
      <c r="G777" s="1" t="s">
        <v>132</v>
      </c>
      <c r="H777" s="1" t="n">
        <v>1402589</v>
      </c>
      <c r="I777" s="1" t="n">
        <v>11</v>
      </c>
      <c r="J777" s="1" t="s">
        <v>2975</v>
      </c>
      <c r="K777" s="67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2976</v>
      </c>
      <c r="D778" s="1" t="s">
        <v>3027</v>
      </c>
      <c r="E778" s="15" t="n">
        <v>46218</v>
      </c>
      <c r="F778" s="15" t="n">
        <v>46217</v>
      </c>
      <c r="G778" s="1" t="s">
        <v>371</v>
      </c>
      <c r="H778" s="1" t="n">
        <v>1401908</v>
      </c>
      <c r="I778" s="1" t="n">
        <v>11</v>
      </c>
      <c r="J778" s="1" t="s">
        <v>2975</v>
      </c>
      <c r="K778" s="67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2978</v>
      </c>
      <c r="D779" s="1" t="s">
        <v>3096</v>
      </c>
      <c r="E779" s="15" t="n">
        <v>46218</v>
      </c>
      <c r="F779" s="15" t="n">
        <v>46216</v>
      </c>
      <c r="G779" s="1" t="s">
        <v>189</v>
      </c>
      <c r="H779" s="1" t="n">
        <v>1401990</v>
      </c>
      <c r="I779" s="1" t="n">
        <v>11</v>
      </c>
      <c r="J779" s="1" t="s">
        <v>2975</v>
      </c>
      <c r="K779" s="67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2973</v>
      </c>
      <c r="D780" s="1" t="s">
        <v>3060</v>
      </c>
      <c r="E780" s="15" t="n">
        <v>46218</v>
      </c>
      <c r="F780" s="15" t="n">
        <v>46216</v>
      </c>
      <c r="G780" s="1" t="s">
        <v>1405</v>
      </c>
      <c r="H780" s="1" t="n">
        <v>1401828</v>
      </c>
      <c r="I780" s="1" t="n">
        <v>11</v>
      </c>
      <c r="J780" s="1" t="s">
        <v>2975</v>
      </c>
      <c r="K780" s="67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2976</v>
      </c>
      <c r="D781" s="1" t="s">
        <v>3087</v>
      </c>
      <c r="E781" s="15" t="n">
        <v>46219</v>
      </c>
      <c r="F781" s="15" t="n">
        <v>46216</v>
      </c>
      <c r="G781" s="1" t="s">
        <v>745</v>
      </c>
      <c r="H781" s="1" t="n">
        <v>1405509</v>
      </c>
      <c r="I781" s="1" t="n">
        <v>11</v>
      </c>
      <c r="J781" s="1" t="s">
        <v>2975</v>
      </c>
      <c r="K781" s="67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2976</v>
      </c>
      <c r="D782" s="1" t="s">
        <v>3063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2975</v>
      </c>
      <c r="K782" s="67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2976</v>
      </c>
      <c r="D783" s="1" t="s">
        <v>3063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2975</v>
      </c>
      <c r="K783" s="67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2976</v>
      </c>
      <c r="D784" s="1" t="s">
        <v>3063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2975</v>
      </c>
      <c r="K784" s="67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3035</v>
      </c>
      <c r="D785" s="1" t="s">
        <v>3036</v>
      </c>
      <c r="E785" s="15" t="n">
        <v>46219</v>
      </c>
      <c r="F785" s="15" t="n">
        <v>46217</v>
      </c>
      <c r="G785" s="1" t="s">
        <v>148</v>
      </c>
      <c r="H785" s="1" t="n">
        <v>1407754</v>
      </c>
      <c r="I785" s="1" t="n">
        <v>11</v>
      </c>
      <c r="J785" s="1" t="s">
        <v>2975</v>
      </c>
      <c r="K785" s="67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3016</v>
      </c>
      <c r="D786" s="1" t="s">
        <v>3036</v>
      </c>
      <c r="E786" s="15" t="n">
        <v>46219</v>
      </c>
      <c r="F786" s="15" t="n">
        <v>46216</v>
      </c>
      <c r="G786" s="1" t="s">
        <v>148</v>
      </c>
      <c r="H786" s="1" t="n">
        <v>1405491</v>
      </c>
      <c r="I786" s="1" t="n">
        <v>11</v>
      </c>
      <c r="J786" s="1" t="s">
        <v>2975</v>
      </c>
      <c r="K786" s="67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3016</v>
      </c>
      <c r="D787" s="1" t="s">
        <v>3036</v>
      </c>
      <c r="E787" s="15" t="n">
        <v>46219</v>
      </c>
      <c r="F787" s="15" t="n">
        <v>46217</v>
      </c>
      <c r="G787" s="1" t="s">
        <v>148</v>
      </c>
      <c r="H787" s="1" t="n">
        <v>1407840</v>
      </c>
      <c r="I787" s="1" t="n">
        <v>11</v>
      </c>
      <c r="J787" s="1" t="s">
        <v>2975</v>
      </c>
      <c r="K787" s="67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3016</v>
      </c>
      <c r="D788" s="1" t="s">
        <v>3036</v>
      </c>
      <c r="E788" s="15" t="n">
        <v>46219</v>
      </c>
      <c r="F788" s="15" t="n">
        <v>46217</v>
      </c>
      <c r="G788" s="1" t="s">
        <v>148</v>
      </c>
      <c r="H788" s="1" t="n">
        <v>1407811</v>
      </c>
      <c r="I788" s="1" t="n">
        <v>11</v>
      </c>
      <c r="J788" s="1" t="s">
        <v>2975</v>
      </c>
      <c r="K788" s="67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2973</v>
      </c>
      <c r="D789" s="1" t="s">
        <v>2994</v>
      </c>
      <c r="E789" s="15" t="n">
        <v>46219</v>
      </c>
      <c r="F789" s="15" t="n">
        <v>46219</v>
      </c>
      <c r="G789" s="1" t="s">
        <v>66</v>
      </c>
      <c r="H789" s="1" t="n">
        <v>1407889</v>
      </c>
      <c r="I789" s="1" t="n">
        <v>11</v>
      </c>
      <c r="J789" s="1" t="s">
        <v>2975</v>
      </c>
      <c r="K789" s="67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2976</v>
      </c>
      <c r="D790" s="1" t="s">
        <v>3055</v>
      </c>
      <c r="E790" s="15" t="n">
        <v>46219</v>
      </c>
      <c r="F790" s="15" t="n">
        <v>46218</v>
      </c>
      <c r="G790" s="1" t="s">
        <v>195</v>
      </c>
      <c r="H790" s="1" t="n">
        <v>1407179</v>
      </c>
      <c r="I790" s="1" t="n">
        <v>11</v>
      </c>
      <c r="J790" s="1" t="s">
        <v>2975</v>
      </c>
      <c r="K790" s="67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2976</v>
      </c>
      <c r="D791" s="1" t="s">
        <v>3055</v>
      </c>
      <c r="E791" s="15" t="n">
        <v>46219</v>
      </c>
      <c r="F791" s="15" t="n">
        <v>46218</v>
      </c>
      <c r="G791" s="1" t="s">
        <v>195</v>
      </c>
      <c r="H791" s="1" t="n">
        <v>1407455</v>
      </c>
      <c r="I791" s="1" t="n">
        <v>11</v>
      </c>
      <c r="J791" s="1" t="s">
        <v>2975</v>
      </c>
      <c r="K791" s="67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2976</v>
      </c>
      <c r="D792" s="1" t="s">
        <v>2995</v>
      </c>
      <c r="E792" s="15" t="n">
        <v>46219</v>
      </c>
      <c r="F792" s="15" t="n">
        <v>46218</v>
      </c>
      <c r="G792" s="1" t="s">
        <v>264</v>
      </c>
      <c r="H792" s="1" t="n">
        <v>1406948</v>
      </c>
      <c r="I792" s="1" t="n">
        <v>11</v>
      </c>
      <c r="J792" s="1" t="s">
        <v>2975</v>
      </c>
      <c r="K792" s="67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2976</v>
      </c>
      <c r="D793" s="1" t="s">
        <v>3064</v>
      </c>
      <c r="E793" s="15" t="n">
        <v>46219</v>
      </c>
      <c r="F793" s="15" t="n">
        <v>46218</v>
      </c>
      <c r="G793" s="1" t="s">
        <v>68</v>
      </c>
      <c r="H793" s="1" t="n">
        <v>1407063</v>
      </c>
      <c r="I793" s="1" t="n">
        <v>11</v>
      </c>
      <c r="J793" s="1" t="s">
        <v>2975</v>
      </c>
      <c r="K793" s="67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2976</v>
      </c>
      <c r="D794" s="1" t="s">
        <v>3038</v>
      </c>
      <c r="E794" s="15" t="n">
        <v>46219</v>
      </c>
      <c r="F794" s="15" t="n">
        <v>46218</v>
      </c>
      <c r="G794" s="1" t="s">
        <v>193</v>
      </c>
      <c r="H794" s="1" t="n">
        <v>1406416</v>
      </c>
      <c r="I794" s="1" t="n">
        <v>11</v>
      </c>
      <c r="J794" s="1" t="s">
        <v>2975</v>
      </c>
      <c r="K794" s="67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2976</v>
      </c>
      <c r="D795" s="1" t="s">
        <v>3000</v>
      </c>
      <c r="E795" s="15" t="n">
        <v>46219</v>
      </c>
      <c r="F795" s="15" t="n">
        <v>46218</v>
      </c>
      <c r="G795" s="1" t="s">
        <v>155</v>
      </c>
      <c r="H795" s="1" t="n">
        <v>1405649</v>
      </c>
      <c r="I795" s="1" t="n">
        <v>11</v>
      </c>
      <c r="J795" s="1" t="s">
        <v>2975</v>
      </c>
      <c r="K795" s="67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2976</v>
      </c>
      <c r="D796" s="1" t="s">
        <v>3085</v>
      </c>
      <c r="E796" s="15" t="n">
        <v>46219</v>
      </c>
      <c r="F796" s="15" t="n">
        <v>46217</v>
      </c>
      <c r="G796" s="1" t="s">
        <v>217</v>
      </c>
      <c r="H796" s="1" t="n">
        <v>1406047</v>
      </c>
      <c r="I796" s="1" t="n">
        <v>11</v>
      </c>
      <c r="J796" s="1" t="s">
        <v>2975</v>
      </c>
      <c r="K796" s="67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2978</v>
      </c>
      <c r="D797" s="1" t="s">
        <v>3133</v>
      </c>
      <c r="E797" s="15" t="n">
        <v>46219</v>
      </c>
      <c r="F797" s="15" t="n">
        <v>46217</v>
      </c>
      <c r="G797" s="1" t="s">
        <v>1973</v>
      </c>
      <c r="H797" s="1" t="n">
        <v>1405694</v>
      </c>
      <c r="I797" s="1" t="n">
        <v>11</v>
      </c>
      <c r="J797" s="1" t="s">
        <v>2975</v>
      </c>
      <c r="K797" s="67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3069</v>
      </c>
      <c r="D798" s="1" t="s">
        <v>3102</v>
      </c>
      <c r="E798" s="15" t="n">
        <v>46219</v>
      </c>
      <c r="F798" s="15" t="n">
        <v>46218</v>
      </c>
      <c r="G798" s="1" t="s">
        <v>248</v>
      </c>
      <c r="H798" s="1" t="n">
        <v>1407196</v>
      </c>
      <c r="I798" s="1" t="n">
        <v>11</v>
      </c>
      <c r="J798" s="1" t="s">
        <v>2975</v>
      </c>
      <c r="K798" s="67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2973</v>
      </c>
      <c r="D799" s="1" t="s">
        <v>3010</v>
      </c>
      <c r="E799" s="15" t="n">
        <v>46219</v>
      </c>
      <c r="F799" s="15" t="n">
        <v>46216</v>
      </c>
      <c r="G799" s="1" t="s">
        <v>319</v>
      </c>
      <c r="H799" s="1" t="n">
        <v>1405538</v>
      </c>
      <c r="I799" s="1" t="n">
        <v>11</v>
      </c>
      <c r="J799" s="1" t="s">
        <v>2975</v>
      </c>
      <c r="K799" s="67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2978</v>
      </c>
      <c r="D800" s="1" t="s">
        <v>2991</v>
      </c>
      <c r="E800" s="15" t="n">
        <v>46219</v>
      </c>
      <c r="F800" s="15" t="n">
        <v>46219</v>
      </c>
      <c r="G800" s="1" t="s">
        <v>961</v>
      </c>
      <c r="H800" s="1" t="n">
        <v>1425336</v>
      </c>
      <c r="I800" s="1" t="n">
        <v>1</v>
      </c>
      <c r="J800" s="1" t="s">
        <v>2975</v>
      </c>
      <c r="K800" s="67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2976</v>
      </c>
      <c r="D801" s="1" t="s">
        <v>3005</v>
      </c>
      <c r="E801" s="15" t="n">
        <v>46220</v>
      </c>
      <c r="F801" s="15" t="n">
        <v>46220</v>
      </c>
      <c r="G801" s="1" t="s">
        <v>3006</v>
      </c>
      <c r="H801" s="1" t="n">
        <v>1425318</v>
      </c>
      <c r="I801" s="1" t="n">
        <v>1</v>
      </c>
      <c r="J801" s="1" t="s">
        <v>2975</v>
      </c>
      <c r="K801" s="67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2976</v>
      </c>
      <c r="D802" s="1" t="s">
        <v>2993</v>
      </c>
      <c r="E802" s="15" t="n">
        <v>46220</v>
      </c>
      <c r="F802" s="15" t="n">
        <v>46219</v>
      </c>
      <c r="G802" s="1" t="s">
        <v>328</v>
      </c>
      <c r="H802" s="1" t="n">
        <v>1410764</v>
      </c>
      <c r="I802" s="1" t="n">
        <v>11</v>
      </c>
      <c r="J802" s="1" t="s">
        <v>2975</v>
      </c>
      <c r="K802" s="67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2976</v>
      </c>
      <c r="D803" s="1" t="s">
        <v>3074</v>
      </c>
      <c r="E803" s="15" t="n">
        <v>46220</v>
      </c>
      <c r="F803" s="15" t="n">
        <v>46220</v>
      </c>
      <c r="G803" s="1" t="s">
        <v>208</v>
      </c>
      <c r="H803" s="1" t="n">
        <v>1411787</v>
      </c>
      <c r="I803" s="1" t="n">
        <v>11</v>
      </c>
      <c r="J803" s="1" t="s">
        <v>2975</v>
      </c>
      <c r="K803" s="67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2976</v>
      </c>
      <c r="D804" s="1" t="s">
        <v>2996</v>
      </c>
      <c r="E804" s="15" t="n">
        <v>46220</v>
      </c>
      <c r="F804" s="15" t="n">
        <v>46220</v>
      </c>
      <c r="G804" s="1" t="s">
        <v>221</v>
      </c>
      <c r="H804" s="1" t="n">
        <v>1411307</v>
      </c>
      <c r="I804" s="1" t="n">
        <v>1</v>
      </c>
      <c r="J804" s="1" t="s">
        <v>2975</v>
      </c>
      <c r="K804" s="67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2976</v>
      </c>
      <c r="D805" s="1" t="s">
        <v>2997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2975</v>
      </c>
      <c r="K805" s="67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2973</v>
      </c>
      <c r="D806" s="1" t="s">
        <v>2984</v>
      </c>
      <c r="E806" s="15" t="n">
        <v>46220</v>
      </c>
      <c r="F806" s="15" t="n">
        <v>46220</v>
      </c>
      <c r="G806" s="1" t="s">
        <v>97</v>
      </c>
      <c r="H806" s="1" t="n">
        <v>1425085</v>
      </c>
      <c r="I806" s="1" t="n">
        <v>1</v>
      </c>
      <c r="J806" s="1" t="s">
        <v>2975</v>
      </c>
      <c r="K806" s="67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2976</v>
      </c>
      <c r="D807" s="1" t="s">
        <v>3134</v>
      </c>
      <c r="E807" s="15" t="n">
        <v>46220</v>
      </c>
      <c r="F807" s="15" t="n">
        <v>46220</v>
      </c>
      <c r="G807" s="1" t="s">
        <v>1496</v>
      </c>
      <c r="H807" s="1" t="n">
        <v>1463081</v>
      </c>
      <c r="I807" s="1" t="n">
        <v>1</v>
      </c>
      <c r="J807" s="1" t="s">
        <v>2975</v>
      </c>
      <c r="K807" s="67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2976</v>
      </c>
      <c r="D808" s="1" t="s">
        <v>3134</v>
      </c>
      <c r="E808" s="15" t="n">
        <v>46220</v>
      </c>
      <c r="F808" s="15" t="n">
        <v>46220</v>
      </c>
      <c r="G808" s="1" t="s">
        <v>1496</v>
      </c>
      <c r="H808" s="1" t="n">
        <v>1463156</v>
      </c>
      <c r="I808" s="1" t="n">
        <v>1</v>
      </c>
      <c r="J808" s="1" t="s">
        <v>2975</v>
      </c>
      <c r="K808" s="67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2976</v>
      </c>
      <c r="D809" s="1" t="s">
        <v>3134</v>
      </c>
      <c r="E809" s="15" t="n">
        <v>46220</v>
      </c>
      <c r="F809" s="15" t="n">
        <v>46220</v>
      </c>
      <c r="G809" s="1" t="s">
        <v>1496</v>
      </c>
      <c r="H809" s="1" t="n">
        <v>1460091</v>
      </c>
      <c r="I809" s="1" t="n">
        <v>1</v>
      </c>
      <c r="J809" s="1" t="s">
        <v>2975</v>
      </c>
      <c r="K809" s="67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2976</v>
      </c>
      <c r="D810" s="1" t="s">
        <v>3134</v>
      </c>
      <c r="E810" s="15" t="n">
        <v>46220</v>
      </c>
      <c r="F810" s="15" t="n">
        <v>46220</v>
      </c>
      <c r="G810" s="1" t="s">
        <v>1496</v>
      </c>
      <c r="H810" s="1" t="n">
        <v>1460043</v>
      </c>
      <c r="I810" s="1" t="n">
        <v>1</v>
      </c>
      <c r="J810" s="1" t="s">
        <v>2975</v>
      </c>
      <c r="K810" s="67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2976</v>
      </c>
      <c r="D811" s="1" t="s">
        <v>3134</v>
      </c>
      <c r="E811" s="15" t="n">
        <v>46220</v>
      </c>
      <c r="F811" s="15" t="n">
        <v>46220</v>
      </c>
      <c r="G811" s="1" t="s">
        <v>1496</v>
      </c>
      <c r="H811" s="1" t="n">
        <v>1463047</v>
      </c>
      <c r="I811" s="1" t="n">
        <v>1</v>
      </c>
      <c r="J811" s="1" t="s">
        <v>2975</v>
      </c>
      <c r="K811" s="67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2976</v>
      </c>
      <c r="D812" s="1" t="s">
        <v>3134</v>
      </c>
      <c r="E812" s="15" t="n">
        <v>46220</v>
      </c>
      <c r="F812" s="15" t="n">
        <v>46220</v>
      </c>
      <c r="G812" s="1" t="s">
        <v>1496</v>
      </c>
      <c r="H812" s="1" t="n">
        <v>1462689</v>
      </c>
      <c r="I812" s="1" t="n">
        <v>1</v>
      </c>
      <c r="J812" s="1" t="s">
        <v>2975</v>
      </c>
      <c r="K812" s="67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2976</v>
      </c>
      <c r="D813" s="1" t="s">
        <v>3134</v>
      </c>
      <c r="E813" s="15" t="n">
        <v>46220</v>
      </c>
      <c r="F813" s="15" t="n">
        <v>46220</v>
      </c>
      <c r="G813" s="1" t="s">
        <v>1496</v>
      </c>
      <c r="H813" s="1" t="n">
        <v>1460314</v>
      </c>
      <c r="I813" s="1" t="n">
        <v>1</v>
      </c>
      <c r="J813" s="1" t="s">
        <v>2975</v>
      </c>
      <c r="K813" s="67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2976</v>
      </c>
      <c r="D814" s="1" t="s">
        <v>3134</v>
      </c>
      <c r="E814" s="15" t="n">
        <v>46220</v>
      </c>
      <c r="F814" s="15" t="n">
        <v>46220</v>
      </c>
      <c r="G814" s="1" t="s">
        <v>1496</v>
      </c>
      <c r="H814" s="1" t="n">
        <v>1462933</v>
      </c>
      <c r="I814" s="1" t="n">
        <v>1</v>
      </c>
      <c r="J814" s="1" t="s">
        <v>2975</v>
      </c>
      <c r="K814" s="67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2976</v>
      </c>
      <c r="D815" s="1" t="s">
        <v>3134</v>
      </c>
      <c r="E815" s="15" t="n">
        <v>46220</v>
      </c>
      <c r="F815" s="15" t="n">
        <v>46220</v>
      </c>
      <c r="G815" s="1" t="s">
        <v>1496</v>
      </c>
      <c r="H815" s="1" t="n">
        <v>1460251</v>
      </c>
      <c r="I815" s="1" t="n">
        <v>1</v>
      </c>
      <c r="J815" s="1" t="s">
        <v>2975</v>
      </c>
      <c r="K815" s="67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2976</v>
      </c>
      <c r="D816" s="1" t="s">
        <v>3134</v>
      </c>
      <c r="E816" s="15" t="n">
        <v>46220</v>
      </c>
      <c r="F816" s="15" t="n">
        <v>46220</v>
      </c>
      <c r="G816" s="1" t="s">
        <v>1496</v>
      </c>
      <c r="H816" s="1" t="n">
        <v>1460196</v>
      </c>
      <c r="I816" s="1" t="n">
        <v>1</v>
      </c>
      <c r="J816" s="1" t="s">
        <v>2975</v>
      </c>
      <c r="K816" s="67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2976</v>
      </c>
      <c r="D817" s="1" t="s">
        <v>3134</v>
      </c>
      <c r="E817" s="15" t="n">
        <v>46220</v>
      </c>
      <c r="F817" s="15" t="n">
        <v>46220</v>
      </c>
      <c r="G817" s="1" t="s">
        <v>1496</v>
      </c>
      <c r="H817" s="1" t="n">
        <v>1425418</v>
      </c>
      <c r="I817" s="1" t="n">
        <v>1</v>
      </c>
      <c r="J817" s="1" t="s">
        <v>2975</v>
      </c>
      <c r="K817" s="67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2976</v>
      </c>
      <c r="D818" s="1" t="s">
        <v>3001</v>
      </c>
      <c r="E818" s="15" t="n">
        <v>46220</v>
      </c>
      <c r="F818" s="15" t="n">
        <v>46218</v>
      </c>
      <c r="G818" s="1" t="s">
        <v>379</v>
      </c>
      <c r="H818" s="1" t="n">
        <v>1411210</v>
      </c>
      <c r="I818" s="1" t="n">
        <v>11</v>
      </c>
      <c r="J818" s="1" t="s">
        <v>2975</v>
      </c>
      <c r="K818" s="67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2973</v>
      </c>
      <c r="D819" s="1" t="s">
        <v>3003</v>
      </c>
      <c r="E819" s="15" t="n">
        <v>46220</v>
      </c>
      <c r="F819" s="15" t="n">
        <v>46219</v>
      </c>
      <c r="G819" s="1" t="s">
        <v>74</v>
      </c>
      <c r="H819" s="1" t="n">
        <v>1410425</v>
      </c>
      <c r="I819" s="1" t="n">
        <v>11</v>
      </c>
      <c r="J819" s="1" t="s">
        <v>2975</v>
      </c>
      <c r="K819" s="67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2973</v>
      </c>
      <c r="D820" s="1" t="s">
        <v>3003</v>
      </c>
      <c r="E820" s="15" t="n">
        <v>46220</v>
      </c>
      <c r="F820" s="15" t="n">
        <v>46219</v>
      </c>
      <c r="G820" s="1" t="s">
        <v>74</v>
      </c>
      <c r="H820" s="1" t="n">
        <v>1410465</v>
      </c>
      <c r="I820" s="1" t="n">
        <v>11</v>
      </c>
      <c r="J820" s="1" t="s">
        <v>2975</v>
      </c>
      <c r="K820" s="67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3069</v>
      </c>
      <c r="D821" s="1" t="s">
        <v>3070</v>
      </c>
      <c r="E821" s="15" t="n">
        <v>46220</v>
      </c>
      <c r="F821" s="15" t="n">
        <v>46218</v>
      </c>
      <c r="G821" s="1" t="s">
        <v>688</v>
      </c>
      <c r="H821" s="1" t="n">
        <v>1410445</v>
      </c>
      <c r="I821" s="1" t="n">
        <v>11</v>
      </c>
      <c r="J821" s="1" t="s">
        <v>2975</v>
      </c>
      <c r="K821" s="67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2976</v>
      </c>
      <c r="D822" s="1" t="s">
        <v>2988</v>
      </c>
      <c r="E822" s="15" t="n">
        <v>46220</v>
      </c>
      <c r="F822" s="15" t="n">
        <v>46220</v>
      </c>
      <c r="G822" s="1" t="s">
        <v>70</v>
      </c>
      <c r="H822" s="1" t="n">
        <v>1411286</v>
      </c>
      <c r="I822" s="1" t="n">
        <v>6</v>
      </c>
      <c r="J822" s="1" t="s">
        <v>2975</v>
      </c>
      <c r="K822" s="67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2976</v>
      </c>
      <c r="D823" s="1" t="s">
        <v>2988</v>
      </c>
      <c r="E823" s="15" t="n">
        <v>46220</v>
      </c>
      <c r="F823" s="15" t="n">
        <v>46220</v>
      </c>
      <c r="G823" s="1" t="s">
        <v>70</v>
      </c>
      <c r="H823" s="1" t="n">
        <v>1411783</v>
      </c>
      <c r="I823" s="1" t="n">
        <v>6</v>
      </c>
      <c r="J823" s="1" t="s">
        <v>2975</v>
      </c>
      <c r="K823" s="67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2976</v>
      </c>
      <c r="D824" s="1" t="s">
        <v>3075</v>
      </c>
      <c r="E824" s="15" t="n">
        <v>46220</v>
      </c>
      <c r="F824" s="15" t="n">
        <v>46219</v>
      </c>
      <c r="G824" s="1" t="s">
        <v>204</v>
      </c>
      <c r="H824" s="1" t="n">
        <v>1411964</v>
      </c>
      <c r="I824" s="1" t="n">
        <v>11</v>
      </c>
      <c r="J824" s="1" t="s">
        <v>2975</v>
      </c>
      <c r="K824" s="67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2976</v>
      </c>
      <c r="D825" s="1" t="s">
        <v>2992</v>
      </c>
      <c r="E825" s="15" t="n">
        <v>46221</v>
      </c>
      <c r="F825" s="15" t="n">
        <v>46220</v>
      </c>
      <c r="G825" s="1" t="s">
        <v>161</v>
      </c>
      <c r="H825" s="1" t="n">
        <v>1415557</v>
      </c>
      <c r="I825" s="1" t="n">
        <v>11</v>
      </c>
      <c r="J825" s="1" t="s">
        <v>2975</v>
      </c>
      <c r="K825" s="67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2976</v>
      </c>
      <c r="D826" s="1" t="s">
        <v>2995</v>
      </c>
      <c r="E826" s="15" t="n">
        <v>46221</v>
      </c>
      <c r="F826" s="15" t="n">
        <v>46220</v>
      </c>
      <c r="G826" s="1" t="s">
        <v>264</v>
      </c>
      <c r="H826" s="1" t="n">
        <v>1415507</v>
      </c>
      <c r="I826" s="1" t="n">
        <v>11</v>
      </c>
      <c r="J826" s="1" t="s">
        <v>2975</v>
      </c>
      <c r="K826" s="67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2976</v>
      </c>
      <c r="D827" s="1" t="s">
        <v>3134</v>
      </c>
      <c r="E827" s="15" t="n">
        <v>46221</v>
      </c>
      <c r="F827" s="15" t="n">
        <v>46221</v>
      </c>
      <c r="G827" s="1" t="s">
        <v>1496</v>
      </c>
      <c r="H827" s="1" t="n">
        <v>1425390</v>
      </c>
      <c r="I827" s="1" t="n">
        <v>1</v>
      </c>
      <c r="J827" s="1" t="s">
        <v>2975</v>
      </c>
      <c r="K827" s="67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2976</v>
      </c>
      <c r="D828" s="1" t="s">
        <v>3116</v>
      </c>
      <c r="E828" s="15" t="n">
        <v>46221</v>
      </c>
      <c r="F828" s="15" t="n">
        <v>46218</v>
      </c>
      <c r="G828" s="1" t="s">
        <v>80</v>
      </c>
      <c r="H828" s="1" t="n">
        <v>1415720</v>
      </c>
      <c r="I828" s="1" t="n">
        <v>11</v>
      </c>
      <c r="J828" s="1" t="s">
        <v>2975</v>
      </c>
      <c r="K828" s="67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2976</v>
      </c>
      <c r="D829" s="1" t="s">
        <v>2986</v>
      </c>
      <c r="E829" s="15" t="n">
        <v>46221</v>
      </c>
      <c r="F829" s="15" t="n">
        <v>46219</v>
      </c>
      <c r="G829" s="1" t="s">
        <v>211</v>
      </c>
      <c r="H829" s="1" t="n">
        <v>1415316</v>
      </c>
      <c r="I829" s="1" t="n">
        <v>11</v>
      </c>
      <c r="J829" s="1" t="s">
        <v>2975</v>
      </c>
      <c r="K829" s="67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3022</v>
      </c>
      <c r="D830" s="1" t="s">
        <v>3135</v>
      </c>
      <c r="E830" s="15" t="n">
        <v>46221</v>
      </c>
      <c r="F830" s="15" t="n">
        <v>46218</v>
      </c>
      <c r="G830" s="1" t="s">
        <v>1491</v>
      </c>
      <c r="H830" s="1" t="n">
        <v>1415564</v>
      </c>
      <c r="I830" s="1" t="n">
        <v>11</v>
      </c>
      <c r="J830" s="1" t="s">
        <v>2975</v>
      </c>
      <c r="K830" s="67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2973</v>
      </c>
      <c r="D831" s="1" t="s">
        <v>3136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2975</v>
      </c>
      <c r="K831" s="67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2976</v>
      </c>
      <c r="D832" s="1" t="s">
        <v>3063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2975</v>
      </c>
      <c r="K832" s="67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2976</v>
      </c>
      <c r="D833" s="1" t="s">
        <v>3063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2975</v>
      </c>
      <c r="K833" s="67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2973</v>
      </c>
      <c r="D834" s="1" t="s">
        <v>2994</v>
      </c>
      <c r="E834" s="15" t="n">
        <v>46223</v>
      </c>
      <c r="F834" s="15" t="n">
        <v>46223</v>
      </c>
      <c r="G834" s="1" t="s">
        <v>66</v>
      </c>
      <c r="H834" s="1" t="n">
        <v>1424879</v>
      </c>
      <c r="I834" s="1" t="n">
        <v>11</v>
      </c>
      <c r="J834" s="1" t="s">
        <v>2975</v>
      </c>
      <c r="K834" s="67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2976</v>
      </c>
      <c r="D835" s="1" t="s">
        <v>3078</v>
      </c>
      <c r="E835" s="15" t="n">
        <v>46223</v>
      </c>
      <c r="F835" s="15" t="n">
        <v>46218</v>
      </c>
      <c r="G835" s="1" t="s">
        <v>134</v>
      </c>
      <c r="H835" s="1" t="n">
        <v>1425321</v>
      </c>
      <c r="I835" s="1" t="n">
        <v>11</v>
      </c>
      <c r="J835" s="1" t="s">
        <v>2975</v>
      </c>
      <c r="K835" s="67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2973</v>
      </c>
      <c r="D836" s="1" t="s">
        <v>2984</v>
      </c>
      <c r="E836" s="15" t="n">
        <v>46223</v>
      </c>
      <c r="F836" s="15" t="n">
        <v>46223</v>
      </c>
      <c r="G836" s="1" t="s">
        <v>97</v>
      </c>
      <c r="H836" s="1" t="n">
        <v>1424926</v>
      </c>
      <c r="I836" s="1" t="n">
        <v>1</v>
      </c>
      <c r="J836" s="1" t="s">
        <v>2975</v>
      </c>
      <c r="K836" s="67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2976</v>
      </c>
      <c r="D837" s="1" t="s">
        <v>3027</v>
      </c>
      <c r="E837" s="15" t="n">
        <v>46223</v>
      </c>
      <c r="F837" s="15" t="n">
        <v>46219</v>
      </c>
      <c r="G837" s="1" t="s">
        <v>371</v>
      </c>
      <c r="H837" s="1" t="n">
        <v>1424333</v>
      </c>
      <c r="I837" s="1" t="n">
        <v>11</v>
      </c>
      <c r="J837" s="1" t="s">
        <v>2975</v>
      </c>
      <c r="K837" s="67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2976</v>
      </c>
      <c r="D838" s="1" t="s">
        <v>2986</v>
      </c>
      <c r="E838" s="15" t="n">
        <v>46223</v>
      </c>
      <c r="F838" s="15" t="n">
        <v>46221</v>
      </c>
      <c r="G838" s="1" t="s">
        <v>211</v>
      </c>
      <c r="H838" s="1" t="n">
        <v>1425042</v>
      </c>
      <c r="I838" s="1" t="n">
        <v>11</v>
      </c>
      <c r="J838" s="1" t="s">
        <v>2975</v>
      </c>
      <c r="K838" s="67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2976</v>
      </c>
      <c r="D839" s="1" t="s">
        <v>2986</v>
      </c>
      <c r="E839" s="15" t="n">
        <v>46223</v>
      </c>
      <c r="F839" s="15" t="n">
        <v>46223</v>
      </c>
      <c r="G839" s="1" t="s">
        <v>211</v>
      </c>
      <c r="H839" s="1" t="n">
        <v>1425289</v>
      </c>
      <c r="I839" s="1" t="n">
        <v>11</v>
      </c>
      <c r="J839" s="1" t="s">
        <v>2975</v>
      </c>
      <c r="K839" s="67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2978</v>
      </c>
      <c r="D840" s="1" t="s">
        <v>3059</v>
      </c>
      <c r="E840" s="15" t="n">
        <v>46223</v>
      </c>
      <c r="F840" s="15" t="n">
        <v>46219</v>
      </c>
      <c r="G840" s="1" t="s">
        <v>130</v>
      </c>
      <c r="H840" s="1" t="n">
        <v>1423982</v>
      </c>
      <c r="I840" s="1" t="n">
        <v>11</v>
      </c>
      <c r="J840" s="1" t="s">
        <v>2975</v>
      </c>
      <c r="K840" s="67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2973</v>
      </c>
      <c r="D841" s="1" t="s">
        <v>3003</v>
      </c>
      <c r="E841" s="15" t="n">
        <v>46223</v>
      </c>
      <c r="F841" s="15" t="n">
        <v>46220</v>
      </c>
      <c r="G841" s="1" t="s">
        <v>74</v>
      </c>
      <c r="H841" s="1" t="n">
        <v>1425422</v>
      </c>
      <c r="I841" s="1" t="n">
        <v>11</v>
      </c>
      <c r="J841" s="1" t="s">
        <v>2975</v>
      </c>
      <c r="K841" s="67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2976</v>
      </c>
      <c r="D842" s="1" t="s">
        <v>2988</v>
      </c>
      <c r="E842" s="15" t="n">
        <v>46223</v>
      </c>
      <c r="F842" s="15" t="n">
        <v>46223</v>
      </c>
      <c r="G842" s="1" t="s">
        <v>70</v>
      </c>
      <c r="H842" s="1" t="n">
        <v>1423765</v>
      </c>
      <c r="I842" s="1" t="n">
        <v>6</v>
      </c>
      <c r="J842" s="1" t="s">
        <v>2975</v>
      </c>
      <c r="K842" s="67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2976</v>
      </c>
      <c r="D843" s="1" t="s">
        <v>2988</v>
      </c>
      <c r="E843" s="15" t="n">
        <v>46223</v>
      </c>
      <c r="F843" s="15" t="n">
        <v>46223</v>
      </c>
      <c r="G843" s="1" t="s">
        <v>70</v>
      </c>
      <c r="H843" s="1" t="n">
        <v>1423792</v>
      </c>
      <c r="I843" s="1" t="n">
        <v>6</v>
      </c>
      <c r="J843" s="1" t="s">
        <v>2975</v>
      </c>
      <c r="K843" s="67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2976</v>
      </c>
      <c r="D844" s="1" t="s">
        <v>2988</v>
      </c>
      <c r="E844" s="15" t="n">
        <v>46223</v>
      </c>
      <c r="F844" s="15" t="n">
        <v>46223</v>
      </c>
      <c r="G844" s="1" t="s">
        <v>70</v>
      </c>
      <c r="H844" s="1" t="n">
        <v>1423824</v>
      </c>
      <c r="I844" s="1" t="n">
        <v>6</v>
      </c>
      <c r="J844" s="1" t="s">
        <v>2975</v>
      </c>
      <c r="K844" s="67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3022</v>
      </c>
      <c r="D845" s="1" t="s">
        <v>3135</v>
      </c>
      <c r="E845" s="15" t="n">
        <v>46223</v>
      </c>
      <c r="F845" s="15" t="n">
        <v>46222</v>
      </c>
      <c r="G845" s="1" t="s">
        <v>1491</v>
      </c>
      <c r="H845" s="1" t="n">
        <v>1423738</v>
      </c>
      <c r="I845" s="1" t="n">
        <v>11</v>
      </c>
      <c r="J845" s="1" t="s">
        <v>2975</v>
      </c>
      <c r="K845" s="67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2976</v>
      </c>
      <c r="D846" s="1" t="s">
        <v>3028</v>
      </c>
      <c r="E846" s="15" t="n">
        <v>46223</v>
      </c>
      <c r="F846" s="15" t="n">
        <v>46220</v>
      </c>
      <c r="G846" s="1" t="s">
        <v>321</v>
      </c>
      <c r="H846" s="1" t="n">
        <v>1425403</v>
      </c>
      <c r="I846" s="1" t="n">
        <v>11</v>
      </c>
      <c r="J846" s="1" t="s">
        <v>2975</v>
      </c>
      <c r="K846" s="67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2976</v>
      </c>
      <c r="D847" s="1" t="s">
        <v>3137</v>
      </c>
      <c r="E847" s="15" t="n">
        <v>46223</v>
      </c>
      <c r="F847" s="15" t="n">
        <v>46219</v>
      </c>
      <c r="G847" s="1" t="s">
        <v>199</v>
      </c>
      <c r="H847" s="1" t="n">
        <v>1424764</v>
      </c>
      <c r="I847" s="1" t="n">
        <v>11</v>
      </c>
      <c r="J847" s="1" t="s">
        <v>2975</v>
      </c>
      <c r="K847" s="67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2976</v>
      </c>
      <c r="D848" s="1" t="s">
        <v>3020</v>
      </c>
      <c r="E848" s="15" t="n">
        <v>46223</v>
      </c>
      <c r="F848" s="15" t="n">
        <v>46223</v>
      </c>
      <c r="G848" s="1" t="s">
        <v>78</v>
      </c>
      <c r="H848" s="1" t="n">
        <v>1425359</v>
      </c>
      <c r="I848" s="1" t="n">
        <v>11</v>
      </c>
      <c r="J848" s="1" t="s">
        <v>2975</v>
      </c>
      <c r="K848" s="67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2976</v>
      </c>
      <c r="D849" s="1" t="s">
        <v>3076</v>
      </c>
      <c r="E849" s="15" t="n">
        <v>46223</v>
      </c>
      <c r="F849" s="15" t="n">
        <v>46219</v>
      </c>
      <c r="G849" s="1" t="s">
        <v>340</v>
      </c>
      <c r="H849" s="1" t="n">
        <v>1424645</v>
      </c>
      <c r="I849" s="1" t="n">
        <v>11</v>
      </c>
      <c r="J849" s="1" t="s">
        <v>2975</v>
      </c>
      <c r="K849" s="67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2976</v>
      </c>
      <c r="D850" s="1" t="s">
        <v>3071</v>
      </c>
      <c r="E850" s="15" t="n">
        <v>46224</v>
      </c>
      <c r="F850" s="15" t="n">
        <v>46220</v>
      </c>
      <c r="G850" s="1" t="s">
        <v>293</v>
      </c>
      <c r="H850" s="1" t="n">
        <v>1427903</v>
      </c>
      <c r="I850" s="1" t="n">
        <v>11</v>
      </c>
      <c r="J850" s="1" t="s">
        <v>2975</v>
      </c>
      <c r="K850" s="67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2976</v>
      </c>
      <c r="D851" s="1" t="s">
        <v>2992</v>
      </c>
      <c r="E851" s="15" t="n">
        <v>46224</v>
      </c>
      <c r="F851" s="15" t="n">
        <v>46223</v>
      </c>
      <c r="G851" s="1" t="s">
        <v>161</v>
      </c>
      <c r="H851" s="1" t="n">
        <v>1430912</v>
      </c>
      <c r="I851" s="1" t="n">
        <v>11</v>
      </c>
      <c r="J851" s="1" t="s">
        <v>2975</v>
      </c>
      <c r="K851" s="67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2976</v>
      </c>
      <c r="D852" s="1" t="s">
        <v>3007</v>
      </c>
      <c r="E852" s="15" t="n">
        <v>46224</v>
      </c>
      <c r="F852" s="15" t="n">
        <v>46219</v>
      </c>
      <c r="G852" s="1" t="s">
        <v>159</v>
      </c>
      <c r="H852" s="1" t="n">
        <v>1429492</v>
      </c>
      <c r="I852" s="1" t="n">
        <v>11</v>
      </c>
      <c r="J852" s="1" t="s">
        <v>2975</v>
      </c>
      <c r="K852" s="67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2976</v>
      </c>
      <c r="D853" s="1" t="s">
        <v>3007</v>
      </c>
      <c r="E853" s="15" t="n">
        <v>46224</v>
      </c>
      <c r="F853" s="15" t="n">
        <v>46223</v>
      </c>
      <c r="G853" s="1" t="s">
        <v>159</v>
      </c>
      <c r="H853" s="1" t="n">
        <v>1431100</v>
      </c>
      <c r="I853" s="1" t="n">
        <v>11</v>
      </c>
      <c r="J853" s="1" t="s">
        <v>2975</v>
      </c>
      <c r="K853" s="67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2976</v>
      </c>
      <c r="D854" s="1" t="s">
        <v>2996</v>
      </c>
      <c r="E854" s="15" t="n">
        <v>46224</v>
      </c>
      <c r="F854" s="15" t="n">
        <v>46224</v>
      </c>
      <c r="G854" s="1" t="s">
        <v>221</v>
      </c>
      <c r="H854" s="1" t="n">
        <v>1430810</v>
      </c>
      <c r="I854" s="1" t="n">
        <v>1</v>
      </c>
      <c r="J854" s="1" t="s">
        <v>2975</v>
      </c>
      <c r="K854" s="67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2976</v>
      </c>
      <c r="D855" s="1" t="s">
        <v>3037</v>
      </c>
      <c r="E855" s="15" t="n">
        <v>46224</v>
      </c>
      <c r="F855" s="15" t="n">
        <v>46219</v>
      </c>
      <c r="G855" s="1" t="s">
        <v>253</v>
      </c>
      <c r="H855" s="1" t="n">
        <v>1431408</v>
      </c>
      <c r="I855" s="1" t="n">
        <v>11</v>
      </c>
      <c r="J855" s="1" t="s">
        <v>2975</v>
      </c>
      <c r="K855" s="67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2973</v>
      </c>
      <c r="D856" s="1" t="s">
        <v>2999</v>
      </c>
      <c r="E856" s="15" t="n">
        <v>46224</v>
      </c>
      <c r="F856" s="15" t="n">
        <v>46223</v>
      </c>
      <c r="G856" s="1" t="s">
        <v>76</v>
      </c>
      <c r="H856" s="1" t="n">
        <v>1431278</v>
      </c>
      <c r="I856" s="1" t="n">
        <v>11</v>
      </c>
      <c r="J856" s="1" t="s">
        <v>2975</v>
      </c>
      <c r="K856" s="67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2976</v>
      </c>
      <c r="D857" s="1" t="s">
        <v>3134</v>
      </c>
      <c r="E857" s="15" t="n">
        <v>46224</v>
      </c>
      <c r="F857" s="15" t="n">
        <v>46223</v>
      </c>
      <c r="G857" s="1" t="s">
        <v>1496</v>
      </c>
      <c r="H857" s="1" t="n">
        <v>1435742</v>
      </c>
      <c r="I857" s="1" t="n">
        <v>1</v>
      </c>
      <c r="J857" s="1" t="s">
        <v>2975</v>
      </c>
      <c r="K857" s="67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2976</v>
      </c>
      <c r="D858" s="1" t="s">
        <v>3000</v>
      </c>
      <c r="E858" s="15" t="n">
        <v>46224</v>
      </c>
      <c r="F858" s="15" t="n">
        <v>46221</v>
      </c>
      <c r="G858" s="1" t="s">
        <v>155</v>
      </c>
      <c r="H858" s="1" t="n">
        <v>1429383</v>
      </c>
      <c r="I858" s="1" t="n">
        <v>11</v>
      </c>
      <c r="J858" s="1" t="s">
        <v>2975</v>
      </c>
      <c r="K858" s="67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2976</v>
      </c>
      <c r="D859" s="1" t="s">
        <v>3015</v>
      </c>
      <c r="E859" s="15" t="n">
        <v>46224</v>
      </c>
      <c r="F859" s="15" t="n">
        <v>46219</v>
      </c>
      <c r="G859" s="1" t="s">
        <v>278</v>
      </c>
      <c r="H859" s="1" t="n">
        <v>1427829</v>
      </c>
      <c r="I859" s="1" t="n">
        <v>11</v>
      </c>
      <c r="J859" s="1" t="s">
        <v>2975</v>
      </c>
      <c r="K859" s="67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2976</v>
      </c>
      <c r="D860" s="1" t="s">
        <v>3044</v>
      </c>
      <c r="E860" s="15" t="n">
        <v>46224</v>
      </c>
      <c r="F860" s="15" t="n">
        <v>46220</v>
      </c>
      <c r="G860" s="1" t="s">
        <v>215</v>
      </c>
      <c r="H860" s="1" t="n">
        <v>1429545</v>
      </c>
      <c r="I860" s="1" t="n">
        <v>11</v>
      </c>
      <c r="J860" s="1" t="s">
        <v>2975</v>
      </c>
      <c r="K860" s="67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2976</v>
      </c>
      <c r="D861" s="1" t="s">
        <v>3044</v>
      </c>
      <c r="E861" s="15" t="n">
        <v>46224</v>
      </c>
      <c r="F861" s="15" t="n">
        <v>46223</v>
      </c>
      <c r="G861" s="1" t="s">
        <v>215</v>
      </c>
      <c r="H861" s="1" t="n">
        <v>1431238</v>
      </c>
      <c r="I861" s="1" t="n">
        <v>11</v>
      </c>
      <c r="J861" s="1" t="s">
        <v>2975</v>
      </c>
      <c r="K861" s="67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2976</v>
      </c>
      <c r="D862" s="1" t="s">
        <v>3002</v>
      </c>
      <c r="E862" s="15" t="n">
        <v>46224</v>
      </c>
      <c r="F862" s="15" t="n">
        <v>46220</v>
      </c>
      <c r="G862" s="1" t="s">
        <v>323</v>
      </c>
      <c r="H862" s="1" t="n">
        <v>1427866</v>
      </c>
      <c r="I862" s="1" t="n">
        <v>11</v>
      </c>
      <c r="J862" s="1" t="s">
        <v>2975</v>
      </c>
      <c r="K862" s="67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3016</v>
      </c>
      <c r="D863" s="1" t="s">
        <v>3017</v>
      </c>
      <c r="E863" s="15" t="n">
        <v>46224</v>
      </c>
      <c r="F863" s="15" t="n">
        <v>46220</v>
      </c>
      <c r="G863" s="1" t="s">
        <v>144</v>
      </c>
      <c r="H863" s="1" t="n">
        <v>1431597</v>
      </c>
      <c r="I863" s="1" t="n">
        <v>11</v>
      </c>
      <c r="J863" s="1" t="s">
        <v>2975</v>
      </c>
      <c r="K863" s="67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3016</v>
      </c>
      <c r="D864" s="1" t="s">
        <v>3017</v>
      </c>
      <c r="E864" s="15" t="n">
        <v>46224</v>
      </c>
      <c r="F864" s="15" t="n">
        <v>46224</v>
      </c>
      <c r="G864" s="1" t="s">
        <v>144</v>
      </c>
      <c r="H864" s="1" t="n">
        <v>1430976</v>
      </c>
      <c r="I864" s="1" t="n">
        <v>11</v>
      </c>
      <c r="J864" s="1" t="s">
        <v>2975</v>
      </c>
      <c r="K864" s="67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2976</v>
      </c>
      <c r="D865" s="1" t="s">
        <v>3018</v>
      </c>
      <c r="E865" s="15" t="n">
        <v>46224</v>
      </c>
      <c r="F865" s="15" t="n">
        <v>46223</v>
      </c>
      <c r="G865" s="1" t="s">
        <v>258</v>
      </c>
      <c r="H865" s="1" t="n">
        <v>1431725</v>
      </c>
      <c r="I865" s="1" t="n">
        <v>11</v>
      </c>
      <c r="J865" s="1" t="s">
        <v>2975</v>
      </c>
      <c r="K865" s="67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2973</v>
      </c>
      <c r="D866" s="1" t="s">
        <v>3003</v>
      </c>
      <c r="E866" s="15" t="n">
        <v>46224</v>
      </c>
      <c r="F866" s="15" t="n">
        <v>46221</v>
      </c>
      <c r="G866" s="1" t="s">
        <v>74</v>
      </c>
      <c r="H866" s="1" t="n">
        <v>1427757</v>
      </c>
      <c r="I866" s="1" t="n">
        <v>11</v>
      </c>
      <c r="J866" s="1" t="s">
        <v>2975</v>
      </c>
      <c r="K866" s="67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2976</v>
      </c>
      <c r="D867" s="1" t="s">
        <v>3111</v>
      </c>
      <c r="E867" s="15" t="n">
        <v>46224</v>
      </c>
      <c r="F867" s="15" t="n">
        <v>46216</v>
      </c>
      <c r="G867" s="1" t="s">
        <v>182</v>
      </c>
      <c r="H867" s="1" t="n">
        <v>1429059</v>
      </c>
      <c r="I867" s="1" t="n">
        <v>11</v>
      </c>
      <c r="J867" s="1" t="s">
        <v>2975</v>
      </c>
      <c r="K867" s="67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3069</v>
      </c>
      <c r="D868" s="1" t="s">
        <v>3070</v>
      </c>
      <c r="E868" s="15" t="n">
        <v>46224</v>
      </c>
      <c r="F868" s="15" t="n">
        <v>46219</v>
      </c>
      <c r="G868" s="1" t="s">
        <v>688</v>
      </c>
      <c r="H868" s="1" t="n">
        <v>1429608</v>
      </c>
      <c r="I868" s="1" t="n">
        <v>11</v>
      </c>
      <c r="J868" s="1" t="s">
        <v>2975</v>
      </c>
      <c r="K868" s="67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2976</v>
      </c>
      <c r="D869" s="1" t="s">
        <v>2988</v>
      </c>
      <c r="E869" s="15" t="n">
        <v>46224</v>
      </c>
      <c r="F869" s="15" t="n">
        <v>46224</v>
      </c>
      <c r="G869" s="1" t="s">
        <v>70</v>
      </c>
      <c r="H869" s="1" t="n">
        <v>1428696</v>
      </c>
      <c r="I869" s="1" t="n">
        <v>6</v>
      </c>
      <c r="J869" s="1" t="s">
        <v>2975</v>
      </c>
      <c r="K869" s="67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2976</v>
      </c>
      <c r="D870" s="1" t="s">
        <v>2988</v>
      </c>
      <c r="E870" s="15" t="n">
        <v>46224</v>
      </c>
      <c r="F870" s="15" t="n">
        <v>46224</v>
      </c>
      <c r="G870" s="1" t="s">
        <v>70</v>
      </c>
      <c r="H870" s="1" t="n">
        <v>1430498</v>
      </c>
      <c r="I870" s="1" t="n">
        <v>6</v>
      </c>
      <c r="J870" s="1" t="s">
        <v>2975</v>
      </c>
      <c r="K870" s="67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2976</v>
      </c>
      <c r="D871" s="1" t="s">
        <v>2988</v>
      </c>
      <c r="E871" s="15" t="n">
        <v>46224</v>
      </c>
      <c r="F871" s="15" t="n">
        <v>46224</v>
      </c>
      <c r="G871" s="1" t="s">
        <v>70</v>
      </c>
      <c r="H871" s="1" t="n">
        <v>1430734</v>
      </c>
      <c r="I871" s="1" t="n">
        <v>6</v>
      </c>
      <c r="J871" s="1" t="s">
        <v>2975</v>
      </c>
      <c r="K871" s="67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2973</v>
      </c>
      <c r="D872" s="1" t="s">
        <v>3010</v>
      </c>
      <c r="E872" s="15" t="n">
        <v>46224</v>
      </c>
      <c r="F872" s="15" t="n">
        <v>46219</v>
      </c>
      <c r="G872" s="1" t="s">
        <v>319</v>
      </c>
      <c r="H872" s="1" t="n">
        <v>1427792</v>
      </c>
      <c r="I872" s="1" t="n">
        <v>11</v>
      </c>
      <c r="J872" s="1" t="s">
        <v>2975</v>
      </c>
      <c r="K872" s="67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2976</v>
      </c>
      <c r="D873" s="1" t="s">
        <v>3021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2975</v>
      </c>
      <c r="K873" s="67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2978</v>
      </c>
      <c r="D874" s="1" t="s">
        <v>3138</v>
      </c>
      <c r="E874" s="15" t="n">
        <v>46225</v>
      </c>
      <c r="F874" s="15" t="n">
        <v>46219</v>
      </c>
      <c r="G874" s="1" t="s">
        <v>136</v>
      </c>
      <c r="H874" s="1" t="n">
        <v>1435853</v>
      </c>
      <c r="I874" s="1" t="n">
        <v>11</v>
      </c>
      <c r="J874" s="1" t="s">
        <v>2975</v>
      </c>
      <c r="K874" s="67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2976</v>
      </c>
      <c r="D875" s="1" t="s">
        <v>2995</v>
      </c>
      <c r="E875" s="15" t="n">
        <v>46225</v>
      </c>
      <c r="F875" s="15" t="n">
        <v>46224</v>
      </c>
      <c r="G875" s="1" t="s">
        <v>264</v>
      </c>
      <c r="H875" s="1" t="n">
        <v>1435570</v>
      </c>
      <c r="I875" s="1" t="n">
        <v>11</v>
      </c>
      <c r="J875" s="1" t="s">
        <v>2975</v>
      </c>
      <c r="K875" s="67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2976</v>
      </c>
      <c r="D876" s="1" t="s">
        <v>2995</v>
      </c>
      <c r="E876" s="15" t="n">
        <v>46225</v>
      </c>
      <c r="F876" s="15" t="n">
        <v>46225</v>
      </c>
      <c r="G876" s="1" t="s">
        <v>264</v>
      </c>
      <c r="H876" s="1" t="n">
        <v>1435758</v>
      </c>
      <c r="I876" s="1" t="n">
        <v>11</v>
      </c>
      <c r="J876" s="1" t="s">
        <v>2975</v>
      </c>
      <c r="K876" s="67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2976</v>
      </c>
      <c r="D877" s="1" t="s">
        <v>3026</v>
      </c>
      <c r="E877" s="15" t="n">
        <v>46225</v>
      </c>
      <c r="F877" s="15" t="n">
        <v>46219</v>
      </c>
      <c r="G877" s="1" t="s">
        <v>309</v>
      </c>
      <c r="H877" s="1" t="n">
        <v>1434140</v>
      </c>
      <c r="I877" s="1" t="n">
        <v>11</v>
      </c>
      <c r="J877" s="1" t="s">
        <v>2975</v>
      </c>
      <c r="K877" s="67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2976</v>
      </c>
      <c r="D878" s="1" t="s">
        <v>3065</v>
      </c>
      <c r="E878" s="15" t="n">
        <v>46225</v>
      </c>
      <c r="F878" s="15" t="n">
        <v>46219</v>
      </c>
      <c r="G878" s="1" t="s">
        <v>146</v>
      </c>
      <c r="H878" s="1" t="n">
        <v>1436032</v>
      </c>
      <c r="I878" s="1" t="n">
        <v>11</v>
      </c>
      <c r="J878" s="1" t="s">
        <v>2975</v>
      </c>
      <c r="K878" s="67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2976</v>
      </c>
      <c r="D879" s="1" t="s">
        <v>3081</v>
      </c>
      <c r="E879" s="15" t="n">
        <v>46225</v>
      </c>
      <c r="F879" s="15" t="n">
        <v>46219</v>
      </c>
      <c r="G879" s="1" t="s">
        <v>201</v>
      </c>
      <c r="H879" s="1" t="n">
        <v>1434296</v>
      </c>
      <c r="I879" s="1" t="n">
        <v>11</v>
      </c>
      <c r="J879" s="1" t="s">
        <v>2975</v>
      </c>
      <c r="K879" s="67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2978</v>
      </c>
      <c r="D880" s="1" t="s">
        <v>3096</v>
      </c>
      <c r="E880" s="15" t="n">
        <v>46225</v>
      </c>
      <c r="F880" s="15" t="n">
        <v>46221</v>
      </c>
      <c r="G880" s="1" t="s">
        <v>189</v>
      </c>
      <c r="H880" s="1" t="n">
        <v>1435122</v>
      </c>
      <c r="I880" s="1" t="n">
        <v>11</v>
      </c>
      <c r="J880" s="1" t="s">
        <v>2975</v>
      </c>
      <c r="K880" s="67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2973</v>
      </c>
      <c r="D881" s="1" t="s">
        <v>3003</v>
      </c>
      <c r="E881" s="15" t="n">
        <v>46225</v>
      </c>
      <c r="F881" s="15" t="n">
        <v>46221</v>
      </c>
      <c r="G881" s="1" t="s">
        <v>74</v>
      </c>
      <c r="H881" s="1" t="n">
        <v>1435819</v>
      </c>
      <c r="I881" s="1" t="n">
        <v>11</v>
      </c>
      <c r="J881" s="1" t="s">
        <v>2975</v>
      </c>
      <c r="K881" s="67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2978</v>
      </c>
      <c r="D882" s="1" t="s">
        <v>3004</v>
      </c>
      <c r="E882" s="15" t="n">
        <v>46225</v>
      </c>
      <c r="F882" s="15" t="n">
        <v>46218</v>
      </c>
      <c r="G882" s="1" t="s">
        <v>753</v>
      </c>
      <c r="H882" s="1" t="n">
        <v>1434947</v>
      </c>
      <c r="I882" s="1" t="n">
        <v>11</v>
      </c>
      <c r="J882" s="1" t="s">
        <v>2975</v>
      </c>
      <c r="K882" s="67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2976</v>
      </c>
      <c r="D883" s="1" t="s">
        <v>3009</v>
      </c>
      <c r="E883" s="15" t="n">
        <v>46225</v>
      </c>
      <c r="F883" s="15" t="n">
        <v>46220</v>
      </c>
      <c r="G883" s="1" t="s">
        <v>383</v>
      </c>
      <c r="H883" s="1" t="n">
        <v>1435834</v>
      </c>
      <c r="I883" s="1" t="n">
        <v>11</v>
      </c>
      <c r="J883" s="1" t="s">
        <v>2975</v>
      </c>
      <c r="K883" s="67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2976</v>
      </c>
      <c r="D884" s="1" t="s">
        <v>3075</v>
      </c>
      <c r="E884" s="15" t="n">
        <v>46225</v>
      </c>
      <c r="F884" s="15" t="n">
        <v>46220</v>
      </c>
      <c r="G884" s="1" t="s">
        <v>204</v>
      </c>
      <c r="H884" s="1" t="n">
        <v>1434191</v>
      </c>
      <c r="I884" s="1" t="n">
        <v>11</v>
      </c>
      <c r="J884" s="1" t="s">
        <v>2975</v>
      </c>
      <c r="K884" s="67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3046</v>
      </c>
      <c r="D885" s="1" t="s">
        <v>3047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2975</v>
      </c>
      <c r="K885" s="67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2976</v>
      </c>
      <c r="D886" s="1" t="s">
        <v>3076</v>
      </c>
      <c r="E886" s="15" t="n">
        <v>46225</v>
      </c>
      <c r="F886" s="15" t="n">
        <v>46219</v>
      </c>
      <c r="G886" s="1" t="s">
        <v>340</v>
      </c>
      <c r="H886" s="1" t="n">
        <v>1433693</v>
      </c>
      <c r="I886" s="1" t="n">
        <v>11</v>
      </c>
      <c r="J886" s="1" t="s">
        <v>2975</v>
      </c>
      <c r="K886" s="67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2978</v>
      </c>
      <c r="D887" s="1" t="s">
        <v>2991</v>
      </c>
      <c r="E887" s="15" t="n">
        <v>46225</v>
      </c>
      <c r="F887" s="15" t="n">
        <v>46225</v>
      </c>
      <c r="G887" s="1" t="s">
        <v>961</v>
      </c>
      <c r="H887" s="1" t="n">
        <v>1459613</v>
      </c>
      <c r="I887" s="1" t="n">
        <v>1</v>
      </c>
      <c r="J887" s="1" t="s">
        <v>2975</v>
      </c>
      <c r="K887" s="67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2976</v>
      </c>
      <c r="D888" s="1" t="s">
        <v>2995</v>
      </c>
      <c r="E888" s="15" t="n">
        <v>46226</v>
      </c>
      <c r="F888" s="15" t="n">
        <v>46226</v>
      </c>
      <c r="G888" s="1" t="s">
        <v>264</v>
      </c>
      <c r="H888" s="1" t="n">
        <v>1440235</v>
      </c>
      <c r="I888" s="1" t="n">
        <v>11</v>
      </c>
      <c r="J888" s="1" t="s">
        <v>2975</v>
      </c>
      <c r="K888" s="67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2976</v>
      </c>
      <c r="D889" s="1" t="s">
        <v>2997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2975</v>
      </c>
      <c r="K889" s="67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2976</v>
      </c>
      <c r="D890" s="1" t="s">
        <v>2997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2975</v>
      </c>
      <c r="K890" s="67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2976</v>
      </c>
      <c r="D891" s="1" t="s">
        <v>2997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2975</v>
      </c>
      <c r="K891" s="67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2976</v>
      </c>
      <c r="D892" s="1" t="s">
        <v>3038</v>
      </c>
      <c r="E892" s="15" t="n">
        <v>46226</v>
      </c>
      <c r="F892" s="15" t="n">
        <v>46224</v>
      </c>
      <c r="G892" s="1" t="s">
        <v>193</v>
      </c>
      <c r="H892" s="1" t="n">
        <v>1440337</v>
      </c>
      <c r="I892" s="1" t="n">
        <v>11</v>
      </c>
      <c r="J892" s="1" t="s">
        <v>2975</v>
      </c>
      <c r="K892" s="67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2976</v>
      </c>
      <c r="D893" s="1" t="s">
        <v>3040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2975</v>
      </c>
      <c r="K893" s="67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2976</v>
      </c>
      <c r="D894" s="1" t="s">
        <v>2998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2975</v>
      </c>
      <c r="K894" s="67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2976</v>
      </c>
      <c r="D895" s="1" t="s">
        <v>3134</v>
      </c>
      <c r="E895" s="15" t="n">
        <v>46226</v>
      </c>
      <c r="F895" s="15" t="n">
        <v>46226</v>
      </c>
      <c r="G895" s="1" t="s">
        <v>1496</v>
      </c>
      <c r="H895" s="1" t="n">
        <v>1440378</v>
      </c>
      <c r="I895" s="1" t="n">
        <v>1</v>
      </c>
      <c r="J895" s="1" t="s">
        <v>2975</v>
      </c>
      <c r="K895" s="67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2973</v>
      </c>
      <c r="D896" s="1" t="s">
        <v>3003</v>
      </c>
      <c r="E896" s="15" t="n">
        <v>46226</v>
      </c>
      <c r="F896" s="15" t="n">
        <v>46223</v>
      </c>
      <c r="G896" s="1" t="s">
        <v>74</v>
      </c>
      <c r="H896" s="1" t="n">
        <v>1440033</v>
      </c>
      <c r="I896" s="1" t="n">
        <v>11</v>
      </c>
      <c r="J896" s="1" t="s">
        <v>2975</v>
      </c>
      <c r="K896" s="67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3046</v>
      </c>
      <c r="D897" s="1" t="s">
        <v>3047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2975</v>
      </c>
      <c r="K897" s="67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2976</v>
      </c>
      <c r="D898" s="1" t="s">
        <v>2993</v>
      </c>
      <c r="E898" s="15" t="n">
        <v>46227</v>
      </c>
      <c r="F898" s="15" t="n">
        <v>46226</v>
      </c>
      <c r="G898" s="1" t="s">
        <v>328</v>
      </c>
      <c r="H898" s="1" t="n">
        <v>1445232</v>
      </c>
      <c r="I898" s="1" t="n">
        <v>11</v>
      </c>
      <c r="J898" s="1" t="s">
        <v>2975</v>
      </c>
      <c r="K898" s="67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2976</v>
      </c>
      <c r="D899" s="1" t="s">
        <v>3073</v>
      </c>
      <c r="E899" s="15" t="n">
        <v>46227</v>
      </c>
      <c r="F899" s="15" t="n">
        <v>46224</v>
      </c>
      <c r="G899" s="1" t="s">
        <v>238</v>
      </c>
      <c r="H899" s="1" t="n">
        <v>1444273</v>
      </c>
      <c r="I899" s="1" t="n">
        <v>11</v>
      </c>
      <c r="J899" s="1" t="s">
        <v>2975</v>
      </c>
      <c r="K899" s="67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3035</v>
      </c>
      <c r="D900" s="1" t="s">
        <v>3036</v>
      </c>
      <c r="E900" s="15" t="n">
        <v>46227</v>
      </c>
      <c r="F900" s="15" t="n">
        <v>46219</v>
      </c>
      <c r="G900" s="1" t="s">
        <v>148</v>
      </c>
      <c r="H900" s="1" t="n">
        <v>1444832</v>
      </c>
      <c r="I900" s="1" t="n">
        <v>11</v>
      </c>
      <c r="J900" s="1" t="s">
        <v>2975</v>
      </c>
      <c r="K900" s="67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3016</v>
      </c>
      <c r="D901" s="1" t="s">
        <v>3036</v>
      </c>
      <c r="E901" s="15" t="n">
        <v>46227</v>
      </c>
      <c r="F901" s="15" t="n">
        <v>46219</v>
      </c>
      <c r="G901" s="1" t="s">
        <v>148</v>
      </c>
      <c r="H901" s="1" t="n">
        <v>1444855</v>
      </c>
      <c r="I901" s="1" t="n">
        <v>11</v>
      </c>
      <c r="J901" s="1" t="s">
        <v>2975</v>
      </c>
      <c r="K901" s="67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2976</v>
      </c>
      <c r="D902" s="1" t="s">
        <v>3074</v>
      </c>
      <c r="E902" s="15" t="n">
        <v>46227</v>
      </c>
      <c r="F902" s="15" t="n">
        <v>46227</v>
      </c>
      <c r="G902" s="1" t="s">
        <v>208</v>
      </c>
      <c r="H902" s="1" t="n">
        <v>1443846</v>
      </c>
      <c r="I902" s="1" t="n">
        <v>11</v>
      </c>
      <c r="J902" s="1" t="s">
        <v>2975</v>
      </c>
      <c r="K902" s="67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2976</v>
      </c>
      <c r="D903" s="1" t="s">
        <v>2995</v>
      </c>
      <c r="E903" s="15" t="n">
        <v>46227</v>
      </c>
      <c r="F903" s="15" t="n">
        <v>46227</v>
      </c>
      <c r="G903" s="1" t="s">
        <v>264</v>
      </c>
      <c r="H903" s="1" t="n">
        <v>1445159</v>
      </c>
      <c r="I903" s="1" t="n">
        <v>11</v>
      </c>
      <c r="J903" s="1" t="s">
        <v>2975</v>
      </c>
      <c r="K903" s="67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2976</v>
      </c>
      <c r="D904" s="1" t="s">
        <v>2996</v>
      </c>
      <c r="E904" s="15" t="n">
        <v>46227</v>
      </c>
      <c r="F904" s="15" t="n">
        <v>46227</v>
      </c>
      <c r="G904" s="1" t="s">
        <v>221</v>
      </c>
      <c r="H904" s="1" t="n">
        <v>1444868</v>
      </c>
      <c r="I904" s="1" t="n">
        <v>1</v>
      </c>
      <c r="J904" s="1" t="s">
        <v>2975</v>
      </c>
      <c r="K904" s="67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2976</v>
      </c>
      <c r="D905" s="1" t="s">
        <v>3079</v>
      </c>
      <c r="E905" s="15" t="n">
        <v>46227</v>
      </c>
      <c r="F905" s="15" t="n">
        <v>46225</v>
      </c>
      <c r="G905" s="1" t="s">
        <v>517</v>
      </c>
      <c r="H905" s="1" t="n">
        <v>1445373</v>
      </c>
      <c r="I905" s="1" t="n">
        <v>11</v>
      </c>
      <c r="J905" s="1" t="s">
        <v>2975</v>
      </c>
      <c r="K905" s="67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2976</v>
      </c>
      <c r="D906" s="1" t="s">
        <v>3079</v>
      </c>
      <c r="E906" s="15" t="n">
        <v>46227</v>
      </c>
      <c r="F906" s="15" t="n">
        <v>46225</v>
      </c>
      <c r="G906" s="1" t="s">
        <v>517</v>
      </c>
      <c r="H906" s="1" t="n">
        <v>1445432</v>
      </c>
      <c r="I906" s="1" t="n">
        <v>11</v>
      </c>
      <c r="J906" s="1" t="s">
        <v>2975</v>
      </c>
      <c r="K906" s="67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2973</v>
      </c>
      <c r="D907" s="1" t="s">
        <v>3139</v>
      </c>
      <c r="E907" s="15" t="n">
        <v>46227</v>
      </c>
      <c r="F907" s="15" t="n">
        <v>46226</v>
      </c>
      <c r="G907" s="1" t="s">
        <v>2210</v>
      </c>
      <c r="H907" s="1" t="n">
        <v>1443907</v>
      </c>
      <c r="I907" s="1" t="n">
        <v>11</v>
      </c>
      <c r="J907" s="1" t="s">
        <v>2975</v>
      </c>
      <c r="K907" s="67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2976</v>
      </c>
      <c r="D908" s="1" t="s">
        <v>3134</v>
      </c>
      <c r="E908" s="15" t="n">
        <v>46227</v>
      </c>
      <c r="F908" s="15" t="n">
        <v>46227</v>
      </c>
      <c r="G908" s="1" t="s">
        <v>1496</v>
      </c>
      <c r="H908" s="1" t="n">
        <v>1459634</v>
      </c>
      <c r="I908" s="1" t="n">
        <v>1</v>
      </c>
      <c r="J908" s="1" t="s">
        <v>2975</v>
      </c>
      <c r="K908" s="67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2976</v>
      </c>
      <c r="D909" s="1" t="s">
        <v>3005</v>
      </c>
      <c r="E909" s="15" t="n">
        <v>46227</v>
      </c>
      <c r="F909" s="15" t="n">
        <v>46227</v>
      </c>
      <c r="G909" s="1" t="s">
        <v>336</v>
      </c>
      <c r="H909" s="1" t="n">
        <v>1459549</v>
      </c>
      <c r="I909" s="1" t="n">
        <v>1</v>
      </c>
      <c r="J909" s="1" t="s">
        <v>2975</v>
      </c>
      <c r="K909" s="67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3067</v>
      </c>
      <c r="D910" s="1" t="s">
        <v>3068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2975</v>
      </c>
      <c r="K910" s="67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2978</v>
      </c>
      <c r="D911" s="1" t="s">
        <v>3019</v>
      </c>
      <c r="E911" s="15" t="n">
        <v>46227</v>
      </c>
      <c r="F911" s="15" t="n">
        <v>46225</v>
      </c>
      <c r="G911" s="1" t="s">
        <v>703</v>
      </c>
      <c r="H911" s="1" t="n">
        <v>1444789</v>
      </c>
      <c r="I911" s="1" t="n">
        <v>11</v>
      </c>
      <c r="J911" s="1" t="s">
        <v>2975</v>
      </c>
      <c r="K911" s="67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2978</v>
      </c>
      <c r="D912" s="1" t="s">
        <v>3004</v>
      </c>
      <c r="E912" s="15" t="n">
        <v>46227</v>
      </c>
      <c r="F912" s="15" t="n">
        <v>46224</v>
      </c>
      <c r="G912" s="1" t="s">
        <v>753</v>
      </c>
      <c r="H912" s="1" t="n">
        <v>1444448</v>
      </c>
      <c r="I912" s="1" t="n">
        <v>11</v>
      </c>
      <c r="J912" s="1" t="s">
        <v>2975</v>
      </c>
      <c r="K912" s="67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2976</v>
      </c>
      <c r="D913" s="1" t="s">
        <v>2988</v>
      </c>
      <c r="E913" s="15" t="n">
        <v>46227</v>
      </c>
      <c r="F913" s="15" t="n">
        <v>46227</v>
      </c>
      <c r="G913" s="1" t="s">
        <v>70</v>
      </c>
      <c r="H913" s="1" t="n">
        <v>1444502</v>
      </c>
      <c r="I913" s="1" t="n">
        <v>6</v>
      </c>
      <c r="J913" s="1" t="s">
        <v>2975</v>
      </c>
      <c r="K913" s="67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2976</v>
      </c>
      <c r="D914" s="1" t="s">
        <v>2988</v>
      </c>
      <c r="E914" s="15" t="n">
        <v>46227</v>
      </c>
      <c r="F914" s="15" t="n">
        <v>46227</v>
      </c>
      <c r="G914" s="1" t="s">
        <v>70</v>
      </c>
      <c r="H914" s="1" t="n">
        <v>1444846</v>
      </c>
      <c r="I914" s="1" t="n">
        <v>6</v>
      </c>
      <c r="J914" s="1" t="s">
        <v>2975</v>
      </c>
      <c r="K914" s="67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2973</v>
      </c>
      <c r="D915" s="1" t="s">
        <v>3062</v>
      </c>
      <c r="E915" s="15" t="n">
        <v>46227</v>
      </c>
      <c r="F915" s="15" t="n">
        <v>46225</v>
      </c>
      <c r="G915" s="1" t="s">
        <v>246</v>
      </c>
      <c r="H915" s="1" t="n">
        <v>1444105</v>
      </c>
      <c r="I915" s="1" t="n">
        <v>11</v>
      </c>
      <c r="J915" s="1" t="s">
        <v>2975</v>
      </c>
      <c r="K915" s="67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2976</v>
      </c>
      <c r="D916" s="1" t="s">
        <v>2992</v>
      </c>
      <c r="E916" s="15" t="n">
        <v>46228</v>
      </c>
      <c r="F916" s="15" t="n">
        <v>46227</v>
      </c>
      <c r="G916" s="1" t="s">
        <v>161</v>
      </c>
      <c r="H916" s="1" t="n">
        <v>1448608</v>
      </c>
      <c r="I916" s="1" t="n">
        <v>11</v>
      </c>
      <c r="J916" s="1" t="s">
        <v>2975</v>
      </c>
      <c r="K916" s="67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2976</v>
      </c>
      <c r="D917" s="1" t="s">
        <v>3049</v>
      </c>
      <c r="E917" s="15" t="n">
        <v>46228</v>
      </c>
      <c r="F917" s="15" t="n">
        <v>46223</v>
      </c>
      <c r="G917" s="1" t="s">
        <v>608</v>
      </c>
      <c r="H917" s="1" t="n">
        <v>1449802</v>
      </c>
      <c r="I917" s="1" t="n">
        <v>39</v>
      </c>
      <c r="J917" s="1" t="s">
        <v>2975</v>
      </c>
      <c r="K917" s="67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2976</v>
      </c>
      <c r="D918" s="1" t="s">
        <v>2997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2975</v>
      </c>
      <c r="K918" s="67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2976</v>
      </c>
      <c r="D919" s="1" t="s">
        <v>2997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2975</v>
      </c>
      <c r="K919" s="67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2976</v>
      </c>
      <c r="D920" s="1" t="s">
        <v>3140</v>
      </c>
      <c r="E920" s="15" t="n">
        <v>46228</v>
      </c>
      <c r="F920" s="15" t="n">
        <v>46219</v>
      </c>
      <c r="G920" s="1" t="s">
        <v>2208</v>
      </c>
      <c r="H920" s="1" t="n">
        <v>1448105</v>
      </c>
      <c r="I920" s="1" t="n">
        <v>11</v>
      </c>
      <c r="J920" s="1" t="s">
        <v>2975</v>
      </c>
      <c r="K920" s="67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2976</v>
      </c>
      <c r="D921" s="1" t="s">
        <v>2983</v>
      </c>
      <c r="E921" s="15" t="n">
        <v>46228</v>
      </c>
      <c r="F921" s="15" t="n">
        <v>46218</v>
      </c>
      <c r="G921" s="1" t="s">
        <v>540</v>
      </c>
      <c r="H921" s="1" t="n">
        <v>1448633</v>
      </c>
      <c r="I921" s="1" t="n">
        <v>11</v>
      </c>
      <c r="J921" s="1" t="s">
        <v>2975</v>
      </c>
      <c r="K921" s="67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3022</v>
      </c>
      <c r="D922" s="1" t="s">
        <v>3041</v>
      </c>
      <c r="E922" s="15" t="n">
        <v>46228</v>
      </c>
      <c r="F922" s="15" t="n">
        <v>46221</v>
      </c>
      <c r="G922" s="1" t="s">
        <v>132</v>
      </c>
      <c r="H922" s="1" t="n">
        <v>1449137</v>
      </c>
      <c r="I922" s="1" t="n">
        <v>11</v>
      </c>
      <c r="J922" s="1" t="s">
        <v>2975</v>
      </c>
      <c r="K922" s="67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2973</v>
      </c>
      <c r="D923" s="1" t="s">
        <v>2984</v>
      </c>
      <c r="E923" s="15" t="n">
        <v>46228</v>
      </c>
      <c r="F923" s="15" t="n">
        <v>46228</v>
      </c>
      <c r="G923" s="1" t="s">
        <v>97</v>
      </c>
      <c r="H923" s="1" t="n">
        <v>1459639</v>
      </c>
      <c r="I923" s="1" t="n">
        <v>1</v>
      </c>
      <c r="J923" s="1" t="s">
        <v>2975</v>
      </c>
      <c r="K923" s="67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2976</v>
      </c>
      <c r="D924" s="1" t="s">
        <v>3134</v>
      </c>
      <c r="E924" s="15" t="n">
        <v>46228</v>
      </c>
      <c r="F924" s="15" t="n">
        <v>46228</v>
      </c>
      <c r="G924" s="1" t="s">
        <v>1496</v>
      </c>
      <c r="H924" s="1" t="n">
        <v>1459678</v>
      </c>
      <c r="I924" s="1" t="n">
        <v>1</v>
      </c>
      <c r="J924" s="1" t="s">
        <v>2975</v>
      </c>
      <c r="K924" s="67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2976</v>
      </c>
      <c r="D925" s="1" t="s">
        <v>3013</v>
      </c>
      <c r="E925" s="15" t="n">
        <v>46228</v>
      </c>
      <c r="F925" s="15" t="n">
        <v>46225</v>
      </c>
      <c r="G925" s="1" t="s">
        <v>64</v>
      </c>
      <c r="H925" s="1" t="n">
        <v>1449499</v>
      </c>
      <c r="I925" s="1" t="n">
        <v>11</v>
      </c>
      <c r="J925" s="1" t="s">
        <v>2975</v>
      </c>
      <c r="K925" s="67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2976</v>
      </c>
      <c r="D926" s="1" t="s">
        <v>3084</v>
      </c>
      <c r="E926" s="15" t="n">
        <v>46228</v>
      </c>
      <c r="F926" s="15" t="n">
        <v>46223</v>
      </c>
      <c r="G926" s="1" t="s">
        <v>240</v>
      </c>
      <c r="H926" s="1" t="n">
        <v>1449446</v>
      </c>
      <c r="I926" s="1" t="n">
        <v>11</v>
      </c>
      <c r="J926" s="1" t="s">
        <v>2975</v>
      </c>
      <c r="K926" s="67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3022</v>
      </c>
      <c r="D927" s="1" t="s">
        <v>3123</v>
      </c>
      <c r="E927" s="15" t="n">
        <v>46228</v>
      </c>
      <c r="F927" s="15" t="n">
        <v>46220</v>
      </c>
      <c r="G927" s="1" t="s">
        <v>306</v>
      </c>
      <c r="H927" s="1" t="n">
        <v>1448200</v>
      </c>
      <c r="I927" s="1" t="n">
        <v>11</v>
      </c>
      <c r="J927" s="1" t="s">
        <v>2975</v>
      </c>
      <c r="K927" s="67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2976</v>
      </c>
      <c r="D928" s="1" t="s">
        <v>3104</v>
      </c>
      <c r="E928" s="15" t="n">
        <v>46228</v>
      </c>
      <c r="F928" s="15" t="n">
        <v>46228</v>
      </c>
      <c r="G928" s="1" t="s">
        <v>867</v>
      </c>
      <c r="H928" s="1" t="n">
        <v>1459790</v>
      </c>
      <c r="I928" s="1" t="n">
        <v>1</v>
      </c>
      <c r="J928" s="1" t="s">
        <v>2975</v>
      </c>
      <c r="K928" s="67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3109</v>
      </c>
      <c r="D929" s="1" t="s">
        <v>3110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2975</v>
      </c>
      <c r="K929" s="67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3067</v>
      </c>
      <c r="D930" s="1" t="s">
        <v>3068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2975</v>
      </c>
      <c r="K930" s="67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3067</v>
      </c>
      <c r="D931" s="1" t="s">
        <v>3068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2975</v>
      </c>
      <c r="K931" s="67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3067</v>
      </c>
      <c r="D932" s="1" t="s">
        <v>3068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2975</v>
      </c>
      <c r="K932" s="67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3067</v>
      </c>
      <c r="D933" s="1" t="s">
        <v>3068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2975</v>
      </c>
      <c r="K933" s="67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2976</v>
      </c>
      <c r="D934" s="1" t="s">
        <v>3018</v>
      </c>
      <c r="E934" s="15" t="n">
        <v>46228</v>
      </c>
      <c r="F934" s="15" t="n">
        <v>46219</v>
      </c>
      <c r="G934" s="1" t="s">
        <v>258</v>
      </c>
      <c r="H934" s="1" t="n">
        <v>1449312</v>
      </c>
      <c r="I934" s="1" t="n">
        <v>11</v>
      </c>
      <c r="J934" s="1" t="s">
        <v>2975</v>
      </c>
      <c r="K934" s="67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2976</v>
      </c>
      <c r="D935" s="1" t="s">
        <v>3018</v>
      </c>
      <c r="E935" s="15" t="n">
        <v>46228</v>
      </c>
      <c r="F935" s="15" t="n">
        <v>46226</v>
      </c>
      <c r="G935" s="1" t="s">
        <v>258</v>
      </c>
      <c r="H935" s="1" t="n">
        <v>1449455</v>
      </c>
      <c r="I935" s="1" t="n">
        <v>11</v>
      </c>
      <c r="J935" s="1" t="s">
        <v>2975</v>
      </c>
      <c r="K935" s="67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2978</v>
      </c>
      <c r="D936" s="1" t="s">
        <v>3096</v>
      </c>
      <c r="E936" s="15" t="n">
        <v>46228</v>
      </c>
      <c r="F936" s="15" t="n">
        <v>46225</v>
      </c>
      <c r="G936" s="1" t="s">
        <v>189</v>
      </c>
      <c r="H936" s="1" t="n">
        <v>1449247</v>
      </c>
      <c r="I936" s="1" t="n">
        <v>11</v>
      </c>
      <c r="J936" s="1" t="s">
        <v>2975</v>
      </c>
      <c r="K936" s="67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2976</v>
      </c>
      <c r="D937" s="1" t="s">
        <v>3076</v>
      </c>
      <c r="E937" s="15" t="n">
        <v>46228</v>
      </c>
      <c r="F937" s="15" t="n">
        <v>46220</v>
      </c>
      <c r="G937" s="1" t="s">
        <v>340</v>
      </c>
      <c r="H937" s="1" t="n">
        <v>1448793</v>
      </c>
      <c r="I937" s="1" t="n">
        <v>11</v>
      </c>
      <c r="J937" s="1" t="s">
        <v>2975</v>
      </c>
      <c r="K937" s="67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2976</v>
      </c>
      <c r="D938" s="1" t="s">
        <v>3053</v>
      </c>
      <c r="E938" s="15" t="n">
        <v>46228</v>
      </c>
      <c r="F938" s="15" t="n">
        <v>46216</v>
      </c>
      <c r="G938" s="1" t="s">
        <v>628</v>
      </c>
      <c r="H938" s="1" t="n">
        <v>1449544</v>
      </c>
      <c r="I938" s="1" t="n">
        <v>45</v>
      </c>
      <c r="J938" s="1" t="s">
        <v>2975</v>
      </c>
      <c r="K938" s="67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2976</v>
      </c>
      <c r="D939" s="1" t="s">
        <v>3053</v>
      </c>
      <c r="E939" s="15" t="n">
        <v>46228</v>
      </c>
      <c r="F939" s="15" t="n">
        <v>46220</v>
      </c>
      <c r="G939" s="1" t="s">
        <v>628</v>
      </c>
      <c r="H939" s="1" t="n">
        <v>1449796</v>
      </c>
      <c r="I939" s="1" t="n">
        <v>39</v>
      </c>
      <c r="J939" s="1" t="s">
        <v>2975</v>
      </c>
      <c r="K939" s="67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2976</v>
      </c>
      <c r="D940" s="1" t="s">
        <v>3053</v>
      </c>
      <c r="E940" s="15" t="n">
        <v>46228</v>
      </c>
      <c r="F940" s="15" t="n">
        <v>46224</v>
      </c>
      <c r="G940" s="1" t="s">
        <v>628</v>
      </c>
      <c r="H940" s="1" t="n">
        <v>1449866</v>
      </c>
      <c r="I940" s="1" t="n">
        <v>45</v>
      </c>
      <c r="J940" s="1" t="s">
        <v>2975</v>
      </c>
      <c r="K940" s="67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2978</v>
      </c>
      <c r="D941" s="1" t="s">
        <v>2991</v>
      </c>
      <c r="E941" s="15" t="n">
        <v>46228</v>
      </c>
      <c r="F941" s="15" t="n">
        <v>46228</v>
      </c>
      <c r="G941" s="1" t="s">
        <v>961</v>
      </c>
      <c r="H941" s="1" t="n">
        <v>1459656</v>
      </c>
      <c r="I941" s="1" t="n">
        <v>1</v>
      </c>
      <c r="J941" s="1" t="s">
        <v>2975</v>
      </c>
      <c r="K941" s="67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2976</v>
      </c>
      <c r="D942" s="1" t="s">
        <v>2993</v>
      </c>
      <c r="E942" s="15" t="n">
        <v>46230</v>
      </c>
      <c r="F942" s="15" t="n">
        <v>46228</v>
      </c>
      <c r="G942" s="1" t="s">
        <v>328</v>
      </c>
      <c r="H942" s="1" t="n">
        <v>1458754</v>
      </c>
      <c r="I942" s="1" t="n">
        <v>11</v>
      </c>
      <c r="J942" s="1" t="s">
        <v>2975</v>
      </c>
      <c r="K942" s="67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2976</v>
      </c>
      <c r="D943" s="1" t="s">
        <v>3063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2975</v>
      </c>
      <c r="K943" s="67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2976</v>
      </c>
      <c r="D944" s="1" t="s">
        <v>3063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2975</v>
      </c>
      <c r="K944" s="67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2976</v>
      </c>
      <c r="D945" s="1" t="s">
        <v>3063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2975</v>
      </c>
      <c r="K945" s="67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3035</v>
      </c>
      <c r="D946" s="1" t="s">
        <v>3036</v>
      </c>
      <c r="E946" s="15" t="n">
        <v>46230</v>
      </c>
      <c r="F946" s="15" t="n">
        <v>46225</v>
      </c>
      <c r="G946" s="1" t="s">
        <v>148</v>
      </c>
      <c r="H946" s="1" t="n">
        <v>1458411</v>
      </c>
      <c r="I946" s="1" t="n">
        <v>11</v>
      </c>
      <c r="J946" s="1" t="s">
        <v>2975</v>
      </c>
      <c r="K946" s="67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3035</v>
      </c>
      <c r="D947" s="1" t="s">
        <v>3036</v>
      </c>
      <c r="E947" s="15" t="n">
        <v>46230</v>
      </c>
      <c r="F947" s="15" t="n">
        <v>46225</v>
      </c>
      <c r="G947" s="1" t="s">
        <v>148</v>
      </c>
      <c r="H947" s="1" t="n">
        <v>1458895</v>
      </c>
      <c r="I947" s="1" t="n">
        <v>11</v>
      </c>
      <c r="J947" s="1" t="s">
        <v>2975</v>
      </c>
      <c r="K947" s="67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3016</v>
      </c>
      <c r="D948" s="1" t="s">
        <v>3036</v>
      </c>
      <c r="E948" s="15" t="n">
        <v>46230</v>
      </c>
      <c r="F948" s="15" t="n">
        <v>46225</v>
      </c>
      <c r="G948" s="1" t="s">
        <v>148</v>
      </c>
      <c r="H948" s="1" t="n">
        <v>1458859</v>
      </c>
      <c r="I948" s="1" t="n">
        <v>11</v>
      </c>
      <c r="J948" s="1" t="s">
        <v>2975</v>
      </c>
      <c r="K948" s="67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3016</v>
      </c>
      <c r="D949" s="1" t="s">
        <v>3036</v>
      </c>
      <c r="E949" s="15" t="n">
        <v>46230</v>
      </c>
      <c r="F949" s="15" t="n">
        <v>46225</v>
      </c>
      <c r="G949" s="1" t="s">
        <v>148</v>
      </c>
      <c r="H949" s="1" t="n">
        <v>1457915</v>
      </c>
      <c r="I949" s="1" t="n">
        <v>11</v>
      </c>
      <c r="J949" s="1" t="s">
        <v>2975</v>
      </c>
      <c r="K949" s="67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2976</v>
      </c>
      <c r="D950" s="1" t="s">
        <v>3074</v>
      </c>
      <c r="E950" s="15" t="n">
        <v>46230</v>
      </c>
      <c r="F950" s="15" t="n">
        <v>46229</v>
      </c>
      <c r="G950" s="1" t="s">
        <v>208</v>
      </c>
      <c r="H950" s="1" t="n">
        <v>1460227</v>
      </c>
      <c r="I950" s="1" t="n">
        <v>11</v>
      </c>
      <c r="J950" s="1" t="s">
        <v>2975</v>
      </c>
      <c r="K950" s="67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2976</v>
      </c>
      <c r="D951" s="1" t="s">
        <v>3007</v>
      </c>
      <c r="E951" s="15" t="n">
        <v>46230</v>
      </c>
      <c r="F951" s="15" t="n">
        <v>46226</v>
      </c>
      <c r="G951" s="1" t="s">
        <v>159</v>
      </c>
      <c r="H951" s="1" t="n">
        <v>1459538</v>
      </c>
      <c r="I951" s="1" t="n">
        <v>11</v>
      </c>
      <c r="J951" s="1" t="s">
        <v>2975</v>
      </c>
      <c r="K951" s="67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2973</v>
      </c>
      <c r="D952" s="1" t="s">
        <v>2994</v>
      </c>
      <c r="E952" s="15" t="n">
        <v>46230</v>
      </c>
      <c r="F952" s="15" t="n">
        <v>46230</v>
      </c>
      <c r="G952" s="1" t="s">
        <v>66</v>
      </c>
      <c r="H952" s="1" t="n">
        <v>1460054</v>
      </c>
      <c r="I952" s="1" t="n">
        <v>11</v>
      </c>
      <c r="J952" s="1" t="s">
        <v>2975</v>
      </c>
      <c r="K952" s="67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3024</v>
      </c>
      <c r="D953" s="1" t="s">
        <v>3025</v>
      </c>
      <c r="E953" s="15" t="n">
        <v>46230</v>
      </c>
      <c r="F953" s="15" t="n">
        <v>46226</v>
      </c>
      <c r="G953" s="1" t="s">
        <v>311</v>
      </c>
      <c r="H953" s="1" t="n">
        <v>1460318</v>
      </c>
      <c r="I953" s="1" t="n">
        <v>11</v>
      </c>
      <c r="J953" s="1" t="s">
        <v>2975</v>
      </c>
      <c r="K953" s="67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2976</v>
      </c>
      <c r="D954" s="1" t="s">
        <v>2997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2975</v>
      </c>
      <c r="K954" s="67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2973</v>
      </c>
      <c r="D955" s="1" t="s">
        <v>2984</v>
      </c>
      <c r="E955" s="15" t="n">
        <v>46230</v>
      </c>
      <c r="F955" s="15" t="n">
        <v>46230</v>
      </c>
      <c r="G955" s="1" t="s">
        <v>97</v>
      </c>
      <c r="H955" s="1" t="n">
        <v>1463329</v>
      </c>
      <c r="I955" s="1" t="n">
        <v>1</v>
      </c>
      <c r="J955" s="1" t="s">
        <v>2975</v>
      </c>
      <c r="K955" s="67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2976</v>
      </c>
      <c r="D956" s="1" t="s">
        <v>3134</v>
      </c>
      <c r="E956" s="15" t="n">
        <v>46230</v>
      </c>
      <c r="F956" s="15" t="n">
        <v>46230</v>
      </c>
      <c r="G956" s="1" t="s">
        <v>1496</v>
      </c>
      <c r="H956" s="1" t="n">
        <v>1463301</v>
      </c>
      <c r="I956" s="1" t="n">
        <v>1</v>
      </c>
      <c r="J956" s="1" t="s">
        <v>2975</v>
      </c>
      <c r="K956" s="67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2976</v>
      </c>
      <c r="D957" s="1" t="s">
        <v>3089</v>
      </c>
      <c r="E957" s="15" t="n">
        <v>46230</v>
      </c>
      <c r="F957" s="15" t="n">
        <v>46226</v>
      </c>
      <c r="G957" s="1" t="s">
        <v>1062</v>
      </c>
      <c r="H957" s="1" t="n">
        <v>1459258</v>
      </c>
      <c r="I957" s="1" t="n">
        <v>11</v>
      </c>
      <c r="J957" s="1" t="s">
        <v>2975</v>
      </c>
      <c r="K957" s="67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2976</v>
      </c>
      <c r="D958" s="1" t="s">
        <v>3026</v>
      </c>
      <c r="E958" s="15" t="n">
        <v>46230</v>
      </c>
      <c r="F958" s="15" t="n">
        <v>46227</v>
      </c>
      <c r="G958" s="1" t="s">
        <v>309</v>
      </c>
      <c r="H958" s="1" t="n">
        <v>1458497</v>
      </c>
      <c r="I958" s="1" t="n">
        <v>11</v>
      </c>
      <c r="J958" s="1" t="s">
        <v>2975</v>
      </c>
      <c r="K958" s="67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2976</v>
      </c>
      <c r="D959" s="1" t="s">
        <v>3000</v>
      </c>
      <c r="E959" s="15" t="n">
        <v>46230</v>
      </c>
      <c r="F959" s="15" t="n">
        <v>46225</v>
      </c>
      <c r="G959" s="1" t="s">
        <v>155</v>
      </c>
      <c r="H959" s="1" t="n">
        <v>1459642</v>
      </c>
      <c r="I959" s="1" t="n">
        <v>11</v>
      </c>
      <c r="J959" s="1" t="s">
        <v>2975</v>
      </c>
      <c r="K959" s="67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2976</v>
      </c>
      <c r="D960" s="1" t="s">
        <v>2986</v>
      </c>
      <c r="E960" s="15" t="n">
        <v>46230</v>
      </c>
      <c r="F960" s="15" t="n">
        <v>46228</v>
      </c>
      <c r="G960" s="1" t="s">
        <v>211</v>
      </c>
      <c r="H960" s="1" t="n">
        <v>1459483</v>
      </c>
      <c r="I960" s="1" t="n">
        <v>11</v>
      </c>
      <c r="J960" s="1" t="s">
        <v>2975</v>
      </c>
      <c r="K960" s="67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2976</v>
      </c>
      <c r="D961" s="1" t="s">
        <v>3081</v>
      </c>
      <c r="E961" s="15" t="n">
        <v>46230</v>
      </c>
      <c r="F961" s="15" t="n">
        <v>46226</v>
      </c>
      <c r="G961" s="1" t="s">
        <v>201</v>
      </c>
      <c r="H961" s="1" t="n">
        <v>1458624</v>
      </c>
      <c r="I961" s="1" t="n">
        <v>11</v>
      </c>
      <c r="J961" s="1" t="s">
        <v>2975</v>
      </c>
      <c r="K961" s="67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2976</v>
      </c>
      <c r="D962" s="1" t="s">
        <v>3081</v>
      </c>
      <c r="E962" s="15" t="n">
        <v>46230</v>
      </c>
      <c r="F962" s="15" t="n">
        <v>46226</v>
      </c>
      <c r="G962" s="1" t="s">
        <v>201</v>
      </c>
      <c r="H962" s="1" t="n">
        <v>1458941</v>
      </c>
      <c r="I962" s="1" t="n">
        <v>11</v>
      </c>
      <c r="J962" s="1" t="s">
        <v>2975</v>
      </c>
      <c r="K962" s="67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2976</v>
      </c>
      <c r="D963" s="1" t="s">
        <v>3002</v>
      </c>
      <c r="E963" s="15" t="n">
        <v>46230</v>
      </c>
      <c r="F963" s="15" t="n">
        <v>46227</v>
      </c>
      <c r="G963" s="1" t="s">
        <v>323</v>
      </c>
      <c r="H963" s="1" t="n">
        <v>1460163</v>
      </c>
      <c r="I963" s="1" t="n">
        <v>11</v>
      </c>
      <c r="J963" s="1" t="s">
        <v>2975</v>
      </c>
      <c r="K963" s="67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2973</v>
      </c>
      <c r="D964" s="1" t="s">
        <v>3003</v>
      </c>
      <c r="E964" s="15" t="n">
        <v>46230</v>
      </c>
      <c r="F964" s="15" t="n">
        <v>46225</v>
      </c>
      <c r="G964" s="1" t="s">
        <v>74</v>
      </c>
      <c r="H964" s="1" t="n">
        <v>1459548</v>
      </c>
      <c r="I964" s="1" t="n">
        <v>11</v>
      </c>
      <c r="J964" s="1" t="s">
        <v>2975</v>
      </c>
      <c r="K964" s="67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2973</v>
      </c>
      <c r="D965" s="1" t="s">
        <v>3003</v>
      </c>
      <c r="E965" s="15" t="n">
        <v>46230</v>
      </c>
      <c r="F965" s="15" t="n">
        <v>46226</v>
      </c>
      <c r="G965" s="1" t="s">
        <v>74</v>
      </c>
      <c r="H965" s="1" t="n">
        <v>1460253</v>
      </c>
      <c r="I965" s="1" t="n">
        <v>11</v>
      </c>
      <c r="J965" s="1" t="s">
        <v>2975</v>
      </c>
      <c r="K965" s="67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2973</v>
      </c>
      <c r="D966" s="1" t="s">
        <v>3003</v>
      </c>
      <c r="E966" s="15" t="n">
        <v>46230</v>
      </c>
      <c r="F966" s="15" t="n">
        <v>46227</v>
      </c>
      <c r="G966" s="1" t="s">
        <v>74</v>
      </c>
      <c r="H966" s="1" t="n">
        <v>1460296</v>
      </c>
      <c r="I966" s="1" t="n">
        <v>11</v>
      </c>
      <c r="J966" s="1" t="s">
        <v>2975</v>
      </c>
      <c r="K966" s="67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3069</v>
      </c>
      <c r="D967" s="1" t="s">
        <v>3070</v>
      </c>
      <c r="E967" s="15" t="n">
        <v>46230</v>
      </c>
      <c r="F967" s="15" t="n">
        <v>46225</v>
      </c>
      <c r="G967" s="1" t="s">
        <v>688</v>
      </c>
      <c r="H967" s="1" t="n">
        <v>1460281</v>
      </c>
      <c r="I967" s="1" t="n">
        <v>11</v>
      </c>
      <c r="J967" s="1" t="s">
        <v>2975</v>
      </c>
      <c r="K967" s="67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3022</v>
      </c>
      <c r="D968" s="1" t="s">
        <v>3135</v>
      </c>
      <c r="E968" s="15" t="n">
        <v>46230</v>
      </c>
      <c r="F968" s="15" t="n">
        <v>46225</v>
      </c>
      <c r="G968" s="1" t="s">
        <v>1491</v>
      </c>
      <c r="H968" s="1" t="n">
        <v>1459340</v>
      </c>
      <c r="I968" s="1" t="n">
        <v>11</v>
      </c>
      <c r="J968" s="1" t="s">
        <v>2975</v>
      </c>
      <c r="K968" s="67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3022</v>
      </c>
      <c r="D969" s="1" t="s">
        <v>3135</v>
      </c>
      <c r="E969" s="15" t="n">
        <v>46230</v>
      </c>
      <c r="F969" s="15" t="n">
        <v>46225</v>
      </c>
      <c r="G969" s="1" t="s">
        <v>1491</v>
      </c>
      <c r="H969" s="1" t="n">
        <v>1459336</v>
      </c>
      <c r="I969" s="1" t="n">
        <v>11</v>
      </c>
      <c r="J969" s="1" t="s">
        <v>2975</v>
      </c>
      <c r="K969" s="67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3022</v>
      </c>
      <c r="D970" s="1" t="s">
        <v>3135</v>
      </c>
      <c r="E970" s="15" t="n">
        <v>46230</v>
      </c>
      <c r="F970" s="15" t="n">
        <v>46229</v>
      </c>
      <c r="G970" s="1" t="s">
        <v>1491</v>
      </c>
      <c r="H970" s="1" t="n">
        <v>1459344</v>
      </c>
      <c r="I970" s="1" t="n">
        <v>11</v>
      </c>
      <c r="J970" s="1" t="s">
        <v>2975</v>
      </c>
      <c r="K970" s="67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2976</v>
      </c>
      <c r="D971" s="1" t="s">
        <v>2989</v>
      </c>
      <c r="E971" s="15" t="n">
        <v>46230</v>
      </c>
      <c r="F971" s="15" t="n">
        <v>46228</v>
      </c>
      <c r="G971" s="1" t="s">
        <v>157</v>
      </c>
      <c r="H971" s="1" t="n">
        <v>1459451</v>
      </c>
      <c r="I971" s="1" t="n">
        <v>11</v>
      </c>
      <c r="J971" s="1" t="s">
        <v>2975</v>
      </c>
      <c r="K971" s="67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2976</v>
      </c>
      <c r="D972" s="1" t="s">
        <v>2989</v>
      </c>
      <c r="E972" s="15" t="n">
        <v>46230</v>
      </c>
      <c r="F972" s="15" t="n">
        <v>46228</v>
      </c>
      <c r="G972" s="1" t="s">
        <v>157</v>
      </c>
      <c r="H972" s="1" t="n">
        <v>1459333</v>
      </c>
      <c r="I972" s="1" t="n">
        <v>11</v>
      </c>
      <c r="J972" s="1" t="s">
        <v>2975</v>
      </c>
      <c r="K972" s="67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2976</v>
      </c>
      <c r="D973" s="1" t="s">
        <v>3097</v>
      </c>
      <c r="E973" s="15" t="n">
        <v>46230</v>
      </c>
      <c r="F973" s="15" t="n">
        <v>46224</v>
      </c>
      <c r="G973" s="1" t="s">
        <v>1064</v>
      </c>
      <c r="H973" s="1" t="n">
        <v>1460234</v>
      </c>
      <c r="I973" s="1" t="n">
        <v>11</v>
      </c>
      <c r="J973" s="1" t="s">
        <v>2975</v>
      </c>
      <c r="K973" s="67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2973</v>
      </c>
      <c r="D974" s="1" t="s">
        <v>3010</v>
      </c>
      <c r="E974" s="15" t="n">
        <v>46230</v>
      </c>
      <c r="F974" s="15" t="n">
        <v>46224</v>
      </c>
      <c r="G974" s="1" t="s">
        <v>319</v>
      </c>
      <c r="H974" s="1" t="n">
        <v>1460292</v>
      </c>
      <c r="I974" s="1" t="n">
        <v>11</v>
      </c>
      <c r="J974" s="1" t="s">
        <v>2975</v>
      </c>
      <c r="K974" s="67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2973</v>
      </c>
      <c r="D975" s="1" t="s">
        <v>3136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2975</v>
      </c>
      <c r="K975" s="67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2973</v>
      </c>
      <c r="D976" s="1" t="s">
        <v>3136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2975</v>
      </c>
      <c r="K976" s="67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2973</v>
      </c>
      <c r="D977" s="1" t="s">
        <v>3136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2975</v>
      </c>
      <c r="K977" s="67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2973</v>
      </c>
      <c r="D978" s="1" t="s">
        <v>3136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2975</v>
      </c>
      <c r="K978" s="67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2976</v>
      </c>
      <c r="D979" s="1" t="s">
        <v>2996</v>
      </c>
      <c r="E979" s="15" t="n">
        <v>46231</v>
      </c>
      <c r="F979" s="15" t="n">
        <v>46231</v>
      </c>
      <c r="G979" s="1" t="s">
        <v>221</v>
      </c>
      <c r="H979" s="1" t="n">
        <v>1464669</v>
      </c>
      <c r="I979" s="1" t="n">
        <v>1</v>
      </c>
      <c r="J979" s="1" t="s">
        <v>2975</v>
      </c>
      <c r="K979" s="67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2976</v>
      </c>
      <c r="D980" s="1" t="s">
        <v>2980</v>
      </c>
      <c r="E980" s="15" t="n">
        <v>46231</v>
      </c>
      <c r="F980" s="15" t="n">
        <v>46219</v>
      </c>
      <c r="G980" s="1" t="s">
        <v>325</v>
      </c>
      <c r="H980" s="1" t="n">
        <v>1464698</v>
      </c>
      <c r="I980" s="1" t="n">
        <v>11</v>
      </c>
      <c r="J980" s="1" t="s">
        <v>2975</v>
      </c>
      <c r="K980" s="67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2976</v>
      </c>
      <c r="D981" s="1" t="s">
        <v>3015</v>
      </c>
      <c r="E981" s="15" t="n">
        <v>46231</v>
      </c>
      <c r="F981" s="15" t="n">
        <v>46226</v>
      </c>
      <c r="G981" s="1" t="s">
        <v>278</v>
      </c>
      <c r="H981" s="1" t="n">
        <v>1463082</v>
      </c>
      <c r="I981" s="1" t="n">
        <v>11</v>
      </c>
      <c r="J981" s="1" t="s">
        <v>2975</v>
      </c>
      <c r="K981" s="67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793</v>
      </c>
      <c r="D982" s="1" t="s">
        <v>3141</v>
      </c>
      <c r="E982" s="15" t="n">
        <v>46231</v>
      </c>
      <c r="F982" s="15" t="n">
        <v>46226</v>
      </c>
      <c r="G982" s="1" t="s">
        <v>2456</v>
      </c>
      <c r="H982" s="1" t="n">
        <v>1464678</v>
      </c>
      <c r="I982" s="1" t="n">
        <v>11</v>
      </c>
      <c r="J982" s="1" t="s">
        <v>2975</v>
      </c>
      <c r="K982" s="67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3016</v>
      </c>
      <c r="D983" s="1" t="s">
        <v>3017</v>
      </c>
      <c r="E983" s="15" t="n">
        <v>46231</v>
      </c>
      <c r="F983" s="15" t="n">
        <v>46227</v>
      </c>
      <c r="G983" s="1" t="s">
        <v>144</v>
      </c>
      <c r="H983" s="1" t="n">
        <v>1463649</v>
      </c>
      <c r="I983" s="1" t="n">
        <v>11</v>
      </c>
      <c r="J983" s="1" t="s">
        <v>2975</v>
      </c>
      <c r="K983" s="67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2976</v>
      </c>
      <c r="D984" s="1" t="s">
        <v>2988</v>
      </c>
      <c r="E984" s="15" t="n">
        <v>46231</v>
      </c>
      <c r="F984" s="15" t="n">
        <v>46231</v>
      </c>
      <c r="G984" s="1" t="s">
        <v>70</v>
      </c>
      <c r="H984" s="1" t="n">
        <v>1463447</v>
      </c>
      <c r="I984" s="1" t="n">
        <v>6</v>
      </c>
      <c r="J984" s="1" t="s">
        <v>2975</v>
      </c>
      <c r="K984" s="67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2976</v>
      </c>
      <c r="D985" s="1" t="s">
        <v>2988</v>
      </c>
      <c r="E985" s="15" t="n">
        <v>46231</v>
      </c>
      <c r="F985" s="15" t="n">
        <v>46231</v>
      </c>
      <c r="G985" s="1" t="s">
        <v>70</v>
      </c>
      <c r="H985" s="1" t="n">
        <v>1463473</v>
      </c>
      <c r="I985" s="1" t="n">
        <v>6</v>
      </c>
      <c r="J985" s="1" t="s">
        <v>2975</v>
      </c>
      <c r="K985" s="67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2976</v>
      </c>
      <c r="D986" s="1" t="s">
        <v>2988</v>
      </c>
      <c r="E986" s="15" t="n">
        <v>46231</v>
      </c>
      <c r="F986" s="15" t="n">
        <v>46231</v>
      </c>
      <c r="G986" s="1" t="s">
        <v>70</v>
      </c>
      <c r="H986" s="1" t="n">
        <v>1463504</v>
      </c>
      <c r="I986" s="1" t="n">
        <v>6</v>
      </c>
      <c r="J986" s="1" t="s">
        <v>2975</v>
      </c>
      <c r="K986" s="67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2976</v>
      </c>
      <c r="D987" s="1" t="s">
        <v>2988</v>
      </c>
      <c r="E987" s="15" t="n">
        <v>46231</v>
      </c>
      <c r="F987" s="15" t="n">
        <v>46231</v>
      </c>
      <c r="G987" s="1" t="s">
        <v>70</v>
      </c>
      <c r="H987" s="1" t="n">
        <v>1463541</v>
      </c>
      <c r="I987" s="1" t="n">
        <v>6</v>
      </c>
      <c r="J987" s="1" t="s">
        <v>2975</v>
      </c>
      <c r="K987" s="67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2976</v>
      </c>
      <c r="D988" s="1" t="s">
        <v>2988</v>
      </c>
      <c r="E988" s="15" t="n">
        <v>46231</v>
      </c>
      <c r="F988" s="15" t="n">
        <v>46231</v>
      </c>
      <c r="G988" s="1" t="s">
        <v>70</v>
      </c>
      <c r="H988" s="1" t="n">
        <v>1463614</v>
      </c>
      <c r="I988" s="1" t="n">
        <v>6</v>
      </c>
      <c r="J988" s="1" t="s">
        <v>2975</v>
      </c>
      <c r="K988" s="67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2976</v>
      </c>
      <c r="D989" s="1" t="s">
        <v>2988</v>
      </c>
      <c r="E989" s="15" t="n">
        <v>46231</v>
      </c>
      <c r="F989" s="15" t="n">
        <v>46231</v>
      </c>
      <c r="G989" s="1" t="s">
        <v>70</v>
      </c>
      <c r="H989" s="1" t="n">
        <v>1463647</v>
      </c>
      <c r="I989" s="1" t="n">
        <v>6</v>
      </c>
      <c r="J989" s="1" t="s">
        <v>2975</v>
      </c>
      <c r="K989" s="67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2976</v>
      </c>
      <c r="D990" s="1" t="s">
        <v>2988</v>
      </c>
      <c r="E990" s="15" t="n">
        <v>46231</v>
      </c>
      <c r="F990" s="15" t="n">
        <v>46231</v>
      </c>
      <c r="G990" s="1" t="s">
        <v>70</v>
      </c>
      <c r="H990" s="1" t="n">
        <v>1464493</v>
      </c>
      <c r="I990" s="1" t="n">
        <v>6</v>
      </c>
      <c r="J990" s="1" t="s">
        <v>2975</v>
      </c>
      <c r="K990" s="67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2976</v>
      </c>
      <c r="D991" s="1" t="s">
        <v>2988</v>
      </c>
      <c r="E991" s="15" t="n">
        <v>46231</v>
      </c>
      <c r="F991" s="15" t="n">
        <v>46231</v>
      </c>
      <c r="G991" s="1" t="s">
        <v>70</v>
      </c>
      <c r="H991" s="1" t="n">
        <v>1465010</v>
      </c>
      <c r="I991" s="1" t="n">
        <v>6</v>
      </c>
      <c r="J991" s="1" t="s">
        <v>2975</v>
      </c>
      <c r="K991" s="67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2976</v>
      </c>
      <c r="D992" s="1" t="s">
        <v>3020</v>
      </c>
      <c r="E992" s="15" t="n">
        <v>46231</v>
      </c>
      <c r="F992" s="15" t="n">
        <v>46230</v>
      </c>
      <c r="G992" s="1" t="s">
        <v>78</v>
      </c>
      <c r="H992" s="1" t="n">
        <v>1463680</v>
      </c>
      <c r="I992" s="1" t="n">
        <v>11</v>
      </c>
      <c r="J992" s="1" t="s">
        <v>2975</v>
      </c>
      <c r="K992" s="67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2973</v>
      </c>
      <c r="D993" s="1" t="s">
        <v>3010</v>
      </c>
      <c r="E993" s="15" t="n">
        <v>46231</v>
      </c>
      <c r="F993" s="15" t="n">
        <v>46226</v>
      </c>
      <c r="G993" s="1" t="s">
        <v>319</v>
      </c>
      <c r="H993" s="1" t="n">
        <v>1463171</v>
      </c>
      <c r="I993" s="1" t="n">
        <v>11</v>
      </c>
      <c r="J993" s="1" t="s">
        <v>2975</v>
      </c>
      <c r="K993" s="67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2976</v>
      </c>
      <c r="D994" s="1" t="s">
        <v>2992</v>
      </c>
      <c r="E994" s="15" t="n">
        <v>46232</v>
      </c>
      <c r="F994" s="15" t="n">
        <v>46230</v>
      </c>
      <c r="G994" s="1" t="s">
        <v>161</v>
      </c>
      <c r="H994" s="1" t="n">
        <v>1468355</v>
      </c>
      <c r="I994" s="1" t="n">
        <v>11</v>
      </c>
      <c r="J994" s="1" t="s">
        <v>2975</v>
      </c>
      <c r="K994" s="67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2976</v>
      </c>
      <c r="D995" s="1" t="s">
        <v>3021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2975</v>
      </c>
      <c r="K995" s="67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2976</v>
      </c>
      <c r="D996" s="1" t="s">
        <v>3034</v>
      </c>
      <c r="E996" s="15" t="n">
        <v>46232</v>
      </c>
      <c r="F996" s="15" t="n">
        <v>46226</v>
      </c>
      <c r="G996" s="1" t="s">
        <v>1021</v>
      </c>
      <c r="H996" s="1" t="n">
        <v>1469006</v>
      </c>
      <c r="I996" s="1" t="n">
        <v>11</v>
      </c>
      <c r="J996" s="1" t="s">
        <v>2975</v>
      </c>
      <c r="K996" s="67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2976</v>
      </c>
      <c r="D997" s="1" t="s">
        <v>3063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2975</v>
      </c>
      <c r="K997" s="67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2976</v>
      </c>
      <c r="D998" s="1" t="s">
        <v>3108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2975</v>
      </c>
      <c r="K998" s="67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2976</v>
      </c>
      <c r="D999" s="1" t="s">
        <v>2995</v>
      </c>
      <c r="E999" s="15" t="n">
        <v>46232</v>
      </c>
      <c r="F999" s="15" t="n">
        <v>46231</v>
      </c>
      <c r="G999" s="1" t="s">
        <v>264</v>
      </c>
      <c r="H999" s="1" t="n">
        <v>1469487</v>
      </c>
      <c r="I999" s="1" t="n">
        <v>11</v>
      </c>
      <c r="J999" s="1" t="s">
        <v>2975</v>
      </c>
      <c r="K999" s="67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2976</v>
      </c>
      <c r="D1000" s="1" t="s">
        <v>3064</v>
      </c>
      <c r="E1000" s="15" t="n">
        <v>46232</v>
      </c>
      <c r="F1000" s="15" t="n">
        <v>46224</v>
      </c>
      <c r="G1000" s="1" t="s">
        <v>68</v>
      </c>
      <c r="H1000" s="1" t="n">
        <v>1468480</v>
      </c>
      <c r="I1000" s="1" t="n">
        <v>11</v>
      </c>
      <c r="J1000" s="1" t="s">
        <v>2975</v>
      </c>
      <c r="K1000" s="67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2976</v>
      </c>
      <c r="D1001" s="1" t="s">
        <v>3057</v>
      </c>
      <c r="E1001" s="15" t="n">
        <v>46232</v>
      </c>
      <c r="F1001" s="15" t="n">
        <v>46155</v>
      </c>
      <c r="G1001" s="1" t="s">
        <v>3058</v>
      </c>
      <c r="H1001" s="1" t="n">
        <v>1483002</v>
      </c>
      <c r="I1001" s="1" t="n">
        <v>39</v>
      </c>
      <c r="J1001" s="1" t="s">
        <v>2975</v>
      </c>
      <c r="K1001" s="67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2976</v>
      </c>
      <c r="D1002" s="1" t="s">
        <v>3057</v>
      </c>
      <c r="E1002" s="15" t="n">
        <v>46232</v>
      </c>
      <c r="F1002" s="15" t="n">
        <v>46188</v>
      </c>
      <c r="G1002" s="1" t="s">
        <v>3058</v>
      </c>
      <c r="H1002" s="1" t="n">
        <v>1504693</v>
      </c>
      <c r="I1002" s="1" t="n">
        <v>39</v>
      </c>
      <c r="J1002" s="1" t="s">
        <v>2975</v>
      </c>
      <c r="K1002" s="67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2976</v>
      </c>
      <c r="D1003" s="1" t="s">
        <v>2986</v>
      </c>
      <c r="E1003" s="15" t="n">
        <v>46232</v>
      </c>
      <c r="F1003" s="15" t="n">
        <v>46230</v>
      </c>
      <c r="G1003" s="1" t="s">
        <v>211</v>
      </c>
      <c r="H1003" s="1" t="n">
        <v>1469299</v>
      </c>
      <c r="I1003" s="1" t="n">
        <v>11</v>
      </c>
      <c r="J1003" s="1" t="s">
        <v>2975</v>
      </c>
      <c r="K1003" s="67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2976</v>
      </c>
      <c r="D1004" s="1" t="s">
        <v>3142</v>
      </c>
      <c r="E1004" s="15" t="n">
        <v>46232</v>
      </c>
      <c r="F1004" s="15" t="n">
        <v>46155</v>
      </c>
      <c r="G1004" s="1" t="s">
        <v>3143</v>
      </c>
      <c r="H1004" s="1" t="n">
        <v>1482973</v>
      </c>
      <c r="I1004" s="1" t="n">
        <v>14</v>
      </c>
      <c r="J1004" s="1" t="s">
        <v>2975</v>
      </c>
      <c r="K1004" s="67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2976</v>
      </c>
      <c r="D1005" s="1" t="s">
        <v>3142</v>
      </c>
      <c r="E1005" s="15" t="n">
        <v>46232</v>
      </c>
      <c r="F1005" s="15" t="n">
        <v>46183</v>
      </c>
      <c r="G1005" s="1" t="s">
        <v>3143</v>
      </c>
      <c r="H1005" s="1" t="n">
        <v>1504816</v>
      </c>
      <c r="I1005" s="1" t="n">
        <v>14</v>
      </c>
      <c r="J1005" s="1" t="s">
        <v>2975</v>
      </c>
      <c r="K1005" s="67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2976</v>
      </c>
      <c r="D1006" s="1" t="s">
        <v>3142</v>
      </c>
      <c r="E1006" s="15" t="n">
        <v>46232</v>
      </c>
      <c r="F1006" s="15" t="n">
        <v>46185</v>
      </c>
      <c r="G1006" s="1" t="s">
        <v>3143</v>
      </c>
      <c r="H1006" s="1" t="n">
        <v>1504871</v>
      </c>
      <c r="I1006" s="1" t="n">
        <v>14</v>
      </c>
      <c r="J1006" s="1" t="s">
        <v>2975</v>
      </c>
      <c r="K1006" s="67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2976</v>
      </c>
      <c r="D1007" s="1" t="s">
        <v>3142</v>
      </c>
      <c r="E1007" s="15" t="n">
        <v>46232</v>
      </c>
      <c r="F1007" s="15" t="n">
        <v>46186</v>
      </c>
      <c r="G1007" s="1" t="s">
        <v>3143</v>
      </c>
      <c r="H1007" s="1" t="n">
        <v>1504799</v>
      </c>
      <c r="I1007" s="1" t="n">
        <v>14</v>
      </c>
      <c r="J1007" s="1" t="s">
        <v>2975</v>
      </c>
      <c r="K1007" s="67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2973</v>
      </c>
      <c r="D1008" s="1" t="s">
        <v>3144</v>
      </c>
      <c r="E1008" s="15" t="n">
        <v>46232</v>
      </c>
      <c r="F1008" s="15" t="n">
        <v>46227</v>
      </c>
      <c r="G1008" s="1" t="s">
        <v>242</v>
      </c>
      <c r="H1008" s="1" t="n">
        <v>1469142</v>
      </c>
      <c r="I1008" s="1" t="n">
        <v>11</v>
      </c>
      <c r="J1008" s="1" t="s">
        <v>2975</v>
      </c>
      <c r="K1008" s="67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2973</v>
      </c>
      <c r="D1009" s="1" t="s">
        <v>3144</v>
      </c>
      <c r="E1009" s="15" t="n">
        <v>46232</v>
      </c>
      <c r="F1009" s="15" t="n">
        <v>46227</v>
      </c>
      <c r="G1009" s="1" t="s">
        <v>242</v>
      </c>
      <c r="H1009" s="1" t="n">
        <v>1469182</v>
      </c>
      <c r="I1009" s="1" t="n">
        <v>11</v>
      </c>
      <c r="J1009" s="1" t="s">
        <v>2975</v>
      </c>
      <c r="K1009" s="67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2976</v>
      </c>
      <c r="D1010" s="1" t="s">
        <v>2988</v>
      </c>
      <c r="E1010" s="15" t="n">
        <v>46232</v>
      </c>
      <c r="F1010" s="15" t="n">
        <v>46232</v>
      </c>
      <c r="G1010" s="1" t="s">
        <v>70</v>
      </c>
      <c r="H1010" s="1" t="n">
        <v>1468261</v>
      </c>
      <c r="I1010" s="1" t="n">
        <v>6</v>
      </c>
      <c r="J1010" s="1" t="s">
        <v>2975</v>
      </c>
      <c r="K1010" s="67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2976</v>
      </c>
      <c r="D1011" s="1" t="s">
        <v>2988</v>
      </c>
      <c r="E1011" s="15" t="n">
        <v>46232</v>
      </c>
      <c r="F1011" s="15" t="n">
        <v>46232</v>
      </c>
      <c r="G1011" s="1" t="s">
        <v>70</v>
      </c>
      <c r="H1011" s="1" t="n">
        <v>1468306</v>
      </c>
      <c r="I1011" s="1" t="n">
        <v>6</v>
      </c>
      <c r="J1011" s="1" t="s">
        <v>2975</v>
      </c>
      <c r="K1011" s="67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2976</v>
      </c>
      <c r="D1012" s="1" t="s">
        <v>2988</v>
      </c>
      <c r="E1012" s="15" t="n">
        <v>46232</v>
      </c>
      <c r="F1012" s="15" t="n">
        <v>46232</v>
      </c>
      <c r="G1012" s="1" t="s">
        <v>70</v>
      </c>
      <c r="H1012" s="1" t="n">
        <v>1468415</v>
      </c>
      <c r="I1012" s="1" t="n">
        <v>6</v>
      </c>
      <c r="J1012" s="1" t="s">
        <v>2975</v>
      </c>
      <c r="K1012" s="67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2976</v>
      </c>
      <c r="D1013" s="1" t="s">
        <v>2988</v>
      </c>
      <c r="E1013" s="15" t="n">
        <v>46232</v>
      </c>
      <c r="F1013" s="15" t="n">
        <v>46232</v>
      </c>
      <c r="G1013" s="1" t="s">
        <v>70</v>
      </c>
      <c r="H1013" s="1" t="n">
        <v>1468465</v>
      </c>
      <c r="I1013" s="1" t="n">
        <v>6</v>
      </c>
      <c r="J1013" s="1" t="s">
        <v>2975</v>
      </c>
      <c r="K1013" s="67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2976</v>
      </c>
      <c r="D1014" s="1" t="s">
        <v>2988</v>
      </c>
      <c r="E1014" s="15" t="n">
        <v>46232</v>
      </c>
      <c r="F1014" s="15" t="n">
        <v>46232</v>
      </c>
      <c r="G1014" s="1" t="s">
        <v>70</v>
      </c>
      <c r="H1014" s="1" t="n">
        <v>1468486</v>
      </c>
      <c r="I1014" s="1" t="n">
        <v>6</v>
      </c>
      <c r="J1014" s="1" t="s">
        <v>2975</v>
      </c>
      <c r="K1014" s="67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2976</v>
      </c>
      <c r="D1015" s="1" t="s">
        <v>2988</v>
      </c>
      <c r="E1015" s="15" t="n">
        <v>46232</v>
      </c>
      <c r="F1015" s="15" t="n">
        <v>46232</v>
      </c>
      <c r="G1015" s="1" t="s">
        <v>70</v>
      </c>
      <c r="H1015" s="1" t="n">
        <v>1468550</v>
      </c>
      <c r="I1015" s="1" t="n">
        <v>6</v>
      </c>
      <c r="J1015" s="1" t="s">
        <v>2975</v>
      </c>
      <c r="K1015" s="67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2976</v>
      </c>
      <c r="D1016" s="1" t="s">
        <v>2988</v>
      </c>
      <c r="E1016" s="15" t="n">
        <v>46232</v>
      </c>
      <c r="F1016" s="15" t="n">
        <v>46232</v>
      </c>
      <c r="G1016" s="1" t="s">
        <v>70</v>
      </c>
      <c r="H1016" s="1" t="n">
        <v>1468602</v>
      </c>
      <c r="I1016" s="1" t="n">
        <v>6</v>
      </c>
      <c r="J1016" s="1" t="s">
        <v>2975</v>
      </c>
      <c r="K1016" s="67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2976</v>
      </c>
      <c r="D1017" s="1" t="s">
        <v>2988</v>
      </c>
      <c r="E1017" s="15" t="n">
        <v>46232</v>
      </c>
      <c r="F1017" s="15" t="n">
        <v>46232</v>
      </c>
      <c r="G1017" s="1" t="s">
        <v>70</v>
      </c>
      <c r="H1017" s="1" t="n">
        <v>1468698</v>
      </c>
      <c r="I1017" s="1" t="n">
        <v>6</v>
      </c>
      <c r="J1017" s="1" t="s">
        <v>2975</v>
      </c>
      <c r="K1017" s="67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2976</v>
      </c>
      <c r="D1018" s="1" t="s">
        <v>2988</v>
      </c>
      <c r="E1018" s="15" t="n">
        <v>46232</v>
      </c>
      <c r="F1018" s="15" t="n">
        <v>46232</v>
      </c>
      <c r="G1018" s="1" t="s">
        <v>70</v>
      </c>
      <c r="H1018" s="1" t="n">
        <v>1468707</v>
      </c>
      <c r="I1018" s="1" t="n">
        <v>6</v>
      </c>
      <c r="J1018" s="1" t="s">
        <v>2975</v>
      </c>
      <c r="K1018" s="67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2976</v>
      </c>
      <c r="D1019" s="1" t="s">
        <v>2988</v>
      </c>
      <c r="E1019" s="15" t="n">
        <v>46232</v>
      </c>
      <c r="F1019" s="15" t="n">
        <v>46232</v>
      </c>
      <c r="G1019" s="1" t="s">
        <v>70</v>
      </c>
      <c r="H1019" s="1" t="n">
        <v>1469574</v>
      </c>
      <c r="I1019" s="1" t="n">
        <v>6</v>
      </c>
      <c r="J1019" s="1" t="s">
        <v>2975</v>
      </c>
      <c r="K1019" s="67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2976</v>
      </c>
      <c r="D1020" s="1" t="s">
        <v>3051</v>
      </c>
      <c r="E1020" s="15" t="n">
        <v>46232</v>
      </c>
      <c r="F1020" s="15" t="n">
        <v>46225</v>
      </c>
      <c r="G1020" s="1" t="s">
        <v>244</v>
      </c>
      <c r="H1020" s="1" t="n">
        <v>1468185</v>
      </c>
      <c r="I1020" s="1" t="n">
        <v>11</v>
      </c>
      <c r="J1020" s="1" t="s">
        <v>2975</v>
      </c>
      <c r="K1020" s="67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2978</v>
      </c>
      <c r="D1021" s="1" t="s">
        <v>3145</v>
      </c>
      <c r="E1021" s="15" t="n">
        <v>46232</v>
      </c>
      <c r="F1021" s="15" t="n">
        <v>46149</v>
      </c>
      <c r="G1021" s="1" t="s">
        <v>493</v>
      </c>
      <c r="H1021" s="1" t="n">
        <v>1482943</v>
      </c>
      <c r="I1021" s="1" t="n">
        <v>14</v>
      </c>
      <c r="J1021" s="1" t="s">
        <v>2975</v>
      </c>
      <c r="K1021" s="67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2976</v>
      </c>
      <c r="D1022" s="1" t="s">
        <v>2989</v>
      </c>
      <c r="E1022" s="15" t="n">
        <v>46232</v>
      </c>
      <c r="F1022" s="15" t="n">
        <v>46232</v>
      </c>
      <c r="G1022" s="1" t="s">
        <v>157</v>
      </c>
      <c r="H1022" s="1" t="n">
        <v>1469655</v>
      </c>
      <c r="I1022" s="1" t="n">
        <v>11</v>
      </c>
      <c r="J1022" s="1" t="s">
        <v>2975</v>
      </c>
      <c r="K1022" s="67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2976</v>
      </c>
      <c r="D1023" s="1" t="s">
        <v>2993</v>
      </c>
      <c r="E1023" s="15" t="n">
        <v>46233</v>
      </c>
      <c r="F1023" s="15" t="n">
        <v>46232</v>
      </c>
      <c r="G1023" s="1" t="s">
        <v>328</v>
      </c>
      <c r="H1023" s="1" t="n">
        <v>1474535</v>
      </c>
      <c r="I1023" s="1" t="n">
        <v>11</v>
      </c>
      <c r="J1023" s="1" t="s">
        <v>2975</v>
      </c>
      <c r="K1023" s="67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3035</v>
      </c>
      <c r="D1024" s="1" t="s">
        <v>3036</v>
      </c>
      <c r="E1024" s="15" t="n">
        <v>46233</v>
      </c>
      <c r="F1024" s="15" t="n">
        <v>46231</v>
      </c>
      <c r="G1024" s="1" t="s">
        <v>148</v>
      </c>
      <c r="H1024" s="1" t="n">
        <v>1472672</v>
      </c>
      <c r="I1024" s="1" t="n">
        <v>11</v>
      </c>
      <c r="J1024" s="1" t="s">
        <v>2975</v>
      </c>
      <c r="K1024" s="67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3035</v>
      </c>
      <c r="D1025" s="1" t="s">
        <v>3036</v>
      </c>
      <c r="E1025" s="15" t="n">
        <v>46233</v>
      </c>
      <c r="F1025" s="15" t="n">
        <v>46231</v>
      </c>
      <c r="G1025" s="1" t="s">
        <v>148</v>
      </c>
      <c r="H1025" s="1" t="n">
        <v>1472749</v>
      </c>
      <c r="I1025" s="1" t="n">
        <v>11</v>
      </c>
      <c r="J1025" s="1" t="s">
        <v>2975</v>
      </c>
      <c r="K1025" s="67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3016</v>
      </c>
      <c r="D1026" s="1" t="s">
        <v>3036</v>
      </c>
      <c r="E1026" s="15" t="n">
        <v>46233</v>
      </c>
      <c r="F1026" s="15" t="n">
        <v>46231</v>
      </c>
      <c r="G1026" s="1" t="s">
        <v>148</v>
      </c>
      <c r="H1026" s="1" t="n">
        <v>1473012</v>
      </c>
      <c r="I1026" s="1" t="n">
        <v>11</v>
      </c>
      <c r="J1026" s="1" t="s">
        <v>2975</v>
      </c>
      <c r="K1026" s="67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2976</v>
      </c>
      <c r="D1027" s="1" t="s">
        <v>3007</v>
      </c>
      <c r="E1027" s="15" t="n">
        <v>46233</v>
      </c>
      <c r="F1027" s="15" t="n">
        <v>46230</v>
      </c>
      <c r="G1027" s="1" t="s">
        <v>159</v>
      </c>
      <c r="H1027" s="1" t="n">
        <v>1475074</v>
      </c>
      <c r="I1027" s="1" t="n">
        <v>11</v>
      </c>
      <c r="J1027" s="1" t="s">
        <v>2975</v>
      </c>
      <c r="K1027" s="67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2973</v>
      </c>
      <c r="D1028" s="1" t="s">
        <v>2994</v>
      </c>
      <c r="E1028" s="15" t="n">
        <v>46233</v>
      </c>
      <c r="F1028" s="15" t="n">
        <v>46233</v>
      </c>
      <c r="G1028" s="1" t="s">
        <v>66</v>
      </c>
      <c r="H1028" s="1" t="n">
        <v>1473363</v>
      </c>
      <c r="I1028" s="1" t="n">
        <v>11</v>
      </c>
      <c r="J1028" s="1" t="s">
        <v>2975</v>
      </c>
      <c r="K1028" s="67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2976</v>
      </c>
      <c r="D1029" s="1" t="s">
        <v>2997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2975</v>
      </c>
      <c r="K1029" s="67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2981</v>
      </c>
      <c r="D1030" s="1" t="s">
        <v>2982</v>
      </c>
      <c r="E1030" s="15" t="n">
        <v>46233</v>
      </c>
      <c r="F1030" s="15" t="n">
        <v>46233</v>
      </c>
      <c r="G1030" s="1" t="s">
        <v>591</v>
      </c>
      <c r="H1030" s="1" t="n">
        <v>1477499</v>
      </c>
      <c r="I1030" s="1" t="n">
        <v>1</v>
      </c>
      <c r="J1030" s="1" t="s">
        <v>2975</v>
      </c>
      <c r="K1030" s="67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2981</v>
      </c>
      <c r="D1031" s="1" t="s">
        <v>2982</v>
      </c>
      <c r="E1031" s="15" t="n">
        <v>46233</v>
      </c>
      <c r="F1031" s="15" t="n">
        <v>46233</v>
      </c>
      <c r="G1031" s="1" t="s">
        <v>591</v>
      </c>
      <c r="H1031" s="1" t="n">
        <v>1477517</v>
      </c>
      <c r="I1031" s="1" t="n">
        <v>1</v>
      </c>
      <c r="J1031" s="1" t="s">
        <v>2975</v>
      </c>
      <c r="K1031" s="67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2981</v>
      </c>
      <c r="D1032" s="1" t="s">
        <v>2982</v>
      </c>
      <c r="E1032" s="15" t="n">
        <v>46233</v>
      </c>
      <c r="F1032" s="15" t="n">
        <v>46233</v>
      </c>
      <c r="G1032" s="1" t="s">
        <v>591</v>
      </c>
      <c r="H1032" s="1" t="n">
        <v>1477531</v>
      </c>
      <c r="I1032" s="1" t="n">
        <v>1</v>
      </c>
      <c r="J1032" s="1" t="s">
        <v>2975</v>
      </c>
      <c r="K1032" s="67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2981</v>
      </c>
      <c r="D1033" s="1" t="s">
        <v>2982</v>
      </c>
      <c r="E1033" s="15" t="n">
        <v>46233</v>
      </c>
      <c r="F1033" s="15" t="n">
        <v>46233</v>
      </c>
      <c r="G1033" s="1" t="s">
        <v>591</v>
      </c>
      <c r="H1033" s="1" t="n">
        <v>1477555</v>
      </c>
      <c r="I1033" s="1" t="n">
        <v>1</v>
      </c>
      <c r="J1033" s="1" t="s">
        <v>2975</v>
      </c>
      <c r="K1033" s="67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2981</v>
      </c>
      <c r="D1034" s="1" t="s">
        <v>2982</v>
      </c>
      <c r="E1034" s="15" t="n">
        <v>46233</v>
      </c>
      <c r="F1034" s="15" t="n">
        <v>46233</v>
      </c>
      <c r="G1034" s="1" t="s">
        <v>591</v>
      </c>
      <c r="H1034" s="1" t="n">
        <v>1477569</v>
      </c>
      <c r="I1034" s="1" t="n">
        <v>1</v>
      </c>
      <c r="J1034" s="1" t="s">
        <v>2975</v>
      </c>
      <c r="K1034" s="67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2981</v>
      </c>
      <c r="D1035" s="1" t="s">
        <v>2982</v>
      </c>
      <c r="E1035" s="15" t="n">
        <v>46233</v>
      </c>
      <c r="F1035" s="15" t="n">
        <v>46233</v>
      </c>
      <c r="G1035" s="1" t="s">
        <v>591</v>
      </c>
      <c r="H1035" s="1" t="n">
        <v>1477592</v>
      </c>
      <c r="I1035" s="1" t="n">
        <v>1</v>
      </c>
      <c r="J1035" s="1" t="s">
        <v>2975</v>
      </c>
      <c r="K1035" s="67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2981</v>
      </c>
      <c r="D1036" s="1" t="s">
        <v>2982</v>
      </c>
      <c r="E1036" s="15" t="n">
        <v>46233</v>
      </c>
      <c r="F1036" s="15" t="n">
        <v>46233</v>
      </c>
      <c r="G1036" s="1" t="s">
        <v>591</v>
      </c>
      <c r="H1036" s="1" t="n">
        <v>1477624</v>
      </c>
      <c r="I1036" s="1" t="n">
        <v>1</v>
      </c>
      <c r="J1036" s="1" t="s">
        <v>2975</v>
      </c>
      <c r="K1036" s="67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2981</v>
      </c>
      <c r="D1037" s="1" t="s">
        <v>2982</v>
      </c>
      <c r="E1037" s="15" t="n">
        <v>46233</v>
      </c>
      <c r="F1037" s="15" t="n">
        <v>46233</v>
      </c>
      <c r="G1037" s="1" t="s">
        <v>591</v>
      </c>
      <c r="H1037" s="1" t="n">
        <v>1477634</v>
      </c>
      <c r="I1037" s="1" t="n">
        <v>1</v>
      </c>
      <c r="J1037" s="1" t="s">
        <v>2975</v>
      </c>
      <c r="K1037" s="67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2976</v>
      </c>
      <c r="D1038" s="1" t="s">
        <v>3146</v>
      </c>
      <c r="E1038" s="15" t="n">
        <v>46233</v>
      </c>
      <c r="F1038" s="15" t="n">
        <v>46227</v>
      </c>
      <c r="G1038" s="1" t="s">
        <v>2299</v>
      </c>
      <c r="H1038" s="1" t="n">
        <v>1473537</v>
      </c>
      <c r="I1038" s="1" t="n">
        <v>11</v>
      </c>
      <c r="J1038" s="1" t="s">
        <v>2975</v>
      </c>
      <c r="K1038" s="67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2976</v>
      </c>
      <c r="D1039" s="1" t="s">
        <v>3008</v>
      </c>
      <c r="E1039" s="15" t="n">
        <v>46233</v>
      </c>
      <c r="F1039" s="15" t="n">
        <v>46230</v>
      </c>
      <c r="G1039" s="1" t="s">
        <v>381</v>
      </c>
      <c r="H1039" s="1" t="n">
        <v>1475135</v>
      </c>
      <c r="I1039" s="1" t="n">
        <v>11</v>
      </c>
      <c r="J1039" s="1" t="s">
        <v>2975</v>
      </c>
      <c r="K1039" s="67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2973</v>
      </c>
      <c r="D1040" s="1" t="s">
        <v>2999</v>
      </c>
      <c r="E1040" s="15" t="n">
        <v>46233</v>
      </c>
      <c r="F1040" s="15" t="n">
        <v>46230</v>
      </c>
      <c r="G1040" s="1" t="s">
        <v>76</v>
      </c>
      <c r="H1040" s="1" t="n">
        <v>1474787</v>
      </c>
      <c r="I1040" s="1" t="n">
        <v>11</v>
      </c>
      <c r="J1040" s="1" t="s">
        <v>2975</v>
      </c>
      <c r="K1040" s="67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2976</v>
      </c>
      <c r="D1041" s="1" t="s">
        <v>3134</v>
      </c>
      <c r="E1041" s="15" t="n">
        <v>46233</v>
      </c>
      <c r="F1041" s="15" t="n">
        <v>46233</v>
      </c>
      <c r="G1041" s="1" t="s">
        <v>1496</v>
      </c>
      <c r="H1041" s="1" t="n">
        <v>1478119</v>
      </c>
      <c r="I1041" s="1" t="n">
        <v>1</v>
      </c>
      <c r="J1041" s="1" t="s">
        <v>2975</v>
      </c>
      <c r="K1041" s="67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2976</v>
      </c>
      <c r="D1042" s="1" t="s">
        <v>3134</v>
      </c>
      <c r="E1042" s="15" t="n">
        <v>46233</v>
      </c>
      <c r="F1042" s="15" t="n">
        <v>46233</v>
      </c>
      <c r="G1042" s="1" t="s">
        <v>1496</v>
      </c>
      <c r="H1042" s="1" t="n">
        <v>1477994</v>
      </c>
      <c r="I1042" s="1" t="n">
        <v>1</v>
      </c>
      <c r="J1042" s="1" t="s">
        <v>2975</v>
      </c>
      <c r="K1042" s="67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2976</v>
      </c>
      <c r="D1043" s="1" t="s">
        <v>3134</v>
      </c>
      <c r="E1043" s="15" t="n">
        <v>46233</v>
      </c>
      <c r="F1043" s="15" t="n">
        <v>46233</v>
      </c>
      <c r="G1043" s="1" t="s">
        <v>1496</v>
      </c>
      <c r="H1043" s="1" t="n">
        <v>1477863</v>
      </c>
      <c r="I1043" s="1" t="n">
        <v>1</v>
      </c>
      <c r="J1043" s="1" t="s">
        <v>2975</v>
      </c>
      <c r="K1043" s="67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2976</v>
      </c>
      <c r="D1044" s="1" t="s">
        <v>3013</v>
      </c>
      <c r="E1044" s="15" t="n">
        <v>46233</v>
      </c>
      <c r="F1044" s="15" t="n">
        <v>46233</v>
      </c>
      <c r="G1044" s="1" t="s">
        <v>64</v>
      </c>
      <c r="H1044" s="1" t="n">
        <v>1475259</v>
      </c>
      <c r="I1044" s="1" t="n">
        <v>11</v>
      </c>
      <c r="J1044" s="1" t="s">
        <v>2975</v>
      </c>
      <c r="K1044" s="67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2976</v>
      </c>
      <c r="D1045" s="1" t="s">
        <v>3147</v>
      </c>
      <c r="E1045" s="15" t="n">
        <v>46233</v>
      </c>
      <c r="F1045" s="15" t="n">
        <v>46232</v>
      </c>
      <c r="G1045" s="1" t="s">
        <v>630</v>
      </c>
      <c r="H1045" s="1" t="n">
        <v>1475267</v>
      </c>
      <c r="I1045" s="1" t="n">
        <v>39</v>
      </c>
      <c r="J1045" s="1" t="s">
        <v>2975</v>
      </c>
      <c r="K1045" s="67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3067</v>
      </c>
      <c r="D1046" s="1" t="s">
        <v>3098</v>
      </c>
      <c r="E1046" s="15" t="n">
        <v>46233</v>
      </c>
      <c r="F1046" s="15" t="n">
        <v>46226</v>
      </c>
      <c r="G1046" s="1" t="s">
        <v>206</v>
      </c>
      <c r="H1046" s="1" t="n">
        <v>1473096</v>
      </c>
      <c r="I1046" s="1" t="n">
        <v>11</v>
      </c>
      <c r="J1046" s="1" t="s">
        <v>2975</v>
      </c>
      <c r="K1046" s="67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3067</v>
      </c>
      <c r="D1047" s="1" t="s">
        <v>3098</v>
      </c>
      <c r="E1047" s="15" t="n">
        <v>46233</v>
      </c>
      <c r="F1047" s="15" t="n">
        <v>46226</v>
      </c>
      <c r="G1047" s="1" t="s">
        <v>206</v>
      </c>
      <c r="H1047" s="1" t="n">
        <v>1473180</v>
      </c>
      <c r="I1047" s="1" t="n">
        <v>11</v>
      </c>
      <c r="J1047" s="1" t="s">
        <v>2975</v>
      </c>
      <c r="K1047" s="67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2976</v>
      </c>
      <c r="D1048" s="1" t="s">
        <v>3044</v>
      </c>
      <c r="E1048" s="15" t="n">
        <v>46233</v>
      </c>
      <c r="F1048" s="15" t="n">
        <v>46230</v>
      </c>
      <c r="G1048" s="1" t="s">
        <v>215</v>
      </c>
      <c r="H1048" s="1" t="n">
        <v>1474800</v>
      </c>
      <c r="I1048" s="1" t="n">
        <v>11</v>
      </c>
      <c r="J1048" s="1" t="s">
        <v>2975</v>
      </c>
      <c r="K1048" s="67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2976</v>
      </c>
      <c r="D1049" s="1" t="s">
        <v>3002</v>
      </c>
      <c r="E1049" s="15" t="n">
        <v>46233</v>
      </c>
      <c r="F1049" s="15" t="n">
        <v>46230</v>
      </c>
      <c r="G1049" s="1" t="s">
        <v>323</v>
      </c>
      <c r="H1049" s="1" t="n">
        <v>1475050</v>
      </c>
      <c r="I1049" s="1" t="n">
        <v>11</v>
      </c>
      <c r="J1049" s="1" t="s">
        <v>2975</v>
      </c>
      <c r="K1049" s="67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3016</v>
      </c>
      <c r="D1050" s="1" t="s">
        <v>3017</v>
      </c>
      <c r="E1050" s="15" t="n">
        <v>46233</v>
      </c>
      <c r="F1050" s="15" t="n">
        <v>46231</v>
      </c>
      <c r="G1050" s="1" t="s">
        <v>144</v>
      </c>
      <c r="H1050" s="1" t="n">
        <v>1475113</v>
      </c>
      <c r="I1050" s="1" t="n">
        <v>11</v>
      </c>
      <c r="J1050" s="1" t="s">
        <v>2975</v>
      </c>
      <c r="K1050" s="67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2973</v>
      </c>
      <c r="D1051" s="1" t="s">
        <v>3003</v>
      </c>
      <c r="E1051" s="15" t="n">
        <v>46233</v>
      </c>
      <c r="F1051" s="15" t="n">
        <v>46230</v>
      </c>
      <c r="G1051" s="1" t="s">
        <v>74</v>
      </c>
      <c r="H1051" s="1" t="n">
        <v>1475033</v>
      </c>
      <c r="I1051" s="1" t="n">
        <v>11</v>
      </c>
      <c r="J1051" s="1" t="s">
        <v>2975</v>
      </c>
      <c r="K1051" s="67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2973</v>
      </c>
      <c r="D1052" s="1" t="s">
        <v>3003</v>
      </c>
      <c r="E1052" s="15" t="n">
        <v>46233</v>
      </c>
      <c r="F1052" s="15" t="n">
        <v>46230</v>
      </c>
      <c r="G1052" s="1" t="s">
        <v>74</v>
      </c>
      <c r="H1052" s="1" t="n">
        <v>1474831</v>
      </c>
      <c r="I1052" s="1" t="n">
        <v>11</v>
      </c>
      <c r="J1052" s="1" t="s">
        <v>2975</v>
      </c>
      <c r="K1052" s="67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2973</v>
      </c>
      <c r="D1053" s="1" t="s">
        <v>3003</v>
      </c>
      <c r="E1053" s="15" t="n">
        <v>46233</v>
      </c>
      <c r="F1053" s="15" t="n">
        <v>46232</v>
      </c>
      <c r="G1053" s="1" t="s">
        <v>74</v>
      </c>
      <c r="H1053" s="1" t="n">
        <v>1475169</v>
      </c>
      <c r="I1053" s="1" t="n">
        <v>11</v>
      </c>
      <c r="J1053" s="1" t="s">
        <v>2975</v>
      </c>
      <c r="K1053" s="67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2973</v>
      </c>
      <c r="D1054" s="1" t="s">
        <v>3003</v>
      </c>
      <c r="E1054" s="15" t="n">
        <v>46233</v>
      </c>
      <c r="F1054" s="15" t="n">
        <v>46233</v>
      </c>
      <c r="G1054" s="1" t="s">
        <v>74</v>
      </c>
      <c r="H1054" s="1" t="n">
        <v>1475189</v>
      </c>
      <c r="I1054" s="1" t="n">
        <v>11</v>
      </c>
      <c r="J1054" s="1" t="s">
        <v>2975</v>
      </c>
      <c r="K1054" s="67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2976</v>
      </c>
      <c r="D1055" s="1" t="s">
        <v>3009</v>
      </c>
      <c r="E1055" s="15" t="n">
        <v>46233</v>
      </c>
      <c r="F1055" s="15" t="n">
        <v>46230</v>
      </c>
      <c r="G1055" s="1" t="s">
        <v>383</v>
      </c>
      <c r="H1055" s="1" t="n">
        <v>1474818</v>
      </c>
      <c r="I1055" s="1" t="n">
        <v>11</v>
      </c>
      <c r="J1055" s="1" t="s">
        <v>2975</v>
      </c>
      <c r="K1055" s="67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3022</v>
      </c>
      <c r="D1056" s="1" t="s">
        <v>3135</v>
      </c>
      <c r="E1056" s="15" t="n">
        <v>46233</v>
      </c>
      <c r="F1056" s="15" t="n">
        <v>46232</v>
      </c>
      <c r="G1056" s="1" t="s">
        <v>1491</v>
      </c>
      <c r="H1056" s="1" t="n">
        <v>1473396</v>
      </c>
      <c r="I1056" s="1" t="n">
        <v>11</v>
      </c>
      <c r="J1056" s="1" t="s">
        <v>2975</v>
      </c>
      <c r="K1056" s="67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3022</v>
      </c>
      <c r="D1057" s="1" t="s">
        <v>3135</v>
      </c>
      <c r="E1057" s="15" t="n">
        <v>46233</v>
      </c>
      <c r="F1057" s="15" t="n">
        <v>46232</v>
      </c>
      <c r="G1057" s="1" t="s">
        <v>1491</v>
      </c>
      <c r="H1057" s="1" t="n">
        <v>1473407</v>
      </c>
      <c r="I1057" s="1" t="n">
        <v>11</v>
      </c>
      <c r="J1057" s="1" t="s">
        <v>2975</v>
      </c>
      <c r="K1057" s="67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2973</v>
      </c>
      <c r="D1058" s="1" t="s">
        <v>3010</v>
      </c>
      <c r="E1058" s="15" t="n">
        <v>46233</v>
      </c>
      <c r="F1058" s="15" t="n">
        <v>46231</v>
      </c>
      <c r="G1058" s="1" t="s">
        <v>319</v>
      </c>
      <c r="H1058" s="1" t="n">
        <v>1475085</v>
      </c>
      <c r="I1058" s="1" t="n">
        <v>11</v>
      </c>
      <c r="J1058" s="1" t="s">
        <v>2975</v>
      </c>
      <c r="K1058" s="67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2973</v>
      </c>
      <c r="D1059" s="1" t="s">
        <v>3136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2975</v>
      </c>
      <c r="K1059" s="67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2976</v>
      </c>
      <c r="D1060" s="1" t="s">
        <v>3121</v>
      </c>
      <c r="E1060" s="15" t="n">
        <v>46234</v>
      </c>
      <c r="F1060" s="15" t="n">
        <v>46216</v>
      </c>
      <c r="G1060" s="1" t="s">
        <v>860</v>
      </c>
      <c r="H1060" s="1" t="n">
        <v>1479156</v>
      </c>
      <c r="I1060" s="1" t="n">
        <v>11</v>
      </c>
      <c r="J1060" s="1" t="s">
        <v>2975</v>
      </c>
      <c r="K1060" s="67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2976</v>
      </c>
      <c r="D1061" s="1" t="s">
        <v>2995</v>
      </c>
      <c r="E1061" s="15" t="n">
        <v>46234</v>
      </c>
      <c r="F1061" s="15" t="n">
        <v>46234</v>
      </c>
      <c r="G1061" s="1" t="s">
        <v>264</v>
      </c>
      <c r="H1061" s="1" t="n">
        <v>1478881</v>
      </c>
      <c r="I1061" s="1" t="n">
        <v>11</v>
      </c>
      <c r="J1061" s="1" t="s">
        <v>2975</v>
      </c>
      <c r="K1061" s="67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2976</v>
      </c>
      <c r="D1062" s="1" t="s">
        <v>2996</v>
      </c>
      <c r="E1062" s="15" t="n">
        <v>46234</v>
      </c>
      <c r="F1062" s="15" t="n">
        <v>46234</v>
      </c>
      <c r="G1062" s="1" t="s">
        <v>221</v>
      </c>
      <c r="H1062" s="1" t="n">
        <v>1478787</v>
      </c>
      <c r="I1062" s="1" t="n">
        <v>1</v>
      </c>
      <c r="J1062" s="1" t="s">
        <v>2975</v>
      </c>
      <c r="K1062" s="67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3024</v>
      </c>
      <c r="D1063" s="1" t="s">
        <v>3025</v>
      </c>
      <c r="E1063" s="15" t="n">
        <v>46234</v>
      </c>
      <c r="F1063" s="15" t="n">
        <v>46232</v>
      </c>
      <c r="G1063" s="1" t="s">
        <v>311</v>
      </c>
      <c r="H1063" s="1" t="n">
        <v>1479410</v>
      </c>
      <c r="I1063" s="1" t="n">
        <v>11</v>
      </c>
      <c r="J1063" s="1" t="s">
        <v>2975</v>
      </c>
      <c r="K1063" s="67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3024</v>
      </c>
      <c r="D1064" s="1" t="s">
        <v>3025</v>
      </c>
      <c r="E1064" s="15" t="n">
        <v>46234</v>
      </c>
      <c r="F1064" s="15" t="n">
        <v>46232</v>
      </c>
      <c r="G1064" s="1" t="s">
        <v>311</v>
      </c>
      <c r="H1064" s="1" t="n">
        <v>1479334</v>
      </c>
      <c r="I1064" s="1" t="n">
        <v>11</v>
      </c>
      <c r="J1064" s="1" t="s">
        <v>2975</v>
      </c>
      <c r="K1064" s="67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3024</v>
      </c>
      <c r="D1065" s="1" t="s">
        <v>3025</v>
      </c>
      <c r="E1065" s="15" t="n">
        <v>46234</v>
      </c>
      <c r="F1065" s="15" t="n">
        <v>46233</v>
      </c>
      <c r="G1065" s="1" t="s">
        <v>311</v>
      </c>
      <c r="H1065" s="1" t="n">
        <v>1479598</v>
      </c>
      <c r="I1065" s="1" t="n">
        <v>11</v>
      </c>
      <c r="J1065" s="1" t="s">
        <v>2975</v>
      </c>
      <c r="K1065" s="67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3024</v>
      </c>
      <c r="D1066" s="1" t="s">
        <v>3025</v>
      </c>
      <c r="E1066" s="15" t="n">
        <v>46234</v>
      </c>
      <c r="F1066" s="15" t="n">
        <v>46233</v>
      </c>
      <c r="G1066" s="1" t="s">
        <v>311</v>
      </c>
      <c r="H1066" s="1" t="n">
        <v>1479585</v>
      </c>
      <c r="I1066" s="1" t="n">
        <v>11</v>
      </c>
      <c r="J1066" s="1" t="s">
        <v>2975</v>
      </c>
      <c r="K1066" s="67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2978</v>
      </c>
      <c r="D1067" s="1" t="s">
        <v>2979</v>
      </c>
      <c r="E1067" s="15" t="n">
        <v>46234</v>
      </c>
      <c r="F1067" s="15" t="n">
        <v>46232</v>
      </c>
      <c r="G1067" s="1" t="s">
        <v>388</v>
      </c>
      <c r="H1067" s="1" t="n">
        <v>1479243</v>
      </c>
      <c r="I1067" s="1" t="n">
        <v>11</v>
      </c>
      <c r="J1067" s="1" t="s">
        <v>2975</v>
      </c>
      <c r="K1067" s="67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2978</v>
      </c>
      <c r="D1068" s="1" t="s">
        <v>2979</v>
      </c>
      <c r="E1068" s="15" t="n">
        <v>46234</v>
      </c>
      <c r="F1068" s="15" t="n">
        <v>46232</v>
      </c>
      <c r="G1068" s="1" t="s">
        <v>388</v>
      </c>
      <c r="H1068" s="1" t="n">
        <v>1477703</v>
      </c>
      <c r="I1068" s="1" t="n">
        <v>1</v>
      </c>
      <c r="J1068" s="1" t="s">
        <v>2975</v>
      </c>
      <c r="K1068" s="67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2976</v>
      </c>
      <c r="D1069" s="1" t="s">
        <v>2997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2975</v>
      </c>
      <c r="K1069" s="67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2976</v>
      </c>
      <c r="D1070" s="1" t="s">
        <v>3064</v>
      </c>
      <c r="E1070" s="15" t="n">
        <v>46234</v>
      </c>
      <c r="F1070" s="15" t="n">
        <v>46230</v>
      </c>
      <c r="G1070" s="1" t="s">
        <v>68</v>
      </c>
      <c r="H1070" s="1" t="n">
        <v>1477940</v>
      </c>
      <c r="I1070" s="1" t="n">
        <v>11</v>
      </c>
      <c r="J1070" s="1" t="s">
        <v>2975</v>
      </c>
      <c r="K1070" s="67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2981</v>
      </c>
      <c r="D1071" s="1" t="s">
        <v>2982</v>
      </c>
      <c r="E1071" s="15" t="n">
        <v>46234</v>
      </c>
      <c r="F1071" s="15" t="n">
        <v>46234</v>
      </c>
      <c r="G1071" s="1" t="s">
        <v>591</v>
      </c>
      <c r="H1071" s="1" t="n">
        <v>1478183</v>
      </c>
      <c r="I1071" s="1" t="n">
        <v>1</v>
      </c>
      <c r="J1071" s="1" t="s">
        <v>2975</v>
      </c>
      <c r="K1071" s="67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2973</v>
      </c>
      <c r="D1072" s="1" t="s">
        <v>2984</v>
      </c>
      <c r="E1072" s="15" t="n">
        <v>46234</v>
      </c>
      <c r="F1072" s="15" t="n">
        <v>46234</v>
      </c>
      <c r="G1072" s="1" t="s">
        <v>97</v>
      </c>
      <c r="H1072" s="1" t="n">
        <v>1479256</v>
      </c>
      <c r="I1072" s="1" t="n">
        <v>1</v>
      </c>
      <c r="J1072" s="1" t="s">
        <v>2975</v>
      </c>
      <c r="K1072" s="67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2976</v>
      </c>
      <c r="D1073" s="1" t="s">
        <v>3005</v>
      </c>
      <c r="E1073" s="15" t="n">
        <v>46234</v>
      </c>
      <c r="F1073" s="15" t="n">
        <v>46234</v>
      </c>
      <c r="G1073" s="1" t="s">
        <v>336</v>
      </c>
      <c r="H1073" s="1" t="n">
        <v>1479487</v>
      </c>
      <c r="I1073" s="1" t="n">
        <v>1</v>
      </c>
      <c r="J1073" s="1" t="s">
        <v>2975</v>
      </c>
      <c r="K1073" s="67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2976</v>
      </c>
      <c r="D1074" s="1" t="s">
        <v>3026</v>
      </c>
      <c r="E1074" s="15" t="n">
        <v>46234</v>
      </c>
      <c r="F1074" s="15" t="n">
        <v>46233</v>
      </c>
      <c r="G1074" s="1" t="s">
        <v>309</v>
      </c>
      <c r="H1074" s="1" t="n">
        <v>1478233</v>
      </c>
      <c r="I1074" s="1" t="n">
        <v>11</v>
      </c>
      <c r="J1074" s="1" t="s">
        <v>2975</v>
      </c>
      <c r="K1074" s="67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2976</v>
      </c>
      <c r="D1075" s="1" t="s">
        <v>3027</v>
      </c>
      <c r="E1075" s="15" t="n">
        <v>46234</v>
      </c>
      <c r="F1075" s="15" t="n">
        <v>46233</v>
      </c>
      <c r="G1075" s="1" t="s">
        <v>371</v>
      </c>
      <c r="H1075" s="1" t="n">
        <v>1478172</v>
      </c>
      <c r="I1075" s="1" t="n">
        <v>11</v>
      </c>
      <c r="J1075" s="1" t="s">
        <v>2975</v>
      </c>
      <c r="K1075" s="67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2976</v>
      </c>
      <c r="D1076" s="1" t="s">
        <v>2986</v>
      </c>
      <c r="E1076" s="15" t="n">
        <v>46234</v>
      </c>
      <c r="F1076" s="15" t="n">
        <v>46233</v>
      </c>
      <c r="G1076" s="1" t="s">
        <v>211</v>
      </c>
      <c r="H1076" s="1" t="n">
        <v>1478719</v>
      </c>
      <c r="I1076" s="1" t="n">
        <v>11</v>
      </c>
      <c r="J1076" s="1" t="s">
        <v>2975</v>
      </c>
      <c r="K1076" s="67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2976</v>
      </c>
      <c r="D1077" s="1" t="s">
        <v>3018</v>
      </c>
      <c r="E1077" s="15" t="n">
        <v>46234</v>
      </c>
      <c r="F1077" s="15" t="n">
        <v>46233</v>
      </c>
      <c r="G1077" s="1" t="s">
        <v>258</v>
      </c>
      <c r="H1077" s="1" t="n">
        <v>1477760</v>
      </c>
      <c r="I1077" s="1" t="n">
        <v>11</v>
      </c>
      <c r="J1077" s="1" t="s">
        <v>2975</v>
      </c>
      <c r="K1077" s="67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2978</v>
      </c>
      <c r="D1078" s="1" t="s">
        <v>3096</v>
      </c>
      <c r="E1078" s="15" t="n">
        <v>46234</v>
      </c>
      <c r="F1078" s="15" t="n">
        <v>46232</v>
      </c>
      <c r="G1078" s="1" t="s">
        <v>189</v>
      </c>
      <c r="H1078" s="1" t="n">
        <v>1479269</v>
      </c>
      <c r="I1078" s="1" t="n">
        <v>11</v>
      </c>
      <c r="J1078" s="1" t="s">
        <v>2975</v>
      </c>
      <c r="K1078" s="67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2976</v>
      </c>
      <c r="D1079" s="1" t="s">
        <v>2988</v>
      </c>
      <c r="E1079" s="15" t="n">
        <v>46234</v>
      </c>
      <c r="F1079" s="15" t="n">
        <v>46234</v>
      </c>
      <c r="G1079" s="1" t="s">
        <v>70</v>
      </c>
      <c r="H1079" s="1" t="n">
        <v>1478271</v>
      </c>
      <c r="I1079" s="1" t="n">
        <v>6</v>
      </c>
      <c r="J1079" s="1" t="s">
        <v>2975</v>
      </c>
      <c r="K1079" s="67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2976</v>
      </c>
      <c r="D1080" s="1" t="s">
        <v>2988</v>
      </c>
      <c r="E1080" s="15" t="n">
        <v>46234</v>
      </c>
      <c r="F1080" s="15" t="n">
        <v>46234</v>
      </c>
      <c r="G1080" s="1" t="s">
        <v>70</v>
      </c>
      <c r="H1080" s="1" t="n">
        <v>1478775</v>
      </c>
      <c r="I1080" s="1" t="n">
        <v>6</v>
      </c>
      <c r="J1080" s="1" t="s">
        <v>2975</v>
      </c>
      <c r="K1080" s="67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2976</v>
      </c>
      <c r="D1081" s="1" t="s">
        <v>2988</v>
      </c>
      <c r="E1081" s="15" t="n">
        <v>46234</v>
      </c>
      <c r="F1081" s="15" t="n">
        <v>46234</v>
      </c>
      <c r="G1081" s="1" t="s">
        <v>70</v>
      </c>
      <c r="H1081" s="1" t="n">
        <v>1479153</v>
      </c>
      <c r="I1081" s="1" t="n">
        <v>6</v>
      </c>
      <c r="J1081" s="1" t="s">
        <v>2975</v>
      </c>
      <c r="K1081" s="67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2976</v>
      </c>
      <c r="D1082" s="1" t="s">
        <v>2988</v>
      </c>
      <c r="E1082" s="15" t="n">
        <v>46234</v>
      </c>
      <c r="F1082" s="15" t="n">
        <v>46234</v>
      </c>
      <c r="G1082" s="1" t="s">
        <v>70</v>
      </c>
      <c r="H1082" s="1" t="n">
        <v>1479224</v>
      </c>
      <c r="I1082" s="1" t="n">
        <v>6</v>
      </c>
      <c r="J1082" s="1" t="s">
        <v>2975</v>
      </c>
      <c r="K1082" s="67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2978</v>
      </c>
      <c r="D1083" s="1" t="s">
        <v>2991</v>
      </c>
      <c r="E1083" s="15" t="n">
        <v>46234</v>
      </c>
      <c r="F1083" s="15" t="n">
        <v>46234</v>
      </c>
      <c r="G1083" s="1" t="s">
        <v>961</v>
      </c>
      <c r="H1083" s="1" t="n">
        <v>1479627</v>
      </c>
      <c r="I1083" s="1" t="n">
        <v>1</v>
      </c>
      <c r="J1083" s="1" t="s">
        <v>2975</v>
      </c>
      <c r="K1083" s="67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2976</v>
      </c>
      <c r="D1084" s="1" t="s">
        <v>2992</v>
      </c>
      <c r="E1084" s="15" t="n">
        <v>46235</v>
      </c>
      <c r="F1084" s="15" t="n">
        <v>46234</v>
      </c>
      <c r="G1084" s="1" t="s">
        <v>161</v>
      </c>
      <c r="H1084" s="1" t="n">
        <v>1481718</v>
      </c>
      <c r="I1084" s="1" t="n">
        <v>11</v>
      </c>
      <c r="J1084" s="1" t="s">
        <v>2975</v>
      </c>
      <c r="K1084" s="67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2976</v>
      </c>
      <c r="D1085" s="1" t="s">
        <v>3074</v>
      </c>
      <c r="E1085" s="15" t="n">
        <v>46235</v>
      </c>
      <c r="F1085" s="15" t="n">
        <v>46234</v>
      </c>
      <c r="G1085" s="1" t="s">
        <v>208</v>
      </c>
      <c r="H1085" s="1" t="n">
        <v>1482297</v>
      </c>
      <c r="I1085" s="1" t="n">
        <v>11</v>
      </c>
      <c r="J1085" s="1" t="s">
        <v>2975</v>
      </c>
      <c r="K1085" s="67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2976</v>
      </c>
      <c r="D1086" s="1" t="s">
        <v>3007</v>
      </c>
      <c r="E1086" s="15" t="n">
        <v>46235</v>
      </c>
      <c r="F1086" s="15" t="n">
        <v>46234</v>
      </c>
      <c r="G1086" s="1" t="s">
        <v>159</v>
      </c>
      <c r="H1086" s="1" t="n">
        <v>1481799</v>
      </c>
      <c r="I1086" s="1" t="n">
        <v>11</v>
      </c>
      <c r="J1086" s="1" t="s">
        <v>2975</v>
      </c>
      <c r="K1086" s="67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2976</v>
      </c>
      <c r="D1087" s="1" t="s">
        <v>3134</v>
      </c>
      <c r="E1087" s="15" t="n">
        <v>46235</v>
      </c>
      <c r="F1087" s="15" t="n">
        <v>46235</v>
      </c>
      <c r="G1087" s="1" t="s">
        <v>1496</v>
      </c>
      <c r="H1087" s="1" t="n">
        <v>1508551</v>
      </c>
      <c r="I1087" s="1" t="n">
        <v>1</v>
      </c>
      <c r="J1087" s="1" t="s">
        <v>2975</v>
      </c>
      <c r="K1087" s="67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2976</v>
      </c>
      <c r="D1088" s="1" t="s">
        <v>3042</v>
      </c>
      <c r="E1088" s="15" t="n">
        <v>46235</v>
      </c>
      <c r="F1088" s="15" t="n">
        <v>46233</v>
      </c>
      <c r="G1088" s="1" t="s">
        <v>551</v>
      </c>
      <c r="H1088" s="1" t="n">
        <v>1482386</v>
      </c>
      <c r="I1088" s="1" t="n">
        <v>11</v>
      </c>
      <c r="J1088" s="1" t="s">
        <v>2975</v>
      </c>
      <c r="K1088" s="67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2976</v>
      </c>
      <c r="D1089" s="1" t="s">
        <v>3000</v>
      </c>
      <c r="E1089" s="15" t="n">
        <v>46235</v>
      </c>
      <c r="F1089" s="15" t="n">
        <v>46232</v>
      </c>
      <c r="G1089" s="1" t="s">
        <v>155</v>
      </c>
      <c r="H1089" s="1" t="n">
        <v>1481739</v>
      </c>
      <c r="I1089" s="1" t="n">
        <v>11</v>
      </c>
      <c r="J1089" s="1" t="s">
        <v>2975</v>
      </c>
      <c r="K1089" s="67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2978</v>
      </c>
      <c r="D1090" s="1" t="s">
        <v>3115</v>
      </c>
      <c r="E1090" s="15" t="n">
        <v>46235</v>
      </c>
      <c r="F1090" s="15" t="n">
        <v>46227</v>
      </c>
      <c r="G1090" s="1" t="s">
        <v>433</v>
      </c>
      <c r="H1090" s="1" t="n">
        <v>1482569</v>
      </c>
      <c r="I1090" s="1" t="n">
        <v>39</v>
      </c>
      <c r="J1090" s="1" t="s">
        <v>2975</v>
      </c>
      <c r="K1090" s="67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3016</v>
      </c>
      <c r="D1091" s="1" t="s">
        <v>3017</v>
      </c>
      <c r="E1091" s="15" t="n">
        <v>46235</v>
      </c>
      <c r="F1091" s="15" t="n">
        <v>46234</v>
      </c>
      <c r="G1091" s="1" t="s">
        <v>144</v>
      </c>
      <c r="H1091" s="1" t="n">
        <v>1482217</v>
      </c>
      <c r="I1091" s="1" t="n">
        <v>11</v>
      </c>
      <c r="J1091" s="1" t="s">
        <v>2975</v>
      </c>
      <c r="K1091" s="67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2973</v>
      </c>
      <c r="D1092" s="1" t="s">
        <v>3003</v>
      </c>
      <c r="E1092" s="15" t="n">
        <v>46235</v>
      </c>
      <c r="F1092" s="15" t="n">
        <v>46234</v>
      </c>
      <c r="G1092" s="1" t="s">
        <v>74</v>
      </c>
      <c r="H1092" s="1" t="n">
        <v>1481752</v>
      </c>
      <c r="I1092" s="1" t="n">
        <v>11</v>
      </c>
      <c r="J1092" s="1" t="s">
        <v>2975</v>
      </c>
      <c r="K1092" s="67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2976</v>
      </c>
      <c r="D1093" s="1" t="s">
        <v>2988</v>
      </c>
      <c r="E1093" s="15" t="n">
        <v>46235</v>
      </c>
      <c r="F1093" s="15" t="n">
        <v>46235</v>
      </c>
      <c r="G1093" s="1" t="s">
        <v>70</v>
      </c>
      <c r="H1093" s="1" t="n">
        <v>1482644</v>
      </c>
      <c r="I1093" s="1" t="n">
        <v>6</v>
      </c>
      <c r="J1093" s="1" t="s">
        <v>2975</v>
      </c>
      <c r="K1093" s="67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2976</v>
      </c>
      <c r="D1094" s="1" t="s">
        <v>3053</v>
      </c>
      <c r="E1094" s="15" t="n">
        <v>46235</v>
      </c>
      <c r="F1094" s="15" t="n">
        <v>46230</v>
      </c>
      <c r="G1094" s="1" t="s">
        <v>628</v>
      </c>
      <c r="H1094" s="1" t="n">
        <v>1482445</v>
      </c>
      <c r="I1094" s="1" t="n">
        <v>45</v>
      </c>
      <c r="J1094" s="1" t="s">
        <v>2975</v>
      </c>
      <c r="K1094" s="67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2973</v>
      </c>
      <c r="D1095" s="1" t="s">
        <v>3010</v>
      </c>
      <c r="E1095" s="15" t="n">
        <v>46235</v>
      </c>
      <c r="F1095" s="15" t="n">
        <v>46233</v>
      </c>
      <c r="G1095" s="1" t="s">
        <v>319</v>
      </c>
      <c r="H1095" s="1" t="n">
        <v>1482227</v>
      </c>
      <c r="I1095" s="1" t="n">
        <v>11</v>
      </c>
      <c r="J1095" s="1" t="s">
        <v>2975</v>
      </c>
      <c r="K1095" s="67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2973</v>
      </c>
      <c r="D1096" s="1" t="s">
        <v>2984</v>
      </c>
      <c r="E1096" s="15" t="n">
        <v>46237</v>
      </c>
      <c r="F1096" s="15" t="n">
        <v>46237</v>
      </c>
      <c r="G1096" s="1" t="s">
        <v>97</v>
      </c>
      <c r="H1096" s="1" t="n">
        <v>1508593</v>
      </c>
      <c r="I1096" s="1" t="n">
        <v>1</v>
      </c>
      <c r="J1096" s="1" t="s">
        <v>2975</v>
      </c>
      <c r="K1096" s="67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2976</v>
      </c>
      <c r="D1097" s="1" t="s">
        <v>3134</v>
      </c>
      <c r="E1097" s="15" t="n">
        <v>46237</v>
      </c>
      <c r="F1097" s="15" t="n">
        <v>46237</v>
      </c>
      <c r="G1097" s="1" t="s">
        <v>1496</v>
      </c>
      <c r="H1097" s="1" t="n">
        <v>1508508</v>
      </c>
      <c r="I1097" s="1" t="n">
        <v>1</v>
      </c>
      <c r="J1097" s="1" t="s">
        <v>2975</v>
      </c>
      <c r="K1097" s="67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2976</v>
      </c>
      <c r="D1098" s="1" t="s">
        <v>2986</v>
      </c>
      <c r="E1098" s="15" t="n">
        <v>46237</v>
      </c>
      <c r="F1098" s="15" t="n">
        <v>46235</v>
      </c>
      <c r="G1098" s="1" t="s">
        <v>211</v>
      </c>
      <c r="H1098" s="1" t="n">
        <v>1495533</v>
      </c>
      <c r="I1098" s="1" t="n">
        <v>11</v>
      </c>
      <c r="J1098" s="1" t="s">
        <v>2975</v>
      </c>
      <c r="K1098" s="67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2976</v>
      </c>
      <c r="D1099" s="1" t="s">
        <v>2989</v>
      </c>
      <c r="E1099" s="15" t="n">
        <v>46237</v>
      </c>
      <c r="F1099" s="15" t="n">
        <v>46235</v>
      </c>
      <c r="G1099" s="1" t="s">
        <v>157</v>
      </c>
      <c r="H1099" s="1" t="n">
        <v>1495442</v>
      </c>
      <c r="I1099" s="1" t="n">
        <v>11</v>
      </c>
      <c r="J1099" s="1" t="s">
        <v>2975</v>
      </c>
      <c r="K1099" s="67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2976</v>
      </c>
      <c r="D1100" s="1" t="s">
        <v>3077</v>
      </c>
      <c r="E1100" s="15" t="n">
        <v>46238</v>
      </c>
      <c r="F1100" s="15" t="n">
        <v>46237</v>
      </c>
      <c r="G1100" s="1" t="s">
        <v>825</v>
      </c>
      <c r="H1100" s="1" t="n">
        <v>1500408</v>
      </c>
      <c r="I1100" s="1" t="n">
        <v>11</v>
      </c>
      <c r="J1100" s="1" t="s">
        <v>2975</v>
      </c>
      <c r="K1100" s="67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2976</v>
      </c>
      <c r="D1101" s="1" t="s">
        <v>3112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2975</v>
      </c>
      <c r="K1101" s="67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2976</v>
      </c>
      <c r="D1102" s="1" t="s">
        <v>2992</v>
      </c>
      <c r="E1102" s="15" t="n">
        <v>46238</v>
      </c>
      <c r="F1102" s="15" t="n">
        <v>46237</v>
      </c>
      <c r="G1102" s="1" t="s">
        <v>161</v>
      </c>
      <c r="H1102" s="1" t="n">
        <v>1500384</v>
      </c>
      <c r="I1102" s="1" t="n">
        <v>11</v>
      </c>
      <c r="J1102" s="1" t="s">
        <v>2975</v>
      </c>
      <c r="K1102" s="67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2976</v>
      </c>
      <c r="D1103" s="1" t="s">
        <v>2995</v>
      </c>
      <c r="E1103" s="15" t="n">
        <v>46238</v>
      </c>
      <c r="F1103" s="15" t="n">
        <v>46237</v>
      </c>
      <c r="G1103" s="1" t="s">
        <v>264</v>
      </c>
      <c r="H1103" s="1" t="n">
        <v>1500527</v>
      </c>
      <c r="I1103" s="1" t="n">
        <v>11</v>
      </c>
      <c r="J1103" s="1" t="s">
        <v>2975</v>
      </c>
      <c r="K1103" s="67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2976</v>
      </c>
      <c r="D1104" s="1" t="s">
        <v>2995</v>
      </c>
      <c r="E1104" s="15" t="n">
        <v>46238</v>
      </c>
      <c r="F1104" s="15" t="n">
        <v>46238</v>
      </c>
      <c r="G1104" s="1" t="s">
        <v>264</v>
      </c>
      <c r="H1104" s="1" t="n">
        <v>1500801</v>
      </c>
      <c r="I1104" s="1" t="n">
        <v>11</v>
      </c>
      <c r="J1104" s="1" t="s">
        <v>2975</v>
      </c>
      <c r="K1104" s="67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2976</v>
      </c>
      <c r="D1105" s="1" t="s">
        <v>2996</v>
      </c>
      <c r="E1105" s="15" t="n">
        <v>46238</v>
      </c>
      <c r="F1105" s="15" t="n">
        <v>46238</v>
      </c>
      <c r="G1105" s="1" t="s">
        <v>221</v>
      </c>
      <c r="H1105" s="1" t="n">
        <v>1501658</v>
      </c>
      <c r="I1105" s="1" t="n">
        <v>1</v>
      </c>
      <c r="J1105" s="1" t="s">
        <v>2975</v>
      </c>
      <c r="K1105" s="67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3024</v>
      </c>
      <c r="D1106" s="1" t="s">
        <v>3025</v>
      </c>
      <c r="E1106" s="15" t="n">
        <v>46238</v>
      </c>
      <c r="F1106" s="15" t="n">
        <v>46232</v>
      </c>
      <c r="G1106" s="1" t="s">
        <v>311</v>
      </c>
      <c r="H1106" s="1" t="n">
        <v>1499405</v>
      </c>
      <c r="I1106" s="1" t="n">
        <v>11</v>
      </c>
      <c r="J1106" s="1" t="s">
        <v>2975</v>
      </c>
      <c r="K1106" s="67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2976</v>
      </c>
      <c r="D1107" s="1" t="s">
        <v>3148</v>
      </c>
      <c r="E1107" s="15" t="n">
        <v>46238</v>
      </c>
      <c r="F1107" s="15" t="n">
        <v>46233</v>
      </c>
      <c r="G1107" s="1" t="s">
        <v>2120</v>
      </c>
      <c r="H1107" s="1" t="n">
        <v>1498733</v>
      </c>
      <c r="I1107" s="1" t="n">
        <v>11</v>
      </c>
      <c r="J1107" s="1" t="s">
        <v>2975</v>
      </c>
      <c r="K1107" s="67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2973</v>
      </c>
      <c r="D1108" s="1" t="s">
        <v>2999</v>
      </c>
      <c r="E1108" s="15" t="n">
        <v>46238</v>
      </c>
      <c r="F1108" s="15" t="n">
        <v>46237</v>
      </c>
      <c r="G1108" s="1" t="s">
        <v>76</v>
      </c>
      <c r="H1108" s="1" t="n">
        <v>1498813</v>
      </c>
      <c r="I1108" s="1" t="n">
        <v>11</v>
      </c>
      <c r="J1108" s="1" t="s">
        <v>2975</v>
      </c>
      <c r="K1108" s="67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2976</v>
      </c>
      <c r="D1109" s="1" t="s">
        <v>3000</v>
      </c>
      <c r="E1109" s="15" t="n">
        <v>46238</v>
      </c>
      <c r="F1109" s="15" t="n">
        <v>46237</v>
      </c>
      <c r="G1109" s="1" t="s">
        <v>155</v>
      </c>
      <c r="H1109" s="1" t="n">
        <v>1498856</v>
      </c>
      <c r="I1109" s="1" t="n">
        <v>11</v>
      </c>
      <c r="J1109" s="1" t="s">
        <v>2975</v>
      </c>
      <c r="K1109" s="67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2976</v>
      </c>
      <c r="D1110" s="1" t="s">
        <v>3095</v>
      </c>
      <c r="E1110" s="15" t="n">
        <v>46238</v>
      </c>
      <c r="F1110" s="15" t="n">
        <v>46237</v>
      </c>
      <c r="G1110" s="1" t="s">
        <v>853</v>
      </c>
      <c r="H1110" s="1" t="n">
        <v>1498876</v>
      </c>
      <c r="I1110" s="1" t="n">
        <v>11</v>
      </c>
      <c r="J1110" s="1" t="s">
        <v>2975</v>
      </c>
      <c r="K1110" s="67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2976</v>
      </c>
      <c r="D1111" s="1" t="s">
        <v>3027</v>
      </c>
      <c r="E1111" s="15" t="n">
        <v>46238</v>
      </c>
      <c r="F1111" s="15" t="n">
        <v>46234</v>
      </c>
      <c r="G1111" s="1" t="s">
        <v>371</v>
      </c>
      <c r="H1111" s="1" t="n">
        <v>1498759</v>
      </c>
      <c r="I1111" s="1" t="n">
        <v>11</v>
      </c>
      <c r="J1111" s="1" t="s">
        <v>2975</v>
      </c>
      <c r="K1111" s="67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2976</v>
      </c>
      <c r="D1112" s="1" t="s">
        <v>3018</v>
      </c>
      <c r="E1112" s="15" t="n">
        <v>46238</v>
      </c>
      <c r="F1112" s="15" t="n">
        <v>46238</v>
      </c>
      <c r="G1112" s="1" t="s">
        <v>258</v>
      </c>
      <c r="H1112" s="1" t="n">
        <v>1500865</v>
      </c>
      <c r="I1112" s="1" t="n">
        <v>11</v>
      </c>
      <c r="J1112" s="1" t="s">
        <v>2975</v>
      </c>
      <c r="K1112" s="67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2976</v>
      </c>
      <c r="D1113" s="1" t="s">
        <v>2988</v>
      </c>
      <c r="E1113" s="15" t="n">
        <v>46238</v>
      </c>
      <c r="F1113" s="15" t="n">
        <v>46238</v>
      </c>
      <c r="G1113" s="1" t="s">
        <v>70</v>
      </c>
      <c r="H1113" s="1" t="n">
        <v>1499090</v>
      </c>
      <c r="I1113" s="1" t="n">
        <v>6</v>
      </c>
      <c r="J1113" s="1" t="s">
        <v>2975</v>
      </c>
      <c r="K1113" s="67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2976</v>
      </c>
      <c r="D1114" s="1" t="s">
        <v>2988</v>
      </c>
      <c r="E1114" s="15" t="n">
        <v>46238</v>
      </c>
      <c r="F1114" s="15" t="n">
        <v>46238</v>
      </c>
      <c r="G1114" s="1" t="s">
        <v>70</v>
      </c>
      <c r="H1114" s="1" t="n">
        <v>1500738</v>
      </c>
      <c r="I1114" s="1" t="n">
        <v>6</v>
      </c>
      <c r="J1114" s="1" t="s">
        <v>2975</v>
      </c>
      <c r="K1114" s="67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2976</v>
      </c>
      <c r="D1115" s="1" t="s">
        <v>2988</v>
      </c>
      <c r="E1115" s="15" t="n">
        <v>46238</v>
      </c>
      <c r="F1115" s="15" t="n">
        <v>46238</v>
      </c>
      <c r="G1115" s="1" t="s">
        <v>70</v>
      </c>
      <c r="H1115" s="1" t="n">
        <v>1500873</v>
      </c>
      <c r="I1115" s="1" t="n">
        <v>6</v>
      </c>
      <c r="J1115" s="1" t="s">
        <v>2975</v>
      </c>
      <c r="K1115" s="67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2976</v>
      </c>
      <c r="D1116" s="1" t="s">
        <v>2988</v>
      </c>
      <c r="E1116" s="15" t="n">
        <v>46238</v>
      </c>
      <c r="F1116" s="15" t="n">
        <v>46238</v>
      </c>
      <c r="G1116" s="1" t="s">
        <v>70</v>
      </c>
      <c r="H1116" s="1" t="n">
        <v>1501635</v>
      </c>
      <c r="I1116" s="1" t="n">
        <v>6</v>
      </c>
      <c r="J1116" s="1" t="s">
        <v>2975</v>
      </c>
      <c r="K1116" s="67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2976</v>
      </c>
      <c r="D1117" s="1" t="s">
        <v>2989</v>
      </c>
      <c r="E1117" s="15" t="n">
        <v>46238</v>
      </c>
      <c r="F1117" s="15" t="n">
        <v>46238</v>
      </c>
      <c r="G1117" s="1" t="s">
        <v>157</v>
      </c>
      <c r="H1117" s="1" t="n">
        <v>1500740</v>
      </c>
      <c r="I1117" s="1" t="n">
        <v>11</v>
      </c>
      <c r="J1117" s="1" t="s">
        <v>2975</v>
      </c>
      <c r="K1117" s="67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3035</v>
      </c>
      <c r="D1118" s="1" t="s">
        <v>3036</v>
      </c>
      <c r="E1118" s="15" t="n">
        <v>46239</v>
      </c>
      <c r="F1118" s="15" t="n">
        <v>46234</v>
      </c>
      <c r="G1118" s="1" t="s">
        <v>148</v>
      </c>
      <c r="H1118" s="1" t="n">
        <v>1504970</v>
      </c>
      <c r="I1118" s="1" t="n">
        <v>11</v>
      </c>
      <c r="J1118" s="1" t="s">
        <v>2975</v>
      </c>
      <c r="K1118" s="67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3016</v>
      </c>
      <c r="D1119" s="1" t="s">
        <v>3036</v>
      </c>
      <c r="E1119" s="15" t="n">
        <v>46239</v>
      </c>
      <c r="F1119" s="15" t="n">
        <v>46234</v>
      </c>
      <c r="G1119" s="1" t="s">
        <v>148</v>
      </c>
      <c r="H1119" s="1" t="n">
        <v>1504081</v>
      </c>
      <c r="I1119" s="1" t="n">
        <v>11</v>
      </c>
      <c r="J1119" s="1" t="s">
        <v>2975</v>
      </c>
      <c r="K1119" s="67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2976</v>
      </c>
      <c r="D1120" s="1" t="s">
        <v>3007</v>
      </c>
      <c r="E1120" s="15" t="n">
        <v>46239</v>
      </c>
      <c r="F1120" s="15" t="n">
        <v>46237</v>
      </c>
      <c r="G1120" s="1" t="s">
        <v>159</v>
      </c>
      <c r="H1120" s="1" t="n">
        <v>1505157</v>
      </c>
      <c r="I1120" s="1" t="n">
        <v>11</v>
      </c>
      <c r="J1120" s="1" t="s">
        <v>2975</v>
      </c>
      <c r="K1120" s="67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2976</v>
      </c>
      <c r="D1121" s="1" t="s">
        <v>3093</v>
      </c>
      <c r="E1121" s="15" t="n">
        <v>46239</v>
      </c>
      <c r="F1121" s="15" t="n">
        <v>46238</v>
      </c>
      <c r="G1121" s="1" t="s">
        <v>940</v>
      </c>
      <c r="H1121" s="1" t="n">
        <v>1504385</v>
      </c>
      <c r="I1121" s="1" t="n">
        <v>11</v>
      </c>
      <c r="J1121" s="1" t="s">
        <v>2975</v>
      </c>
      <c r="K1121" s="67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2976</v>
      </c>
      <c r="D1122" s="1" t="s">
        <v>3134</v>
      </c>
      <c r="E1122" s="15" t="n">
        <v>46239</v>
      </c>
      <c r="F1122" s="15" t="n">
        <v>46239</v>
      </c>
      <c r="G1122" s="1" t="s">
        <v>1496</v>
      </c>
      <c r="H1122" s="1" t="n">
        <v>1508427</v>
      </c>
      <c r="I1122" s="1" t="n">
        <v>1</v>
      </c>
      <c r="J1122" s="1" t="s">
        <v>2975</v>
      </c>
      <c r="K1122" s="67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2976</v>
      </c>
      <c r="D1123" s="1" t="s">
        <v>3015</v>
      </c>
      <c r="E1123" s="15" t="n">
        <v>46239</v>
      </c>
      <c r="F1123" s="15" t="n">
        <v>46237</v>
      </c>
      <c r="G1123" s="1" t="s">
        <v>278</v>
      </c>
      <c r="H1123" s="1" t="n">
        <v>1505035</v>
      </c>
      <c r="I1123" s="1" t="n">
        <v>11</v>
      </c>
      <c r="J1123" s="1" t="s">
        <v>2975</v>
      </c>
      <c r="K1123" s="67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2976</v>
      </c>
      <c r="D1124" s="1" t="s">
        <v>3065</v>
      </c>
      <c r="E1124" s="15" t="n">
        <v>46239</v>
      </c>
      <c r="F1124" s="15" t="n">
        <v>46231</v>
      </c>
      <c r="G1124" s="1" t="s">
        <v>146</v>
      </c>
      <c r="H1124" s="1" t="n">
        <v>1503792</v>
      </c>
      <c r="I1124" s="1" t="n">
        <v>11</v>
      </c>
      <c r="J1124" s="1" t="s">
        <v>2975</v>
      </c>
      <c r="K1124" s="67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3067</v>
      </c>
      <c r="D1125" s="1" t="s">
        <v>3068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2975</v>
      </c>
      <c r="K1125" s="67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3067</v>
      </c>
      <c r="D1126" s="1" t="s">
        <v>3068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2975</v>
      </c>
      <c r="K1126" s="67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3016</v>
      </c>
      <c r="D1127" s="1" t="s">
        <v>3017</v>
      </c>
      <c r="E1127" s="15" t="n">
        <v>46239</v>
      </c>
      <c r="F1127" s="15" t="n">
        <v>46238</v>
      </c>
      <c r="G1127" s="1" t="s">
        <v>144</v>
      </c>
      <c r="H1127" s="1" t="n">
        <v>1505175</v>
      </c>
      <c r="I1127" s="1" t="n">
        <v>11</v>
      </c>
      <c r="J1127" s="1" t="s">
        <v>2975</v>
      </c>
      <c r="K1127" s="67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2973</v>
      </c>
      <c r="D1128" s="1" t="s">
        <v>3003</v>
      </c>
      <c r="E1128" s="15" t="n">
        <v>46239</v>
      </c>
      <c r="F1128" s="15" t="n">
        <v>46237</v>
      </c>
      <c r="G1128" s="1" t="s">
        <v>74</v>
      </c>
      <c r="H1128" s="1" t="n">
        <v>1505131</v>
      </c>
      <c r="I1128" s="1" t="n">
        <v>11</v>
      </c>
      <c r="J1128" s="1" t="s">
        <v>2975</v>
      </c>
      <c r="K1128" s="67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2973</v>
      </c>
      <c r="D1129" s="1" t="s">
        <v>3003</v>
      </c>
      <c r="E1129" s="15" t="n">
        <v>46239</v>
      </c>
      <c r="F1129" s="15" t="n">
        <v>46237</v>
      </c>
      <c r="G1129" s="1" t="s">
        <v>74</v>
      </c>
      <c r="H1129" s="1" t="n">
        <v>1505021</v>
      </c>
      <c r="I1129" s="1" t="n">
        <v>11</v>
      </c>
      <c r="J1129" s="1" t="s">
        <v>2975</v>
      </c>
      <c r="K1129" s="67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2976</v>
      </c>
      <c r="D1130" s="1" t="s">
        <v>2988</v>
      </c>
      <c r="E1130" s="15" t="n">
        <v>46239</v>
      </c>
      <c r="F1130" s="15" t="n">
        <v>46239</v>
      </c>
      <c r="G1130" s="1" t="s">
        <v>70</v>
      </c>
      <c r="H1130" s="1" t="n">
        <v>1505339</v>
      </c>
      <c r="I1130" s="1" t="n">
        <v>6</v>
      </c>
      <c r="J1130" s="1" t="s">
        <v>2975</v>
      </c>
      <c r="K1130" s="67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2976</v>
      </c>
      <c r="D1131" s="1" t="s">
        <v>3028</v>
      </c>
      <c r="E1131" s="15" t="n">
        <v>46239</v>
      </c>
      <c r="F1131" s="15" t="n">
        <v>46235</v>
      </c>
      <c r="G1131" s="1" t="s">
        <v>321</v>
      </c>
      <c r="H1131" s="1" t="n">
        <v>1505075</v>
      </c>
      <c r="I1131" s="1" t="n">
        <v>11</v>
      </c>
      <c r="J1131" s="1" t="s">
        <v>2975</v>
      </c>
      <c r="K1131" s="67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2976</v>
      </c>
      <c r="D1132" s="1" t="s">
        <v>3097</v>
      </c>
      <c r="E1132" s="15" t="n">
        <v>46239</v>
      </c>
      <c r="F1132" s="15" t="n">
        <v>46239</v>
      </c>
      <c r="G1132" s="1" t="s">
        <v>1064</v>
      </c>
      <c r="H1132" s="1" t="n">
        <v>1505193</v>
      </c>
      <c r="I1132" s="1" t="n">
        <v>11</v>
      </c>
      <c r="J1132" s="1" t="s">
        <v>2975</v>
      </c>
      <c r="K1132" s="67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2976</v>
      </c>
      <c r="D1133" s="1" t="s">
        <v>3020</v>
      </c>
      <c r="E1133" s="15" t="n">
        <v>46239</v>
      </c>
      <c r="F1133" s="15" t="n">
        <v>46237</v>
      </c>
      <c r="G1133" s="1" t="s">
        <v>78</v>
      </c>
      <c r="H1133" s="1" t="n">
        <v>1505054</v>
      </c>
      <c r="I1133" s="1" t="n">
        <v>11</v>
      </c>
      <c r="J1133" s="1" t="s">
        <v>2975</v>
      </c>
      <c r="K1133" s="67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2976</v>
      </c>
      <c r="D1134" s="1" t="s">
        <v>3053</v>
      </c>
      <c r="E1134" s="15" t="n">
        <v>46239</v>
      </c>
      <c r="F1134" s="15" t="n">
        <v>46237</v>
      </c>
      <c r="G1134" s="1" t="s">
        <v>628</v>
      </c>
      <c r="H1134" s="1" t="n">
        <v>1503592</v>
      </c>
      <c r="I1134" s="1" t="n">
        <v>45</v>
      </c>
      <c r="J1134" s="1" t="s">
        <v>2975</v>
      </c>
      <c r="K1134" s="67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2973</v>
      </c>
      <c r="D1135" s="1" t="s">
        <v>3010</v>
      </c>
      <c r="E1135" s="15" t="n">
        <v>46239</v>
      </c>
      <c r="F1135" s="15" t="n">
        <v>46238</v>
      </c>
      <c r="G1135" s="1" t="s">
        <v>319</v>
      </c>
      <c r="H1135" s="1" t="n">
        <v>1505147</v>
      </c>
      <c r="I1135" s="1" t="n">
        <v>11</v>
      </c>
      <c r="J1135" s="1" t="s">
        <v>2975</v>
      </c>
      <c r="K1135" s="67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2976</v>
      </c>
      <c r="D1136" s="1" t="s">
        <v>3033</v>
      </c>
      <c r="E1136" s="15" t="n">
        <v>46240</v>
      </c>
      <c r="F1136" s="15" t="n">
        <v>46237</v>
      </c>
      <c r="G1136" s="1" t="s">
        <v>661</v>
      </c>
      <c r="H1136" s="1" t="n">
        <v>1508592</v>
      </c>
      <c r="I1136" s="1" t="n">
        <v>11</v>
      </c>
      <c r="J1136" s="1" t="s">
        <v>2975</v>
      </c>
      <c r="K1136" s="67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2976</v>
      </c>
      <c r="D1137" s="1" t="s">
        <v>3063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2975</v>
      </c>
      <c r="K1137" s="67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2976</v>
      </c>
      <c r="D1138" s="1" t="s">
        <v>3063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2975</v>
      </c>
      <c r="K1138" s="67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2976</v>
      </c>
      <c r="D1139" s="1" t="s">
        <v>3063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2975</v>
      </c>
      <c r="K1139" s="67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2976</v>
      </c>
      <c r="D1140" s="1" t="s">
        <v>3063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2975</v>
      </c>
      <c r="K1140" s="67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2976</v>
      </c>
      <c r="D1141" s="1" t="s">
        <v>3063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2975</v>
      </c>
      <c r="K1141" s="67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2976</v>
      </c>
      <c r="D1142" s="1" t="s">
        <v>3063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2975</v>
      </c>
      <c r="K1142" s="67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2973</v>
      </c>
      <c r="D1143" s="1" t="s">
        <v>3149</v>
      </c>
      <c r="E1143" s="15" t="n">
        <v>46240</v>
      </c>
      <c r="F1143" s="15" t="n">
        <v>46234</v>
      </c>
      <c r="G1143" s="1" t="s">
        <v>2754</v>
      </c>
      <c r="H1143" s="1" t="n">
        <v>1508938</v>
      </c>
      <c r="I1143" s="1" t="n">
        <v>40</v>
      </c>
      <c r="J1143" s="1" t="s">
        <v>2975</v>
      </c>
      <c r="K1143" s="67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2973</v>
      </c>
      <c r="D1144" s="1" t="s">
        <v>2994</v>
      </c>
      <c r="E1144" s="15" t="n">
        <v>46240</v>
      </c>
      <c r="F1144" s="15" t="n">
        <v>46240</v>
      </c>
      <c r="G1144" s="1" t="s">
        <v>66</v>
      </c>
      <c r="H1144" s="1" t="n">
        <v>1509549</v>
      </c>
      <c r="I1144" s="1" t="n">
        <v>11</v>
      </c>
      <c r="J1144" s="1" t="s">
        <v>2975</v>
      </c>
      <c r="K1144" s="67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2976</v>
      </c>
      <c r="D1145" s="1" t="s">
        <v>3055</v>
      </c>
      <c r="E1145" s="15" t="n">
        <v>46240</v>
      </c>
      <c r="F1145" s="15" t="n">
        <v>46239</v>
      </c>
      <c r="G1145" s="1" t="s">
        <v>195</v>
      </c>
      <c r="H1145" s="1" t="n">
        <v>1510372</v>
      </c>
      <c r="I1145" s="1" t="n">
        <v>11</v>
      </c>
      <c r="J1145" s="1" t="s">
        <v>2975</v>
      </c>
      <c r="K1145" s="67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2976</v>
      </c>
      <c r="D1146" s="1" t="s">
        <v>2995</v>
      </c>
      <c r="E1146" s="15" t="n">
        <v>46240</v>
      </c>
      <c r="F1146" s="15" t="n">
        <v>46239</v>
      </c>
      <c r="G1146" s="1" t="s">
        <v>264</v>
      </c>
      <c r="H1146" s="1" t="n">
        <v>1509342</v>
      </c>
      <c r="I1146" s="1" t="n">
        <v>11</v>
      </c>
      <c r="J1146" s="1" t="s">
        <v>2975</v>
      </c>
      <c r="K1146" s="67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2976</v>
      </c>
      <c r="D1147" s="1" t="s">
        <v>2997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2975</v>
      </c>
      <c r="K1147" s="67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2981</v>
      </c>
      <c r="D1148" s="1" t="s">
        <v>2982</v>
      </c>
      <c r="E1148" s="15" t="n">
        <v>46240</v>
      </c>
      <c r="F1148" s="15" t="n">
        <v>46240</v>
      </c>
      <c r="G1148" s="1" t="s">
        <v>591</v>
      </c>
      <c r="H1148" s="1" t="n">
        <v>1528694</v>
      </c>
      <c r="I1148" s="1" t="n">
        <v>1</v>
      </c>
      <c r="J1148" s="1" t="s">
        <v>2975</v>
      </c>
      <c r="K1148" s="67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2981</v>
      </c>
      <c r="D1149" s="1" t="s">
        <v>2982</v>
      </c>
      <c r="E1149" s="15" t="n">
        <v>46240</v>
      </c>
      <c r="F1149" s="15" t="n">
        <v>46240</v>
      </c>
      <c r="G1149" s="1" t="s">
        <v>591</v>
      </c>
      <c r="H1149" s="1" t="n">
        <v>1528716</v>
      </c>
      <c r="I1149" s="1" t="n">
        <v>1</v>
      </c>
      <c r="J1149" s="1" t="s">
        <v>2975</v>
      </c>
      <c r="K1149" s="67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2981</v>
      </c>
      <c r="D1150" s="1" t="s">
        <v>2982</v>
      </c>
      <c r="E1150" s="15" t="n">
        <v>46240</v>
      </c>
      <c r="F1150" s="15" t="n">
        <v>46240</v>
      </c>
      <c r="G1150" s="1" t="s">
        <v>591</v>
      </c>
      <c r="H1150" s="1" t="n">
        <v>1528746</v>
      </c>
      <c r="I1150" s="1" t="n">
        <v>1</v>
      </c>
      <c r="J1150" s="1" t="s">
        <v>2975</v>
      </c>
      <c r="K1150" s="67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2976</v>
      </c>
      <c r="D1151" s="1" t="s">
        <v>3038</v>
      </c>
      <c r="E1151" s="15" t="n">
        <v>46240</v>
      </c>
      <c r="F1151" s="15" t="n">
        <v>46239</v>
      </c>
      <c r="G1151" s="1" t="s">
        <v>193</v>
      </c>
      <c r="H1151" s="1" t="n">
        <v>1510095</v>
      </c>
      <c r="I1151" s="1" t="n">
        <v>11</v>
      </c>
      <c r="J1151" s="1" t="s">
        <v>2975</v>
      </c>
      <c r="K1151" s="67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2976</v>
      </c>
      <c r="D1152" s="1" t="s">
        <v>3040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2975</v>
      </c>
      <c r="K1152" s="67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2973</v>
      </c>
      <c r="D1153" s="1" t="s">
        <v>2984</v>
      </c>
      <c r="E1153" s="15" t="n">
        <v>46240</v>
      </c>
      <c r="F1153" s="15" t="n">
        <v>46240</v>
      </c>
      <c r="G1153" s="1" t="s">
        <v>97</v>
      </c>
      <c r="H1153" s="1" t="n">
        <v>1509405</v>
      </c>
      <c r="I1153" s="1" t="n">
        <v>1</v>
      </c>
      <c r="J1153" s="1" t="s">
        <v>2975</v>
      </c>
      <c r="K1153" s="67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2976</v>
      </c>
      <c r="D1154" s="1" t="s">
        <v>3043</v>
      </c>
      <c r="E1154" s="15" t="n">
        <v>46240</v>
      </c>
      <c r="F1154" s="15" t="n">
        <v>46240</v>
      </c>
      <c r="G1154" s="1" t="s">
        <v>424</v>
      </c>
      <c r="H1154" s="1" t="n">
        <v>1518718</v>
      </c>
      <c r="I1154" s="1" t="n">
        <v>1</v>
      </c>
      <c r="J1154" s="1" t="s">
        <v>2975</v>
      </c>
      <c r="K1154" s="67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2976</v>
      </c>
      <c r="D1155" s="1" t="s">
        <v>2986</v>
      </c>
      <c r="E1155" s="15" t="n">
        <v>46240</v>
      </c>
      <c r="F1155" s="15" t="n">
        <v>46240</v>
      </c>
      <c r="G1155" s="1" t="s">
        <v>211</v>
      </c>
      <c r="H1155" s="1" t="n">
        <v>1509473</v>
      </c>
      <c r="I1155" s="1" t="n">
        <v>11</v>
      </c>
      <c r="J1155" s="1" t="s">
        <v>2975</v>
      </c>
      <c r="K1155" s="67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2976</v>
      </c>
      <c r="D1156" s="1" t="s">
        <v>3044</v>
      </c>
      <c r="E1156" s="15" t="n">
        <v>46240</v>
      </c>
      <c r="F1156" s="15" t="n">
        <v>46239</v>
      </c>
      <c r="G1156" s="1" t="s">
        <v>215</v>
      </c>
      <c r="H1156" s="1" t="n">
        <v>1508504</v>
      </c>
      <c r="I1156" s="1" t="n">
        <v>11</v>
      </c>
      <c r="J1156" s="1" t="s">
        <v>2975</v>
      </c>
      <c r="K1156" s="67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2973</v>
      </c>
      <c r="D1157" s="1" t="s">
        <v>3003</v>
      </c>
      <c r="E1157" s="15" t="n">
        <v>46240</v>
      </c>
      <c r="F1157" s="15" t="n">
        <v>46239</v>
      </c>
      <c r="G1157" s="1" t="s">
        <v>74</v>
      </c>
      <c r="H1157" s="1" t="n">
        <v>1508553</v>
      </c>
      <c r="I1157" s="1" t="n">
        <v>11</v>
      </c>
      <c r="J1157" s="1" t="s">
        <v>2975</v>
      </c>
      <c r="K1157" s="67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2978</v>
      </c>
      <c r="D1158" s="1" t="s">
        <v>3004</v>
      </c>
      <c r="E1158" s="15" t="n">
        <v>46240</v>
      </c>
      <c r="F1158" s="15" t="n">
        <v>46239</v>
      </c>
      <c r="G1158" s="1" t="s">
        <v>753</v>
      </c>
      <c r="H1158" s="1" t="n">
        <v>1510496</v>
      </c>
      <c r="I1158" s="1" t="n">
        <v>11</v>
      </c>
      <c r="J1158" s="1" t="s">
        <v>2975</v>
      </c>
      <c r="K1158" s="67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3069</v>
      </c>
      <c r="D1159" s="1" t="s">
        <v>3070</v>
      </c>
      <c r="E1159" s="15" t="n">
        <v>46240</v>
      </c>
      <c r="F1159" s="15" t="n">
        <v>46238</v>
      </c>
      <c r="G1159" s="1" t="s">
        <v>688</v>
      </c>
      <c r="H1159" s="1" t="n">
        <v>1508620</v>
      </c>
      <c r="I1159" s="1" t="n">
        <v>11</v>
      </c>
      <c r="J1159" s="1" t="s">
        <v>2975</v>
      </c>
      <c r="K1159" s="67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2976</v>
      </c>
      <c r="D1160" s="1" t="s">
        <v>2988</v>
      </c>
      <c r="E1160" s="15" t="n">
        <v>46240</v>
      </c>
      <c r="F1160" s="15" t="n">
        <v>46240</v>
      </c>
      <c r="G1160" s="1" t="s">
        <v>70</v>
      </c>
      <c r="H1160" s="1" t="n">
        <v>1509045</v>
      </c>
      <c r="I1160" s="1" t="n">
        <v>6</v>
      </c>
      <c r="J1160" s="1" t="s">
        <v>2975</v>
      </c>
      <c r="K1160" s="67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2976</v>
      </c>
      <c r="D1161" s="1" t="s">
        <v>2988</v>
      </c>
      <c r="E1161" s="15" t="n">
        <v>46240</v>
      </c>
      <c r="F1161" s="15" t="n">
        <v>46240</v>
      </c>
      <c r="G1161" s="1" t="s">
        <v>70</v>
      </c>
      <c r="H1161" s="1" t="n">
        <v>1509125</v>
      </c>
      <c r="I1161" s="1" t="n">
        <v>6</v>
      </c>
      <c r="J1161" s="1" t="s">
        <v>2975</v>
      </c>
      <c r="K1161" s="67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2976</v>
      </c>
      <c r="D1162" s="1" t="s">
        <v>2988</v>
      </c>
      <c r="E1162" s="15" t="n">
        <v>46240</v>
      </c>
      <c r="F1162" s="15" t="n">
        <v>46240</v>
      </c>
      <c r="G1162" s="1" t="s">
        <v>70</v>
      </c>
      <c r="H1162" s="1" t="n">
        <v>1509219</v>
      </c>
      <c r="I1162" s="1" t="n">
        <v>6</v>
      </c>
      <c r="J1162" s="1" t="s">
        <v>2975</v>
      </c>
      <c r="K1162" s="67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2976</v>
      </c>
      <c r="D1163" s="1" t="s">
        <v>2988</v>
      </c>
      <c r="E1163" s="15" t="n">
        <v>46240</v>
      </c>
      <c r="F1163" s="15" t="n">
        <v>46240</v>
      </c>
      <c r="G1163" s="1" t="s">
        <v>70</v>
      </c>
      <c r="H1163" s="1" t="n">
        <v>1509244</v>
      </c>
      <c r="I1163" s="1" t="n">
        <v>6</v>
      </c>
      <c r="J1163" s="1" t="s">
        <v>2975</v>
      </c>
      <c r="K1163" s="67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2976</v>
      </c>
      <c r="D1164" s="1" t="s">
        <v>2988</v>
      </c>
      <c r="E1164" s="15" t="n">
        <v>46240</v>
      </c>
      <c r="F1164" s="15" t="n">
        <v>46240</v>
      </c>
      <c r="G1164" s="1" t="s">
        <v>70</v>
      </c>
      <c r="H1164" s="1" t="n">
        <v>1509334</v>
      </c>
      <c r="I1164" s="1" t="n">
        <v>6</v>
      </c>
      <c r="J1164" s="1" t="s">
        <v>2975</v>
      </c>
      <c r="K1164" s="67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2976</v>
      </c>
      <c r="D1165" s="1" t="s">
        <v>2989</v>
      </c>
      <c r="E1165" s="15" t="n">
        <v>46240</v>
      </c>
      <c r="F1165" s="15" t="n">
        <v>46240</v>
      </c>
      <c r="G1165" s="1" t="s">
        <v>157</v>
      </c>
      <c r="H1165" s="1" t="n">
        <v>1509269</v>
      </c>
      <c r="I1165" s="1" t="n">
        <v>11</v>
      </c>
      <c r="J1165" s="1" t="s">
        <v>2975</v>
      </c>
      <c r="K1165" s="67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2976</v>
      </c>
      <c r="D1166" s="1" t="s">
        <v>3076</v>
      </c>
      <c r="E1166" s="15" t="n">
        <v>46240</v>
      </c>
      <c r="F1166" s="15" t="n">
        <v>46239</v>
      </c>
      <c r="G1166" s="1" t="s">
        <v>340</v>
      </c>
      <c r="H1166" s="1" t="n">
        <v>1509926</v>
      </c>
      <c r="I1166" s="1" t="n">
        <v>11</v>
      </c>
      <c r="J1166" s="1" t="s">
        <v>2975</v>
      </c>
      <c r="K1166" s="67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2978</v>
      </c>
      <c r="D1167" s="1" t="s">
        <v>2991</v>
      </c>
      <c r="E1167" s="15" t="n">
        <v>46240</v>
      </c>
      <c r="F1167" s="15" t="n">
        <v>46239</v>
      </c>
      <c r="G1167" s="1" t="s">
        <v>961</v>
      </c>
      <c r="H1167" s="1" t="n">
        <v>1508398</v>
      </c>
      <c r="I1167" s="1" t="n">
        <v>1</v>
      </c>
      <c r="J1167" s="1" t="s">
        <v>2975</v>
      </c>
      <c r="K1167" s="67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2976</v>
      </c>
      <c r="D1168" s="1" t="s">
        <v>3021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2975</v>
      </c>
      <c r="K1168" s="67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2976</v>
      </c>
      <c r="D1169" s="1" t="s">
        <v>2993</v>
      </c>
      <c r="E1169" s="15" t="n">
        <v>46241</v>
      </c>
      <c r="F1169" s="15" t="n">
        <v>46239</v>
      </c>
      <c r="G1169" s="1" t="s">
        <v>328</v>
      </c>
      <c r="H1169" s="1" t="n">
        <v>1513487</v>
      </c>
      <c r="I1169" s="1" t="n">
        <v>11</v>
      </c>
      <c r="J1169" s="1" t="s">
        <v>2975</v>
      </c>
      <c r="K1169" s="67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2976</v>
      </c>
      <c r="D1170" s="1" t="s">
        <v>3074</v>
      </c>
      <c r="E1170" s="15" t="n">
        <v>46241</v>
      </c>
      <c r="F1170" s="15" t="n">
        <v>46241</v>
      </c>
      <c r="G1170" s="1" t="s">
        <v>208</v>
      </c>
      <c r="H1170" s="1" t="n">
        <v>1515620</v>
      </c>
      <c r="I1170" s="1" t="n">
        <v>11</v>
      </c>
      <c r="J1170" s="1" t="s">
        <v>2975</v>
      </c>
      <c r="K1170" s="67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2976</v>
      </c>
      <c r="D1171" s="1" t="s">
        <v>3074</v>
      </c>
      <c r="E1171" s="15" t="n">
        <v>46241</v>
      </c>
      <c r="F1171" s="15" t="n">
        <v>46241</v>
      </c>
      <c r="G1171" s="1" t="s">
        <v>208</v>
      </c>
      <c r="H1171" s="1" t="n">
        <v>1515530</v>
      </c>
      <c r="I1171" s="1" t="n">
        <v>11</v>
      </c>
      <c r="J1171" s="1" t="s">
        <v>2975</v>
      </c>
      <c r="K1171" s="67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2976</v>
      </c>
      <c r="D1172" s="1" t="s">
        <v>2996</v>
      </c>
      <c r="E1172" s="15" t="n">
        <v>46241</v>
      </c>
      <c r="F1172" s="15" t="n">
        <v>46241</v>
      </c>
      <c r="G1172" s="1" t="s">
        <v>221</v>
      </c>
      <c r="H1172" s="1" t="n">
        <v>1514916</v>
      </c>
      <c r="I1172" s="1" t="n">
        <v>6</v>
      </c>
      <c r="J1172" s="1" t="s">
        <v>2975</v>
      </c>
      <c r="K1172" s="67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2976</v>
      </c>
      <c r="D1173" s="1" t="s">
        <v>2997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2975</v>
      </c>
      <c r="K1173" s="67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2973</v>
      </c>
      <c r="D1174" s="1" t="s">
        <v>2999</v>
      </c>
      <c r="E1174" s="15" t="n">
        <v>46241</v>
      </c>
      <c r="F1174" s="15" t="n">
        <v>46241</v>
      </c>
      <c r="G1174" s="1" t="s">
        <v>76</v>
      </c>
      <c r="H1174" s="1" t="n">
        <v>1515377</v>
      </c>
      <c r="I1174" s="1" t="n">
        <v>11</v>
      </c>
      <c r="J1174" s="1" t="s">
        <v>2975</v>
      </c>
      <c r="K1174" s="67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2976</v>
      </c>
      <c r="D1175" s="1" t="s">
        <v>3134</v>
      </c>
      <c r="E1175" s="15" t="n">
        <v>46241</v>
      </c>
      <c r="F1175" s="15" t="n">
        <v>46241</v>
      </c>
      <c r="G1175" s="1" t="s">
        <v>1496</v>
      </c>
      <c r="H1175" s="1" t="n">
        <v>1515613</v>
      </c>
      <c r="I1175" s="1" t="n">
        <v>1</v>
      </c>
      <c r="J1175" s="1" t="s">
        <v>2975</v>
      </c>
      <c r="K1175" s="67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2976</v>
      </c>
      <c r="D1176" s="1" t="s">
        <v>3005</v>
      </c>
      <c r="E1176" s="15" t="n">
        <v>46241</v>
      </c>
      <c r="F1176" s="15" t="n">
        <v>46241</v>
      </c>
      <c r="G1176" s="1" t="s">
        <v>336</v>
      </c>
      <c r="H1176" s="1" t="n">
        <v>1518708</v>
      </c>
      <c r="I1176" s="1" t="n">
        <v>1</v>
      </c>
      <c r="J1176" s="1" t="s">
        <v>2975</v>
      </c>
      <c r="K1176" s="67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2976</v>
      </c>
      <c r="D1177" s="1" t="s">
        <v>3107</v>
      </c>
      <c r="E1177" s="15" t="n">
        <v>46241</v>
      </c>
      <c r="F1177" s="15" t="n">
        <v>46241</v>
      </c>
      <c r="G1177" s="1" t="s">
        <v>899</v>
      </c>
      <c r="H1177" s="1" t="n">
        <v>1515625</v>
      </c>
      <c r="I1177" s="1" t="n">
        <v>1</v>
      </c>
      <c r="J1177" s="1" t="s">
        <v>2975</v>
      </c>
      <c r="K1177" s="67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2976</v>
      </c>
      <c r="D1178" s="1" t="s">
        <v>3104</v>
      </c>
      <c r="E1178" s="15" t="n">
        <v>46241</v>
      </c>
      <c r="F1178" s="15" t="n">
        <v>46241</v>
      </c>
      <c r="G1178" s="1" t="s">
        <v>867</v>
      </c>
      <c r="H1178" s="1" t="n">
        <v>1518728</v>
      </c>
      <c r="I1178" s="1" t="n">
        <v>1</v>
      </c>
      <c r="J1178" s="1" t="s">
        <v>2975</v>
      </c>
      <c r="K1178" s="67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3016</v>
      </c>
      <c r="D1179" s="1" t="s">
        <v>3017</v>
      </c>
      <c r="E1179" s="15" t="n">
        <v>46241</v>
      </c>
      <c r="F1179" s="15" t="n">
        <v>46240</v>
      </c>
      <c r="G1179" s="1" t="s">
        <v>144</v>
      </c>
      <c r="H1179" s="1" t="n">
        <v>1515421</v>
      </c>
      <c r="I1179" s="1" t="n">
        <v>11</v>
      </c>
      <c r="J1179" s="1" t="s">
        <v>2975</v>
      </c>
      <c r="K1179" s="67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2976</v>
      </c>
      <c r="D1180" s="1" t="s">
        <v>3017</v>
      </c>
      <c r="E1180" s="15" t="n">
        <v>46241</v>
      </c>
      <c r="F1180" s="15" t="n">
        <v>46240</v>
      </c>
      <c r="G1180" s="1" t="s">
        <v>144</v>
      </c>
      <c r="H1180" s="1" t="n">
        <v>1515432</v>
      </c>
      <c r="I1180" s="1" t="n">
        <v>11</v>
      </c>
      <c r="J1180" s="1" t="s">
        <v>2975</v>
      </c>
      <c r="K1180" s="67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2973</v>
      </c>
      <c r="D1181" s="1" t="s">
        <v>3003</v>
      </c>
      <c r="E1181" s="15" t="n">
        <v>46241</v>
      </c>
      <c r="F1181" s="15" t="n">
        <v>46240</v>
      </c>
      <c r="G1181" s="1" t="s">
        <v>74</v>
      </c>
      <c r="H1181" s="1" t="n">
        <v>1515487</v>
      </c>
      <c r="I1181" s="1" t="n">
        <v>11</v>
      </c>
      <c r="J1181" s="1" t="s">
        <v>2975</v>
      </c>
      <c r="K1181" s="67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2973</v>
      </c>
      <c r="D1182" s="1" t="s">
        <v>3003</v>
      </c>
      <c r="E1182" s="15" t="n">
        <v>46241</v>
      </c>
      <c r="F1182" s="15" t="n">
        <v>46240</v>
      </c>
      <c r="G1182" s="1" t="s">
        <v>74</v>
      </c>
      <c r="H1182" s="1" t="n">
        <v>1515496</v>
      </c>
      <c r="I1182" s="1" t="n">
        <v>11</v>
      </c>
      <c r="J1182" s="1" t="s">
        <v>2975</v>
      </c>
      <c r="K1182" s="67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2976</v>
      </c>
      <c r="D1183" s="1" t="s">
        <v>2988</v>
      </c>
      <c r="E1183" s="15" t="n">
        <v>46241</v>
      </c>
      <c r="F1183" s="15" t="n">
        <v>46241</v>
      </c>
      <c r="G1183" s="1" t="s">
        <v>70</v>
      </c>
      <c r="H1183" s="1" t="n">
        <v>1514611</v>
      </c>
      <c r="I1183" s="1" t="n">
        <v>6</v>
      </c>
      <c r="J1183" s="1" t="s">
        <v>2975</v>
      </c>
      <c r="K1183" s="67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2976</v>
      </c>
      <c r="D1184" s="1" t="s">
        <v>2988</v>
      </c>
      <c r="E1184" s="15" t="n">
        <v>46241</v>
      </c>
      <c r="F1184" s="15" t="n">
        <v>46241</v>
      </c>
      <c r="G1184" s="1" t="s">
        <v>70</v>
      </c>
      <c r="H1184" s="1" t="n">
        <v>1514687</v>
      </c>
      <c r="I1184" s="1" t="n">
        <v>6</v>
      </c>
      <c r="J1184" s="1" t="s">
        <v>2975</v>
      </c>
      <c r="K1184" s="67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2976</v>
      </c>
      <c r="D1185" s="1" t="s">
        <v>2988</v>
      </c>
      <c r="E1185" s="15" t="n">
        <v>46241</v>
      </c>
      <c r="F1185" s="15" t="n">
        <v>46241</v>
      </c>
      <c r="G1185" s="1" t="s">
        <v>70</v>
      </c>
      <c r="H1185" s="1" t="n">
        <v>1514851</v>
      </c>
      <c r="I1185" s="1" t="n">
        <v>6</v>
      </c>
      <c r="J1185" s="1" t="s">
        <v>2975</v>
      </c>
      <c r="K1185" s="67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2976</v>
      </c>
      <c r="D1186" s="1" t="s">
        <v>3051</v>
      </c>
      <c r="E1186" s="15" t="n">
        <v>46241</v>
      </c>
      <c r="F1186" s="15" t="n">
        <v>46239</v>
      </c>
      <c r="G1186" s="1" t="s">
        <v>244</v>
      </c>
      <c r="H1186" s="1" t="n">
        <v>1513663</v>
      </c>
      <c r="I1186" s="1" t="n">
        <v>11</v>
      </c>
      <c r="J1186" s="1" t="s">
        <v>2975</v>
      </c>
      <c r="K1186" s="67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2976</v>
      </c>
      <c r="D1187" s="1" t="s">
        <v>3150</v>
      </c>
      <c r="E1187" s="15" t="n">
        <v>46241</v>
      </c>
      <c r="F1187" s="15" t="n">
        <v>46241</v>
      </c>
      <c r="G1187" s="1" t="s">
        <v>2410</v>
      </c>
      <c r="H1187" s="1" t="n">
        <v>1514441</v>
      </c>
      <c r="I1187" s="1" t="n">
        <v>11</v>
      </c>
      <c r="J1187" s="1" t="s">
        <v>2975</v>
      </c>
      <c r="K1187" s="67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2976</v>
      </c>
      <c r="D1188" s="1" t="s">
        <v>2992</v>
      </c>
      <c r="E1188" s="15" t="n">
        <v>46242</v>
      </c>
      <c r="F1188" s="15" t="n">
        <v>46241</v>
      </c>
      <c r="G1188" s="1" t="s">
        <v>161</v>
      </c>
      <c r="H1188" s="1" t="n">
        <v>1517773</v>
      </c>
      <c r="I1188" s="1" t="n">
        <v>11</v>
      </c>
      <c r="J1188" s="1" t="s">
        <v>2975</v>
      </c>
      <c r="K1188" s="67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2976</v>
      </c>
      <c r="D1189" s="1" t="s">
        <v>3063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2975</v>
      </c>
      <c r="K1189" s="67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2976</v>
      </c>
      <c r="D1190" s="1" t="s">
        <v>3063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2975</v>
      </c>
      <c r="K1190" s="67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2976</v>
      </c>
      <c r="D1191" s="1" t="s">
        <v>3063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2975</v>
      </c>
      <c r="K1191" s="67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3024</v>
      </c>
      <c r="D1192" s="1" t="s">
        <v>3025</v>
      </c>
      <c r="E1192" s="15" t="n">
        <v>46242</v>
      </c>
      <c r="F1192" s="15" t="n">
        <v>46239</v>
      </c>
      <c r="G1192" s="1" t="s">
        <v>311</v>
      </c>
      <c r="H1192" s="1" t="n">
        <v>1517535</v>
      </c>
      <c r="I1192" s="1" t="n">
        <v>11</v>
      </c>
      <c r="J1192" s="1" t="s">
        <v>2975</v>
      </c>
      <c r="K1192" s="67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3024</v>
      </c>
      <c r="D1193" s="1" t="s">
        <v>3025</v>
      </c>
      <c r="E1193" s="15" t="n">
        <v>46242</v>
      </c>
      <c r="F1193" s="15" t="n">
        <v>46239</v>
      </c>
      <c r="G1193" s="1" t="s">
        <v>311</v>
      </c>
      <c r="H1193" s="1" t="n">
        <v>1517704</v>
      </c>
      <c r="I1193" s="1" t="n">
        <v>11</v>
      </c>
      <c r="J1193" s="1" t="s">
        <v>2975</v>
      </c>
      <c r="K1193" s="67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2981</v>
      </c>
      <c r="D1194" s="1" t="s">
        <v>2982</v>
      </c>
      <c r="E1194" s="15" t="n">
        <v>46242</v>
      </c>
      <c r="F1194" s="15" t="n">
        <v>46242</v>
      </c>
      <c r="G1194" s="1" t="s">
        <v>591</v>
      </c>
      <c r="H1194" s="1" t="n">
        <v>1528766</v>
      </c>
      <c r="I1194" s="1" t="n">
        <v>1</v>
      </c>
      <c r="J1194" s="1" t="s">
        <v>2975</v>
      </c>
      <c r="K1194" s="67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2981</v>
      </c>
      <c r="D1195" s="1" t="s">
        <v>2982</v>
      </c>
      <c r="E1195" s="15" t="n">
        <v>46242</v>
      </c>
      <c r="F1195" s="15" t="n">
        <v>46242</v>
      </c>
      <c r="G1195" s="1" t="s">
        <v>591</v>
      </c>
      <c r="H1195" s="1" t="n">
        <v>1528788</v>
      </c>
      <c r="I1195" s="1" t="n">
        <v>1</v>
      </c>
      <c r="J1195" s="1" t="s">
        <v>2975</v>
      </c>
      <c r="K1195" s="67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3069</v>
      </c>
      <c r="D1196" s="1" t="s">
        <v>3094</v>
      </c>
      <c r="E1196" s="15" t="n">
        <v>46242</v>
      </c>
      <c r="F1196" s="15" t="n">
        <v>46240</v>
      </c>
      <c r="G1196" s="1" t="s">
        <v>250</v>
      </c>
      <c r="H1196" s="1" t="n">
        <v>1517897</v>
      </c>
      <c r="I1196" s="1" t="n">
        <v>11</v>
      </c>
      <c r="J1196" s="1" t="s">
        <v>2975</v>
      </c>
      <c r="K1196" s="67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2976</v>
      </c>
      <c r="D1197" s="1" t="s">
        <v>2998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2975</v>
      </c>
      <c r="K1197" s="67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3022</v>
      </c>
      <c r="D1198" s="1" t="s">
        <v>3041</v>
      </c>
      <c r="E1198" s="15" t="n">
        <v>46242</v>
      </c>
      <c r="F1198" s="15" t="n">
        <v>46240</v>
      </c>
      <c r="G1198" s="1" t="s">
        <v>132</v>
      </c>
      <c r="H1198" s="1" t="n">
        <v>1517788</v>
      </c>
      <c r="I1198" s="1" t="n">
        <v>11</v>
      </c>
      <c r="J1198" s="1" t="s">
        <v>2975</v>
      </c>
      <c r="K1198" s="67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2973</v>
      </c>
      <c r="D1199" s="1" t="s">
        <v>2984</v>
      </c>
      <c r="E1199" s="15" t="n">
        <v>46242</v>
      </c>
      <c r="F1199" s="15" t="n">
        <v>46242</v>
      </c>
      <c r="G1199" s="1" t="s">
        <v>97</v>
      </c>
      <c r="H1199" s="1" t="n">
        <v>1518674</v>
      </c>
      <c r="I1199" s="1" t="n">
        <v>1</v>
      </c>
      <c r="J1199" s="1" t="s">
        <v>2975</v>
      </c>
      <c r="K1199" s="67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2976</v>
      </c>
      <c r="D1200" s="1" t="s">
        <v>3134</v>
      </c>
      <c r="E1200" s="15" t="n">
        <v>46242</v>
      </c>
      <c r="F1200" s="15" t="n">
        <v>46242</v>
      </c>
      <c r="G1200" s="1" t="s">
        <v>1496</v>
      </c>
      <c r="H1200" s="1" t="n">
        <v>1528968</v>
      </c>
      <c r="I1200" s="1" t="n">
        <v>1</v>
      </c>
      <c r="J1200" s="1" t="s">
        <v>2975</v>
      </c>
      <c r="K1200" s="67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2976</v>
      </c>
      <c r="D1201" s="1" t="s">
        <v>3042</v>
      </c>
      <c r="E1201" s="15" t="n">
        <v>46242</v>
      </c>
      <c r="F1201" s="15" t="n">
        <v>46240</v>
      </c>
      <c r="G1201" s="1" t="s">
        <v>551</v>
      </c>
      <c r="H1201" s="1" t="n">
        <v>1517858</v>
      </c>
      <c r="I1201" s="1" t="n">
        <v>11</v>
      </c>
      <c r="J1201" s="1" t="s">
        <v>2975</v>
      </c>
      <c r="K1201" s="67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2978</v>
      </c>
      <c r="D1202" s="1" t="s">
        <v>3059</v>
      </c>
      <c r="E1202" s="15" t="n">
        <v>46242</v>
      </c>
      <c r="F1202" s="15" t="n">
        <v>46240</v>
      </c>
      <c r="G1202" s="1" t="s">
        <v>130</v>
      </c>
      <c r="H1202" s="1" t="n">
        <v>1518309</v>
      </c>
      <c r="I1202" s="1" t="n">
        <v>11</v>
      </c>
      <c r="J1202" s="1" t="s">
        <v>2975</v>
      </c>
      <c r="K1202" s="67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2973</v>
      </c>
      <c r="D1203" s="1" t="s">
        <v>3136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2975</v>
      </c>
      <c r="K1203" s="67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3035</v>
      </c>
      <c r="D1204" s="1" t="s">
        <v>3036</v>
      </c>
      <c r="E1204" s="15" t="n">
        <v>46244</v>
      </c>
      <c r="F1204" s="15" t="n">
        <v>46239</v>
      </c>
      <c r="G1204" s="1" t="s">
        <v>148</v>
      </c>
      <c r="H1204" s="1" t="n">
        <v>1529784</v>
      </c>
      <c r="I1204" s="1" t="n">
        <v>11</v>
      </c>
      <c r="J1204" s="1" t="s">
        <v>2975</v>
      </c>
      <c r="K1204" s="67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3016</v>
      </c>
      <c r="D1205" s="1" t="s">
        <v>3036</v>
      </c>
      <c r="E1205" s="15" t="n">
        <v>46244</v>
      </c>
      <c r="F1205" s="15" t="n">
        <v>46239</v>
      </c>
      <c r="G1205" s="1" t="s">
        <v>148</v>
      </c>
      <c r="H1205" s="1" t="n">
        <v>1529828</v>
      </c>
      <c r="I1205" s="1" t="n">
        <v>11</v>
      </c>
      <c r="J1205" s="1" t="s">
        <v>2975</v>
      </c>
      <c r="K1205" s="67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2976</v>
      </c>
      <c r="D1206" s="1" t="s">
        <v>3007</v>
      </c>
      <c r="E1206" s="15" t="n">
        <v>46244</v>
      </c>
      <c r="F1206" s="15" t="n">
        <v>46240</v>
      </c>
      <c r="G1206" s="1" t="s">
        <v>159</v>
      </c>
      <c r="H1206" s="1" t="n">
        <v>1529367</v>
      </c>
      <c r="I1206" s="1" t="n">
        <v>11</v>
      </c>
      <c r="J1206" s="1" t="s">
        <v>2975</v>
      </c>
      <c r="K1206" s="67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2973</v>
      </c>
      <c r="D1207" s="1" t="s">
        <v>2994</v>
      </c>
      <c r="E1207" s="15" t="n">
        <v>46244</v>
      </c>
      <c r="F1207" s="15" t="n">
        <v>46244</v>
      </c>
      <c r="G1207" s="1" t="s">
        <v>66</v>
      </c>
      <c r="H1207" s="1" t="n">
        <v>1529854</v>
      </c>
      <c r="I1207" s="1" t="n">
        <v>11</v>
      </c>
      <c r="J1207" s="1" t="s">
        <v>2975</v>
      </c>
      <c r="K1207" s="67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3024</v>
      </c>
      <c r="D1208" s="1" t="s">
        <v>3025</v>
      </c>
      <c r="E1208" s="15" t="n">
        <v>46244</v>
      </c>
      <c r="F1208" s="15" t="n">
        <v>46241</v>
      </c>
      <c r="G1208" s="1" t="s">
        <v>311</v>
      </c>
      <c r="H1208" s="1" t="n">
        <v>1529446</v>
      </c>
      <c r="I1208" s="1" t="n">
        <v>11</v>
      </c>
      <c r="J1208" s="1" t="s">
        <v>2975</v>
      </c>
      <c r="K1208" s="67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3024</v>
      </c>
      <c r="D1209" s="1" t="s">
        <v>3025</v>
      </c>
      <c r="E1209" s="15" t="n">
        <v>46244</v>
      </c>
      <c r="F1209" s="15" t="n">
        <v>46241</v>
      </c>
      <c r="G1209" s="1" t="s">
        <v>311</v>
      </c>
      <c r="H1209" s="1" t="n">
        <v>1529439</v>
      </c>
      <c r="I1209" s="1" t="n">
        <v>11</v>
      </c>
      <c r="J1209" s="1" t="s">
        <v>2975</v>
      </c>
      <c r="K1209" s="67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2978</v>
      </c>
      <c r="D1210" s="1" t="s">
        <v>2979</v>
      </c>
      <c r="E1210" s="15" t="n">
        <v>46244</v>
      </c>
      <c r="F1210" s="15" t="n">
        <v>46241</v>
      </c>
      <c r="G1210" s="1" t="s">
        <v>388</v>
      </c>
      <c r="H1210" s="1" t="n">
        <v>1529526</v>
      </c>
      <c r="I1210" s="1" t="n">
        <v>11</v>
      </c>
      <c r="J1210" s="1" t="s">
        <v>2975</v>
      </c>
      <c r="K1210" s="67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2976</v>
      </c>
      <c r="D1211" s="1" t="s">
        <v>3037</v>
      </c>
      <c r="E1211" s="15" t="n">
        <v>46244</v>
      </c>
      <c r="F1211" s="15" t="n">
        <v>46240</v>
      </c>
      <c r="G1211" s="1" t="s">
        <v>253</v>
      </c>
      <c r="H1211" s="1" t="n">
        <v>1529467</v>
      </c>
      <c r="I1211" s="1" t="n">
        <v>11</v>
      </c>
      <c r="J1211" s="1" t="s">
        <v>2975</v>
      </c>
      <c r="K1211" s="67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2981</v>
      </c>
      <c r="D1212" s="1" t="s">
        <v>2982</v>
      </c>
      <c r="E1212" s="15" t="n">
        <v>46244</v>
      </c>
      <c r="F1212" s="15" t="n">
        <v>46244</v>
      </c>
      <c r="G1212" s="1" t="s">
        <v>591</v>
      </c>
      <c r="H1212" s="1" t="n">
        <v>1530153</v>
      </c>
      <c r="I1212" s="1" t="n">
        <v>1</v>
      </c>
      <c r="J1212" s="1" t="s">
        <v>2975</v>
      </c>
      <c r="K1212" s="67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2976</v>
      </c>
      <c r="D1213" s="1" t="s">
        <v>3038</v>
      </c>
      <c r="E1213" s="15" t="n">
        <v>46244</v>
      </c>
      <c r="F1213" s="15" t="n">
        <v>46240</v>
      </c>
      <c r="G1213" s="1" t="s">
        <v>193</v>
      </c>
      <c r="H1213" s="1" t="n">
        <v>1528923</v>
      </c>
      <c r="I1213" s="1" t="n">
        <v>11</v>
      </c>
      <c r="J1213" s="1" t="s">
        <v>2975</v>
      </c>
      <c r="K1213" s="67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2973</v>
      </c>
      <c r="D1214" s="1" t="s">
        <v>2984</v>
      </c>
      <c r="E1214" s="15" t="n">
        <v>46244</v>
      </c>
      <c r="F1214" s="15" t="n">
        <v>46244</v>
      </c>
      <c r="G1214" s="1" t="s">
        <v>97</v>
      </c>
      <c r="H1214" s="1" t="n">
        <v>1536219</v>
      </c>
      <c r="I1214" s="1" t="n">
        <v>1</v>
      </c>
      <c r="J1214" s="1" t="s">
        <v>2975</v>
      </c>
      <c r="K1214" s="67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2976</v>
      </c>
      <c r="D1215" s="1" t="s">
        <v>3084</v>
      </c>
      <c r="E1215" s="15" t="n">
        <v>46244</v>
      </c>
      <c r="F1215" s="15" t="n">
        <v>46240</v>
      </c>
      <c r="G1215" s="1" t="s">
        <v>240</v>
      </c>
      <c r="H1215" s="1" t="n">
        <v>1529455</v>
      </c>
      <c r="I1215" s="1" t="n">
        <v>11</v>
      </c>
      <c r="J1215" s="1" t="s">
        <v>2975</v>
      </c>
      <c r="K1215" s="67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2976</v>
      </c>
      <c r="D1216" s="1" t="s">
        <v>3083</v>
      </c>
      <c r="E1216" s="15" t="n">
        <v>46244</v>
      </c>
      <c r="F1216" s="15" t="n">
        <v>46242</v>
      </c>
      <c r="G1216" s="1" t="s">
        <v>770</v>
      </c>
      <c r="H1216" s="1" t="n">
        <v>1528426</v>
      </c>
      <c r="I1216" s="1" t="n">
        <v>11</v>
      </c>
      <c r="J1216" s="1" t="s">
        <v>2975</v>
      </c>
      <c r="K1216" s="67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2976</v>
      </c>
      <c r="D1217" s="1" t="s">
        <v>3026</v>
      </c>
      <c r="E1217" s="15" t="n">
        <v>46244</v>
      </c>
      <c r="F1217" s="15" t="n">
        <v>46241</v>
      </c>
      <c r="G1217" s="1" t="s">
        <v>309</v>
      </c>
      <c r="H1217" s="1" t="n">
        <v>1529311</v>
      </c>
      <c r="I1217" s="1" t="n">
        <v>11</v>
      </c>
      <c r="J1217" s="1" t="s">
        <v>2975</v>
      </c>
      <c r="K1217" s="67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2976</v>
      </c>
      <c r="D1218" s="1" t="s">
        <v>3000</v>
      </c>
      <c r="E1218" s="15" t="n">
        <v>46244</v>
      </c>
      <c r="F1218" s="15" t="n">
        <v>46240</v>
      </c>
      <c r="G1218" s="1" t="s">
        <v>155</v>
      </c>
      <c r="H1218" s="1" t="n">
        <v>1528659</v>
      </c>
      <c r="I1218" s="1" t="n">
        <v>11</v>
      </c>
      <c r="J1218" s="1" t="s">
        <v>2975</v>
      </c>
      <c r="K1218" s="67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2976</v>
      </c>
      <c r="D1219" s="1" t="s">
        <v>3085</v>
      </c>
      <c r="E1219" s="15" t="n">
        <v>46244</v>
      </c>
      <c r="F1219" s="15" t="n">
        <v>46240</v>
      </c>
      <c r="G1219" s="1" t="s">
        <v>217</v>
      </c>
      <c r="H1219" s="1" t="n">
        <v>1528833</v>
      </c>
      <c r="I1219" s="1" t="n">
        <v>11</v>
      </c>
      <c r="J1219" s="1" t="s">
        <v>2975</v>
      </c>
      <c r="K1219" s="67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2976</v>
      </c>
      <c r="D1220" s="1" t="s">
        <v>3015</v>
      </c>
      <c r="E1220" s="15" t="n">
        <v>46244</v>
      </c>
      <c r="F1220" s="15" t="n">
        <v>46241</v>
      </c>
      <c r="G1220" s="1" t="s">
        <v>278</v>
      </c>
      <c r="H1220" s="1" t="n">
        <v>1528790</v>
      </c>
      <c r="I1220" s="1" t="n">
        <v>11</v>
      </c>
      <c r="J1220" s="1" t="s">
        <v>2975</v>
      </c>
      <c r="K1220" s="67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2978</v>
      </c>
      <c r="D1221" s="1" t="s">
        <v>3115</v>
      </c>
      <c r="E1221" s="15" t="n">
        <v>46244</v>
      </c>
      <c r="F1221" s="15" t="n">
        <v>46239</v>
      </c>
      <c r="G1221" s="1" t="s">
        <v>433</v>
      </c>
      <c r="H1221" s="1" t="n">
        <v>1529569</v>
      </c>
      <c r="I1221" s="1" t="n">
        <v>39</v>
      </c>
      <c r="J1221" s="1" t="s">
        <v>2975</v>
      </c>
      <c r="K1221" s="67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2976</v>
      </c>
      <c r="D1222" s="1" t="s">
        <v>2986</v>
      </c>
      <c r="E1222" s="15" t="n">
        <v>46244</v>
      </c>
      <c r="F1222" s="15" t="n">
        <v>46241</v>
      </c>
      <c r="G1222" s="1" t="s">
        <v>211</v>
      </c>
      <c r="H1222" s="1" t="n">
        <v>1530059</v>
      </c>
      <c r="I1222" s="1" t="n">
        <v>11</v>
      </c>
      <c r="J1222" s="1" t="s">
        <v>2975</v>
      </c>
      <c r="K1222" s="67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2976</v>
      </c>
      <c r="D1223" s="1" t="s">
        <v>2986</v>
      </c>
      <c r="E1223" s="15" t="n">
        <v>46244</v>
      </c>
      <c r="F1223" s="15" t="n">
        <v>46242</v>
      </c>
      <c r="G1223" s="1" t="s">
        <v>211</v>
      </c>
      <c r="H1223" s="1" t="n">
        <v>1530239</v>
      </c>
      <c r="I1223" s="1" t="n">
        <v>11</v>
      </c>
      <c r="J1223" s="1" t="s">
        <v>2975</v>
      </c>
      <c r="K1223" s="67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2976</v>
      </c>
      <c r="D1224" s="1" t="s">
        <v>2986</v>
      </c>
      <c r="E1224" s="15" t="n">
        <v>46244</v>
      </c>
      <c r="F1224" s="15" t="n">
        <v>46242</v>
      </c>
      <c r="G1224" s="1" t="s">
        <v>211</v>
      </c>
      <c r="H1224" s="1" t="n">
        <v>1530112</v>
      </c>
      <c r="I1224" s="1" t="n">
        <v>11</v>
      </c>
      <c r="J1224" s="1" t="s">
        <v>2975</v>
      </c>
      <c r="K1224" s="67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3067</v>
      </c>
      <c r="D1225" s="1" t="s">
        <v>3068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2975</v>
      </c>
      <c r="K1225" s="67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2976</v>
      </c>
      <c r="D1226" s="1" t="s">
        <v>3002</v>
      </c>
      <c r="E1226" s="15" t="n">
        <v>46244</v>
      </c>
      <c r="F1226" s="15" t="n">
        <v>46240</v>
      </c>
      <c r="G1226" s="1" t="s">
        <v>323</v>
      </c>
      <c r="H1226" s="1" t="n">
        <v>1528682</v>
      </c>
      <c r="I1226" s="1" t="n">
        <v>11</v>
      </c>
      <c r="J1226" s="1" t="s">
        <v>2975</v>
      </c>
      <c r="K1226" s="67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3016</v>
      </c>
      <c r="D1227" s="1" t="s">
        <v>3017</v>
      </c>
      <c r="E1227" s="15" t="n">
        <v>46244</v>
      </c>
      <c r="F1227" s="15" t="n">
        <v>46241</v>
      </c>
      <c r="G1227" s="1" t="s">
        <v>144</v>
      </c>
      <c r="H1227" s="1" t="n">
        <v>1529284</v>
      </c>
      <c r="I1227" s="1" t="n">
        <v>11</v>
      </c>
      <c r="J1227" s="1" t="s">
        <v>2975</v>
      </c>
      <c r="K1227" s="67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2976</v>
      </c>
      <c r="D1228" s="1" t="s">
        <v>3018</v>
      </c>
      <c r="E1228" s="15" t="n">
        <v>46244</v>
      </c>
      <c r="F1228" s="15" t="n">
        <v>46240</v>
      </c>
      <c r="G1228" s="1" t="s">
        <v>258</v>
      </c>
      <c r="H1228" s="1" t="n">
        <v>1528890</v>
      </c>
      <c r="I1228" s="1" t="n">
        <v>11</v>
      </c>
      <c r="J1228" s="1" t="s">
        <v>2975</v>
      </c>
      <c r="K1228" s="67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2973</v>
      </c>
      <c r="D1229" s="1" t="s">
        <v>3003</v>
      </c>
      <c r="E1229" s="15" t="n">
        <v>46244</v>
      </c>
      <c r="F1229" s="15" t="n">
        <v>46241</v>
      </c>
      <c r="G1229" s="1" t="s">
        <v>74</v>
      </c>
      <c r="H1229" s="1" t="n">
        <v>1528673</v>
      </c>
      <c r="I1229" s="1" t="n">
        <v>11</v>
      </c>
      <c r="J1229" s="1" t="s">
        <v>2975</v>
      </c>
      <c r="K1229" s="67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2973</v>
      </c>
      <c r="D1230" s="1" t="s">
        <v>3003</v>
      </c>
      <c r="E1230" s="15" t="n">
        <v>46244</v>
      </c>
      <c r="F1230" s="15" t="n">
        <v>46242</v>
      </c>
      <c r="G1230" s="1" t="s">
        <v>74</v>
      </c>
      <c r="H1230" s="1" t="n">
        <v>1528756</v>
      </c>
      <c r="I1230" s="1" t="n">
        <v>11</v>
      </c>
      <c r="J1230" s="1" t="s">
        <v>2975</v>
      </c>
      <c r="K1230" s="67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2976</v>
      </c>
      <c r="D1231" s="1" t="s">
        <v>3009</v>
      </c>
      <c r="E1231" s="15" t="n">
        <v>46244</v>
      </c>
      <c r="F1231" s="15" t="n">
        <v>46240</v>
      </c>
      <c r="G1231" s="1" t="s">
        <v>383</v>
      </c>
      <c r="H1231" s="1" t="n">
        <v>1529389</v>
      </c>
      <c r="I1231" s="1" t="n">
        <v>39</v>
      </c>
      <c r="J1231" s="1" t="s">
        <v>2975</v>
      </c>
      <c r="K1231" s="67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2976</v>
      </c>
      <c r="D1232" s="1" t="s">
        <v>3009</v>
      </c>
      <c r="E1232" s="15" t="n">
        <v>46244</v>
      </c>
      <c r="F1232" s="15" t="n">
        <v>46240</v>
      </c>
      <c r="G1232" s="1" t="s">
        <v>383</v>
      </c>
      <c r="H1232" s="1" t="n">
        <v>1528690</v>
      </c>
      <c r="I1232" s="1" t="n">
        <v>11</v>
      </c>
      <c r="J1232" s="1" t="s">
        <v>2975</v>
      </c>
      <c r="K1232" s="67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3069</v>
      </c>
      <c r="D1233" s="1" t="s">
        <v>3070</v>
      </c>
      <c r="E1233" s="15" t="n">
        <v>46244</v>
      </c>
      <c r="F1233" s="15" t="n">
        <v>46239</v>
      </c>
      <c r="G1233" s="1" t="s">
        <v>688</v>
      </c>
      <c r="H1233" s="1" t="n">
        <v>1528735</v>
      </c>
      <c r="I1233" s="1" t="n">
        <v>11</v>
      </c>
      <c r="J1233" s="1" t="s">
        <v>2975</v>
      </c>
      <c r="K1233" s="67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2976</v>
      </c>
      <c r="D1234" s="1" t="s">
        <v>2988</v>
      </c>
      <c r="E1234" s="15" t="n">
        <v>46244</v>
      </c>
      <c r="F1234" s="15" t="n">
        <v>46244</v>
      </c>
      <c r="G1234" s="1" t="s">
        <v>70</v>
      </c>
      <c r="H1234" s="1" t="n">
        <v>1528419</v>
      </c>
      <c r="I1234" s="1" t="n">
        <v>6</v>
      </c>
      <c r="J1234" s="1" t="s">
        <v>2975</v>
      </c>
      <c r="K1234" s="67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2976</v>
      </c>
      <c r="D1235" s="1" t="s">
        <v>2988</v>
      </c>
      <c r="E1235" s="15" t="n">
        <v>46244</v>
      </c>
      <c r="F1235" s="15" t="n">
        <v>46244</v>
      </c>
      <c r="G1235" s="1" t="s">
        <v>70</v>
      </c>
      <c r="H1235" s="1" t="n">
        <v>1528628</v>
      </c>
      <c r="I1235" s="1" t="n">
        <v>6</v>
      </c>
      <c r="J1235" s="1" t="s">
        <v>2975</v>
      </c>
      <c r="K1235" s="67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2976</v>
      </c>
      <c r="D1236" s="1" t="s">
        <v>2988</v>
      </c>
      <c r="E1236" s="15" t="n">
        <v>46244</v>
      </c>
      <c r="F1236" s="15" t="n">
        <v>46244</v>
      </c>
      <c r="G1236" s="1" t="s">
        <v>70</v>
      </c>
      <c r="H1236" s="1" t="n">
        <v>1528663</v>
      </c>
      <c r="I1236" s="1" t="n">
        <v>6</v>
      </c>
      <c r="J1236" s="1" t="s">
        <v>2975</v>
      </c>
      <c r="K1236" s="67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2976</v>
      </c>
      <c r="D1237" s="1" t="s">
        <v>2989</v>
      </c>
      <c r="E1237" s="15" t="n">
        <v>46244</v>
      </c>
      <c r="F1237" s="15" t="n">
        <v>46242</v>
      </c>
      <c r="G1237" s="1" t="s">
        <v>157</v>
      </c>
      <c r="H1237" s="1" t="n">
        <v>1529952</v>
      </c>
      <c r="I1237" s="1" t="n">
        <v>11</v>
      </c>
      <c r="J1237" s="1" t="s">
        <v>2975</v>
      </c>
      <c r="K1237" s="67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3046</v>
      </c>
      <c r="D1238" s="1" t="s">
        <v>3047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2975</v>
      </c>
      <c r="K1238" s="67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2973</v>
      </c>
      <c r="D1239" s="1" t="s">
        <v>3062</v>
      </c>
      <c r="E1239" s="15" t="n">
        <v>46244</v>
      </c>
      <c r="F1239" s="15" t="n">
        <v>46239</v>
      </c>
      <c r="G1239" s="1" t="s">
        <v>246</v>
      </c>
      <c r="H1239" s="1" t="n">
        <v>1530362</v>
      </c>
      <c r="I1239" s="1" t="n">
        <v>11</v>
      </c>
      <c r="J1239" s="1" t="s">
        <v>2975</v>
      </c>
      <c r="K1239" s="67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2973</v>
      </c>
      <c r="D1240" s="1" t="s">
        <v>3010</v>
      </c>
      <c r="E1240" s="15" t="n">
        <v>46244</v>
      </c>
      <c r="F1240" s="15" t="n">
        <v>46241</v>
      </c>
      <c r="G1240" s="1" t="s">
        <v>319</v>
      </c>
      <c r="H1240" s="1" t="n">
        <v>1528769</v>
      </c>
      <c r="I1240" s="1" t="n">
        <v>11</v>
      </c>
      <c r="J1240" s="1" t="s">
        <v>2975</v>
      </c>
      <c r="K1240" s="67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2973</v>
      </c>
      <c r="D1241" s="1" t="s">
        <v>3136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2975</v>
      </c>
      <c r="K1241" s="67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2976</v>
      </c>
      <c r="D1242" s="1" t="s">
        <v>2996</v>
      </c>
      <c r="E1242" s="15" t="n">
        <v>46245</v>
      </c>
      <c r="F1242" s="15" t="n">
        <v>46245</v>
      </c>
      <c r="G1242" s="1" t="s">
        <v>221</v>
      </c>
      <c r="H1242" s="1" t="n">
        <v>1532725</v>
      </c>
      <c r="I1242" s="1" t="n">
        <v>1</v>
      </c>
      <c r="J1242" s="1" t="s">
        <v>2975</v>
      </c>
      <c r="K1242" s="67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2976</v>
      </c>
      <c r="D1243" s="1" t="s">
        <v>3078</v>
      </c>
      <c r="E1243" s="15" t="n">
        <v>46245</v>
      </c>
      <c r="F1243" s="15" t="n">
        <v>46242</v>
      </c>
      <c r="G1243" s="1" t="s">
        <v>134</v>
      </c>
      <c r="H1243" s="1" t="n">
        <v>1532109</v>
      </c>
      <c r="I1243" s="1" t="n">
        <v>11</v>
      </c>
      <c r="J1243" s="1" t="s">
        <v>2975</v>
      </c>
      <c r="K1243" s="67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2976</v>
      </c>
      <c r="D1244" s="1" t="s">
        <v>3134</v>
      </c>
      <c r="E1244" s="15" t="n">
        <v>46245</v>
      </c>
      <c r="F1244" s="15" t="n">
        <v>46245</v>
      </c>
      <c r="G1244" s="1" t="s">
        <v>1496</v>
      </c>
      <c r="H1244" s="1" t="n">
        <v>1536254</v>
      </c>
      <c r="I1244" s="1" t="n">
        <v>1</v>
      </c>
      <c r="J1244" s="1" t="s">
        <v>2975</v>
      </c>
      <c r="K1244" s="67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2976</v>
      </c>
      <c r="D1245" s="1" t="s">
        <v>3080</v>
      </c>
      <c r="E1245" s="15" t="n">
        <v>46245</v>
      </c>
      <c r="F1245" s="15" t="n">
        <v>46239</v>
      </c>
      <c r="G1245" s="1" t="s">
        <v>1028</v>
      </c>
      <c r="H1245" s="1" t="n">
        <v>1532148</v>
      </c>
      <c r="I1245" s="1" t="n">
        <v>11</v>
      </c>
      <c r="J1245" s="1" t="s">
        <v>2975</v>
      </c>
      <c r="K1245" s="67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2976</v>
      </c>
      <c r="D1246" s="1" t="s">
        <v>3116</v>
      </c>
      <c r="E1246" s="15" t="n">
        <v>46245</v>
      </c>
      <c r="F1246" s="15" t="n">
        <v>46234</v>
      </c>
      <c r="G1246" s="1" t="s">
        <v>80</v>
      </c>
      <c r="H1246" s="1" t="n">
        <v>1532336</v>
      </c>
      <c r="I1246" s="1" t="n">
        <v>11</v>
      </c>
      <c r="J1246" s="1" t="s">
        <v>2975</v>
      </c>
      <c r="K1246" s="67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2978</v>
      </c>
      <c r="D1247" s="1" t="s">
        <v>3151</v>
      </c>
      <c r="E1247" s="15" t="n">
        <v>46245</v>
      </c>
      <c r="F1247" s="15" t="n">
        <v>46240</v>
      </c>
      <c r="G1247" s="1" t="s">
        <v>2414</v>
      </c>
      <c r="H1247" s="1" t="n">
        <v>1531950</v>
      </c>
      <c r="I1247" s="1" t="n">
        <v>11</v>
      </c>
      <c r="J1247" s="1" t="s">
        <v>2975</v>
      </c>
      <c r="K1247" s="67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2976</v>
      </c>
      <c r="D1248" s="1" t="s">
        <v>2988</v>
      </c>
      <c r="E1248" s="15" t="n">
        <v>46245</v>
      </c>
      <c r="F1248" s="15" t="n">
        <v>46245</v>
      </c>
      <c r="G1248" s="1" t="s">
        <v>70</v>
      </c>
      <c r="H1248" s="1" t="n">
        <v>1532676</v>
      </c>
      <c r="I1248" s="1" t="n">
        <v>6</v>
      </c>
      <c r="J1248" s="1" t="s">
        <v>2975</v>
      </c>
      <c r="K1248" s="67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2976</v>
      </c>
      <c r="D1249" s="1" t="s">
        <v>2988</v>
      </c>
      <c r="E1249" s="15" t="n">
        <v>46245</v>
      </c>
      <c r="F1249" s="15" t="n">
        <v>46245</v>
      </c>
      <c r="G1249" s="1" t="s">
        <v>70</v>
      </c>
      <c r="H1249" s="1" t="n">
        <v>1533001</v>
      </c>
      <c r="I1249" s="1" t="n">
        <v>6</v>
      </c>
      <c r="J1249" s="1" t="s">
        <v>2975</v>
      </c>
      <c r="K1249" s="67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2976</v>
      </c>
      <c r="D1250" s="1" t="s">
        <v>2988</v>
      </c>
      <c r="E1250" s="15" t="n">
        <v>46245</v>
      </c>
      <c r="F1250" s="15" t="n">
        <v>46245</v>
      </c>
      <c r="G1250" s="1" t="s">
        <v>70</v>
      </c>
      <c r="H1250" s="1" t="n">
        <v>1533251</v>
      </c>
      <c r="I1250" s="1" t="n">
        <v>6</v>
      </c>
      <c r="J1250" s="1" t="s">
        <v>2975</v>
      </c>
      <c r="K1250" s="67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2976</v>
      </c>
      <c r="D1251" s="1" t="s">
        <v>3028</v>
      </c>
      <c r="E1251" s="15" t="n">
        <v>46245</v>
      </c>
      <c r="F1251" s="15" t="n">
        <v>46242</v>
      </c>
      <c r="G1251" s="1" t="s">
        <v>321</v>
      </c>
      <c r="H1251" s="1" t="n">
        <v>1531885</v>
      </c>
      <c r="I1251" s="1" t="n">
        <v>11</v>
      </c>
      <c r="J1251" s="1" t="s">
        <v>2975</v>
      </c>
      <c r="K1251" s="67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2976</v>
      </c>
      <c r="D1252" s="1" t="s">
        <v>2989</v>
      </c>
      <c r="E1252" s="15" t="n">
        <v>46245</v>
      </c>
      <c r="F1252" s="15" t="n">
        <v>46244</v>
      </c>
      <c r="G1252" s="1" t="s">
        <v>157</v>
      </c>
      <c r="H1252" s="1" t="n">
        <v>1532974</v>
      </c>
      <c r="I1252" s="1" t="n">
        <v>11</v>
      </c>
      <c r="J1252" s="1" t="s">
        <v>2975</v>
      </c>
      <c r="K1252" s="67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2976</v>
      </c>
      <c r="D1253" s="1" t="s">
        <v>3020</v>
      </c>
      <c r="E1253" s="15" t="n">
        <v>46245</v>
      </c>
      <c r="F1253" s="15" t="n">
        <v>46244</v>
      </c>
      <c r="G1253" s="1" t="s">
        <v>78</v>
      </c>
      <c r="H1253" s="1" t="n">
        <v>1531875</v>
      </c>
      <c r="I1253" s="1" t="n">
        <v>11</v>
      </c>
      <c r="J1253" s="1" t="s">
        <v>2975</v>
      </c>
      <c r="K1253" s="67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2976</v>
      </c>
      <c r="D1254" s="1" t="s">
        <v>2992</v>
      </c>
      <c r="E1254" s="15" t="n">
        <v>46246</v>
      </c>
      <c r="F1254" s="15" t="n">
        <v>46244</v>
      </c>
      <c r="G1254" s="1" t="s">
        <v>161</v>
      </c>
      <c r="H1254" s="1" t="n">
        <v>1535117</v>
      </c>
      <c r="I1254" s="1" t="n">
        <v>11</v>
      </c>
      <c r="J1254" s="1" t="s">
        <v>2975</v>
      </c>
      <c r="K1254" s="67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2976</v>
      </c>
      <c r="D1255" s="1" t="s">
        <v>3021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2975</v>
      </c>
      <c r="K1255" s="67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2976</v>
      </c>
      <c r="D1256" s="1" t="s">
        <v>3064</v>
      </c>
      <c r="E1256" s="15" t="n">
        <v>46246</v>
      </c>
      <c r="F1256" s="15" t="n">
        <v>46241</v>
      </c>
      <c r="G1256" s="1" t="s">
        <v>68</v>
      </c>
      <c r="H1256" s="1" t="n">
        <v>1536404</v>
      </c>
      <c r="I1256" s="1" t="n">
        <v>11</v>
      </c>
      <c r="J1256" s="1" t="s">
        <v>2975</v>
      </c>
      <c r="K1256" s="67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2976</v>
      </c>
      <c r="D1257" s="1" t="s">
        <v>2980</v>
      </c>
      <c r="E1257" s="15" t="n">
        <v>46246</v>
      </c>
      <c r="F1257" s="15" t="n">
        <v>46245</v>
      </c>
      <c r="G1257" s="1" t="s">
        <v>325</v>
      </c>
      <c r="H1257" s="1" t="n">
        <v>1536653</v>
      </c>
      <c r="I1257" s="1" t="n">
        <v>11</v>
      </c>
      <c r="J1257" s="1" t="s">
        <v>2975</v>
      </c>
      <c r="K1257" s="67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2981</v>
      </c>
      <c r="D1258" s="1" t="s">
        <v>2982</v>
      </c>
      <c r="E1258" s="15" t="n">
        <v>46246</v>
      </c>
      <c r="F1258" s="15" t="n">
        <v>46246</v>
      </c>
      <c r="G1258" s="1" t="s">
        <v>591</v>
      </c>
      <c r="H1258" s="1" t="n">
        <v>1543738</v>
      </c>
      <c r="I1258" s="1" t="n">
        <v>1</v>
      </c>
      <c r="J1258" s="1" t="s">
        <v>2975</v>
      </c>
      <c r="K1258" s="67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2976</v>
      </c>
      <c r="D1259" s="1" t="s">
        <v>3134</v>
      </c>
      <c r="E1259" s="15" t="n">
        <v>46246</v>
      </c>
      <c r="F1259" s="15" t="n">
        <v>46246</v>
      </c>
      <c r="G1259" s="1" t="s">
        <v>1496</v>
      </c>
      <c r="H1259" s="1" t="n">
        <v>1545850</v>
      </c>
      <c r="I1259" s="1" t="n">
        <v>1</v>
      </c>
      <c r="J1259" s="1" t="s">
        <v>2975</v>
      </c>
      <c r="K1259" s="67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2976</v>
      </c>
      <c r="D1260" s="1" t="s">
        <v>3065</v>
      </c>
      <c r="E1260" s="15" t="n">
        <v>46246</v>
      </c>
      <c r="F1260" s="15" t="n">
        <v>46238</v>
      </c>
      <c r="G1260" s="1" t="s">
        <v>146</v>
      </c>
      <c r="H1260" s="1" t="n">
        <v>1537371</v>
      </c>
      <c r="I1260" s="1" t="n">
        <v>11</v>
      </c>
      <c r="J1260" s="1" t="s">
        <v>2975</v>
      </c>
      <c r="K1260" s="67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2976</v>
      </c>
      <c r="D1261" s="1" t="s">
        <v>2988</v>
      </c>
      <c r="E1261" s="15" t="n">
        <v>46246</v>
      </c>
      <c r="F1261" s="15" t="n">
        <v>46246</v>
      </c>
      <c r="G1261" s="1" t="s">
        <v>70</v>
      </c>
      <c r="H1261" s="1" t="n">
        <v>1535362</v>
      </c>
      <c r="I1261" s="1" t="n">
        <v>6</v>
      </c>
      <c r="J1261" s="1" t="s">
        <v>2975</v>
      </c>
      <c r="K1261" s="67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2976</v>
      </c>
      <c r="D1262" s="1" t="s">
        <v>2988</v>
      </c>
      <c r="E1262" s="15" t="n">
        <v>46246</v>
      </c>
      <c r="F1262" s="15" t="n">
        <v>46246</v>
      </c>
      <c r="G1262" s="1" t="s">
        <v>70</v>
      </c>
      <c r="H1262" s="1" t="n">
        <v>1535485</v>
      </c>
      <c r="I1262" s="1" t="n">
        <v>6</v>
      </c>
      <c r="J1262" s="1" t="s">
        <v>2975</v>
      </c>
      <c r="K1262" s="67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2976</v>
      </c>
      <c r="D1263" s="1" t="s">
        <v>3152</v>
      </c>
      <c r="E1263" s="15" t="n">
        <v>46246</v>
      </c>
      <c r="F1263" s="15" t="n">
        <v>46240</v>
      </c>
      <c r="G1263" s="1" t="s">
        <v>153</v>
      </c>
      <c r="H1263" s="1" t="n">
        <v>1535111</v>
      </c>
      <c r="I1263" s="1" t="n">
        <v>11</v>
      </c>
      <c r="J1263" s="1" t="s">
        <v>2975</v>
      </c>
      <c r="K1263" s="67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2978</v>
      </c>
      <c r="D1264" s="1" t="s">
        <v>3082</v>
      </c>
      <c r="E1264" s="15" t="n">
        <v>46246</v>
      </c>
      <c r="F1264" s="15" t="n">
        <v>46239</v>
      </c>
      <c r="G1264" s="1" t="s">
        <v>373</v>
      </c>
      <c r="H1264" s="1" t="n">
        <v>1535238</v>
      </c>
      <c r="I1264" s="1" t="n">
        <v>11</v>
      </c>
      <c r="J1264" s="1" t="s">
        <v>2975</v>
      </c>
      <c r="K1264" s="67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2976</v>
      </c>
      <c r="D1265" s="1" t="s">
        <v>3153</v>
      </c>
      <c r="E1265" s="15" t="n">
        <v>46247</v>
      </c>
      <c r="F1265" s="15" t="n">
        <v>46246</v>
      </c>
      <c r="G1265" s="1" t="s">
        <v>2641</v>
      </c>
      <c r="H1265" s="1" t="n">
        <v>1540754</v>
      </c>
      <c r="I1265" s="1" t="n">
        <v>11</v>
      </c>
      <c r="J1265" s="1" t="s">
        <v>2975</v>
      </c>
      <c r="K1265" s="67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2976</v>
      </c>
      <c r="D1266" s="1" t="s">
        <v>3007</v>
      </c>
      <c r="E1266" s="15" t="n">
        <v>46247</v>
      </c>
      <c r="F1266" s="15" t="n">
        <v>46244</v>
      </c>
      <c r="G1266" s="1" t="s">
        <v>159</v>
      </c>
      <c r="H1266" s="1" t="n">
        <v>1540552</v>
      </c>
      <c r="I1266" s="1" t="n">
        <v>11</v>
      </c>
      <c r="J1266" s="1" t="s">
        <v>2975</v>
      </c>
      <c r="K1266" s="67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2976</v>
      </c>
      <c r="D1267" s="1" t="s">
        <v>3055</v>
      </c>
      <c r="E1267" s="15" t="n">
        <v>46247</v>
      </c>
      <c r="F1267" s="15" t="n">
        <v>46245</v>
      </c>
      <c r="G1267" s="1" t="s">
        <v>195</v>
      </c>
      <c r="H1267" s="1" t="n">
        <v>1540832</v>
      </c>
      <c r="I1267" s="1" t="n">
        <v>11</v>
      </c>
      <c r="J1267" s="1" t="s">
        <v>2975</v>
      </c>
      <c r="K1267" s="67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2978</v>
      </c>
      <c r="D1268" s="1" t="s">
        <v>3154</v>
      </c>
      <c r="E1268" s="15" t="n">
        <v>46247</v>
      </c>
      <c r="F1268" s="15" t="n">
        <v>46241</v>
      </c>
      <c r="G1268" s="1" t="s">
        <v>2625</v>
      </c>
      <c r="H1268" s="1" t="n">
        <v>1543119</v>
      </c>
      <c r="I1268" s="1" t="n">
        <v>11</v>
      </c>
      <c r="J1268" s="1" t="s">
        <v>2975</v>
      </c>
      <c r="K1268" s="67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2976</v>
      </c>
      <c r="D1269" s="1" t="s">
        <v>2995</v>
      </c>
      <c r="E1269" s="15" t="n">
        <v>46247</v>
      </c>
      <c r="F1269" s="15" t="n">
        <v>46246</v>
      </c>
      <c r="G1269" s="1" t="s">
        <v>264</v>
      </c>
      <c r="H1269" s="1" t="n">
        <v>1543732</v>
      </c>
      <c r="I1269" s="1" t="n">
        <v>11</v>
      </c>
      <c r="J1269" s="1" t="s">
        <v>2975</v>
      </c>
      <c r="K1269" s="67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2976</v>
      </c>
      <c r="D1270" s="1" t="s">
        <v>2995</v>
      </c>
      <c r="E1270" s="15" t="n">
        <v>46247</v>
      </c>
      <c r="F1270" s="15" t="n">
        <v>46247</v>
      </c>
      <c r="G1270" s="1" t="s">
        <v>264</v>
      </c>
      <c r="H1270" s="1" t="n">
        <v>1543872</v>
      </c>
      <c r="I1270" s="1" t="n">
        <v>11</v>
      </c>
      <c r="J1270" s="1" t="s">
        <v>2975</v>
      </c>
      <c r="K1270" s="67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2978</v>
      </c>
      <c r="D1271" s="1" t="s">
        <v>2979</v>
      </c>
      <c r="E1271" s="15" t="n">
        <v>46247</v>
      </c>
      <c r="F1271" s="15" t="n">
        <v>46247</v>
      </c>
      <c r="G1271" s="1" t="s">
        <v>388</v>
      </c>
      <c r="H1271" s="1" t="n">
        <v>1546221</v>
      </c>
      <c r="I1271" s="1" t="n">
        <v>1</v>
      </c>
      <c r="J1271" s="1" t="s">
        <v>2975</v>
      </c>
      <c r="K1271" s="67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2976</v>
      </c>
      <c r="D1272" s="1" t="s">
        <v>3049</v>
      </c>
      <c r="E1272" s="15" t="n">
        <v>46247</v>
      </c>
      <c r="F1272" s="15" t="n">
        <v>46244</v>
      </c>
      <c r="G1272" s="1" t="s">
        <v>608</v>
      </c>
      <c r="H1272" s="1" t="n">
        <v>1540693</v>
      </c>
      <c r="I1272" s="1" t="n">
        <v>47</v>
      </c>
      <c r="J1272" s="1" t="s">
        <v>2975</v>
      </c>
      <c r="K1272" s="67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2976</v>
      </c>
      <c r="D1273" s="1" t="s">
        <v>2997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2975</v>
      </c>
      <c r="K1273" s="67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2976</v>
      </c>
      <c r="D1274" s="1" t="s">
        <v>3064</v>
      </c>
      <c r="E1274" s="15" t="n">
        <v>46247</v>
      </c>
      <c r="F1274" s="15" t="n">
        <v>46245</v>
      </c>
      <c r="G1274" s="1" t="s">
        <v>68</v>
      </c>
      <c r="H1274" s="1" t="n">
        <v>1542474</v>
      </c>
      <c r="I1274" s="1" t="n">
        <v>11</v>
      </c>
      <c r="J1274" s="1" t="s">
        <v>2975</v>
      </c>
      <c r="K1274" s="67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2976</v>
      </c>
      <c r="D1275" s="1" t="s">
        <v>3039</v>
      </c>
      <c r="E1275" s="15" t="n">
        <v>46247</v>
      </c>
      <c r="F1275" s="15" t="n">
        <v>46245</v>
      </c>
      <c r="G1275" s="1" t="s">
        <v>191</v>
      </c>
      <c r="H1275" s="1" t="n">
        <v>1540684</v>
      </c>
      <c r="I1275" s="1" t="n">
        <v>11</v>
      </c>
      <c r="J1275" s="1" t="s">
        <v>2975</v>
      </c>
      <c r="K1275" s="67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2976</v>
      </c>
      <c r="D1276" s="1" t="s">
        <v>2998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2975</v>
      </c>
      <c r="K1276" s="67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2973</v>
      </c>
      <c r="D1277" s="1" t="s">
        <v>2999</v>
      </c>
      <c r="E1277" s="15" t="n">
        <v>46247</v>
      </c>
      <c r="F1277" s="15" t="n">
        <v>46244</v>
      </c>
      <c r="G1277" s="1" t="s">
        <v>76</v>
      </c>
      <c r="H1277" s="1" t="n">
        <v>1540548</v>
      </c>
      <c r="I1277" s="1" t="n">
        <v>11</v>
      </c>
      <c r="J1277" s="1" t="s">
        <v>2975</v>
      </c>
      <c r="K1277" s="67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2973</v>
      </c>
      <c r="D1278" s="1" t="s">
        <v>2984</v>
      </c>
      <c r="E1278" s="15" t="n">
        <v>46247</v>
      </c>
      <c r="F1278" s="15" t="n">
        <v>46247</v>
      </c>
      <c r="G1278" s="1" t="s">
        <v>97</v>
      </c>
      <c r="H1278" s="1" t="n">
        <v>1545903</v>
      </c>
      <c r="I1278" s="1" t="n">
        <v>1</v>
      </c>
      <c r="J1278" s="1" t="s">
        <v>2975</v>
      </c>
      <c r="K1278" s="67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2976</v>
      </c>
      <c r="D1279" s="1" t="s">
        <v>3134</v>
      </c>
      <c r="E1279" s="15" t="n">
        <v>46247</v>
      </c>
      <c r="F1279" s="15" t="n">
        <v>46247</v>
      </c>
      <c r="G1279" s="1" t="s">
        <v>1496</v>
      </c>
      <c r="H1279" s="1" t="n">
        <v>1545809</v>
      </c>
      <c r="I1279" s="1" t="n">
        <v>1</v>
      </c>
      <c r="J1279" s="1" t="s">
        <v>2975</v>
      </c>
      <c r="K1279" s="67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2976</v>
      </c>
      <c r="D1280" s="1" t="s">
        <v>3155</v>
      </c>
      <c r="E1280" s="15" t="n">
        <v>46247</v>
      </c>
      <c r="F1280" s="15" t="n">
        <v>46244</v>
      </c>
      <c r="G1280" s="1" t="s">
        <v>2467</v>
      </c>
      <c r="H1280" s="1" t="n">
        <v>1540722</v>
      </c>
      <c r="I1280" s="1" t="n">
        <v>11</v>
      </c>
      <c r="J1280" s="1" t="s">
        <v>2975</v>
      </c>
      <c r="K1280" s="67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2976</v>
      </c>
      <c r="D1281" s="1" t="s">
        <v>3081</v>
      </c>
      <c r="E1281" s="15" t="n">
        <v>46247</v>
      </c>
      <c r="F1281" s="15" t="n">
        <v>46240</v>
      </c>
      <c r="G1281" s="1" t="s">
        <v>201</v>
      </c>
      <c r="H1281" s="1" t="n">
        <v>1540966</v>
      </c>
      <c r="I1281" s="1" t="n">
        <v>11</v>
      </c>
      <c r="J1281" s="1" t="s">
        <v>2975</v>
      </c>
      <c r="K1281" s="67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2976</v>
      </c>
      <c r="D1282" s="1" t="s">
        <v>3002</v>
      </c>
      <c r="E1282" s="15" t="n">
        <v>46247</v>
      </c>
      <c r="F1282" s="15" t="n">
        <v>46244</v>
      </c>
      <c r="G1282" s="1" t="s">
        <v>323</v>
      </c>
      <c r="H1282" s="1" t="n">
        <v>1540537</v>
      </c>
      <c r="I1282" s="1" t="n">
        <v>11</v>
      </c>
      <c r="J1282" s="1" t="s">
        <v>2975</v>
      </c>
      <c r="K1282" s="67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3016</v>
      </c>
      <c r="D1283" s="1" t="s">
        <v>3017</v>
      </c>
      <c r="E1283" s="15" t="n">
        <v>46247</v>
      </c>
      <c r="F1283" s="15" t="n">
        <v>46245</v>
      </c>
      <c r="G1283" s="1" t="s">
        <v>144</v>
      </c>
      <c r="H1283" s="1" t="n">
        <v>1540530</v>
      </c>
      <c r="I1283" s="1" t="n">
        <v>11</v>
      </c>
      <c r="J1283" s="1" t="s">
        <v>2975</v>
      </c>
      <c r="K1283" s="67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2978</v>
      </c>
      <c r="D1284" s="1" t="s">
        <v>3059</v>
      </c>
      <c r="E1284" s="15" t="n">
        <v>46247</v>
      </c>
      <c r="F1284" s="15" t="n">
        <v>46245</v>
      </c>
      <c r="G1284" s="1" t="s">
        <v>130</v>
      </c>
      <c r="H1284" s="1" t="n">
        <v>1542147</v>
      </c>
      <c r="I1284" s="1" t="n">
        <v>11</v>
      </c>
      <c r="J1284" s="1" t="s">
        <v>2975</v>
      </c>
      <c r="K1284" s="67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2978</v>
      </c>
      <c r="D1285" s="1" t="s">
        <v>3019</v>
      </c>
      <c r="E1285" s="15" t="n">
        <v>46247</v>
      </c>
      <c r="F1285" s="15" t="n">
        <v>46246</v>
      </c>
      <c r="G1285" s="1" t="s">
        <v>703</v>
      </c>
      <c r="H1285" s="1" t="n">
        <v>1542714</v>
      </c>
      <c r="I1285" s="1" t="n">
        <v>11</v>
      </c>
      <c r="J1285" s="1" t="s">
        <v>2975</v>
      </c>
      <c r="K1285" s="67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2973</v>
      </c>
      <c r="D1286" s="1" t="s">
        <v>3003</v>
      </c>
      <c r="E1286" s="15" t="n">
        <v>46247</v>
      </c>
      <c r="F1286" s="15" t="n">
        <v>46244</v>
      </c>
      <c r="G1286" s="1" t="s">
        <v>74</v>
      </c>
      <c r="H1286" s="1" t="n">
        <v>1540551</v>
      </c>
      <c r="I1286" s="1" t="n">
        <v>11</v>
      </c>
      <c r="J1286" s="1" t="s">
        <v>2975</v>
      </c>
      <c r="K1286" s="67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2973</v>
      </c>
      <c r="D1287" s="1" t="s">
        <v>3003</v>
      </c>
      <c r="E1287" s="15" t="n">
        <v>46247</v>
      </c>
      <c r="F1287" s="15" t="n">
        <v>46245</v>
      </c>
      <c r="G1287" s="1" t="s">
        <v>74</v>
      </c>
      <c r="H1287" s="1" t="n">
        <v>1540663</v>
      </c>
      <c r="I1287" s="1" t="n">
        <v>11</v>
      </c>
      <c r="J1287" s="1" t="s">
        <v>2975</v>
      </c>
      <c r="K1287" s="67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2976</v>
      </c>
      <c r="D1288" s="1" t="s">
        <v>2988</v>
      </c>
      <c r="E1288" s="15" t="n">
        <v>46247</v>
      </c>
      <c r="F1288" s="15" t="n">
        <v>46247</v>
      </c>
      <c r="G1288" s="1" t="s">
        <v>70</v>
      </c>
      <c r="H1288" s="1" t="n">
        <v>1541317</v>
      </c>
      <c r="I1288" s="1" t="n">
        <v>6</v>
      </c>
      <c r="J1288" s="1" t="s">
        <v>2975</v>
      </c>
      <c r="K1288" s="67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2976</v>
      </c>
      <c r="D1289" s="1" t="s">
        <v>2988</v>
      </c>
      <c r="E1289" s="15" t="n">
        <v>46247</v>
      </c>
      <c r="F1289" s="15" t="n">
        <v>46247</v>
      </c>
      <c r="G1289" s="1" t="s">
        <v>70</v>
      </c>
      <c r="H1289" s="1" t="n">
        <v>1543506</v>
      </c>
      <c r="I1289" s="1" t="n">
        <v>6</v>
      </c>
      <c r="J1289" s="1" t="s">
        <v>2975</v>
      </c>
      <c r="K1289" s="67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2976</v>
      </c>
      <c r="D1290" s="1" t="s">
        <v>3053</v>
      </c>
      <c r="E1290" s="15" t="n">
        <v>46247</v>
      </c>
      <c r="F1290" s="15" t="n">
        <v>46245</v>
      </c>
      <c r="G1290" s="1" t="s">
        <v>628</v>
      </c>
      <c r="H1290" s="1" t="n">
        <v>1540706</v>
      </c>
      <c r="I1290" s="1" t="n">
        <v>45</v>
      </c>
      <c r="J1290" s="1" t="s">
        <v>2975</v>
      </c>
      <c r="K1290" s="67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2973</v>
      </c>
      <c r="D1291" s="1" t="s">
        <v>3010</v>
      </c>
      <c r="E1291" s="15" t="n">
        <v>46247</v>
      </c>
      <c r="F1291" s="15" t="n">
        <v>46245</v>
      </c>
      <c r="G1291" s="1" t="s">
        <v>319</v>
      </c>
      <c r="H1291" s="1" t="n">
        <v>1540657</v>
      </c>
      <c r="I1291" s="1" t="n">
        <v>11</v>
      </c>
      <c r="J1291" s="1" t="s">
        <v>2975</v>
      </c>
      <c r="K1291" s="67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2973</v>
      </c>
      <c r="D1292" s="1" t="s">
        <v>3136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2975</v>
      </c>
      <c r="K1292" s="67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2976</v>
      </c>
      <c r="D1293" s="1" t="s">
        <v>2993</v>
      </c>
      <c r="E1293" s="15" t="n">
        <v>46248</v>
      </c>
      <c r="F1293" s="15" t="n">
        <v>46246</v>
      </c>
      <c r="G1293" s="1" t="s">
        <v>328</v>
      </c>
      <c r="H1293" s="1" t="n">
        <v>1547028</v>
      </c>
      <c r="I1293" s="1" t="n">
        <v>11</v>
      </c>
      <c r="J1293" s="1" t="s">
        <v>2975</v>
      </c>
      <c r="K1293" s="67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2976</v>
      </c>
      <c r="D1294" s="1" t="s">
        <v>3072</v>
      </c>
      <c r="E1294" s="15" t="n">
        <v>46248</v>
      </c>
      <c r="F1294" s="15" t="n">
        <v>46245</v>
      </c>
      <c r="G1294" s="1" t="s">
        <v>934</v>
      </c>
      <c r="H1294" s="1" t="n">
        <v>1547586</v>
      </c>
      <c r="I1294" s="1" t="n">
        <v>11</v>
      </c>
      <c r="J1294" s="1" t="s">
        <v>2975</v>
      </c>
      <c r="K1294" s="67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2976</v>
      </c>
      <c r="D1295" s="1" t="s">
        <v>3156</v>
      </c>
      <c r="E1295" s="15" t="n">
        <v>46248</v>
      </c>
      <c r="F1295" s="15" t="n">
        <v>46245</v>
      </c>
      <c r="G1295" s="1" t="s">
        <v>359</v>
      </c>
      <c r="H1295" s="1" t="n">
        <v>1547482</v>
      </c>
      <c r="I1295" s="1" t="n">
        <v>11</v>
      </c>
      <c r="J1295" s="1" t="s">
        <v>2975</v>
      </c>
      <c r="K1295" s="67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2976</v>
      </c>
      <c r="D1296" s="1" t="s">
        <v>3063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2975</v>
      </c>
      <c r="K1296" s="67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2976</v>
      </c>
      <c r="D1297" s="1" t="s">
        <v>3063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2975</v>
      </c>
      <c r="K1297" s="67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2976</v>
      </c>
      <c r="D1298" s="1" t="s">
        <v>3063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2975</v>
      </c>
      <c r="K1298" s="67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2976</v>
      </c>
      <c r="D1299" s="1" t="s">
        <v>3063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2975</v>
      </c>
      <c r="K1299" s="67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2976</v>
      </c>
      <c r="D1300" s="1" t="s">
        <v>3063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2975</v>
      </c>
      <c r="K1300" s="67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2976</v>
      </c>
      <c r="D1301" s="1" t="s">
        <v>3063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2975</v>
      </c>
      <c r="K1301" s="67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2976</v>
      </c>
      <c r="D1302" s="1" t="s">
        <v>3063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2975</v>
      </c>
      <c r="K1302" s="67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2976</v>
      </c>
      <c r="D1303" s="1" t="s">
        <v>3063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2975</v>
      </c>
      <c r="K1303" s="67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2976</v>
      </c>
      <c r="D1304" s="1" t="s">
        <v>3063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2975</v>
      </c>
      <c r="K1304" s="67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2976</v>
      </c>
      <c r="D1305" s="1" t="s">
        <v>3063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2975</v>
      </c>
      <c r="K1305" s="67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2976</v>
      </c>
      <c r="D1306" s="1" t="s">
        <v>2996</v>
      </c>
      <c r="E1306" s="15" t="n">
        <v>46248</v>
      </c>
      <c r="F1306" s="15" t="n">
        <v>46248</v>
      </c>
      <c r="G1306" s="1" t="s">
        <v>221</v>
      </c>
      <c r="H1306" s="1" t="n">
        <v>1551275</v>
      </c>
      <c r="I1306" s="1" t="n">
        <v>1</v>
      </c>
      <c r="J1306" s="1" t="s">
        <v>2975</v>
      </c>
      <c r="K1306" s="67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2981</v>
      </c>
      <c r="D1307" s="1" t="s">
        <v>2982</v>
      </c>
      <c r="E1307" s="15" t="n">
        <v>46248</v>
      </c>
      <c r="F1307" s="15" t="n">
        <v>46248</v>
      </c>
      <c r="G1307" s="1" t="s">
        <v>591</v>
      </c>
      <c r="H1307" s="1" t="n">
        <v>1551760</v>
      </c>
      <c r="I1307" s="1" t="n">
        <v>1</v>
      </c>
      <c r="J1307" s="1" t="s">
        <v>2975</v>
      </c>
      <c r="K1307" s="67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2976</v>
      </c>
      <c r="D1308" s="1" t="s">
        <v>3134</v>
      </c>
      <c r="E1308" s="15" t="n">
        <v>46248</v>
      </c>
      <c r="F1308" s="15" t="n">
        <v>46248</v>
      </c>
      <c r="G1308" s="1" t="s">
        <v>1496</v>
      </c>
      <c r="H1308" s="1" t="n">
        <v>1551640</v>
      </c>
      <c r="I1308" s="1" t="n">
        <v>1</v>
      </c>
      <c r="J1308" s="1" t="s">
        <v>2975</v>
      </c>
      <c r="K1308" s="67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2976</v>
      </c>
      <c r="D1309" s="1" t="s">
        <v>3013</v>
      </c>
      <c r="E1309" s="15" t="n">
        <v>46248</v>
      </c>
      <c r="F1309" s="15" t="n">
        <v>46246</v>
      </c>
      <c r="G1309" s="1" t="s">
        <v>64</v>
      </c>
      <c r="H1309" s="1" t="n">
        <v>1547230</v>
      </c>
      <c r="I1309" s="1" t="n">
        <v>11</v>
      </c>
      <c r="J1309" s="1" t="s">
        <v>2975</v>
      </c>
      <c r="K1309" s="67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2976</v>
      </c>
      <c r="D1310" s="1" t="s">
        <v>3005</v>
      </c>
      <c r="E1310" s="15" t="n">
        <v>46248</v>
      </c>
      <c r="F1310" s="15" t="n">
        <v>46248</v>
      </c>
      <c r="G1310" s="1" t="s">
        <v>336</v>
      </c>
      <c r="H1310" s="1" t="n">
        <v>1567959</v>
      </c>
      <c r="I1310" s="1" t="n">
        <v>1</v>
      </c>
      <c r="J1310" s="1" t="s">
        <v>2975</v>
      </c>
      <c r="K1310" s="67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2976</v>
      </c>
      <c r="D1311" s="1" t="s">
        <v>3026</v>
      </c>
      <c r="E1311" s="15" t="n">
        <v>46248</v>
      </c>
      <c r="F1311" s="15" t="n">
        <v>46247</v>
      </c>
      <c r="G1311" s="1" t="s">
        <v>309</v>
      </c>
      <c r="H1311" s="1" t="n">
        <v>1545353</v>
      </c>
      <c r="I1311" s="1" t="n">
        <v>11</v>
      </c>
      <c r="J1311" s="1" t="s">
        <v>2975</v>
      </c>
      <c r="K1311" s="67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2976</v>
      </c>
      <c r="D1312" s="1" t="s">
        <v>3018</v>
      </c>
      <c r="E1312" s="15" t="n">
        <v>46248</v>
      </c>
      <c r="F1312" s="15" t="n">
        <v>46247</v>
      </c>
      <c r="G1312" s="1" t="s">
        <v>258</v>
      </c>
      <c r="H1312" s="1" t="n">
        <v>1547178</v>
      </c>
      <c r="I1312" s="1" t="n">
        <v>11</v>
      </c>
      <c r="J1312" s="1" t="s">
        <v>2975</v>
      </c>
      <c r="K1312" s="67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2973</v>
      </c>
      <c r="D1313" s="1" t="s">
        <v>3003</v>
      </c>
      <c r="E1313" s="15" t="n">
        <v>46248</v>
      </c>
      <c r="F1313" s="15" t="n">
        <v>46247</v>
      </c>
      <c r="G1313" s="1" t="s">
        <v>74</v>
      </c>
      <c r="H1313" s="1" t="n">
        <v>1547109</v>
      </c>
      <c r="I1313" s="1" t="n">
        <v>11</v>
      </c>
      <c r="J1313" s="1" t="s">
        <v>2975</v>
      </c>
      <c r="K1313" s="67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3069</v>
      </c>
      <c r="D1314" s="1" t="s">
        <v>3070</v>
      </c>
      <c r="E1314" s="15" t="n">
        <v>46248</v>
      </c>
      <c r="F1314" s="15" t="n">
        <v>46246</v>
      </c>
      <c r="G1314" s="1" t="s">
        <v>688</v>
      </c>
      <c r="H1314" s="1" t="n">
        <v>1547306</v>
      </c>
      <c r="I1314" s="1" t="n">
        <v>11</v>
      </c>
      <c r="J1314" s="1" t="s">
        <v>2975</v>
      </c>
      <c r="K1314" s="67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2976</v>
      </c>
      <c r="D1315" s="1" t="s">
        <v>2988</v>
      </c>
      <c r="E1315" s="15" t="n">
        <v>46248</v>
      </c>
      <c r="F1315" s="15" t="n">
        <v>46248</v>
      </c>
      <c r="G1315" s="1" t="s">
        <v>70</v>
      </c>
      <c r="H1315" s="1" t="n">
        <v>1545728</v>
      </c>
      <c r="I1315" s="1" t="n">
        <v>6</v>
      </c>
      <c r="J1315" s="1" t="s">
        <v>2975</v>
      </c>
      <c r="K1315" s="67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2976</v>
      </c>
      <c r="D1316" s="1" t="s">
        <v>2988</v>
      </c>
      <c r="E1316" s="15" t="n">
        <v>46248</v>
      </c>
      <c r="F1316" s="15" t="n">
        <v>46248</v>
      </c>
      <c r="G1316" s="1" t="s">
        <v>70</v>
      </c>
      <c r="H1316" s="1" t="n">
        <v>1546819</v>
      </c>
      <c r="I1316" s="1" t="n">
        <v>6</v>
      </c>
      <c r="J1316" s="1" t="s">
        <v>2975</v>
      </c>
      <c r="K1316" s="67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2976</v>
      </c>
      <c r="D1317" s="1" t="s">
        <v>2988</v>
      </c>
      <c r="E1317" s="15" t="n">
        <v>46248</v>
      </c>
      <c r="F1317" s="15" t="n">
        <v>46248</v>
      </c>
      <c r="G1317" s="1" t="s">
        <v>70</v>
      </c>
      <c r="H1317" s="1" t="n">
        <v>1547189</v>
      </c>
      <c r="I1317" s="1" t="n">
        <v>6</v>
      </c>
      <c r="J1317" s="1" t="s">
        <v>2975</v>
      </c>
      <c r="K1317" s="67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2976</v>
      </c>
      <c r="D1318" s="1" t="s">
        <v>3075</v>
      </c>
      <c r="E1318" s="15" t="n">
        <v>46248</v>
      </c>
      <c r="F1318" s="15" t="n">
        <v>46247</v>
      </c>
      <c r="G1318" s="1" t="s">
        <v>204</v>
      </c>
      <c r="H1318" s="1" t="n">
        <v>1546135</v>
      </c>
      <c r="I1318" s="1" t="n">
        <v>11</v>
      </c>
      <c r="J1318" s="1" t="s">
        <v>2975</v>
      </c>
      <c r="K1318" s="67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2973</v>
      </c>
      <c r="D1319" s="1" t="s">
        <v>3060</v>
      </c>
      <c r="E1319" s="15" t="n">
        <v>46248</v>
      </c>
      <c r="F1319" s="15" t="n">
        <v>46246</v>
      </c>
      <c r="G1319" s="1" t="s">
        <v>1405</v>
      </c>
      <c r="H1319" s="1" t="n">
        <v>1545406</v>
      </c>
      <c r="I1319" s="1" t="n">
        <v>11</v>
      </c>
      <c r="J1319" s="1" t="s">
        <v>2975</v>
      </c>
      <c r="K1319" s="67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2973</v>
      </c>
      <c r="D1320" s="1" t="s">
        <v>3101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2975</v>
      </c>
      <c r="K1320" s="67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2978</v>
      </c>
      <c r="D1321" s="1" t="s">
        <v>2991</v>
      </c>
      <c r="E1321" s="15" t="n">
        <v>46248</v>
      </c>
      <c r="F1321" s="15" t="n">
        <v>46248</v>
      </c>
      <c r="G1321" s="1" t="s">
        <v>961</v>
      </c>
      <c r="H1321" s="1" t="n">
        <v>1545881</v>
      </c>
      <c r="I1321" s="1" t="n">
        <v>1</v>
      </c>
      <c r="J1321" s="1" t="s">
        <v>2975</v>
      </c>
      <c r="K1321" s="67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2973</v>
      </c>
      <c r="D1322" s="1" t="s">
        <v>3136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2975</v>
      </c>
      <c r="K1322" s="67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2976</v>
      </c>
      <c r="D1323" s="1" t="s">
        <v>2992</v>
      </c>
      <c r="E1323" s="15" t="n">
        <v>46249</v>
      </c>
      <c r="F1323" s="15" t="n">
        <v>46248</v>
      </c>
      <c r="G1323" s="1" t="s">
        <v>161</v>
      </c>
      <c r="H1323" s="1" t="n">
        <v>1551708</v>
      </c>
      <c r="I1323" s="1" t="n">
        <v>11</v>
      </c>
      <c r="J1323" s="1" t="s">
        <v>2975</v>
      </c>
      <c r="K1323" s="67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2976</v>
      </c>
      <c r="D1324" s="1" t="s">
        <v>3074</v>
      </c>
      <c r="E1324" s="15" t="n">
        <v>46249</v>
      </c>
      <c r="F1324" s="15" t="n">
        <v>46248</v>
      </c>
      <c r="G1324" s="1" t="s">
        <v>208</v>
      </c>
      <c r="H1324" s="1" t="n">
        <v>1551785</v>
      </c>
      <c r="I1324" s="1" t="n">
        <v>11</v>
      </c>
      <c r="J1324" s="1" t="s">
        <v>2975</v>
      </c>
      <c r="K1324" s="67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2976</v>
      </c>
      <c r="D1325" s="1" t="s">
        <v>3007</v>
      </c>
      <c r="E1325" s="15" t="n">
        <v>46249</v>
      </c>
      <c r="F1325" s="15" t="n">
        <v>46247</v>
      </c>
      <c r="G1325" s="1" t="s">
        <v>159</v>
      </c>
      <c r="H1325" s="1" t="n">
        <v>1552059</v>
      </c>
      <c r="I1325" s="1" t="n">
        <v>11</v>
      </c>
      <c r="J1325" s="1" t="s">
        <v>2975</v>
      </c>
      <c r="K1325" s="67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2976</v>
      </c>
      <c r="D1326" s="1" t="s">
        <v>2995</v>
      </c>
      <c r="E1326" s="15" t="n">
        <v>46249</v>
      </c>
      <c r="F1326" s="15" t="n">
        <v>46248</v>
      </c>
      <c r="G1326" s="1" t="s">
        <v>264</v>
      </c>
      <c r="H1326" s="1" t="n">
        <v>1551584</v>
      </c>
      <c r="I1326" s="1" t="n">
        <v>11</v>
      </c>
      <c r="J1326" s="1" t="s">
        <v>2975</v>
      </c>
      <c r="K1326" s="67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2976</v>
      </c>
      <c r="D1327" s="1" t="s">
        <v>3100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2975</v>
      </c>
      <c r="K1327" s="67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2981</v>
      </c>
      <c r="D1328" s="1" t="s">
        <v>2982</v>
      </c>
      <c r="E1328" s="15" t="n">
        <v>46249</v>
      </c>
      <c r="F1328" s="15" t="n">
        <v>46249</v>
      </c>
      <c r="G1328" s="1" t="s">
        <v>591</v>
      </c>
      <c r="H1328" s="1" t="n">
        <v>1573160</v>
      </c>
      <c r="I1328" s="1" t="n">
        <v>1</v>
      </c>
      <c r="J1328" s="1" t="s">
        <v>2975</v>
      </c>
      <c r="K1328" s="67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2976</v>
      </c>
      <c r="D1329" s="1" t="s">
        <v>3008</v>
      </c>
      <c r="E1329" s="15" t="n">
        <v>46249</v>
      </c>
      <c r="F1329" s="15" t="n">
        <v>46247</v>
      </c>
      <c r="G1329" s="1" t="s">
        <v>381</v>
      </c>
      <c r="H1329" s="1" t="n">
        <v>1551952</v>
      </c>
      <c r="I1329" s="1" t="n">
        <v>11</v>
      </c>
      <c r="J1329" s="1" t="s">
        <v>2975</v>
      </c>
      <c r="K1329" s="67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2973</v>
      </c>
      <c r="D1330" s="1" t="s">
        <v>2984</v>
      </c>
      <c r="E1330" s="15" t="n">
        <v>46249</v>
      </c>
      <c r="F1330" s="15" t="n">
        <v>46249</v>
      </c>
      <c r="G1330" s="1" t="s">
        <v>97</v>
      </c>
      <c r="H1330" s="1" t="n">
        <v>1560886</v>
      </c>
      <c r="I1330" s="1" t="n">
        <v>1</v>
      </c>
      <c r="J1330" s="1" t="s">
        <v>2975</v>
      </c>
      <c r="K1330" s="67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2976</v>
      </c>
      <c r="D1331" s="1" t="s">
        <v>3134</v>
      </c>
      <c r="E1331" s="15" t="n">
        <v>46249</v>
      </c>
      <c r="F1331" s="15" t="n">
        <v>46249</v>
      </c>
      <c r="G1331" s="1" t="s">
        <v>1496</v>
      </c>
      <c r="H1331" s="1" t="n">
        <v>1560879</v>
      </c>
      <c r="I1331" s="1" t="n">
        <v>1</v>
      </c>
      <c r="J1331" s="1" t="s">
        <v>2975</v>
      </c>
      <c r="K1331" s="67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2976</v>
      </c>
      <c r="D1332" s="1" t="s">
        <v>3042</v>
      </c>
      <c r="E1332" s="15" t="n">
        <v>46249</v>
      </c>
      <c r="F1332" s="15" t="n">
        <v>46247</v>
      </c>
      <c r="G1332" s="1" t="s">
        <v>551</v>
      </c>
      <c r="H1332" s="1" t="n">
        <v>1552026</v>
      </c>
      <c r="I1332" s="1" t="n">
        <v>11</v>
      </c>
      <c r="J1332" s="1" t="s">
        <v>2975</v>
      </c>
      <c r="K1332" s="67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2976</v>
      </c>
      <c r="D1333" s="1" t="s">
        <v>3027</v>
      </c>
      <c r="E1333" s="15" t="n">
        <v>46249</v>
      </c>
      <c r="F1333" s="15" t="n">
        <v>46247</v>
      </c>
      <c r="G1333" s="1" t="s">
        <v>371</v>
      </c>
      <c r="H1333" s="1" t="n">
        <v>1551295</v>
      </c>
      <c r="I1333" s="1" t="n">
        <v>11</v>
      </c>
      <c r="J1333" s="1" t="s">
        <v>2975</v>
      </c>
      <c r="K1333" s="67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2976</v>
      </c>
      <c r="D1334" s="1" t="s">
        <v>3044</v>
      </c>
      <c r="E1334" s="15" t="n">
        <v>46249</v>
      </c>
      <c r="F1334" s="15" t="n">
        <v>46248</v>
      </c>
      <c r="G1334" s="1" t="s">
        <v>215</v>
      </c>
      <c r="H1334" s="1" t="n">
        <v>1551908</v>
      </c>
      <c r="I1334" s="1" t="n">
        <v>11</v>
      </c>
      <c r="J1334" s="1" t="s">
        <v>2975</v>
      </c>
      <c r="K1334" s="67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3016</v>
      </c>
      <c r="D1335" s="1" t="s">
        <v>3017</v>
      </c>
      <c r="E1335" s="15" t="n">
        <v>46249</v>
      </c>
      <c r="F1335" s="15" t="n">
        <v>46248</v>
      </c>
      <c r="G1335" s="1" t="s">
        <v>144</v>
      </c>
      <c r="H1335" s="1" t="n">
        <v>1551901</v>
      </c>
      <c r="I1335" s="1" t="n">
        <v>11</v>
      </c>
      <c r="J1335" s="1" t="s">
        <v>2975</v>
      </c>
      <c r="K1335" s="67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2978</v>
      </c>
      <c r="D1336" s="1" t="s">
        <v>3096</v>
      </c>
      <c r="E1336" s="15" t="n">
        <v>46249</v>
      </c>
      <c r="F1336" s="15" t="n">
        <v>46247</v>
      </c>
      <c r="G1336" s="1" t="s">
        <v>189</v>
      </c>
      <c r="H1336" s="1" t="n">
        <v>1552272</v>
      </c>
      <c r="I1336" s="1" t="n">
        <v>11</v>
      </c>
      <c r="J1336" s="1" t="s">
        <v>2975</v>
      </c>
      <c r="K1336" s="67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2976</v>
      </c>
      <c r="D1337" s="1" t="s">
        <v>3009</v>
      </c>
      <c r="E1337" s="15" t="n">
        <v>46249</v>
      </c>
      <c r="F1337" s="15" t="n">
        <v>46247</v>
      </c>
      <c r="G1337" s="1" t="s">
        <v>383</v>
      </c>
      <c r="H1337" s="1" t="n">
        <v>1551982</v>
      </c>
      <c r="I1337" s="1" t="n">
        <v>11</v>
      </c>
      <c r="J1337" s="1" t="s">
        <v>2975</v>
      </c>
      <c r="K1337" s="67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3069</v>
      </c>
      <c r="D1338" s="1" t="s">
        <v>3070</v>
      </c>
      <c r="E1338" s="15" t="n">
        <v>46249</v>
      </c>
      <c r="F1338" s="15" t="n">
        <v>46247</v>
      </c>
      <c r="G1338" s="1" t="s">
        <v>688</v>
      </c>
      <c r="H1338" s="1" t="n">
        <v>1552233</v>
      </c>
      <c r="I1338" s="1" t="n">
        <v>11</v>
      </c>
      <c r="J1338" s="1" t="s">
        <v>2975</v>
      </c>
      <c r="K1338" s="67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2973</v>
      </c>
      <c r="D1339" s="1" t="s">
        <v>3010</v>
      </c>
      <c r="E1339" s="15" t="n">
        <v>46249</v>
      </c>
      <c r="F1339" s="15" t="n">
        <v>46248</v>
      </c>
      <c r="G1339" s="1" t="s">
        <v>319</v>
      </c>
      <c r="H1339" s="1" t="n">
        <v>1551929</v>
      </c>
      <c r="I1339" s="1" t="n">
        <v>11</v>
      </c>
      <c r="J1339" s="1" t="s">
        <v>2975</v>
      </c>
      <c r="K1339" s="67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2973</v>
      </c>
      <c r="D1340" s="1" t="s">
        <v>3136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2975</v>
      </c>
      <c r="K1340" s="67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2976</v>
      </c>
      <c r="D1341" s="1" t="s">
        <v>2993</v>
      </c>
      <c r="E1341" s="15" t="n">
        <v>46251</v>
      </c>
      <c r="F1341" s="15" t="n">
        <v>46249</v>
      </c>
      <c r="G1341" s="1" t="s">
        <v>328</v>
      </c>
      <c r="H1341" s="1" t="n">
        <v>1561179</v>
      </c>
      <c r="I1341" s="1" t="n">
        <v>11</v>
      </c>
      <c r="J1341" s="1" t="s">
        <v>2975</v>
      </c>
      <c r="K1341" s="67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3024</v>
      </c>
      <c r="D1342" s="1" t="s">
        <v>3025</v>
      </c>
      <c r="E1342" s="15" t="n">
        <v>46251</v>
      </c>
      <c r="F1342" s="15" t="n">
        <v>46248</v>
      </c>
      <c r="G1342" s="1" t="s">
        <v>311</v>
      </c>
      <c r="H1342" s="1" t="n">
        <v>1561097</v>
      </c>
      <c r="I1342" s="1" t="n">
        <v>11</v>
      </c>
      <c r="J1342" s="1" t="s">
        <v>2975</v>
      </c>
      <c r="K1342" s="67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2976</v>
      </c>
      <c r="D1343" s="1" t="s">
        <v>3064</v>
      </c>
      <c r="E1343" s="15" t="n">
        <v>46251</v>
      </c>
      <c r="F1343" s="15" t="n">
        <v>46247</v>
      </c>
      <c r="G1343" s="1" t="s">
        <v>68</v>
      </c>
      <c r="H1343" s="1" t="n">
        <v>1562361</v>
      </c>
      <c r="I1343" s="1" t="n">
        <v>39</v>
      </c>
      <c r="J1343" s="1" t="s">
        <v>2975</v>
      </c>
      <c r="K1343" s="67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2976</v>
      </c>
      <c r="D1344" s="1" t="s">
        <v>3064</v>
      </c>
      <c r="E1344" s="15" t="n">
        <v>46251</v>
      </c>
      <c r="F1344" s="15" t="n">
        <v>46247</v>
      </c>
      <c r="G1344" s="1" t="s">
        <v>68</v>
      </c>
      <c r="H1344" s="1" t="n">
        <v>1561643</v>
      </c>
      <c r="I1344" s="1" t="n">
        <v>11</v>
      </c>
      <c r="J1344" s="1" t="s">
        <v>2975</v>
      </c>
      <c r="K1344" s="67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2976</v>
      </c>
      <c r="D1345" s="1" t="s">
        <v>3064</v>
      </c>
      <c r="E1345" s="15" t="n">
        <v>46251</v>
      </c>
      <c r="F1345" s="15" t="n">
        <v>46247</v>
      </c>
      <c r="G1345" s="1" t="s">
        <v>68</v>
      </c>
      <c r="H1345" s="1" t="n">
        <v>1562185</v>
      </c>
      <c r="I1345" s="1" t="n">
        <v>11</v>
      </c>
      <c r="J1345" s="1" t="s">
        <v>2975</v>
      </c>
      <c r="K1345" s="67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2976</v>
      </c>
      <c r="D1346" s="1" t="s">
        <v>3120</v>
      </c>
      <c r="E1346" s="15" t="n">
        <v>46251</v>
      </c>
      <c r="F1346" s="15" t="n">
        <v>46247</v>
      </c>
      <c r="G1346" s="1" t="s">
        <v>260</v>
      </c>
      <c r="H1346" s="1" t="n">
        <v>1561356</v>
      </c>
      <c r="I1346" s="1" t="n">
        <v>11</v>
      </c>
      <c r="J1346" s="1" t="s">
        <v>2975</v>
      </c>
      <c r="K1346" s="67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3105</v>
      </c>
      <c r="D1347" s="1" t="s">
        <v>3106</v>
      </c>
      <c r="E1347" s="15" t="n">
        <v>46251</v>
      </c>
      <c r="F1347" s="15" t="n">
        <v>46249</v>
      </c>
      <c r="G1347" s="1" t="s">
        <v>315</v>
      </c>
      <c r="H1347" s="1" t="n">
        <v>1562610</v>
      </c>
      <c r="I1347" s="1" t="n">
        <v>11</v>
      </c>
      <c r="J1347" s="1" t="s">
        <v>2975</v>
      </c>
      <c r="K1347" s="67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2973</v>
      </c>
      <c r="D1348" s="1" t="s">
        <v>2984</v>
      </c>
      <c r="E1348" s="15" t="n">
        <v>46251</v>
      </c>
      <c r="F1348" s="15" t="n">
        <v>46251</v>
      </c>
      <c r="G1348" s="1" t="s">
        <v>97</v>
      </c>
      <c r="H1348" s="1" t="n">
        <v>1573209</v>
      </c>
      <c r="I1348" s="1" t="n">
        <v>1</v>
      </c>
      <c r="J1348" s="1" t="s">
        <v>2975</v>
      </c>
      <c r="K1348" s="67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2976</v>
      </c>
      <c r="D1349" s="1" t="s">
        <v>3134</v>
      </c>
      <c r="E1349" s="15" t="n">
        <v>46251</v>
      </c>
      <c r="F1349" s="15" t="n">
        <v>46251</v>
      </c>
      <c r="G1349" s="1" t="s">
        <v>1496</v>
      </c>
      <c r="H1349" s="1" t="n">
        <v>1573224</v>
      </c>
      <c r="I1349" s="1" t="n">
        <v>1</v>
      </c>
      <c r="J1349" s="1" t="s">
        <v>2975</v>
      </c>
      <c r="K1349" s="67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2976</v>
      </c>
      <c r="D1350" s="1" t="s">
        <v>2986</v>
      </c>
      <c r="E1350" s="15" t="n">
        <v>46251</v>
      </c>
      <c r="F1350" s="15" t="n">
        <v>46249</v>
      </c>
      <c r="G1350" s="1" t="s">
        <v>211</v>
      </c>
      <c r="H1350" s="1" t="n">
        <v>1562744</v>
      </c>
      <c r="I1350" s="1" t="n">
        <v>11</v>
      </c>
      <c r="J1350" s="1" t="s">
        <v>2975</v>
      </c>
      <c r="K1350" s="67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2976</v>
      </c>
      <c r="D1351" s="1" t="s">
        <v>3002</v>
      </c>
      <c r="E1351" s="15" t="n">
        <v>46251</v>
      </c>
      <c r="F1351" s="15" t="n">
        <v>46248</v>
      </c>
      <c r="G1351" s="1" t="s">
        <v>323</v>
      </c>
      <c r="H1351" s="1" t="n">
        <v>1561068</v>
      </c>
      <c r="I1351" s="1" t="n">
        <v>11</v>
      </c>
      <c r="J1351" s="1" t="s">
        <v>2975</v>
      </c>
      <c r="K1351" s="67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2973</v>
      </c>
      <c r="D1352" s="1" t="s">
        <v>3003</v>
      </c>
      <c r="E1352" s="15" t="n">
        <v>46251</v>
      </c>
      <c r="F1352" s="15" t="n">
        <v>46249</v>
      </c>
      <c r="G1352" s="1" t="s">
        <v>74</v>
      </c>
      <c r="H1352" s="1" t="n">
        <v>1561155</v>
      </c>
      <c r="I1352" s="1" t="n">
        <v>11</v>
      </c>
      <c r="J1352" s="1" t="s">
        <v>2975</v>
      </c>
      <c r="K1352" s="67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2976</v>
      </c>
      <c r="D1353" s="1" t="s">
        <v>3009</v>
      </c>
      <c r="E1353" s="15" t="n">
        <v>46251</v>
      </c>
      <c r="F1353" s="15" t="n">
        <v>46247</v>
      </c>
      <c r="G1353" s="1" t="s">
        <v>383</v>
      </c>
      <c r="H1353" s="1" t="n">
        <v>1562383</v>
      </c>
      <c r="I1353" s="1" t="n">
        <v>47</v>
      </c>
      <c r="J1353" s="1" t="s">
        <v>2975</v>
      </c>
      <c r="K1353" s="67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2976</v>
      </c>
      <c r="D1354" s="1" t="s">
        <v>2988</v>
      </c>
      <c r="E1354" s="15" t="n">
        <v>46251</v>
      </c>
      <c r="F1354" s="15" t="n">
        <v>46251</v>
      </c>
      <c r="G1354" s="1" t="s">
        <v>70</v>
      </c>
      <c r="H1354" s="1" t="n">
        <v>1560861</v>
      </c>
      <c r="I1354" s="1" t="n">
        <v>6</v>
      </c>
      <c r="J1354" s="1" t="s">
        <v>2975</v>
      </c>
      <c r="K1354" s="67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2976</v>
      </c>
      <c r="D1355" s="1" t="s">
        <v>2988</v>
      </c>
      <c r="E1355" s="15" t="n">
        <v>46251</v>
      </c>
      <c r="F1355" s="15" t="n">
        <v>46251</v>
      </c>
      <c r="G1355" s="1" t="s">
        <v>70</v>
      </c>
      <c r="H1355" s="1" t="n">
        <v>1560904</v>
      </c>
      <c r="I1355" s="1" t="n">
        <v>6</v>
      </c>
      <c r="J1355" s="1" t="s">
        <v>2975</v>
      </c>
      <c r="K1355" s="67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2973</v>
      </c>
      <c r="D1356" s="1" t="s">
        <v>3136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2975</v>
      </c>
      <c r="K1356" s="67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2976</v>
      </c>
      <c r="D1357" s="1" t="s">
        <v>3073</v>
      </c>
      <c r="E1357" s="15" t="n">
        <v>46252</v>
      </c>
      <c r="F1357" s="15" t="n">
        <v>46251</v>
      </c>
      <c r="G1357" s="1" t="s">
        <v>238</v>
      </c>
      <c r="H1357" s="1" t="n">
        <v>1568270</v>
      </c>
      <c r="I1357" s="1" t="n">
        <v>11</v>
      </c>
      <c r="J1357" s="1" t="s">
        <v>2975</v>
      </c>
      <c r="K1357" s="67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3035</v>
      </c>
      <c r="D1358" s="1" t="s">
        <v>3036</v>
      </c>
      <c r="E1358" s="15" t="n">
        <v>46252</v>
      </c>
      <c r="F1358" s="15" t="n">
        <v>46247</v>
      </c>
      <c r="G1358" s="1" t="s">
        <v>148</v>
      </c>
      <c r="H1358" s="1" t="n">
        <v>1565986</v>
      </c>
      <c r="I1358" s="1" t="n">
        <v>11</v>
      </c>
      <c r="J1358" s="1" t="s">
        <v>2975</v>
      </c>
      <c r="K1358" s="67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3035</v>
      </c>
      <c r="D1359" s="1" t="s">
        <v>3036</v>
      </c>
      <c r="E1359" s="15" t="n">
        <v>46252</v>
      </c>
      <c r="F1359" s="15" t="n">
        <v>46247</v>
      </c>
      <c r="G1359" s="1" t="s">
        <v>148</v>
      </c>
      <c r="H1359" s="1" t="n">
        <v>1566242</v>
      </c>
      <c r="I1359" s="1" t="n">
        <v>11</v>
      </c>
      <c r="J1359" s="1" t="s">
        <v>2975</v>
      </c>
      <c r="K1359" s="67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3035</v>
      </c>
      <c r="D1360" s="1" t="s">
        <v>3036</v>
      </c>
      <c r="E1360" s="15" t="n">
        <v>46252</v>
      </c>
      <c r="F1360" s="15" t="n">
        <v>46247</v>
      </c>
      <c r="G1360" s="1" t="s">
        <v>148</v>
      </c>
      <c r="H1360" s="1" t="n">
        <v>1566665</v>
      </c>
      <c r="I1360" s="1" t="n">
        <v>11</v>
      </c>
      <c r="J1360" s="1" t="s">
        <v>2975</v>
      </c>
      <c r="K1360" s="67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3035</v>
      </c>
      <c r="D1361" s="1" t="s">
        <v>3036</v>
      </c>
      <c r="E1361" s="15" t="n">
        <v>46252</v>
      </c>
      <c r="F1361" s="15" t="n">
        <v>46247</v>
      </c>
      <c r="G1361" s="1" t="s">
        <v>148</v>
      </c>
      <c r="H1361" s="1" t="n">
        <v>1566380</v>
      </c>
      <c r="I1361" s="1" t="n">
        <v>11</v>
      </c>
      <c r="J1361" s="1" t="s">
        <v>2975</v>
      </c>
      <c r="K1361" s="67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3016</v>
      </c>
      <c r="D1362" s="1" t="s">
        <v>3036</v>
      </c>
      <c r="E1362" s="15" t="n">
        <v>46252</v>
      </c>
      <c r="F1362" s="15" t="n">
        <v>46247</v>
      </c>
      <c r="G1362" s="1" t="s">
        <v>148</v>
      </c>
      <c r="H1362" s="1" t="n">
        <v>1566457</v>
      </c>
      <c r="I1362" s="1" t="n">
        <v>11</v>
      </c>
      <c r="J1362" s="1" t="s">
        <v>2975</v>
      </c>
      <c r="K1362" s="67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3016</v>
      </c>
      <c r="D1363" s="1" t="s">
        <v>3036</v>
      </c>
      <c r="E1363" s="15" t="n">
        <v>46252</v>
      </c>
      <c r="F1363" s="15" t="n">
        <v>46247</v>
      </c>
      <c r="G1363" s="1" t="s">
        <v>148</v>
      </c>
      <c r="H1363" s="1" t="n">
        <v>1566573</v>
      </c>
      <c r="I1363" s="1" t="n">
        <v>11</v>
      </c>
      <c r="J1363" s="1" t="s">
        <v>2975</v>
      </c>
      <c r="K1363" s="67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3016</v>
      </c>
      <c r="D1364" s="1" t="s">
        <v>3036</v>
      </c>
      <c r="E1364" s="15" t="n">
        <v>46252</v>
      </c>
      <c r="F1364" s="15" t="n">
        <v>46247</v>
      </c>
      <c r="G1364" s="1" t="s">
        <v>148</v>
      </c>
      <c r="H1364" s="1" t="n">
        <v>1566549</v>
      </c>
      <c r="I1364" s="1" t="n">
        <v>11</v>
      </c>
      <c r="J1364" s="1" t="s">
        <v>2975</v>
      </c>
      <c r="K1364" s="67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3016</v>
      </c>
      <c r="D1365" s="1" t="s">
        <v>3036</v>
      </c>
      <c r="E1365" s="15" t="n">
        <v>46252</v>
      </c>
      <c r="F1365" s="15" t="n">
        <v>46247</v>
      </c>
      <c r="G1365" s="1" t="s">
        <v>148</v>
      </c>
      <c r="H1365" s="1" t="n">
        <v>1566632</v>
      </c>
      <c r="I1365" s="1" t="n">
        <v>11</v>
      </c>
      <c r="J1365" s="1" t="s">
        <v>2975</v>
      </c>
      <c r="K1365" s="67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2973</v>
      </c>
      <c r="D1366" s="1" t="s">
        <v>2994</v>
      </c>
      <c r="E1366" s="15" t="n">
        <v>46252</v>
      </c>
      <c r="F1366" s="15" t="n">
        <v>46251</v>
      </c>
      <c r="G1366" s="1" t="s">
        <v>66</v>
      </c>
      <c r="H1366" s="1" t="n">
        <v>1565831</v>
      </c>
      <c r="I1366" s="1" t="n">
        <v>11</v>
      </c>
      <c r="J1366" s="1" t="s">
        <v>2975</v>
      </c>
      <c r="K1366" s="67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2976</v>
      </c>
      <c r="D1367" s="1" t="s">
        <v>2995</v>
      </c>
      <c r="E1367" s="15" t="n">
        <v>46252</v>
      </c>
      <c r="F1367" s="15" t="n">
        <v>46252</v>
      </c>
      <c r="G1367" s="1" t="s">
        <v>264</v>
      </c>
      <c r="H1367" s="1" t="n">
        <v>1567429</v>
      </c>
      <c r="I1367" s="1" t="n">
        <v>11</v>
      </c>
      <c r="J1367" s="1" t="s">
        <v>2975</v>
      </c>
      <c r="K1367" s="67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2976</v>
      </c>
      <c r="D1368" s="1" t="s">
        <v>2996</v>
      </c>
      <c r="E1368" s="15" t="n">
        <v>46252</v>
      </c>
      <c r="F1368" s="15" t="n">
        <v>46252</v>
      </c>
      <c r="G1368" s="1" t="s">
        <v>221</v>
      </c>
      <c r="H1368" s="1" t="n">
        <v>1567671</v>
      </c>
      <c r="I1368" s="1" t="n">
        <v>1</v>
      </c>
      <c r="J1368" s="1" t="s">
        <v>2975</v>
      </c>
      <c r="K1368" s="67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2981</v>
      </c>
      <c r="D1369" s="1" t="s">
        <v>2982</v>
      </c>
      <c r="E1369" s="15" t="n">
        <v>46252</v>
      </c>
      <c r="F1369" s="15" t="n">
        <v>46252</v>
      </c>
      <c r="G1369" s="1" t="s">
        <v>591</v>
      </c>
      <c r="H1369" s="1" t="n">
        <v>1573198</v>
      </c>
      <c r="I1369" s="1" t="n">
        <v>1</v>
      </c>
      <c r="J1369" s="1" t="s">
        <v>2975</v>
      </c>
      <c r="K1369" s="67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2976</v>
      </c>
      <c r="D1370" s="1" t="s">
        <v>3000</v>
      </c>
      <c r="E1370" s="15" t="n">
        <v>46252</v>
      </c>
      <c r="F1370" s="15" t="n">
        <v>46246</v>
      </c>
      <c r="G1370" s="1" t="s">
        <v>155</v>
      </c>
      <c r="H1370" s="1" t="n">
        <v>1566841</v>
      </c>
      <c r="I1370" s="1" t="n">
        <v>11</v>
      </c>
      <c r="J1370" s="1" t="s">
        <v>2975</v>
      </c>
      <c r="K1370" s="67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2976</v>
      </c>
      <c r="D1371" s="1" t="s">
        <v>2986</v>
      </c>
      <c r="E1371" s="15" t="n">
        <v>46252</v>
      </c>
      <c r="F1371" s="15" t="n">
        <v>46251</v>
      </c>
      <c r="G1371" s="1" t="s">
        <v>211</v>
      </c>
      <c r="H1371" s="1" t="n">
        <v>1567262</v>
      </c>
      <c r="I1371" s="1" t="n">
        <v>11</v>
      </c>
      <c r="J1371" s="1" t="s">
        <v>2975</v>
      </c>
      <c r="K1371" s="67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2973</v>
      </c>
      <c r="D1372" s="1" t="s">
        <v>3003</v>
      </c>
      <c r="E1372" s="15" t="n">
        <v>46252</v>
      </c>
      <c r="F1372" s="15" t="n">
        <v>46251</v>
      </c>
      <c r="G1372" s="1" t="s">
        <v>74</v>
      </c>
      <c r="H1372" s="1" t="n">
        <v>1565868</v>
      </c>
      <c r="I1372" s="1" t="n">
        <v>11</v>
      </c>
      <c r="J1372" s="1" t="s">
        <v>2975</v>
      </c>
      <c r="K1372" s="67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2976</v>
      </c>
      <c r="D1373" s="1" t="s">
        <v>2988</v>
      </c>
      <c r="E1373" s="15" t="n">
        <v>46252</v>
      </c>
      <c r="F1373" s="15" t="n">
        <v>46252</v>
      </c>
      <c r="G1373" s="1" t="s">
        <v>70</v>
      </c>
      <c r="H1373" s="1" t="n">
        <v>1566459</v>
      </c>
      <c r="I1373" s="1" t="n">
        <v>6</v>
      </c>
      <c r="J1373" s="1" t="s">
        <v>2975</v>
      </c>
      <c r="K1373" s="67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2976</v>
      </c>
      <c r="D1374" s="1" t="s">
        <v>2988</v>
      </c>
      <c r="E1374" s="15" t="n">
        <v>46252</v>
      </c>
      <c r="F1374" s="15" t="n">
        <v>46252</v>
      </c>
      <c r="G1374" s="1" t="s">
        <v>70</v>
      </c>
      <c r="H1374" s="1" t="n">
        <v>1567398</v>
      </c>
      <c r="I1374" s="1" t="n">
        <v>6</v>
      </c>
      <c r="J1374" s="1" t="s">
        <v>2975</v>
      </c>
      <c r="K1374" s="67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2976</v>
      </c>
      <c r="D1375" s="1" t="s">
        <v>2988</v>
      </c>
      <c r="E1375" s="15" t="n">
        <v>46252</v>
      </c>
      <c r="F1375" s="15" t="n">
        <v>46252</v>
      </c>
      <c r="G1375" s="1" t="s">
        <v>70</v>
      </c>
      <c r="H1375" s="1" t="n">
        <v>1567624</v>
      </c>
      <c r="I1375" s="1" t="n">
        <v>6</v>
      </c>
      <c r="J1375" s="1" t="s">
        <v>2975</v>
      </c>
      <c r="K1375" s="67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2976</v>
      </c>
      <c r="D1376" s="1" t="s">
        <v>2988</v>
      </c>
      <c r="E1376" s="15" t="n">
        <v>46252</v>
      </c>
      <c r="F1376" s="15" t="n">
        <v>46252</v>
      </c>
      <c r="G1376" s="1" t="s">
        <v>70</v>
      </c>
      <c r="H1376" s="1" t="n">
        <v>1567876</v>
      </c>
      <c r="I1376" s="1" t="n">
        <v>6</v>
      </c>
      <c r="J1376" s="1" t="s">
        <v>2975</v>
      </c>
      <c r="K1376" s="67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3046</v>
      </c>
      <c r="D1377" s="1" t="s">
        <v>3047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2975</v>
      </c>
      <c r="K1377" s="67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2976</v>
      </c>
      <c r="D1378" s="1" t="s">
        <v>3076</v>
      </c>
      <c r="E1378" s="15" t="n">
        <v>46252</v>
      </c>
      <c r="F1378" s="15" t="n">
        <v>46247</v>
      </c>
      <c r="G1378" s="1" t="s">
        <v>340</v>
      </c>
      <c r="H1378" s="1" t="n">
        <v>1567977</v>
      </c>
      <c r="I1378" s="1" t="n">
        <v>11</v>
      </c>
      <c r="J1378" s="1" t="s">
        <v>2975</v>
      </c>
      <c r="K1378" s="67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2978</v>
      </c>
      <c r="D1379" s="1" t="s">
        <v>3082</v>
      </c>
      <c r="E1379" s="15" t="n">
        <v>46252</v>
      </c>
      <c r="F1379" s="15" t="n">
        <v>46247</v>
      </c>
      <c r="G1379" s="1" t="s">
        <v>373</v>
      </c>
      <c r="H1379" s="1" t="n">
        <v>1567571</v>
      </c>
      <c r="I1379" s="1" t="n">
        <v>11</v>
      </c>
      <c r="J1379" s="1" t="s">
        <v>2975</v>
      </c>
      <c r="K1379" s="67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2973</v>
      </c>
      <c r="D1380" s="1" t="s">
        <v>3136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2975</v>
      </c>
      <c r="K1380" s="67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2976</v>
      </c>
      <c r="D1381" s="1" t="s">
        <v>2992</v>
      </c>
      <c r="E1381" s="15" t="n">
        <v>46253</v>
      </c>
      <c r="F1381" s="15" t="n">
        <v>46251</v>
      </c>
      <c r="G1381" s="1" t="s">
        <v>161</v>
      </c>
      <c r="H1381" s="1" t="n">
        <v>1572026</v>
      </c>
      <c r="I1381" s="1" t="n">
        <v>11</v>
      </c>
      <c r="J1381" s="1" t="s">
        <v>2975</v>
      </c>
      <c r="K1381" s="67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2976</v>
      </c>
      <c r="D1382" s="1" t="s">
        <v>3063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2975</v>
      </c>
      <c r="K1382" s="67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2976</v>
      </c>
      <c r="D1383" s="1" t="s">
        <v>3063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2975</v>
      </c>
      <c r="K1383" s="67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2976</v>
      </c>
      <c r="D1384" s="1" t="s">
        <v>3063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2975</v>
      </c>
      <c r="K1384" s="67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2976</v>
      </c>
      <c r="D1385" s="1" t="s">
        <v>2995</v>
      </c>
      <c r="E1385" s="15" t="n">
        <v>46253</v>
      </c>
      <c r="F1385" s="15" t="n">
        <v>46253</v>
      </c>
      <c r="G1385" s="1" t="s">
        <v>264</v>
      </c>
      <c r="H1385" s="1" t="n">
        <v>1573015</v>
      </c>
      <c r="I1385" s="1" t="n">
        <v>11</v>
      </c>
      <c r="J1385" s="1" t="s">
        <v>2975</v>
      </c>
      <c r="K1385" s="67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2978</v>
      </c>
      <c r="D1386" s="1" t="s">
        <v>2979</v>
      </c>
      <c r="E1386" s="15" t="n">
        <v>46253</v>
      </c>
      <c r="F1386" s="15" t="n">
        <v>46252</v>
      </c>
      <c r="G1386" s="1" t="s">
        <v>388</v>
      </c>
      <c r="H1386" s="1" t="n">
        <v>1573302</v>
      </c>
      <c r="I1386" s="1" t="n">
        <v>1</v>
      </c>
      <c r="J1386" s="1" t="s">
        <v>2975</v>
      </c>
      <c r="K1386" s="67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2976</v>
      </c>
      <c r="D1387" s="1" t="s">
        <v>2997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2975</v>
      </c>
      <c r="K1387" s="67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2976</v>
      </c>
      <c r="D1388" s="1" t="s">
        <v>3064</v>
      </c>
      <c r="E1388" s="15" t="n">
        <v>46253</v>
      </c>
      <c r="F1388" s="15" t="n">
        <v>46248</v>
      </c>
      <c r="G1388" s="1" t="s">
        <v>68</v>
      </c>
      <c r="H1388" s="1" t="n">
        <v>1572074</v>
      </c>
      <c r="I1388" s="1" t="n">
        <v>11</v>
      </c>
      <c r="J1388" s="1" t="s">
        <v>2975</v>
      </c>
      <c r="K1388" s="67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2981</v>
      </c>
      <c r="D1389" s="1" t="s">
        <v>2982</v>
      </c>
      <c r="E1389" s="15" t="n">
        <v>46253</v>
      </c>
      <c r="F1389" s="15" t="n">
        <v>46253</v>
      </c>
      <c r="G1389" s="1" t="s">
        <v>591</v>
      </c>
      <c r="H1389" s="1" t="n">
        <v>1573284</v>
      </c>
      <c r="I1389" s="1" t="n">
        <v>1</v>
      </c>
      <c r="J1389" s="1" t="s">
        <v>2975</v>
      </c>
      <c r="K1389" s="67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2976</v>
      </c>
      <c r="D1390" s="1" t="s">
        <v>3038</v>
      </c>
      <c r="E1390" s="15" t="n">
        <v>46253</v>
      </c>
      <c r="F1390" s="15" t="n">
        <v>46247</v>
      </c>
      <c r="G1390" s="1" t="s">
        <v>193</v>
      </c>
      <c r="H1390" s="1" t="n">
        <v>1572369</v>
      </c>
      <c r="I1390" s="1" t="n">
        <v>11</v>
      </c>
      <c r="J1390" s="1" t="s">
        <v>2975</v>
      </c>
      <c r="K1390" s="67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3022</v>
      </c>
      <c r="D1391" s="1" t="s">
        <v>3041</v>
      </c>
      <c r="E1391" s="15" t="n">
        <v>46253</v>
      </c>
      <c r="F1391" s="15" t="n">
        <v>46247</v>
      </c>
      <c r="G1391" s="1" t="s">
        <v>132</v>
      </c>
      <c r="H1391" s="1" t="n">
        <v>1571222</v>
      </c>
      <c r="I1391" s="1" t="n">
        <v>11</v>
      </c>
      <c r="J1391" s="1" t="s">
        <v>2975</v>
      </c>
      <c r="K1391" s="67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2973</v>
      </c>
      <c r="D1392" s="1" t="s">
        <v>2984</v>
      </c>
      <c r="E1392" s="15" t="n">
        <v>46253</v>
      </c>
      <c r="F1392" s="15" t="n">
        <v>46253</v>
      </c>
      <c r="G1392" s="1" t="s">
        <v>97</v>
      </c>
      <c r="H1392" s="1" t="n">
        <v>1573002</v>
      </c>
      <c r="I1392" s="1" t="n">
        <v>1</v>
      </c>
      <c r="J1392" s="1" t="s">
        <v>2975</v>
      </c>
      <c r="K1392" s="67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2976</v>
      </c>
      <c r="D1393" s="1" t="s">
        <v>3157</v>
      </c>
      <c r="E1393" s="15" t="n">
        <v>46253</v>
      </c>
      <c r="F1393" s="15" t="n">
        <v>46249</v>
      </c>
      <c r="G1393" s="1" t="s">
        <v>2785</v>
      </c>
      <c r="H1393" s="1" t="n">
        <v>1571297</v>
      </c>
      <c r="I1393" s="1" t="n">
        <v>11</v>
      </c>
      <c r="J1393" s="1" t="s">
        <v>2975</v>
      </c>
      <c r="K1393" s="67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3067</v>
      </c>
      <c r="D1394" s="1" t="s">
        <v>3098</v>
      </c>
      <c r="E1394" s="15" t="n">
        <v>46253</v>
      </c>
      <c r="F1394" s="15" t="n">
        <v>46251</v>
      </c>
      <c r="G1394" s="1" t="s">
        <v>206</v>
      </c>
      <c r="H1394" s="1" t="n">
        <v>1570884</v>
      </c>
      <c r="I1394" s="1" t="n">
        <v>11</v>
      </c>
      <c r="J1394" s="1" t="s">
        <v>2975</v>
      </c>
      <c r="K1394" s="67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3067</v>
      </c>
      <c r="D1395" s="1" t="s">
        <v>3098</v>
      </c>
      <c r="E1395" s="15" t="n">
        <v>46253</v>
      </c>
      <c r="F1395" s="15" t="n">
        <v>46251</v>
      </c>
      <c r="G1395" s="1" t="s">
        <v>206</v>
      </c>
      <c r="H1395" s="1" t="n">
        <v>1570893</v>
      </c>
      <c r="I1395" s="1" t="n">
        <v>11</v>
      </c>
      <c r="J1395" s="1" t="s">
        <v>2975</v>
      </c>
      <c r="K1395" s="67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2978</v>
      </c>
      <c r="D1396" s="1" t="s">
        <v>3059</v>
      </c>
      <c r="E1396" s="15" t="n">
        <v>46253</v>
      </c>
      <c r="F1396" s="15" t="n">
        <v>46247</v>
      </c>
      <c r="G1396" s="1" t="s">
        <v>130</v>
      </c>
      <c r="H1396" s="1" t="n">
        <v>1570972</v>
      </c>
      <c r="I1396" s="1" t="n">
        <v>11</v>
      </c>
      <c r="J1396" s="1" t="s">
        <v>2975</v>
      </c>
      <c r="K1396" s="67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2978</v>
      </c>
      <c r="D1397" s="1" t="s">
        <v>3004</v>
      </c>
      <c r="E1397" s="15" t="n">
        <v>46253</v>
      </c>
      <c r="F1397" s="15" t="n">
        <v>46246</v>
      </c>
      <c r="G1397" s="1" t="s">
        <v>753</v>
      </c>
      <c r="H1397" s="1" t="n">
        <v>1572655</v>
      </c>
      <c r="I1397" s="1" t="n">
        <v>11</v>
      </c>
      <c r="J1397" s="1" t="s">
        <v>2975</v>
      </c>
      <c r="K1397" s="67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2976</v>
      </c>
      <c r="D1398" s="1" t="s">
        <v>2988</v>
      </c>
      <c r="E1398" s="15" t="n">
        <v>46253</v>
      </c>
      <c r="F1398" s="15" t="n">
        <v>46253</v>
      </c>
      <c r="G1398" s="1" t="s">
        <v>70</v>
      </c>
      <c r="H1398" s="1" t="n">
        <v>1572770</v>
      </c>
      <c r="I1398" s="1" t="n">
        <v>6</v>
      </c>
      <c r="J1398" s="1" t="s">
        <v>2975</v>
      </c>
      <c r="K1398" s="67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2976</v>
      </c>
      <c r="D1399" s="1" t="s">
        <v>2988</v>
      </c>
      <c r="E1399" s="15" t="n">
        <v>46253</v>
      </c>
      <c r="F1399" s="15" t="n">
        <v>46253</v>
      </c>
      <c r="G1399" s="1" t="s">
        <v>70</v>
      </c>
      <c r="H1399" s="1" t="n">
        <v>1572960</v>
      </c>
      <c r="I1399" s="1" t="n">
        <v>6</v>
      </c>
      <c r="J1399" s="1" t="s">
        <v>2975</v>
      </c>
      <c r="K1399" s="67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3035</v>
      </c>
      <c r="D1400" s="1" t="s">
        <v>3036</v>
      </c>
      <c r="E1400" s="15" t="n">
        <v>46254</v>
      </c>
      <c r="F1400" s="15" t="n">
        <v>46252</v>
      </c>
      <c r="G1400" s="1" t="s">
        <v>148</v>
      </c>
      <c r="H1400" s="1" t="n">
        <v>1576385</v>
      </c>
      <c r="I1400" s="1" t="n">
        <v>11</v>
      </c>
      <c r="J1400" s="1" t="s">
        <v>2975</v>
      </c>
      <c r="K1400" s="67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2976</v>
      </c>
      <c r="D1401" s="1" t="s">
        <v>3007</v>
      </c>
      <c r="E1401" s="15" t="n">
        <v>46254</v>
      </c>
      <c r="F1401" s="15" t="n">
        <v>46251</v>
      </c>
      <c r="G1401" s="1" t="s">
        <v>159</v>
      </c>
      <c r="H1401" s="1" t="n">
        <v>1575789</v>
      </c>
      <c r="I1401" s="1" t="n">
        <v>11</v>
      </c>
      <c r="J1401" s="1" t="s">
        <v>2975</v>
      </c>
      <c r="K1401" s="67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2976</v>
      </c>
      <c r="D1402" s="1" t="s">
        <v>2997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2975</v>
      </c>
      <c r="K1402" s="67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2976</v>
      </c>
      <c r="D1403" s="1" t="s">
        <v>2997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2975</v>
      </c>
      <c r="K1403" s="67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2973</v>
      </c>
      <c r="D1404" s="1" t="s">
        <v>2999</v>
      </c>
      <c r="E1404" s="15" t="n">
        <v>46254</v>
      </c>
      <c r="F1404" s="15" t="n">
        <v>46251</v>
      </c>
      <c r="G1404" s="1" t="s">
        <v>76</v>
      </c>
      <c r="H1404" s="1" t="n">
        <v>1575756</v>
      </c>
      <c r="I1404" s="1" t="n">
        <v>11</v>
      </c>
      <c r="J1404" s="1" t="s">
        <v>2975</v>
      </c>
      <c r="K1404" s="67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2976</v>
      </c>
      <c r="D1405" s="1" t="s">
        <v>3095</v>
      </c>
      <c r="E1405" s="15" t="n">
        <v>46254</v>
      </c>
      <c r="F1405" s="15" t="n">
        <v>46253</v>
      </c>
      <c r="G1405" s="1" t="s">
        <v>853</v>
      </c>
      <c r="H1405" s="1" t="n">
        <v>1575846</v>
      </c>
      <c r="I1405" s="1" t="n">
        <v>11</v>
      </c>
      <c r="J1405" s="1" t="s">
        <v>2975</v>
      </c>
      <c r="K1405" s="67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2973</v>
      </c>
      <c r="D1406" s="1" t="s">
        <v>3003</v>
      </c>
      <c r="E1406" s="15" t="n">
        <v>46254</v>
      </c>
      <c r="F1406" s="15" t="n">
        <v>46253</v>
      </c>
      <c r="G1406" s="1" t="s">
        <v>74</v>
      </c>
      <c r="H1406" s="1" t="n">
        <v>1575697</v>
      </c>
      <c r="I1406" s="1" t="n">
        <v>11</v>
      </c>
      <c r="J1406" s="1" t="s">
        <v>2975</v>
      </c>
      <c r="K1406" s="67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3022</v>
      </c>
      <c r="D1407" s="1" t="s">
        <v>3135</v>
      </c>
      <c r="E1407" s="15" t="n">
        <v>46254</v>
      </c>
      <c r="F1407" s="15" t="n">
        <v>46253</v>
      </c>
      <c r="G1407" s="1" t="s">
        <v>1491</v>
      </c>
      <c r="H1407" s="1" t="n">
        <v>1575905</v>
      </c>
      <c r="I1407" s="1" t="n">
        <v>11</v>
      </c>
      <c r="J1407" s="1" t="s">
        <v>2975</v>
      </c>
      <c r="K1407" s="67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3022</v>
      </c>
      <c r="D1408" s="1" t="s">
        <v>3135</v>
      </c>
      <c r="E1408" s="15" t="n">
        <v>46254</v>
      </c>
      <c r="F1408" s="15" t="n">
        <v>46253</v>
      </c>
      <c r="G1408" s="1" t="s">
        <v>1491</v>
      </c>
      <c r="H1408" s="1" t="n">
        <v>1575914</v>
      </c>
      <c r="I1408" s="1" t="n">
        <v>11</v>
      </c>
      <c r="J1408" s="1" t="s">
        <v>2975</v>
      </c>
      <c r="K1408" s="67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2976</v>
      </c>
      <c r="D1409" s="1" t="s">
        <v>3020</v>
      </c>
      <c r="E1409" s="15" t="n">
        <v>46254</v>
      </c>
      <c r="F1409" s="15" t="n">
        <v>46251</v>
      </c>
      <c r="G1409" s="1" t="s">
        <v>78</v>
      </c>
      <c r="H1409" s="1" t="n">
        <v>1575745</v>
      </c>
      <c r="I1409" s="1" t="n">
        <v>11</v>
      </c>
      <c r="J1409" s="1" t="s">
        <v>2975</v>
      </c>
      <c r="K1409" s="67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2973</v>
      </c>
      <c r="D1410" s="1" t="s">
        <v>3010</v>
      </c>
      <c r="E1410" s="15" t="n">
        <v>46254</v>
      </c>
      <c r="F1410" s="15" t="n">
        <v>46253</v>
      </c>
      <c r="G1410" s="1" t="s">
        <v>319</v>
      </c>
      <c r="H1410" s="1" t="n">
        <v>1575797</v>
      </c>
      <c r="I1410" s="1" t="n">
        <v>11</v>
      </c>
      <c r="J1410" s="1" t="s">
        <v>2975</v>
      </c>
      <c r="K1410" s="67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2026-08-24T16:35:54Z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