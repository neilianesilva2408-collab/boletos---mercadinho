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<sst xmlns="http://schemas.openxmlformats.org/spreadsheetml/2006/main" count="12940" uniqueCount="1819">
  <si>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</si>
  <si>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</si>
  <si>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</si>
  <si>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</si>
  <si>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</si>
  <si>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</si>
  <si>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</si>
  <si>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</si>
  <si>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</si>
  <si>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</si>
  <si>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</si>
  <si>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</si>
  <si>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</si>
  <si>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</si>
  <si>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</si>
  <si>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</si>
  <si>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</si>
  <si>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</si>
  <si>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</si>
  <si>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</si>
  <si>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</si>
  <si>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</si>
  <si>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</si>
  <si>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</si>
  <si>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</si>
  <si>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</si>
  <si>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</si>
  <si>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</si>
  <si>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</si>
  <si>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</si>
  <si>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 K LIMA DE ANDRADE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</si>
  <si>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</si>
  <si>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</si>
  <si>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</si>
  <si>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</si>
  <si>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</si>
  <si>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</si>
  <si>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</si>
  <si>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2720 SP CEREAL - MILKA</t>
  </si>
  <si>
    <t xml:space="preserve">ADRIANA DISTRIBUIDORA DE PRODUTOS ALIMEN</t>
  </si>
  <si>
    <t xml:space="preserve">03</t>
  </si>
  <si>
    <t xml:space="preserve">NF 875267-3 MILKA</t>
  </si>
  <si>
    <t xml:space="preserve">NF 877771 - MILKA</t>
  </si>
  <si>
    <t xml:space="preserve">NF 877772-1 MILKA</t>
  </si>
  <si>
    <t xml:space="preserve">BRAGA TABACARIA EIRELI ME</t>
  </si>
  <si>
    <t xml:space="preserve">NF 18532-03 MILKA</t>
  </si>
  <si>
    <t xml:space="preserve">BRASIL NORTE BEBIDAS S/A</t>
  </si>
  <si>
    <t xml:space="preserve">NF 1879436 - MILKA</t>
  </si>
  <si>
    <t xml:space="preserve">COMERCIO E TRANSPORTE BRANDAO LTDA</t>
  </si>
  <si>
    <t xml:space="preserve">Transferencia Pix</t>
  </si>
  <si>
    <t xml:space="preserve">DEBORA COSTA</t>
  </si>
  <si>
    <t xml:space="preserve">NF 14752 - DEBORA</t>
  </si>
  <si>
    <t xml:space="preserve">DISTRIBUIDORA LOPES LTDA</t>
  </si>
  <si>
    <t xml:space="preserve">NF 1669083</t>
  </si>
  <si>
    <t xml:space="preserve">GELO DANGELO FABRICACAO DE GELO LTDA</t>
  </si>
  <si>
    <t xml:space="preserve">Compra a Vista</t>
  </si>
  <si>
    <t xml:space="preserve">NF 325 - DEBORA</t>
  </si>
  <si>
    <t xml:space="preserve">JACKSON ROCHA NUNES</t>
  </si>
  <si>
    <t xml:space="preserve">NF 225 - DEBORA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</si>
  <si>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</si>
  <si>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</si>
  <si>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</si>
  <si>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MAXFRI DISTRIUIDORA LTDA</t>
  </si>
  <si>
    <t xml:space="preserve">NF14526 - MILKA</t>
  </si>
  <si>
    <t xml:space="preserve">RENATO DE O AZEVEDO E CIA LTDA - EPP</t>
  </si>
  <si>
    <t xml:space="preserve">FEIRA CARLOS - DEBORA</t>
  </si>
  <si>
    <t xml:space="preserve">AVU</t>
  </si>
  <si>
    <t xml:space="preserve">CAMARAO COM E SEM CASCA - FEIRA CARLOS - DEBORA</t>
  </si>
  <si>
    <t xml:space="preserve">SILVA E SANTOS FRIGORIFICO LTDA</t>
  </si>
  <si>
    <t xml:space="preserve">NF 31244 - MILKA</t>
  </si>
  <si>
    <t xml:space="preserve">NF 31245 - MILKA</t>
  </si>
  <si>
    <t xml:space="preserve">BRF S A</t>
  </si>
  <si>
    <t xml:space="preserve">NF 1597184-01/02 MILKA</t>
  </si>
  <si>
    <t xml:space="preserve">COARI DISTRIBUIDORA DE BEBIDAS LTDA</t>
  </si>
  <si>
    <t xml:space="preserve">NF 253 - MILKA</t>
  </si>
  <si>
    <t xml:space="preserve">FUNNY PET DISTRIBUIDORA DE ALIMENTOS PAR</t>
  </si>
  <si>
    <t xml:space="preserve">02</t>
  </si>
  <si>
    <t xml:space="preserve">NF 20167 2- MILKA</t>
  </si>
  <si>
    <t xml:space="preserve">OPPORTUNITY ALIMENTOS PARA ANIMAIS LTDA</t>
  </si>
  <si>
    <t xml:space="preserve">04</t>
  </si>
  <si>
    <t xml:space="preserve">NF 33621-4 MILKA</t>
  </si>
  <si>
    <t xml:space="preserve">PRIME PET DISTRIBUIDORA LTDA</t>
  </si>
  <si>
    <t xml:space="preserve">NF 10336 -04 MILKA</t>
  </si>
  <si>
    <t xml:space="preserve">TAPAJOS COM DE PERFUMARIA COSMETICOS E G</t>
  </si>
  <si>
    <t xml:space="preserve">KEILA LIMA</t>
  </si>
  <si>
    <t xml:space="preserve">NF 574740 - KEILA</t>
  </si>
  <si>
    <t xml:space="preserve">NF 876740 -2 MILKA</t>
  </si>
  <si>
    <t xml:space="preserve">AGM COMERCIO E DISTRIBUIDORA DE MATERIAS DE PERFUMARIA E LIMPEZA LTDA</t>
  </si>
  <si>
    <t xml:space="preserve">NF 160841 - MILKA</t>
  </si>
  <si>
    <t xml:space="preserve">ASSOCIACAO AMAZONENSE DE SUPERMERCADOS </t>
  </si>
  <si>
    <t xml:space="preserve">BANCO ITAU Lj 01</t>
  </si>
  <si>
    <t xml:space="preserve">DESPESAS NAO OPERACIONAIS</t>
  </si>
  <si>
    <t xml:space="preserve">PAGAMENTOS OUTROS NAO OPERACIONAIS</t>
  </si>
  <si>
    <t xml:space="preserve">NAO SOMAR ASSOCIACAO AMASE MO1 E MO4 </t>
  </si>
  <si>
    <t xml:space="preserve">DESPESAS OPERACIONAIS</t>
  </si>
  <si>
    <t xml:space="preserve">MENSALIDADES DE ASSOCIACOES</t>
  </si>
  <si>
    <t xml:space="preserve">ASSOCIACAO AMASE MO1 PARTE - KEILA</t>
  </si>
  <si>
    <t xml:space="preserve">ATACADAO S.A.</t>
  </si>
  <si>
    <t xml:space="preserve">NF 1888443 - MILKA</t>
  </si>
  <si>
    <t xml:space="preserve">C. R. PARENTE ABREU</t>
  </si>
  <si>
    <t xml:space="preserve">NF11298-2 MILKA</t>
  </si>
  <si>
    <t xml:space="preserve">NF 11315-01 MILKA</t>
  </si>
  <si>
    <t xml:space="preserve">CISS CONSULTORIA EM INFORMATICA, SERVICOS E SOFTWARE S/A</t>
  </si>
  <si>
    <t xml:space="preserve">MENSALIDADE SIST CISS LOJAS NAO SOMAR - KEILA </t>
  </si>
  <si>
    <t xml:space="preserve">E. D. SENA &amp; CIA LTDA</t>
  </si>
  <si>
    <t xml:space="preserve">NF 5372 - MILKA</t>
  </si>
  <si>
    <t xml:space="preserve">ESDRAS COMERCIO DE MATERIAIS ELETRICOS E</t>
  </si>
  <si>
    <t xml:space="preserve">NF 1324 - MILKA</t>
  </si>
  <si>
    <t xml:space="preserve">FRUTAL INDUSTRIA E COMERCIO LTDA</t>
  </si>
  <si>
    <t xml:space="preserve">NF 224078 - MILKA</t>
  </si>
  <si>
    <t xml:space="preserve">NF 328 - DEBORA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</si>
  <si>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</si>
  <si>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</si>
  <si>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</si>
  <si>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</si>
  <si>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CONTR/RENOV CTA GAR ITAU MO1-ANDREZA</t>
  </si>
  <si>
    <t xml:space="preserve">06</t>
  </si>
  <si>
    <t xml:space="preserve">PARC 16/36 NAO SOMAR - CARRO PL RENATO E ROGER </t>
  </si>
  <si>
    <t xml:space="preserve">J W N DOS SANTOS</t>
  </si>
  <si>
    <t xml:space="preserve">NF 326 - DEBORA</t>
  </si>
  <si>
    <t xml:space="preserve">KATIA LIMA</t>
  </si>
  <si>
    <t xml:space="preserve">DESPESAS COM PESSOAL</t>
  </si>
  <si>
    <t xml:space="preserve">SALARIOS</t>
  </si>
  <si>
    <t xml:space="preserve">PAG SALARIO 06/26 SERV - KEILA</t>
  </si>
  <si>
    <t xml:space="preserve">L S M COMERCIO DE ALIMENTOS E NAVEGACAO</t>
  </si>
  <si>
    <t xml:space="preserve">NF 304778 -1 MILKA</t>
  </si>
  <si>
    <t xml:space="preserve">NSB COMERCIO ATACADISTA E VAREJISTA DE P</t>
  </si>
  <si>
    <t xml:space="preserve">NF 7726 -03 MILKA</t>
  </si>
  <si>
    <t xml:space="preserve">NT INDUSTRIA E COMERCIO DE PANIFICACAO L</t>
  </si>
  <si>
    <t xml:space="preserve">NF 38499 - MILKA</t>
  </si>
  <si>
    <t xml:space="preserve">NF 38498 - MILKA</t>
  </si>
  <si>
    <t xml:space="preserve">PANIFICADORA E CONFEITARIA REAL MADRI LTDA</t>
  </si>
  <si>
    <t xml:space="preserve">NF 675 - MILKA</t>
  </si>
  <si>
    <t xml:space="preserve">NF 680 - MILKA</t>
  </si>
  <si>
    <t xml:space="preserve">NF 10643-02/05 MILKA</t>
  </si>
  <si>
    <t xml:space="preserve">NF 200626 / PGTO P/ JOSE CLAUDIO - MILKA</t>
  </si>
  <si>
    <t xml:space="preserve">ROBSON - ROBINHO </t>
  </si>
  <si>
    <t xml:space="preserve">NAO SOMAR PG DINHEIRO TROCADO</t>
  </si>
  <si>
    <t xml:space="preserve">NF 31278 - MILKA</t>
  </si>
  <si>
    <t xml:space="preserve">SOUZA CRUZ LTDA.</t>
  </si>
  <si>
    <t xml:space="preserve">NF 562604 -03 MILKA</t>
  </si>
  <si>
    <t xml:space="preserve">T. M. L. DA SILVA LTDA</t>
  </si>
  <si>
    <t xml:space="preserve">NF 15045 AMAZONGURT - MILKA</t>
  </si>
  <si>
    <t xml:space="preserve">VICTORIA COMERCIO INTERNACIONAL DE ALIME</t>
  </si>
  <si>
    <t xml:space="preserve">12298-A/B  NF11722 - MILKA</t>
  </si>
  <si>
    <t xml:space="preserve">ADICSO FABIAN GONZALEZ MONTILLA 70302186</t>
  </si>
  <si>
    <t xml:space="preserve">NF 511 BLOOM - MILKA</t>
  </si>
  <si>
    <t xml:space="preserve">ADRIANO FEITOSA OLIVEIRA LTDA</t>
  </si>
  <si>
    <t xml:space="preserve">NF 317 - MILKA</t>
  </si>
  <si>
    <t xml:space="preserve">ALMOCO </t>
  </si>
  <si>
    <t xml:space="preserve">ALIMENTACAO</t>
  </si>
  <si>
    <t xml:space="preserve">ALIMENTAÇAO ALMOÇO 20 FUNC MARMITA  MO1-ANDREZA</t>
  </si>
  <si>
    <t xml:space="preserve">ANA MARIA DE PAULA ROL PADARIA</t>
  </si>
  <si>
    <t xml:space="preserve">CONTAS A PAGAR</t>
  </si>
  <si>
    <t xml:space="preserve">AJUDA DE CUSTO</t>
  </si>
  <si>
    <t xml:space="preserve">FERIAS A PAGAR</t>
  </si>
  <si>
    <t xml:space="preserve">FERIAS 2025/2026 MO1 - KEILA</t>
  </si>
  <si>
    <t xml:space="preserve">NF 1598074-01/02 MILKA</t>
  </si>
  <si>
    <t xml:space="preserve">BROTHERS  INDUSTRIA DE ALIMENTOS LTDA</t>
  </si>
  <si>
    <t xml:space="preserve">NF 1028313 - MILKA</t>
  </si>
  <si>
    <t xml:space="preserve">EDMARA COMERCIO DE HIGIENE PESSOAL LTDA</t>
  </si>
  <si>
    <t xml:space="preserve">4496-D/D NF7862 - MILKA</t>
  </si>
  <si>
    <t xml:space="preserve">EDSON AGUIAR DE SOUZA</t>
  </si>
  <si>
    <t xml:space="preserve">NF 1633522 - DEBORA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</si>
  <si>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</si>
  <si>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</si>
  <si>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</si>
  <si>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</si>
  <si>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</si>
  <si>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1638981 - DEBORA</t>
  </si>
  <si>
    <t xml:space="preserve">NF 1639492 - DEBORA</t>
  </si>
  <si>
    <t xml:space="preserve">FEIRA</t>
  </si>
  <si>
    <t xml:space="preserve">SR RENATO FEIRA LOJAS -ANDREZA</t>
  </si>
  <si>
    <t xml:space="preserve">CAPITALIZACAO BANCO</t>
  </si>
  <si>
    <t xml:space="preserve">CAPITALIZACAO ITAU MO1  59/60-ANDREZA</t>
  </si>
  <si>
    <t xml:space="preserve">J G COMERCIO DE PRODUTOS ALIMENTICIOS LTDA</t>
  </si>
  <si>
    <t xml:space="preserve">451009-B/C  NF387396 - MILKA</t>
  </si>
  <si>
    <t xml:space="preserve">JAB COMERCIO DE PRODUTOS ALIMENTICIOS LT</t>
  </si>
  <si>
    <t xml:space="preserve">NF 3422 SANTO PAO - MILKA</t>
  </si>
  <si>
    <t xml:space="preserve">LELE FABRICACAO DE MASSAS LTDA</t>
  </si>
  <si>
    <t xml:space="preserve">NF 16177 - MILKA</t>
  </si>
  <si>
    <t xml:space="preserve">NESTLÉ BRASIL LTDA.</t>
  </si>
  <si>
    <t xml:space="preserve">NF 1414551 - MILKA</t>
  </si>
  <si>
    <t xml:space="preserve">NL SERVICOS MEDICOS LTDA</t>
  </si>
  <si>
    <t xml:space="preserve">ASO FUNCIONARIOS</t>
  </si>
  <si>
    <t xml:space="preserve">ASOS FUNC MO1 03/25 A 10/25 - KEILA</t>
  </si>
  <si>
    <t xml:space="preserve">NOVA FRIOS COMERCIO ATACADISTA DE LATICINIOS LTDA</t>
  </si>
  <si>
    <t xml:space="preserve">NF 3863 BODEGA DO PAO - MILKA</t>
  </si>
  <si>
    <t xml:space="preserve">ORIENTE COM. ATACADISTA E REPRES. LTDA</t>
  </si>
  <si>
    <t xml:space="preserve">2087/1  NF1774 - MILKA</t>
  </si>
  <si>
    <t xml:space="preserve">NF 683 - MILKA</t>
  </si>
  <si>
    <t xml:space="preserve">NF 681 - MILKA</t>
  </si>
  <si>
    <t xml:space="preserve">REJANIA DE OLIVEIRA AZEVEDO</t>
  </si>
  <si>
    <t xml:space="preserve">DESPESA LOJA ALMOÇO RENATO MO1-ANDREZA</t>
  </si>
  <si>
    <t xml:space="preserve">NF 230626 FARINHA 3 IRMAOS - MILKA</t>
  </si>
  <si>
    <t xml:space="preserve">ACAI DE ANORI - DEBORA</t>
  </si>
  <si>
    <t xml:space="preserve">ROCHA E PAIVA LTDA</t>
  </si>
  <si>
    <t xml:space="preserve">OUTROS FORNECEDORES</t>
  </si>
  <si>
    <t xml:space="preserve">MATERIAL DE CONSUMO</t>
  </si>
  <si>
    <t xml:space="preserve">NF 207140-2 DESPESA - MILKA</t>
  </si>
  <si>
    <t xml:space="preserve">SEFAZ DAR</t>
  </si>
  <si>
    <t xml:space="preserve">IMPOSTOS E CONTRIBUICOES A PAGAR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</si>
  <si>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</si>
  <si>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</si>
  <si>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</si>
  <si>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</si>
  <si>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</si>
  <si>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NF31315 - MILKA</t>
  </si>
  <si>
    <t xml:space="preserve">SIMPLES NACIONAL</t>
  </si>
  <si>
    <t xml:space="preserve">SIMPLES FEDERAL A PAGAR</t>
  </si>
  <si>
    <t xml:space="preserve">PARCELAMENTO SIMPLES MO1 VELHO - KEILA</t>
  </si>
  <si>
    <t xml:space="preserve">NF 564351-01 MILKA</t>
  </si>
  <si>
    <t xml:space="preserve">TRES CORACOES ALIMENTOS S.A.</t>
  </si>
  <si>
    <t xml:space="preserve">NF346214 -02 MILKA</t>
  </si>
  <si>
    <t xml:space="preserve">TRIPLASTIK COMERCIAL</t>
  </si>
  <si>
    <t xml:space="preserve">NF 3245 DESPESA LOJA - MILKA</t>
  </si>
  <si>
    <t xml:space="preserve">VITAPAN COMERCIO VAREJISTA DE PRODUTOS ALIMENTICIOS LTDA</t>
  </si>
  <si>
    <t xml:space="preserve">NF 10158 - MILKA</t>
  </si>
  <si>
    <t xml:space="preserve">VOVO DIZA COMERCIO VAREJISTA DE HORTALICAS LTDA</t>
  </si>
  <si>
    <t xml:space="preserve">NF 3454 - DEBORA</t>
  </si>
  <si>
    <t xml:space="preserve">NF 3477 - DEBORA</t>
  </si>
  <si>
    <t xml:space="preserve">NF 3504 - DEBORA</t>
  </si>
  <si>
    <t xml:space="preserve">NF 3515 - DEBORA</t>
  </si>
  <si>
    <t xml:space="preserve">NF 3555 - DEBORA</t>
  </si>
  <si>
    <t xml:space="preserve">NF 3538 - DEBORA</t>
  </si>
  <si>
    <t xml:space="preserve">NF 3650 - DEBORA</t>
  </si>
  <si>
    <t xml:space="preserve">NF 3582 - DEBORA</t>
  </si>
  <si>
    <t xml:space="preserve">NF 3630 - DEBORA</t>
  </si>
  <si>
    <t xml:space="preserve">NF 3668 - DEBORA</t>
  </si>
  <si>
    <t xml:space="preserve">NF 3680 - DEBORA</t>
  </si>
  <si>
    <t xml:space="preserve">NF 3700 - DEBORA</t>
  </si>
  <si>
    <t xml:space="preserve">AMAZON BEEF COMERCIO DE CARNES EIRELI -</t>
  </si>
  <si>
    <t xml:space="preserve">NF 28698/1 MILKA</t>
  </si>
  <si>
    <t xml:space="preserve">AMERICANA DISTRIBUIDORA DE BEBIDAS E MERCADORIAS LTDA</t>
  </si>
  <si>
    <t xml:space="preserve">NF 76652 - MILKA</t>
  </si>
  <si>
    <t xml:space="preserve">NF 1890181 - MILKA</t>
  </si>
  <si>
    <t xml:space="preserve">NF 1595987-02/02 - MILKA</t>
  </si>
  <si>
    <t xml:space="preserve">NF 1598766-01/02 MILKA</t>
  </si>
  <si>
    <t xml:space="preserve">NF 11328-1 MILKA</t>
  </si>
  <si>
    <t xml:space="preserve">CAMPOS E LIMA GESTAO EMPRESARIAL</t>
  </si>
  <si>
    <t xml:space="preserve">BENS INTANGIVEIS</t>
  </si>
  <si>
    <t xml:space="preserve">SISTEMAS APLICATIVOS</t>
  </si>
  <si>
    <t xml:space="preserve"> MENSA SISTEMA VAREJO</t>
  </si>
  <si>
    <t xml:space="preserve">CB COMERCIO E DISTRIBUIDORA DE ALIMENTOS</t>
  </si>
  <si>
    <t xml:space="preserve">941304-A/C  NF844855 - MILKA</t>
  </si>
  <si>
    <t xml:space="preserve">NF 14765 - DEBORA</t>
  </si>
  <si>
    <t xml:space="preserve">ELIAS MARTINS DA SILVA</t>
  </si>
  <si>
    <t xml:space="preserve">NF 831615 - MILKA</t>
  </si>
  <si>
    <t xml:space="preserve">EMPRESA BRASILEIRA DE DISTRIBUICAO LTDA</t>
  </si>
  <si>
    <t xml:space="preserve">NF 2291498-2 MILKA</t>
  </si>
  <si>
    <t xml:space="preserve">FENNIX BRASIL DISTRIBUIDORA DE PRODUTOS</t>
  </si>
  <si>
    <t xml:space="preserve">NF 309639-1 MILKA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</si>
  <si>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</si>
  <si>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</si>
  <si>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</si>
  <si>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</si>
  <si>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H.V.M. XAVIER ALIMENTOS</t>
  </si>
  <si>
    <t xml:space="preserve">NF 132832 - MILKA</t>
  </si>
  <si>
    <t xml:space="preserve">COBERTURA DE CONTA E S O MO1- ANDREZA</t>
  </si>
  <si>
    <t xml:space="preserve">452671-A/C  NF388860 - MILKA</t>
  </si>
  <si>
    <t xml:space="preserve">NF 304.651 - KEILA</t>
  </si>
  <si>
    <t xml:space="preserve">L. J. DA SILVA LTDA</t>
  </si>
  <si>
    <t xml:space="preserve">44062-A/B  NF33133 - MILKA</t>
  </si>
  <si>
    <t xml:space="preserve">NATUREZA COMERCIO DE DESCARTAVEIS LTDA</t>
  </si>
  <si>
    <t xml:space="preserve">NF 727418 -01 MILKA</t>
  </si>
  <si>
    <t xml:space="preserve">NF 1414636 -03 MILKA</t>
  </si>
  <si>
    <t xml:space="preserve">NEYLIANE S DE OLIVEIRA &amp; CIA LTDA</t>
  </si>
  <si>
    <t xml:space="preserve">PL NEILA E RENATO - KEILA</t>
  </si>
  <si>
    <t xml:space="preserve">NEYLIANE SILVA DE OLIVEIRA</t>
  </si>
  <si>
    <t xml:space="preserve">PL NEILA BRADESCO - KEILA</t>
  </si>
  <si>
    <t xml:space="preserve">NF 684 - MILKA</t>
  </si>
  <si>
    <t xml:space="preserve">PIARARA COMERCIO, IMPORTACAO E EXPORTACAO LTDA</t>
  </si>
  <si>
    <t xml:space="preserve">NF 193491-1 MILKA</t>
  </si>
  <si>
    <t xml:space="preserve">CAMARAO COM CASCA - FEIRA CARLOS - DEBORA</t>
  </si>
  <si>
    <t xml:space="preserve">A L DE ALMEIDA NETO MINIMERCADOS-ME</t>
  </si>
  <si>
    <t xml:space="preserve">NF 7084 - DEBORA</t>
  </si>
  <si>
    <t xml:space="preserve">NF 516 BLOOM - MILKA</t>
  </si>
  <si>
    <t xml:space="preserve">NF 878848-1 MILKA</t>
  </si>
  <si>
    <t xml:space="preserve">NF 1890669 - MILKA</t>
  </si>
  <si>
    <t xml:space="preserve">AZEVEDO E SILVA LTDA</t>
  </si>
  <si>
    <t xml:space="preserve">EMPRESTIMOS BANCARIOS</t>
  </si>
  <si>
    <t xml:space="preserve">EMPRESTIMOS BANCARIOS A PAGAR</t>
  </si>
  <si>
    <t xml:space="preserve">PARC 08/48 EMPRESTIMO PARTE MO1 PAGAR P MO5 - KEILA</t>
  </si>
  <si>
    <t xml:space="preserve">NF 11315-02 MILKA</t>
  </si>
  <si>
    <t xml:space="preserve">CISS CONTABIL SERVIÇOS</t>
  </si>
  <si>
    <t xml:space="preserve">MENS CISS LOJAS IMPLANTACAO MO1 </t>
  </si>
  <si>
    <t xml:space="preserve">CRBS S/A</t>
  </si>
  <si>
    <t xml:space="preserve">NF 875362 - MILKA</t>
  </si>
  <si>
    <t xml:space="preserve">DA FRUTA DISTRIBUIDORA LTDA</t>
  </si>
  <si>
    <t xml:space="preserve">NF 195984 - MILKA</t>
  </si>
  <si>
    <t xml:space="preserve">DUNORTE DISTRIBUIDORA DE PRODUTOS DE CONSUMO LTDA</t>
  </si>
  <si>
    <t xml:space="preserve">NF 3201285 - MILKA</t>
  </si>
  <si>
    <t xml:space="preserve">NF 3204501 - MILKA</t>
  </si>
  <si>
    <t xml:space="preserve">E. SALES DO NASCIMENTO</t>
  </si>
  <si>
    <t xml:space="preserve">NF 573-06 MILKA</t>
  </si>
  <si>
    <t xml:space="preserve">FALCAO INDUSTRIA DE ALIMENTOS LTDA</t>
  </si>
  <si>
    <t xml:space="preserve">77054/2  NF30443 - MILKA</t>
  </si>
  <si>
    <t xml:space="preserve">NF 224467 - MILKA</t>
  </si>
  <si>
    <t xml:space="preserve">INDUSTRIA E COM. DE ALIMENTOS MORAES LTD</t>
  </si>
  <si>
    <t xml:space="preserve">NF 111495 - MILKA</t>
  </si>
  <si>
    <t xml:space="preserve">IRMÃOS LIMA  ATACADO  DE ALIMENTOS LTDA</t>
  </si>
  <si>
    <t xml:space="preserve">374805-A/C  NF293860 - MILKA</t>
  </si>
  <si>
    <t xml:space="preserve">TAR PIUX LIQ MAQUININHA ITAU MO1-ANDREZA</t>
  </si>
  <si>
    <t xml:space="preserve">IOF ITAU MO1-ANDREZA</t>
  </si>
  <si>
    <t xml:space="preserve">BANCO ITAU Lj 02</t>
  </si>
  <si>
    <t xml:space="preserve">IOF 6083.63511-7 C/C ITAU MO1-ANDREZA</t>
  </si>
  <si>
    <t xml:space="preserve">TAR PIX PGTO TRANSF ITAU MO1-ANDREZA</t>
  </si>
  <si>
    <t xml:space="preserve">TAR PIX QR CODE LIQUIDA ITAU MO1-ANDREZA</t>
  </si>
  <si>
    <t xml:space="preserve">NF 304776 -1 MILKA</t>
  </si>
  <si>
    <t xml:space="preserve">NORTELAC DISTRIBUIDORA DE FRIOS LTDA</t>
  </si>
  <si>
    <t xml:space="preserve">NF 42233 - MILKA</t>
  </si>
  <si>
    <t xml:space="preserve">NF 38858 MILKA</t>
  </si>
  <si>
    <t xml:space="preserve">OCIDENTAL COMERCIO DE FRIOS LTDA</t>
  </si>
  <si>
    <t xml:space="preserve">NF 1236075 - MILKA</t>
  </si>
  <si>
    <t xml:space="preserve">REAL BEBIDAS DA AMAZONIA LTDA</t>
  </si>
  <si>
    <t xml:space="preserve">NF 590548 - MILKA</t>
  </si>
  <si>
    <t xml:space="preserve">RV TECNOLOGIA E SISTEMAS S.A</t>
  </si>
  <si>
    <t xml:space="preserve">RECARGA MO1</t>
  </si>
  <si>
    <t xml:space="preserve">SB COMERCIO LTDA</t>
  </si>
  <si>
    <t xml:space="preserve">NF 1957890-1 MILKA</t>
  </si>
  <si>
    <t xml:space="preserve">T A DE MATTOS COMIM EIRELI</t>
  </si>
  <si>
    <t xml:space="preserve">NF 10610 CASA NOSTRA  - MILKA</t>
  </si>
  <si>
    <t xml:space="preserve">NF 18761-02 MILKA</t>
  </si>
  <si>
    <t xml:space="preserve">NF18891 - MILKA</t>
  </si>
  <si>
    <t xml:space="preserve">NF 1168004 - MILKA</t>
  </si>
  <si>
    <t xml:space="preserve">NF 1029068 - MILKA</t>
  </si>
  <si>
    <t xml:space="preserve">CARLINDO DA SILVA OLIVEIRA EIRELE</t>
  </si>
  <si>
    <t xml:space="preserve">pg 10 cx calabresa-andreza</t>
  </si>
  <si>
    <t xml:space="preserve">NF 14791 - DEBORA</t>
  </si>
  <si>
    <t xml:space="preserve">CONTA VIVO </t>
  </si>
  <si>
    <t xml:space="preserve">TELEFONE</t>
  </si>
  <si>
    <t xml:space="preserve">VIVO MO1 -ANDREZA</t>
  </si>
  <si>
    <t xml:space="preserve">DISTRIBUIDORA FARIAS LTDA.</t>
  </si>
  <si>
    <t xml:space="preserve">789209-A/C  NF674930 - MILKA</t>
  </si>
  <si>
    <t xml:space="preserve">FEMAR IND E COM DE BEBIDAS LTDA</t>
  </si>
  <si>
    <t xml:space="preserve">NF 50992 - MILKA</t>
  </si>
  <si>
    <t xml:space="preserve">NF 394903 - MILKA</t>
  </si>
  <si>
    <t xml:space="preserve">PAG SALARIO ESCRITORIO 06/26 ANDREZA E MILKA - KEILA</t>
  </si>
  <si>
    <t xml:space="preserve">FORNECEDOR AVULSO</t>
  </si>
  <si>
    <t xml:space="preserve">dinheiro trocado-andreza</t>
  </si>
  <si>
    <t xml:space="preserve">FORTVET DISTRIBUIDORA LTDA</t>
  </si>
  <si>
    <t xml:space="preserve">NF2068-4 MILKA</t>
  </si>
  <si>
    <t xml:space="preserve">NF 340 - DEBORA</t>
  </si>
  <si>
    <t xml:space="preserve">H. L. DO NASCIMENTO</t>
  </si>
  <si>
    <t xml:space="preserve">NF 5716 - MILKA</t>
  </si>
  <si>
    <t xml:space="preserve">NF 336 - DEBORA</t>
  </si>
  <si>
    <t xml:space="preserve">J. A. F. DE LIMA</t>
  </si>
  <si>
    <t xml:space="preserve">NF 155121/4 MILKA</t>
  </si>
  <si>
    <t xml:space="preserve">J. S. MOREIRA ALVES LTDA</t>
  </si>
  <si>
    <t xml:space="preserve">NF 2521 MESA FARTA - MILKA</t>
  </si>
  <si>
    <t xml:space="preserve">NF 2554 MESA FARTA - MILKA</t>
  </si>
  <si>
    <t xml:space="preserve">NF 3442 SANTOPAO - MILKA</t>
  </si>
  <si>
    <t xml:space="preserve">NF 303409 -3 MILKA</t>
  </si>
  <si>
    <t xml:space="preserve">NF14562 - MILKA</t>
  </si>
  <si>
    <t xml:space="preserve">10 PCT DE AGUAS 2 LT -ANDREZA</t>
  </si>
  <si>
    <t xml:space="preserve">NF 3901 SANTOPAO - MILKA</t>
  </si>
  <si>
    <t xml:space="preserve">NF 1238958-1/3 MILKA</t>
  </si>
  <si>
    <t xml:space="preserve">2435/1  NF2033 - MILKA</t>
  </si>
  <si>
    <t xml:space="preserve">NF 687 - MILKA</t>
  </si>
  <si>
    <t xml:space="preserve">NF193354-2 MILKA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</si>
  <si>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</si>
  <si>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</si>
  <si>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</si>
  <si>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</si>
  <si>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FEIRA SR RENATO - DEBORA</t>
  </si>
  <si>
    <t xml:space="preserve">PITAYA - DEBORA</t>
  </si>
  <si>
    <t xml:space="preserve">CAMARAO SEM CASCA - FEIRA CARLOS - DEBORA</t>
  </si>
  <si>
    <t xml:space="preserve">RISADINHA LTDA</t>
  </si>
  <si>
    <t xml:space="preserve">NF 657246 -01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</si>
  <si>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</si>
  <si>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</si>
  <si>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</si>
  <si>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563233 -02 MILKA</t>
  </si>
  <si>
    <t xml:space="preserve">NF 565012-01 MILKA</t>
  </si>
  <si>
    <t xml:space="preserve">NF10182 - MILKA</t>
  </si>
  <si>
    <t xml:space="preserve">NF 877772-2 MILKA</t>
  </si>
  <si>
    <t xml:space="preserve">NF 1170325 - MILKA</t>
  </si>
  <si>
    <t xml:space="preserve">NF 1892110 - MILKA</t>
  </si>
  <si>
    <t xml:space="preserve">COMERCIO DE FRIOS MANAUS LTDA</t>
  </si>
  <si>
    <t xml:space="preserve">NF172090 - MILKA</t>
  </si>
  <si>
    <t xml:space="preserve">MATERIAL DE ESCRITORIO</t>
  </si>
  <si>
    <t xml:space="preserve">NF 156812 DESPESA - MILKA</t>
  </si>
  <si>
    <t xml:space="preserve">NF 1372912 - MILKA</t>
  </si>
  <si>
    <t xml:space="preserve">NF14571 -MILKA</t>
  </si>
  <si>
    <t xml:space="preserve">NF 10589-03/05 MILKA</t>
  </si>
  <si>
    <t xml:space="preserve">RUAN FERNANDES</t>
  </si>
  <si>
    <t xml:space="preserve">MENSALIDADE TI</t>
  </si>
  <si>
    <t xml:space="preserve">MENSALIDADE D TI MO1 - KEILA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</si>
  <si>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</si>
  <si>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</si>
  <si>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</si>
  <si>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NF 1597184-02/02 MILKA</t>
  </si>
  <si>
    <t xml:space="preserve">NF172132 - MILKA</t>
  </si>
  <si>
    <t xml:space="preserve">ELIANA SILVA DE OLIVEIRA </t>
  </si>
  <si>
    <t xml:space="preserve">SALARIO ELIANA LOJAS - ESO - KEILA</t>
  </si>
  <si>
    <t xml:space="preserve">GOLD SERVICE</t>
  </si>
  <si>
    <t xml:space="preserve">HONORARIOS CONTABEIS</t>
  </si>
  <si>
    <t xml:space="preserve">MENSALIDADE GOLD MO1-ANDREZA</t>
  </si>
  <si>
    <t xml:space="preserve">PL NELA 28/28 - KEILA</t>
  </si>
  <si>
    <t xml:space="preserve">PL NEILA CONDOMINIO - KEILA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</si>
  <si>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</si>
  <si>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</si>
  <si>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</si>
  <si>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</si>
  <si>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</si>
  <si>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</si>
  <si>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</si>
  <si>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RENATO DE OLIVEIRA AZEVEDO</t>
  </si>
  <si>
    <t xml:space="preserve">SALARIO RENATO MO1 - KEILA</t>
  </si>
  <si>
    <t xml:space="preserve">SHMILY COMERCIO DE ARTIGOS DO VESTUARIO</t>
  </si>
  <si>
    <t xml:space="preserve">NF 417 SHMILY -  MILKA</t>
  </si>
  <si>
    <t xml:space="preserve">12490-A/B  NF11908 - MILKA</t>
  </si>
  <si>
    <t xml:space="preserve">XF 10 LOJA DE VARIEDADES LTDA</t>
  </si>
  <si>
    <t xml:space="preserve">NF 1005 - MILKA</t>
  </si>
  <si>
    <t xml:space="preserve">NF 876740 -3 MILKA</t>
  </si>
  <si>
    <t xml:space="preserve">NF 880067 - MILKA</t>
  </si>
  <si>
    <t xml:space="preserve">NF 77381 BALLY - MILKA</t>
  </si>
  <si>
    <t xml:space="preserve">NF 1891097 - MILKA</t>
  </si>
  <si>
    <t xml:space="preserve">NF 1894396 - MILKA 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</si>
  <si>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</si>
  <si>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</si>
  <si>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</si>
  <si>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COBERTURA CONTA BB 1 VELHO - KEILA</t>
  </si>
  <si>
    <t xml:space="preserve">NF 11328-2 MILKA</t>
  </si>
  <si>
    <t xml:space="preserve">NF 11352-1 MILKA</t>
  </si>
  <si>
    <t xml:space="preserve">CARMEM ELIZA</t>
  </si>
  <si>
    <t xml:space="preserve">ALUGUEL MO1 - </t>
  </si>
  <si>
    <t xml:space="preserve">ALUGUEL NAO SOMAR MO1 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</si>
  <si>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</si>
  <si>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</si>
  <si>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</si>
  <si>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</si>
  <si>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DISPPAN DISTRIBUIDORA DE PRODUTOS PARA PANIFICACAO LTDA</t>
  </si>
  <si>
    <t xml:space="preserve">NF 280092-1 MILKA</t>
  </si>
  <si>
    <t xml:space="preserve">DURAES DISTRIBUIDORA DE ESTIVAS LTDA</t>
  </si>
  <si>
    <t xml:space="preserve">NF 646740 - MILKA</t>
  </si>
  <si>
    <t xml:space="preserve">PAG SALARIO MO1 PARTE 06/26 - KEILA</t>
  </si>
  <si>
    <t xml:space="preserve">PG SALARIOS MO1 06/26 - KEILA</t>
  </si>
  <si>
    <t xml:space="preserve">NF 224614 - MILKA</t>
  </si>
  <si>
    <t xml:space="preserve">NF 20352-1 MILKA</t>
  </si>
  <si>
    <t xml:space="preserve">nNF 346 - DEBORA</t>
  </si>
  <si>
    <t xml:space="preserve">NF 304778 -2 MILKA</t>
  </si>
  <si>
    <t xml:space="preserve">NF14579 - MILKA</t>
  </si>
  <si>
    <t xml:space="preserve">PL NEILA E RENATO - PAG SALARIO ARLETE</t>
  </si>
  <si>
    <t xml:space="preserve">PL NEILA  E RENATO - PAG FERIAS 2026/2027 - KEILA</t>
  </si>
  <si>
    <t xml:space="preserve">ASOS FUNC MO1 01/26 A 03/26 - KEILA</t>
  </si>
  <si>
    <t xml:space="preserve">NF 686 - MILKA</t>
  </si>
  <si>
    <t xml:space="preserve">NF 689 - MILKA</t>
  </si>
  <si>
    <t xml:space="preserve">05</t>
  </si>
  <si>
    <t xml:space="preserve">NF 10262 -05/09 MILKA</t>
  </si>
  <si>
    <t xml:space="preserve">ALUGUEL MO1 NAO SOMAR</t>
  </si>
  <si>
    <t xml:space="preserve">NF 3505 SABORE FATIADO - MILKA</t>
  </si>
  <si>
    <t xml:space="preserve">NF 564351-02 MILKA</t>
  </si>
  <si>
    <t xml:space="preserve">12298-B/B  NF11722 - MILKA</t>
  </si>
  <si>
    <t xml:space="preserve">A M A DE LIMA INDUSTRIA E COMERCIO DE PRODUTOS ALIMENTICIOS LTDA</t>
  </si>
  <si>
    <t xml:space="preserve">PGTO P/ CPF DO SR. RENATO - MILKA</t>
  </si>
  <si>
    <t xml:space="preserve">NF 519 BLOOM - MILKA</t>
  </si>
  <si>
    <t xml:space="preserve">NF 320 - MILKA</t>
  </si>
  <si>
    <t xml:space="preserve">AMAZONIA INDUSTRIA E COMERCIO DE POLPAS</t>
  </si>
  <si>
    <t xml:space="preserve">NF 270492 - MILKA</t>
  </si>
  <si>
    <t xml:space="preserve">AUGUSTA E BOMFIM LTDA</t>
  </si>
  <si>
    <t xml:space="preserve">NF 187 DESPESA - MILKA</t>
  </si>
  <si>
    <t xml:space="preserve">NF 1170695 - MILKA</t>
  </si>
  <si>
    <t xml:space="preserve">NF 1598074-02/02 MILKA</t>
  </si>
  <si>
    <t xml:space="preserve">NF 1029524 - MILKA</t>
  </si>
  <si>
    <t xml:space="preserve">CACAU NORTE DISTRIBUIDORA DE PRODUTOS ALIMENTICIOS LTDA</t>
  </si>
  <si>
    <t xml:space="preserve">NF 178 - MILKA</t>
  </si>
  <si>
    <t xml:space="preserve">SISTEMA CISS NAO SOMAR - MENSA</t>
  </si>
  <si>
    <t xml:space="preserve">NF 1673539 - MILKA</t>
  </si>
  <si>
    <t xml:space="preserve">NF 646127 - MILKA</t>
  </si>
  <si>
    <t xml:space="preserve">ELISMAR(OBRA)</t>
  </si>
  <si>
    <t xml:space="preserve">DESPESAS PADARIA</t>
  </si>
  <si>
    <t xml:space="preserve">ADIANT PREST SERV COIFA COZINHA/PADARIA - KEILA</t>
  </si>
  <si>
    <t xml:space="preserve">FEIRAS LOJAS NAO SOMAR </t>
  </si>
  <si>
    <t xml:space="preserve">451009-C/C  NF387396 - MILKA</t>
  </si>
  <si>
    <t xml:space="preserve">NF 3456 SANTOPAO - MILKA</t>
  </si>
  <si>
    <t xml:space="preserve">MARTINS COM SERV DISTR SA</t>
  </si>
  <si>
    <t xml:space="preserve">NF 1773396/ NF 1773397 -01 MILKA</t>
  </si>
  <si>
    <t xml:space="preserve">NF 14587 - MILKA</t>
  </si>
  <si>
    <t xml:space="preserve">NF 729270 DESPESA - MILKA</t>
  </si>
  <si>
    <t xml:space="preserve">NF 729269 - MILKA</t>
  </si>
  <si>
    <t xml:space="preserve">PL NEILA ENERGIA - KEILA</t>
  </si>
  <si>
    <t xml:space="preserve">NF 39200 - MILKA</t>
  </si>
  <si>
    <t xml:space="preserve">2087/2  NF1774 - MILKA</t>
  </si>
  <si>
    <t xml:space="preserve">P. A. P. CAVALCANTE LTDA</t>
  </si>
  <si>
    <t xml:space="preserve">NF 31489 - MILKA</t>
  </si>
  <si>
    <t xml:space="preserve">NF31488 - MILKA</t>
  </si>
  <si>
    <t xml:space="preserve">NF 15072 AMAZONGURT - MILKA</t>
  </si>
  <si>
    <t xml:space="preserve">NF346214 -03 MILKA</t>
  </si>
  <si>
    <t xml:space="preserve">TRIPLASTIK ATAKADO</t>
  </si>
  <si>
    <t xml:space="preserve">NF 3450 - MILKA</t>
  </si>
  <si>
    <t xml:space="preserve">NF 10212 - MILKA</t>
  </si>
  <si>
    <t xml:space="preserve">NF 321 - MILKA</t>
  </si>
  <si>
    <t xml:space="preserve">NF 28698/2 MILKA</t>
  </si>
  <si>
    <t xml:space="preserve">NF 1890180 - MILKA</t>
  </si>
  <si>
    <t xml:space="preserve">NF 1892633 - MILKA</t>
  </si>
  <si>
    <t xml:space="preserve">NF 1895761 - MILKA</t>
  </si>
  <si>
    <t xml:space="preserve">NF1895808 - MILKA</t>
  </si>
  <si>
    <t xml:space="preserve">NF 1598766-02/02 MILKA</t>
  </si>
  <si>
    <t xml:space="preserve">NF 1600670-01 MILKA</t>
  </si>
  <si>
    <t xml:space="preserve">941304-B/C  NF844855 - MILKA</t>
  </si>
  <si>
    <t xml:space="preserve">MENSALIDADE SISTEMA CISS LOJAS-ANDREZA</t>
  </si>
  <si>
    <t xml:space="preserve">NF 14811 - DEBORA</t>
  </si>
  <si>
    <t xml:space="preserve">NF 885204 - MILKA</t>
  </si>
  <si>
    <t xml:space="preserve">NF 885205 - MILKA</t>
  </si>
  <si>
    <t xml:space="preserve">NF 885206 - MILKA</t>
  </si>
  <si>
    <t xml:space="preserve">D DE J SANTOS LTDA</t>
  </si>
  <si>
    <t xml:space="preserve">NF 256 DELICIA DE FARINHA - MILKA</t>
  </si>
  <si>
    <t xml:space="preserve">NF 674269 - MILKA</t>
  </si>
  <si>
    <t xml:space="preserve">NF 1670627 - MILKA</t>
  </si>
  <si>
    <t xml:space="preserve">NF 3203776 ROTANORTE - MILKA</t>
  </si>
  <si>
    <t xml:space="preserve">NF 3203774 - MILKA</t>
  </si>
  <si>
    <t xml:space="preserve">NF 3203775 - MILKA</t>
  </si>
  <si>
    <t xml:space="preserve">NF 2291498-3 MILKA</t>
  </si>
  <si>
    <t xml:space="preserve">NF 309639-2 MILKA</t>
  </si>
  <si>
    <t xml:space="preserve">NF 20167 3- MILKA</t>
  </si>
  <si>
    <t xml:space="preserve">NF 280 - DEBORA</t>
  </si>
  <si>
    <t xml:space="preserve">NF 351 - DEBORA</t>
  </si>
  <si>
    <t xml:space="preserve">452671-B/C  NF388860 - MILKA</t>
  </si>
  <si>
    <t xml:space="preserve">44062-B/B  NF33133 - MILKA</t>
  </si>
  <si>
    <t xml:space="preserve">LOURIVAL ALMEIDA DA SILVA 17128784845</t>
  </si>
  <si>
    <t xml:space="preserve">NF 514 - DEBORA</t>
  </si>
  <si>
    <t xml:space="preserve">NF 1375586 - MILKA</t>
  </si>
  <si>
    <t xml:space="preserve">NF 727418 -02 MILKA</t>
  </si>
  <si>
    <t xml:space="preserve">NF 3942 BODEGA - MILKA</t>
  </si>
  <si>
    <t xml:space="preserve">OESA COMERCIO E REPRESENTACOES S/A</t>
  </si>
  <si>
    <t xml:space="preserve">NF 413874 -MILKA</t>
  </si>
  <si>
    <t xml:space="preserve">NF 33621-5 MILKA</t>
  </si>
  <si>
    <t xml:space="preserve">NF 694 - MILKA</t>
  </si>
  <si>
    <t xml:space="preserve">NF 695 - MILKA</t>
  </si>
  <si>
    <t xml:space="preserve">NF 692 - MILKA</t>
  </si>
  <si>
    <t xml:space="preserve">NF 193491-2 MILKA</t>
  </si>
  <si>
    <t xml:space="preserve">NF 10336 -05 MILKA</t>
  </si>
  <si>
    <t xml:space="preserve">FEIRA CARLOS - DEBPORA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</si>
  <si>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</si>
  <si>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</si>
  <si>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</si>
  <si>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</si>
  <si>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NF384/PGTO PARA SR. RENATO - MILKA</t>
  </si>
  <si>
    <t xml:space="preserve">NF523 BLOOM - MILKA</t>
  </si>
  <si>
    <t xml:space="preserve">NF 878848-2 MILKA</t>
  </si>
  <si>
    <t xml:space="preserve">NF 1899789 - MILKA</t>
  </si>
  <si>
    <t xml:space="preserve">NF 1175957 - MILKA</t>
  </si>
  <si>
    <t xml:space="preserve">NF 1174710 - MILKA</t>
  </si>
  <si>
    <t xml:space="preserve">NF 11381-1 MILKA</t>
  </si>
  <si>
    <t xml:space="preserve">NF 1675757-1 MILKA</t>
  </si>
  <si>
    <t xml:space="preserve">NF 3204500 - MILKA</t>
  </si>
  <si>
    <t xml:space="preserve">NF 8075 - MILKA</t>
  </si>
  <si>
    <t xml:space="preserve">NF 311084 -1 MILKA</t>
  </si>
  <si>
    <t xml:space="preserve">374805-B/C  NF293860 - MILKA</t>
  </si>
  <si>
    <t xml:space="preserve">J. R. L. NASCIMENTO PANIFICADORA</t>
  </si>
  <si>
    <t xml:space="preserve">NF1037 - MILKA</t>
  </si>
  <si>
    <t xml:space="preserve">NF 3469 SANTOPAO - MILKA</t>
  </si>
  <si>
    <t xml:space="preserve">NF 304776 -2 MILKA</t>
  </si>
  <si>
    <t xml:space="preserve">LIMA E BARANDA COMERCIO DE PRODUTOS REGI</t>
  </si>
  <si>
    <t xml:space="preserve">NF 31254 - MILKA</t>
  </si>
  <si>
    <t xml:space="preserve">NF 1238549 - MILKA</t>
  </si>
  <si>
    <t xml:space="preserve">NF 697 - MILKA</t>
  </si>
  <si>
    <t xml:space="preserve">NF 193797 -1 MILKA</t>
  </si>
  <si>
    <t xml:space="preserve">NF 10643-03/05 MILKA</t>
  </si>
  <si>
    <t xml:space="preserve">NF 595147 - MILKA</t>
  </si>
  <si>
    <t xml:space="preserve">NF 20726 3IRMAOS/ PGTO P/ JULIETE - MILKA</t>
  </si>
  <si>
    <t xml:space="preserve">PL RENATO SISTEMA DN - KEILA</t>
  </si>
  <si>
    <t xml:space="preserve">NF 1957890-2 MILKA</t>
  </si>
  <si>
    <t xml:space="preserve">ANDERSON SILVA - BOY</t>
  </si>
  <si>
    <t xml:space="preserve">Cartao Sant 1 Velho 9336 venc 10</t>
  </si>
  <si>
    <t xml:space="preserve">COMPRAS FUNC ANDERSON PARC 06/12 - KEILA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</si>
  <si>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</si>
  <si>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</si>
  <si>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</si>
  <si>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</si>
  <si>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</si>
  <si>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BEIJA FLOR</t>
  </si>
  <si>
    <t xml:space="preserve">DESPESAS LOJA</t>
  </si>
  <si>
    <t xml:space="preserve">DESPESA LOJA COPA MO1 - KEILA</t>
  </si>
  <si>
    <t xml:space="preserve">BF COMERCIO DE EQUIP. E SUP DE INFO LTDA</t>
  </si>
  <si>
    <t xml:space="preserve">DESPESAS ESCRITORIO</t>
  </si>
  <si>
    <t xml:space="preserve">NF 5.536 PARC 01/02  TONNER ESCRITORIO - KEILA</t>
  </si>
  <si>
    <t xml:space="preserve">NF 5484 PARC 02/04 TONNER ESCR - KEILA</t>
  </si>
  <si>
    <t xml:space="preserve">NF 18761-03 MILKA</t>
  </si>
  <si>
    <t xml:space="preserve">NF 19022-01 MILKA</t>
  </si>
  <si>
    <t xml:space="preserve">NF19193 / COMPRA SARINHA E TRIGO - MILKA</t>
  </si>
  <si>
    <t xml:space="preserve">NF 1030056 - MILkA</t>
  </si>
  <si>
    <t xml:space="preserve">NF 11352-2 MILKA</t>
  </si>
  <si>
    <t xml:space="preserve">DESPESA OPER LOJA</t>
  </si>
  <si>
    <t xml:space="preserve">OUTROS DESP MO1 FUNCIONARIO PARC 03/06</t>
  </si>
  <si>
    <t xml:space="preserve">VIDRO TEMPERADO PADARIA DESPESA - KEILA</t>
  </si>
  <si>
    <t xml:space="preserve">PARC 01/05 DESPESA MINEIRO - KEILA</t>
  </si>
  <si>
    <t xml:space="preserve">GRAFICAS E IMPRESSOS</t>
  </si>
  <si>
    <t xml:space="preserve">ADESIVO MOTO MO1 - KEILA</t>
  </si>
  <si>
    <t xml:space="preserve">789209-B/C  NF674930 - MILKA</t>
  </si>
  <si>
    <t xml:space="preserve">NF 1681442 - MILKA</t>
  </si>
  <si>
    <t xml:space="preserve">NF 8210 DESPESA - MILKA</t>
  </si>
  <si>
    <t xml:space="preserve">5120-A/C  NF8208 - MILKA</t>
  </si>
  <si>
    <t xml:space="preserve">ENDREW GUIMARAES BATISTA</t>
  </si>
  <si>
    <t xml:space="preserve">CELULAR TIM RENATO MO1 - KEILA</t>
  </si>
  <si>
    <t xml:space="preserve">PG FEIRA SR RENATO LOJAS - KEILA</t>
  </si>
  <si>
    <t xml:space="preserve">PAG  ADIANT SALARIO MO1 07/26 - KEILA</t>
  </si>
  <si>
    <t xml:space="preserve">GLG COMERCIO E INDUSTRIA DO VESTUARIO LTDA</t>
  </si>
  <si>
    <t xml:space="preserve">EPI - FUNCIONARIOS</t>
  </si>
  <si>
    <t xml:space="preserve">CALCA UNIFORME ACOUGUEIROS MO1 - KEILA</t>
  </si>
  <si>
    <t xml:space="preserve">HAVAN S.A.</t>
  </si>
  <si>
    <t xml:space="preserve">PARC 1/03 LIQUIDIFICADOR PADARIA MO1 - KEILA</t>
  </si>
  <si>
    <t xml:space="preserve">IMPERIO FESTAS MIX </t>
  </si>
  <si>
    <t xml:space="preserve">DECORACAO LOJA COPA PARC 01/02 - KEILA</t>
  </si>
  <si>
    <t xml:space="preserve">DESPESA DECORACAO LOJA COPA - KEILA</t>
  </si>
  <si>
    <t xml:space="preserve">MATERIAL DECORACAO PADARIA MO1 - KEILA</t>
  </si>
  <si>
    <t xml:space="preserve">JUROS S/ EMPRESTIMOS</t>
  </si>
  <si>
    <t xml:space="preserve">JUROS LIMITE DA CONTA MO1 - KEILA</t>
  </si>
  <si>
    <t xml:space="preserve">454446-A/C  NF390550 - MILKA</t>
  </si>
  <si>
    <t xml:space="preserve">NF 352 - DEBORA</t>
  </si>
  <si>
    <t xml:space="preserve">NF 155121/5 MILKA</t>
  </si>
  <si>
    <t xml:space="preserve">LEO MOTO PECAS </t>
  </si>
  <si>
    <t xml:space="preserve">MANUTENCAO VEICULOS</t>
  </si>
  <si>
    <t xml:space="preserve">CORRENTE  MOTO MO1 - KEILA</t>
  </si>
  <si>
    <t xml:space="preserve">LOJA DO REI COMERCIO DE MATERIAL DE CONS</t>
  </si>
  <si>
    <t xml:space="preserve">NF 98825 PARC 04/04 - KEILA</t>
  </si>
  <si>
    <t xml:space="preserve">NF 100083 MATERIAL OBRA ESCRITORIO - KEILA </t>
  </si>
  <si>
    <t xml:space="preserve">NF 100241 / 4PARC - MILKA</t>
  </si>
  <si>
    <t xml:space="preserve">PARC 04/05 DESPE PADARIA MO1 - KEILA</t>
  </si>
  <si>
    <t xml:space="preserve">NF 102658 PARC 2/3 DESPESA LOJA - KEILA</t>
  </si>
  <si>
    <t xml:space="preserve">NF 105747 - KEILA</t>
  </si>
  <si>
    <t xml:space="preserve">MANAUS AMBIENTAL S/A </t>
  </si>
  <si>
    <t xml:space="preserve">AGUA</t>
  </si>
  <si>
    <t xml:space="preserve">AGUA MO1 1244736-6 MES  06/26 - KEILA</t>
  </si>
  <si>
    <t xml:space="preserve">AGUA MO1 1244728-5 MO1 - KEILA</t>
  </si>
  <si>
    <t xml:space="preserve">NF14614 - MILKA</t>
  </si>
  <si>
    <t xml:space="preserve">MERCADINHO LELIENE </t>
  </si>
  <si>
    <t xml:space="preserve">DESPESA COMPRA DE GRAMPOS - KEILA</t>
  </si>
  <si>
    <t xml:space="preserve">NF 1424401-01 MILKA</t>
  </si>
  <si>
    <t xml:space="preserve">NEY MATERIAL DE CONSTRUCAO</t>
  </si>
  <si>
    <t xml:space="preserve">PARC 01/03 MATERIAL CONSTRUCAO </t>
  </si>
  <si>
    <t xml:space="preserve">PL NEILA - NAO SOMAR </t>
  </si>
  <si>
    <t xml:space="preserve">NF 39625 - MILKA</t>
  </si>
  <si>
    <t xml:space="preserve">NF 1238958-2/3 MILKA</t>
  </si>
  <si>
    <t xml:space="preserve">NF 1241434-1/3 - MILKA</t>
  </si>
  <si>
    <t xml:space="preserve">2435/2  NF2033 - MILKA</t>
  </si>
  <si>
    <t xml:space="preserve">NF193354-3 MILKA</t>
  </si>
  <si>
    <t xml:space="preserve">POSTO TIRADENTES</t>
  </si>
  <si>
    <t xml:space="preserve">COMBUSTIVEIS</t>
  </si>
  <si>
    <t xml:space="preserve">GASOLINA MOTO MO1 -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</si>
  <si>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</si>
  <si>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</si>
  <si>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</si>
  <si>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RCR RIBEIRO ME</t>
  </si>
  <si>
    <t xml:space="preserve">MATERIAL DECORACAO COPA LOJA - KEILA</t>
  </si>
  <si>
    <t xml:space="preserve">PL RENATO PARC 02/03 - KEILA</t>
  </si>
  <si>
    <t xml:space="preserve">MANUTENÇÃO EQUIPAMENTOS DE INFORMATICA</t>
  </si>
  <si>
    <t xml:space="preserve">PARC 04/04 SSD E MEMORIA MO1 SERVIDOR - KEILA</t>
  </si>
  <si>
    <t xml:space="preserve"> MO1 SERVIDOR WORDBALAACE - PARC 03/04</t>
  </si>
  <si>
    <t xml:space="preserve">SABIA COMERCIO DE COSMETICOS LTDA</t>
  </si>
  <si>
    <t xml:space="preserve">NF 250257-1 MILKA</t>
  </si>
  <si>
    <t xml:space="preserve">SANTANDER SA</t>
  </si>
  <si>
    <t xml:space="preserve">Cartao Sant 1 Novo 4172 venc 10</t>
  </si>
  <si>
    <t xml:space="preserve">COBERTURA CONTA SANT 1 NOVO LOJAS NAO SOMAR - KI</t>
  </si>
  <si>
    <t xml:space="preserve">COBERTURA CONTA MO1 SNATA 1 VELHO NAO SOMAR</t>
  </si>
  <si>
    <t xml:space="preserve">NF 565012-02 MILKA</t>
  </si>
  <si>
    <t xml:space="preserve">SV INSTALACOES LTDA</t>
  </si>
  <si>
    <t xml:space="preserve">NF 1529878 - BOTAS ACOUGUEIROS - KEILA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</si>
  <si>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</si>
  <si>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</si>
  <si>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</si>
  <si>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NF10235 - MILKA</t>
  </si>
  <si>
    <t xml:space="preserve">NF 877772-3 MILKA</t>
  </si>
  <si>
    <t xml:space="preserve">ALEXSANDRO BEZERRA DA SILVA</t>
  </si>
  <si>
    <t xml:space="preserve">192032562  NF 264 POTIGUAR - MILKA</t>
  </si>
  <si>
    <t xml:space="preserve">NF 1179702 - MILKA</t>
  </si>
  <si>
    <t xml:space="preserve">NF 1905191 - MILKA</t>
  </si>
  <si>
    <t xml:space="preserve">NF172452 - MILKA</t>
  </si>
  <si>
    <t xml:space="preserve">NF 14834 - DEBORA</t>
  </si>
  <si>
    <t xml:space="preserve">361 - DEBORA</t>
  </si>
  <si>
    <t xml:space="preserve">NF 156818 - MILKA</t>
  </si>
  <si>
    <t xml:space="preserve">NF14625 - MILKA</t>
  </si>
  <si>
    <t xml:space="preserve">PORTO SEGURO SEGURO SAUDE S/A</t>
  </si>
  <si>
    <t xml:space="preserve">SEGURO ODONTO KEILA ELIANA THAI DAVID HELIO - KEILA</t>
  </si>
  <si>
    <t xml:space="preserve">PRIMICIA DISTRIBUIDORA DE FRIOS LTDA</t>
  </si>
  <si>
    <t xml:space="preserve">NF 3003 - MILKA</t>
  </si>
  <si>
    <t xml:space="preserve">FEIRA VERDURAS DO CARLOS - DEBORA</t>
  </si>
  <si>
    <t xml:space="preserve">NF3553 DESPESA DE VENDA / PADARIA - MILKA</t>
  </si>
  <si>
    <t xml:space="preserve">NF 172527 - MILKA</t>
  </si>
  <si>
    <t xml:space="preserve">NF 34212-1 MILKA</t>
  </si>
  <si>
    <t xml:space="preserve">NF 575595 - MILKA</t>
  </si>
  <si>
    <t xml:space="preserve">12490-B/B  NF11908 - MILKA</t>
  </si>
  <si>
    <t xml:space="preserve">NF 882141 -1 MILKA</t>
  </si>
  <si>
    <t xml:space="preserve">NF 330 - MILKA</t>
  </si>
  <si>
    <t xml:space="preserve">AMAZONAS ENERGIA S/A</t>
  </si>
  <si>
    <t xml:space="preserve">ENERGIA ELETRICA</t>
  </si>
  <si>
    <t xml:space="preserve">CONTA ENERGIA MO1 UC552193002-71 - KEILA</t>
  </si>
  <si>
    <t xml:space="preserve">AMMAC INDUSTRIA E COMERCIO DE ALIMENTOS</t>
  </si>
  <si>
    <t xml:space="preserve">NF128773 MITTOS / PAGO NO PIX EM 13/07/26 - MILKA</t>
  </si>
  <si>
    <t xml:space="preserve">NF 1894397 -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</si>
  <si>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</si>
  <si>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</si>
  <si>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</si>
  <si>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COMPRA DE CIGARRO / PGTO BRAGA TABACARIA - MILKA</t>
  </si>
  <si>
    <t xml:space="preserve">NF 11381-2 MILKA</t>
  </si>
  <si>
    <t xml:space="preserve">NF 11400 -01 KARU -  MILKA</t>
  </si>
  <si>
    <t xml:space="preserve">NF 875364 - MILKA</t>
  </si>
  <si>
    <t xml:space="preserve">NF 875363 - MILKA</t>
  </si>
  <si>
    <t xml:space="preserve">NF 280092-2 MILKA</t>
  </si>
  <si>
    <t xml:space="preserve">NF 1672665 - MILKA</t>
  </si>
  <si>
    <t xml:space="preserve">NF 1677170-1 MILKA</t>
  </si>
  <si>
    <t xml:space="preserve">NF 646739 - MILKA</t>
  </si>
  <si>
    <t xml:space="preserve">NF 2524-1 MILKA</t>
  </si>
  <si>
    <t xml:space="preserve">NF 20498-1 MILKA</t>
  </si>
  <si>
    <t xml:space="preserve">GRADE DE COCA COLA</t>
  </si>
  <si>
    <t xml:space="preserve">NF1905191 TARIFA BOLETO COCA - KEILA</t>
  </si>
  <si>
    <t xml:space="preserve">INTLINK TECNOLOGIA LTDA</t>
  </si>
  <si>
    <t xml:space="preserve">INTERNET</t>
  </si>
  <si>
    <t xml:space="preserve">MENS INTERNET MO1 - KEILA,</t>
  </si>
  <si>
    <t xml:space="preserve">PARC 09/48 PARC GIRO MO1 - KEILA</t>
  </si>
  <si>
    <t xml:space="preserve">NAO SOMAR - VALOR REAL DO CARTAO RATEIO LOJAS BL</t>
  </si>
  <si>
    <t xml:space="preserve">ANUIDADE  CARTAOITAU 1NV-ANDREZA</t>
  </si>
  <si>
    <t xml:space="preserve">CARTAO CREDITO NAO SOMAR </t>
  </si>
  <si>
    <t xml:space="preserve">NF14636 - MILKA</t>
  </si>
  <si>
    <t xml:space="preserve">NF 419583-1 MILKA</t>
  </si>
  <si>
    <t xml:space="preserve">NF375 / PGTO PARA PAULA - MILKA</t>
  </si>
  <si>
    <t xml:space="preserve">NF 700 - MILKA</t>
  </si>
  <si>
    <t xml:space="preserve">NF 699 - MILKA</t>
  </si>
  <si>
    <t xml:space="preserve">NF 706 REAL MADRID - MILKA</t>
  </si>
  <si>
    <t xml:space="preserve">NF 709 REAL MADRID - MILKA</t>
  </si>
  <si>
    <t xml:space="preserve">NF 703 - MILKA</t>
  </si>
  <si>
    <t xml:space="preserve">PGTO P/ DONA GERALDA - MILKA</t>
  </si>
  <si>
    <t xml:space="preserve">TAR EXTRATO INTEL.BCO SANTANDER 1VELHO-ANDREZA</t>
  </si>
  <si>
    <t xml:space="preserve">TAR MENS. PACOTE SANTANDER 1VELHO-ANDREZA</t>
  </si>
  <si>
    <t xml:space="preserve">6781036  NF 3552 SABORE - MILKA</t>
  </si>
  <si>
    <t xml:space="preserve">NF 15107 AMAZONGURT - MILKA</t>
  </si>
  <si>
    <t xml:space="preserve">NF 12051 - MILKA</t>
  </si>
  <si>
    <t xml:space="preserve">NF 10259 - MILKA</t>
  </si>
  <si>
    <t xml:space="preserve">NF 526 BLOOM - MILKA</t>
  </si>
  <si>
    <t xml:space="preserve">CPBERTURA DE CONTA BB 1 VELHO-ANDREZA</t>
  </si>
  <si>
    <t xml:space="preserve">BF COMERCIO DE ALIMENTOS REPRESENTACAO L</t>
  </si>
  <si>
    <t xml:space="preserve">NF 20900 RAIZ ALIMENTOS - MILKA</t>
  </si>
  <si>
    <t xml:space="preserve">NF 1030665 - MILKA</t>
  </si>
  <si>
    <t xml:space="preserve">NF 172658 - MILKA</t>
  </si>
  <si>
    <t xml:space="preserve">FEIRA SR RENATO LOJAS. -ANDREZA</t>
  </si>
  <si>
    <t xml:space="preserve">CAIXA GERAL</t>
  </si>
  <si>
    <t xml:space="preserve">FEIRA SR RENATO LOJAS POTE LJ MO1-ANDREZA</t>
  </si>
  <si>
    <t xml:space="preserve">FORT COMERCIO DE BEBIDA LTDA</t>
  </si>
  <si>
    <t xml:space="preserve">NF143091 TOYA - MILKA</t>
  </si>
  <si>
    <t xml:space="preserve">NF 225390 - MILKA</t>
  </si>
  <si>
    <t xml:space="preserve">NF 225391 - MILKA</t>
  </si>
  <si>
    <t xml:space="preserve">NF 368 - DEBORA</t>
  </si>
  <si>
    <t xml:space="preserve">NF 3502 SANTOPAO - MILKA</t>
  </si>
  <si>
    <t xml:space="preserve">NF14643 - MILKA</t>
  </si>
  <si>
    <t xml:space="preserve">NF 731754 - MILKA</t>
  </si>
  <si>
    <t xml:space="preserve">NF 1423353 - MILKA</t>
  </si>
  <si>
    <t xml:space="preserve">NEXUS DISTRIBUIDORA</t>
  </si>
  <si>
    <t xml:space="preserve">NF 101974 - MILKA</t>
  </si>
  <si>
    <t xml:space="preserve">NF 3999 BODEGA DO PAO - MILKA</t>
  </si>
  <si>
    <t xml:space="preserve">192333641  NF7876 - MILKA</t>
  </si>
  <si>
    <t xml:space="preserve">NF 39854 - MILKA</t>
  </si>
  <si>
    <t xml:space="preserve">NF 423615 -1 MILKA</t>
  </si>
  <si>
    <t xml:space="preserve">NF 10589-04/05 MILKA</t>
  </si>
  <si>
    <t xml:space="preserve">VISCERA DE BOI /SR. RENATO - MILKA</t>
  </si>
  <si>
    <t xml:space="preserve">COBERTURA DE CONTA BCO SANTANDER 1 VELHO-ANDREZA</t>
  </si>
  <si>
    <t xml:space="preserve">NF 31659 - MILKA</t>
  </si>
  <si>
    <t xml:space="preserve">SMV COMERCIO DE PRODUTOS ALIMENTICIOS LT</t>
  </si>
  <si>
    <t xml:space="preserve">6860-1/2  NF6597 - MILKA</t>
  </si>
  <si>
    <t xml:space="preserve">NF 348726 - MILKA</t>
  </si>
  <si>
    <t xml:space="preserve">NF 3370 DESPESA - MILKA</t>
  </si>
  <si>
    <t xml:space="preserve">NF 1892632 - MILKA</t>
  </si>
  <si>
    <t xml:space="preserve">NF 1895762 - MILKA</t>
  </si>
  <si>
    <t xml:space="preserve">NF 1895809 - MILKA</t>
  </si>
  <si>
    <t xml:space="preserve">NF 1600670-02 MILKA</t>
  </si>
  <si>
    <t xml:space="preserve">NF 1603506-01/02 MILKA</t>
  </si>
  <si>
    <t xml:space="preserve">941304-C/C  NF844855 - MILKA</t>
  </si>
  <si>
    <t xml:space="preserve">NF 14862 - DEBORA</t>
  </si>
  <si>
    <t xml:space="preserve">NF 1679265-1 MILKA</t>
  </si>
  <si>
    <t xml:space="preserve">NF 1679646-1 MILKA 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</si>
  <si>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</si>
  <si>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</si>
  <si>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</si>
  <si>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</si>
  <si>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</si>
  <si>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</si>
  <si>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</si>
  <si>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</si>
  <si>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</si>
  <si>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DINHEIRO TROCADO -ANDREZA</t>
  </si>
  <si>
    <t xml:space="preserve">NF 51879 - MILKA</t>
  </si>
  <si>
    <t xml:space="preserve">PAG ADIANT SALARIO 07/26 MO1/ESCR - KEILA</t>
  </si>
  <si>
    <t xml:space="preserve">VALE TRANSP MO1 - </t>
  </si>
  <si>
    <t xml:space="preserve">452671-C/C  NF388860 - MILKA</t>
  </si>
  <si>
    <t xml:space="preserve">NF 306058-1 MILKA</t>
  </si>
  <si>
    <t xml:space="preserve">NF 1420457 - MILKA</t>
  </si>
  <si>
    <t xml:space="preserve">NF1425692-01/03 MILKA</t>
  </si>
  <si>
    <t xml:space="preserve">NET CLARO</t>
  </si>
  <si>
    <t xml:space="preserve">INTERNET MO1 CLARO - KEILA</t>
  </si>
  <si>
    <t xml:space="preserve">PL NEILA IPTU MAE - KEILA</t>
  </si>
  <si>
    <t xml:space="preserve">NF 193491-3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</si>
  <si>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</si>
  <si>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</si>
  <si>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</si>
  <si>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</si>
  <si>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 05/10 IPTU MO1 100910 - KEILA</t>
  </si>
  <si>
    <t xml:space="preserve">FEIRA DO CARLOS - DEBORA</t>
  </si>
  <si>
    <t xml:space="preserve">NF 576439-1 MILKA</t>
  </si>
  <si>
    <t xml:space="preserve">NF 531 BLOOM - MILKA</t>
  </si>
  <si>
    <t xml:space="preserve">NF 878848-3 MILKA</t>
  </si>
  <si>
    <t xml:space="preserve">COMPRAS S/NF XAROPE -ANDREZA 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</si>
  <si>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</si>
  <si>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</si>
  <si>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</si>
  <si>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</si>
  <si>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11400 -02 KARU - MILKA</t>
  </si>
  <si>
    <t xml:space="preserve">NF 11415-1 MILKA</t>
  </si>
  <si>
    <t xml:space="preserve">CHERRYS SEMI JOIAS LTDA</t>
  </si>
  <si>
    <t xml:space="preserve">NF 464 - MILKA</t>
  </si>
  <si>
    <t xml:space="preserve">NF 1675757-2 MILKA</t>
  </si>
  <si>
    <t xml:space="preserve">NF 1680082-1 MILKA </t>
  </si>
  <si>
    <t xml:space="preserve">NF 311084 -2 MILKA</t>
  </si>
  <si>
    <t xml:space="preserve">PAG ADIANTAMENTO SALARIO MO1 07/26 - KEILA</t>
  </si>
  <si>
    <t xml:space="preserve">NF 20352-2 MILKA</t>
  </si>
  <si>
    <t xml:space="preserve">374805-C/C  NF293860 - MILKA</t>
  </si>
  <si>
    <t xml:space="preserve">NF 304776 -3 MILKA</t>
  </si>
  <si>
    <t xml:space="preserve">NF31367 - MILKA</t>
  </si>
  <si>
    <t xml:space="preserve">MARQUES &amp; MELO LTDA - FILIAL</t>
  </si>
  <si>
    <t xml:space="preserve">NF 496957 - MILKA</t>
  </si>
  <si>
    <t xml:space="preserve">NF 1420957 - MILKA</t>
  </si>
  <si>
    <t xml:space="preserve">NF 1240896-1/2 MILKA</t>
  </si>
  <si>
    <t xml:space="preserve">NF710 - MILKA</t>
  </si>
  <si>
    <t xml:space="preserve">NF 193797 -2 MILKA</t>
  </si>
  <si>
    <t xml:space="preserve">NF 10262 -06/09 MILKA</t>
  </si>
  <si>
    <t xml:space="preserve">RV TECNOLOGIA E SISTEMAS S.A. - MA</t>
  </si>
  <si>
    <t xml:space="preserve">RECARGA CELULAR MO1-ANDREZA</t>
  </si>
  <si>
    <t xml:space="preserve">SEGUROS</t>
  </si>
  <si>
    <t xml:space="preserve">MENSALIDADE DE DE SEGURO SANTANDER 1 VELHO -ANDREZA</t>
  </si>
  <si>
    <t xml:space="preserve">NF 1957890-3 MILKA</t>
  </si>
  <si>
    <t xml:space="preserve">NF31702 - MILKA</t>
  </si>
  <si>
    <t xml:space="preserve">NF 566298 -01 MILKA</t>
  </si>
  <si>
    <t xml:space="preserve">NF 10653 - MILKA</t>
  </si>
  <si>
    <t xml:space="preserve">NF 19022-02 MILKA</t>
  </si>
  <si>
    <t xml:space="preserve">NF 1031245 - MILKA</t>
  </si>
  <si>
    <t xml:space="preserve">NF 14888 - DEBORA</t>
  </si>
  <si>
    <t xml:space="preserve">NF900346 AMBEV C/ TARIFA INCLUSA - MILKA</t>
  </si>
  <si>
    <t xml:space="preserve">NF900347 AMBEV / BONIFICACAO INCLUSA - MILKA</t>
  </si>
  <si>
    <t xml:space="preserve">789209-C/C  NF674930 - MILKA</t>
  </si>
  <si>
    <t xml:space="preserve">5120-B/C  NF8208 - MILKA</t>
  </si>
  <si>
    <t xml:space="preserve">NF 2295786 - MILKA</t>
  </si>
  <si>
    <t xml:space="preserve">FEIRAS LOJAS RATEIO NAO SOMAR - KEILA</t>
  </si>
  <si>
    <t xml:space="preserve">PAG ADIANT SALARIO LUIZ - KEILA</t>
  </si>
  <si>
    <t xml:space="preserve">NF 225770 - MILKA</t>
  </si>
  <si>
    <t xml:space="preserve">NF 375 - DEBORA</t>
  </si>
  <si>
    <t xml:space="preserve">H L M PADARIA E CONFEITARIA LTDA</t>
  </si>
  <si>
    <t xml:space="preserve">NF 26 - 20/06 -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</si>
  <si>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</si>
  <si>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</si>
  <si>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</si>
  <si>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</si>
  <si>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</si>
  <si>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</si>
  <si>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</si>
  <si>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</si>
  <si>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</si>
  <si>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</si>
  <si>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454446-B/C  NF390550 - MILKA</t>
  </si>
  <si>
    <t xml:space="preserve">455810-A/C  NF391785 MASTERFRIGO - MILKA</t>
  </si>
  <si>
    <t xml:space="preserve">NF 363 - DEBORA</t>
  </si>
  <si>
    <t xml:space="preserve">NF2602 MESA FARTA- MILKA</t>
  </si>
  <si>
    <t xml:space="preserve">NF 1424401-02 MILKA</t>
  </si>
  <si>
    <t xml:space="preserve">CELULAR DELIVERY MO1 - KEILA</t>
  </si>
  <si>
    <t xml:space="preserve">NF43438 - MILKA</t>
  </si>
  <si>
    <t xml:space="preserve">NF 40130 - MILKA</t>
  </si>
  <si>
    <t xml:space="preserve">NF 1238958-3/3 MILKA</t>
  </si>
  <si>
    <t xml:space="preserve">NF 1241434-2/3 - MILKA</t>
  </si>
  <si>
    <t xml:space="preserve">2435/3  NF2033 - MILKA</t>
  </si>
  <si>
    <t xml:space="preserve">NF 713 - MILKA</t>
  </si>
  <si>
    <t xml:space="preserve">NF 715 - MILKA</t>
  </si>
  <si>
    <t xml:space="preserve">COMPRA FARINHA CRUZEIRO /PGTO JOSE CLAUDIO - MILKA </t>
  </si>
  <si>
    <t xml:space="preserve">JUROS DO EMPRESTIMO C/ ROBINHO 200MIL MO1 -KEILA</t>
  </si>
  <si>
    <t xml:space="preserve">NF 250257-2 MILKA</t>
  </si>
  <si>
    <t xml:space="preserve">NF 566543 - MILKA</t>
  </si>
  <si>
    <t xml:space="preserve">NF 10280 - MILKA</t>
  </si>
  <si>
    <t xml:space="preserve">192032563  NF 264 POTIGUAR - MILKA</t>
  </si>
  <si>
    <t xml:space="preserve">192925187  NF271 COMERCIAL POTIGUAR - MILKA</t>
  </si>
  <si>
    <t xml:space="preserve">NF172856 - MILKA</t>
  </si>
  <si>
    <t xml:space="preserve">DINÂMICA SOLUÇÕES EM SUPRIMENTOS E GESTÃ</t>
  </si>
  <si>
    <t xml:space="preserve">NF 742-01 MILKA</t>
  </si>
  <si>
    <t xml:space="preserve">NF 2494-1 MILKA</t>
  </si>
  <si>
    <t xml:space="preserve">NF 20167 4- MILKA</t>
  </si>
  <si>
    <t xml:space="preserve">NF 34 - DEBORA</t>
  </si>
  <si>
    <t xml:space="preserve">NF 14684 -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</si>
  <si>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</si>
  <si>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</si>
  <si>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</si>
  <si>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NF 10336 -06 MILKA</t>
  </si>
  <si>
    <t xml:space="preserve">ADF DISTRIBUIDORA DE BEBIDAS LTDA</t>
  </si>
  <si>
    <t xml:space="preserve">NF 473149 - MILKA</t>
  </si>
  <si>
    <t xml:space="preserve">AMAZON DISTRIBUIDORA DE PRODUTOS ALIMENT</t>
  </si>
  <si>
    <t xml:space="preserve">NF 89871 AMZ - MILKA</t>
  </si>
  <si>
    <t xml:space="preserve">NF 1604302-01/02 MILKA</t>
  </si>
  <si>
    <t xml:space="preserve">NF 707 -01 MILKA</t>
  </si>
  <si>
    <t xml:space="preserve">NF 10643-04/05 MILKA</t>
  </si>
  <si>
    <t xml:space="preserve">NF 1140 - DEBORA</t>
  </si>
  <si>
    <t xml:space="preserve">NF 882141 -2 MILKA</t>
  </si>
  <si>
    <t xml:space="preserve">NF 1894398 - MILKA</t>
  </si>
  <si>
    <t xml:space="preserve">NF 1897392 - MILKA</t>
  </si>
  <si>
    <t xml:space="preserve">NF 11415-2 MILKA</t>
  </si>
  <si>
    <t xml:space="preserve">NF 11430-1 KARU MILKA</t>
  </si>
  <si>
    <t xml:space="preserve">CENTRAL NACIONAL UNIMED </t>
  </si>
  <si>
    <t xml:space="preserve">PLANO DE SAUDE UNIMED - KEILA</t>
  </si>
  <si>
    <t xml:space="preserve">PLANO DE SAUDE NEILA RENATO MARIAS - KEILA</t>
  </si>
  <si>
    <t xml:space="preserve">MENSALIDADE CISS SISTEMA LOJAS -ANDREZA</t>
  </si>
  <si>
    <t xml:space="preserve">MENSALIDADE SISTEMA CISS LOJAS -ANDREZA</t>
  </si>
  <si>
    <t xml:space="preserve">NF 1677170-2 MILKA</t>
  </si>
  <si>
    <t xml:space="preserve">E S O CONSULTORIA EIRELI</t>
  </si>
  <si>
    <t xml:space="preserve">FGTS</t>
  </si>
  <si>
    <t xml:space="preserve">FGTS MO1 ESO 06/26 - KEILA</t>
  </si>
  <si>
    <t xml:space="preserve">INSS (PREVIDENCIA SOCIAL)</t>
  </si>
  <si>
    <t xml:space="preserve">INSS MO1 ESO 06/26 - KEILA</t>
  </si>
  <si>
    <t xml:space="preserve">SIMPLES MO1 ESO 06/26 - KEILA</t>
  </si>
  <si>
    <t xml:space="preserve">EYES NWHERE SISTEMAS INTELIGENTES DE IMAGEM SA</t>
  </si>
  <si>
    <t xml:space="preserve">MENSALIDADE INTERNTE MO1 - KEILA</t>
  </si>
  <si>
    <t xml:space="preserve">NF 2524-2 MILKA</t>
  </si>
  <si>
    <t xml:space="preserve">NF 381 - DEBORA</t>
  </si>
  <si>
    <t xml:space="preserve">NF 5787 FAZENDINHA - MILKA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</si>
  <si>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</si>
  <si>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</si>
  <si>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</si>
  <si>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 3541 SANTO PAO - MILKA</t>
  </si>
  <si>
    <t xml:space="preserve">KAROLINY RODRIGUES SOUZA VENANCIO 915783</t>
  </si>
  <si>
    <t xml:space="preserve">NF1790 BIS.DONA MARIA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</si>
  <si>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</si>
  <si>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</si>
  <si>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</si>
  <si>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MENSALIDADE RATEIO LOJAS NAO SOMAR INSTAGRAM - K</t>
  </si>
  <si>
    <t xml:space="preserve">NF14695 - MILKA</t>
  </si>
  <si>
    <t xml:space="preserve">PL NEILA E RENATO ESOCIAL  - KEILA</t>
  </si>
  <si>
    <t xml:space="preserve">NF 4053 BODEGA DO PAO - MILKA</t>
  </si>
  <si>
    <t xml:space="preserve">NF 40389 - MILKA</t>
  </si>
  <si>
    <t xml:space="preserve">NF 419583-2 MILKA</t>
  </si>
  <si>
    <t xml:space="preserve">NF 419611 - MILKA</t>
  </si>
  <si>
    <t xml:space="preserve">OI S.A</t>
  </si>
  <si>
    <t xml:space="preserve">MENSALIDADE INTERNET MO1 - KEILA</t>
  </si>
  <si>
    <t xml:space="preserve">NF 34300-1 MILKA</t>
  </si>
  <si>
    <t xml:space="preserve">RECEITA FEDERAL DO BRASIL</t>
  </si>
  <si>
    <t xml:space="preserve">IRRF A RECOLHER</t>
  </si>
  <si>
    <t xml:space="preserve">IRRF-SERVICO PRSTADO  CISS-ANDREZA</t>
  </si>
  <si>
    <t xml:space="preserve">NF 657246 -02 MILKA</t>
  </si>
  <si>
    <t xml:space="preserve">RV RECARGA-ANDREZA</t>
  </si>
  <si>
    <t xml:space="preserve">6781037  NF 3552 SABORE - MILKA</t>
  </si>
  <si>
    <t xml:space="preserve">NF 3599 SABORE /USO E CONSUMO/ DESPESA PADARIA - MILKA</t>
  </si>
  <si>
    <t xml:space="preserve">ICMS A PAGAR</t>
  </si>
  <si>
    <t xml:space="preserve">ICMS MO1 06/26-ANDREZA</t>
  </si>
  <si>
    <t xml:space="preserve">NF 566688 -01 MILKA</t>
  </si>
  <si>
    <t xml:space="preserve">APLICACOES FINANCEIRAS C.P</t>
  </si>
  <si>
    <t xml:space="preserve">APLICACAO BANCO EXEMPLO</t>
  </si>
  <si>
    <t xml:space="preserve">NF 15129 AMAZONGURT - MILKA</t>
  </si>
  <si>
    <t xml:space="preserve">NF534 BLOOM - MILKA</t>
  </si>
  <si>
    <t xml:space="preserve">NF 336 - MILKA</t>
  </si>
  <si>
    <t xml:space="preserve">NF1031671 - MILKA</t>
  </si>
  <si>
    <t xml:space="preserve">NF 196429 - MILKA</t>
  </si>
  <si>
    <t xml:space="preserve">DANIELE TEIXEIRA HUNHAPE</t>
  </si>
  <si>
    <t xml:space="preserve">SEGURANÇA TRABALHO RATLOJAS</t>
  </si>
  <si>
    <t xml:space="preserve">GAS LOJA</t>
  </si>
  <si>
    <t xml:space="preserve">BOTIJA DE GAS COZINHA - KEILA</t>
  </si>
  <si>
    <t xml:space="preserve">NF 831704 SUINORTE - MILKA</t>
  </si>
  <si>
    <t xml:space="preserve">FEIRA LOJAS NAO SOMAR - KEILA</t>
  </si>
  <si>
    <t xml:space="preserve">NF 66 - DEBORA</t>
  </si>
  <si>
    <t xml:space="preserve">cobertura de conta bb 1nv-andreza</t>
  </si>
  <si>
    <t xml:space="preserve">NF 1385956 MAGISTRAL - MILKA</t>
  </si>
  <si>
    <t xml:space="preserve">NF 1775151 / NF 1775152 - MILKA</t>
  </si>
  <si>
    <t xml:space="preserve">18259029 /NF1778370 NF1778371 - 01 MILKA</t>
  </si>
  <si>
    <t xml:space="preserve">NF 731751 DESPESA - MILKA</t>
  </si>
  <si>
    <t xml:space="preserve">NF 28355 - MILKA</t>
  </si>
  <si>
    <t xml:space="preserve">NF 1423352 - MILKA</t>
  </si>
  <si>
    <t xml:space="preserve">192333642  NF7876 - MILKA</t>
  </si>
  <si>
    <t xml:space="preserve">NF 423615 -2 MILKA</t>
  </si>
  <si>
    <t xml:space="preserve">NF 718 - MILKA</t>
  </si>
  <si>
    <t xml:space="preserve">NF 720 - MILKA</t>
  </si>
  <si>
    <t xml:space="preserve">LIMAO - FEIRA SR RENATO - DEBORA</t>
  </si>
  <si>
    <t xml:space="preserve">EMPRESTIMO AYMORE ENERGIA SOLAR SANT 1 VELHO - KE</t>
  </si>
  <si>
    <t xml:space="preserve">6860-2/2  NF6597 - MILKA</t>
  </si>
  <si>
    <t xml:space="preserve">NF 3479 DESPESA - MILKA</t>
  </si>
  <si>
    <t xml:space="preserve">NF 10312 - MILKA</t>
  </si>
  <si>
    <t xml:space="preserve">NF 880066-1 MILKA</t>
  </si>
  <si>
    <t xml:space="preserve">DESPESA FUNC ALIMENTACAO MO1-ANDREZA</t>
  </si>
  <si>
    <t xml:space="preserve">AMAZON MILK IND. E COMERCIO LTDA</t>
  </si>
  <si>
    <t xml:space="preserve">NF 203761 - MILKA</t>
  </si>
  <si>
    <t xml:space="preserve">NF 1895763 - MILKA</t>
  </si>
  <si>
    <t xml:space="preserve">NF 1895810 - MILKA</t>
  </si>
  <si>
    <t xml:space="preserve">NF 1174709 - MILKA</t>
  </si>
  <si>
    <t xml:space="preserve">NF 1191435 - MILKA</t>
  </si>
  <si>
    <t xml:space="preserve">NF 1922435 - MILKA</t>
  </si>
  <si>
    <t xml:space="preserve">NF 1922459 - MILKA</t>
  </si>
  <si>
    <t xml:space="preserve">NF 1603506-02/02 MILKA</t>
  </si>
  <si>
    <t xml:space="preserve">NF1605894-01/02 - MILKA</t>
  </si>
  <si>
    <t xml:space="preserve">NF 14911 - DEBORA</t>
  </si>
  <si>
    <t xml:space="preserve">NF 1679265-2 MILKA</t>
  </si>
  <si>
    <t xml:space="preserve">NF 1679646-2 MILKA </t>
  </si>
  <si>
    <t xml:space="preserve">NF 1685233-1 MILKA</t>
  </si>
  <si>
    <t xml:space="preserve">NF 10312 SANTOPAO - MILKA</t>
  </si>
  <si>
    <t xml:space="preserve">NF 306058-2 MILKA</t>
  </si>
  <si>
    <t xml:space="preserve">NF 307805-1 MILKA</t>
  </si>
  <si>
    <t xml:space="preserve">NF 16646 - MILKA</t>
  </si>
  <si>
    <t xml:space="preserve">NF1425692-02/03 MILKA</t>
  </si>
  <si>
    <t xml:space="preserve">NF 34212-2 MILKA</t>
  </si>
  <si>
    <t xml:space="preserve">NF 721 - MILKA</t>
  </si>
  <si>
    <t xml:space="preserve">FEIRA CARLOS - CAMARAO COM CASCA - DEBORA</t>
  </si>
  <si>
    <t xml:space="preserve">NF 660505-01 MILKA</t>
  </si>
  <si>
    <t xml:space="preserve">NF 576439-2 MILKA</t>
  </si>
  <si>
    <t xml:space="preserve">NF 539 BLOOM - MILKA</t>
  </si>
  <si>
    <t xml:space="preserve">NF 271007 AMAZONIA POLPAS - MILKA</t>
  </si>
  <si>
    <t xml:space="preserve">NF 11430-2 KARU MILKA</t>
  </si>
  <si>
    <t xml:space="preserve">NF 11447 -1 MILKA</t>
  </si>
  <si>
    <t xml:space="preserve">NF 1680082-2 MILKA </t>
  </si>
  <si>
    <t xml:space="preserve">NF 311084 -3 MILKA</t>
  </si>
  <si>
    <t xml:space="preserve">NF396010 - MILKA</t>
  </si>
  <si>
    <t xml:space="preserve">NF 312590-1 MILKA</t>
  </si>
  <si>
    <t xml:space="preserve">NF 71 - DEBORA</t>
  </si>
  <si>
    <t xml:space="preserve">NF 31493 - MILKA</t>
  </si>
  <si>
    <t xml:space="preserve">NF14727 - MILKA</t>
  </si>
  <si>
    <t xml:space="preserve">NF 1428642-01 MILKA</t>
  </si>
  <si>
    <t xml:space="preserve">PL NEILA CARRO 04/36 </t>
  </si>
  <si>
    <t xml:space="preserve">NF40749 - MILKA</t>
  </si>
  <si>
    <t xml:space="preserve">NF 1240896-2/2 MILKA</t>
  </si>
  <si>
    <t xml:space="preserve">NF 1243403-1 MILKA</t>
  </si>
  <si>
    <t xml:space="preserve">NF 723 - MILKA</t>
  </si>
  <si>
    <t xml:space="preserve">NF 722 - MILKA</t>
  </si>
  <si>
    <t xml:space="preserve">NF 193797 -3 MILKA</t>
  </si>
  <si>
    <t xml:space="preserve">NF 604178 - MILKA</t>
  </si>
  <si>
    <t xml:space="preserve">RECARGA CELULAR MO1 - KEILA</t>
  </si>
  <si>
    <t xml:space="preserve">NF 1957890-4 MILKA</t>
  </si>
  <si>
    <t xml:space="preserve">NF 566298 -02 MILKA</t>
  </si>
  <si>
    <t xml:space="preserve">NF 10334 - MILKA</t>
  </si>
  <si>
    <t xml:space="preserve">AMAZONIA COMERCIO DE MASSAS LTDA</t>
  </si>
  <si>
    <t xml:space="preserve">NF 3299 IMPERIO DO CANUDINHO - MILKA</t>
  </si>
  <si>
    <t xml:space="preserve">NF 19022-03 MILKA</t>
  </si>
  <si>
    <t xml:space="preserve">NF 1032212 - MILKA</t>
  </si>
  <si>
    <t xml:space="preserve">NF173143 - MILKA</t>
  </si>
  <si>
    <t xml:space="preserve">804856-A/C  NF681131 - MILKA</t>
  </si>
  <si>
    <t xml:space="preserve">5120-C/C  NF8208 - MILKA</t>
  </si>
  <si>
    <t xml:space="preserve">NF8365 USO E CONSUMO/DESPESA LOJA - MILKA</t>
  </si>
  <si>
    <t xml:space="preserve">FEIRA SR. RENATO LOJAS -ANDREZA</t>
  </si>
  <si>
    <t xml:space="preserve">NF 2737-1 MILKA</t>
  </si>
  <si>
    <t xml:space="preserve">FRANCISCO CASTRO DO SANTOS</t>
  </si>
  <si>
    <t xml:space="preserve">RESCISOES</t>
  </si>
  <si>
    <t xml:space="preserve">PAG SALDO RESCISAO FRANCISCO - KEILA</t>
  </si>
  <si>
    <t xml:space="preserve">NF 75 - DEBORA</t>
  </si>
  <si>
    <t xml:space="preserve">454446-C/C  NF390550 - MILKA</t>
  </si>
  <si>
    <t xml:space="preserve">455810-B/C  NF391785 MASTERFRIGO - MILKA</t>
  </si>
  <si>
    <t xml:space="preserve">NF 377 - DEBORA</t>
  </si>
  <si>
    <t xml:space="preserve">NF2634 MESA FARTA - MILKA</t>
  </si>
  <si>
    <t xml:space="preserve">NF 34608-01 C/ ACRESCIMO - MILKA</t>
  </si>
  <si>
    <t xml:space="preserve">NF 1424401-03 MILKA</t>
  </si>
  <si>
    <t xml:space="preserve">NF 43986 - MILKA</t>
  </si>
  <si>
    <t xml:space="preserve">NF 4110 BODEGA DO PAO - MILKA</t>
  </si>
  <si>
    <t xml:space="preserve">NF 1241434-3/3 - MILKA</t>
  </si>
  <si>
    <t xml:space="preserve">NF 725 - MILKA</t>
  </si>
  <si>
    <t xml:space="preserve">NF 10589-05/05 MILKA</t>
  </si>
  <si>
    <t xml:space="preserve">NF 3067 - MILKA</t>
  </si>
  <si>
    <t xml:space="preserve">NF 605021 - MILKA</t>
  </si>
  <si>
    <t xml:space="preserve">NF3634 SABORE FATIADO - MILKA</t>
  </si>
  <si>
    <t xml:space="preserve">NF 566688 -02 MILKA</t>
  </si>
  <si>
    <t xml:space="preserve">NF 42934 - MILKA</t>
  </si>
  <si>
    <t xml:space="preserve">X TEC TECNOLOGIA </t>
  </si>
  <si>
    <t xml:space="preserve">BOLETO ENERGIA  SOLAR PRESTIMO MO1-ANDREZA</t>
  </si>
  <si>
    <t xml:space="preserve">52.017.917 IRANCELIO LIRA DE CASTRO</t>
  </si>
  <si>
    <t xml:space="preserve">NFS-e 109 COMPRA / DOC.16048691 PIPOCA POP GIO - MILKA</t>
  </si>
  <si>
    <t xml:space="preserve">A C DUARTE DE CASTRO EPP.</t>
  </si>
  <si>
    <t xml:space="preserve">Cartao BB 1 Novo Visa 0499 Venc 25</t>
  </si>
  <si>
    <t xml:space="preserve">NF 6277 / PARC 06/06 - MILKA</t>
  </si>
  <si>
    <t xml:space="preserve">A. CORREA JUNIOR</t>
  </si>
  <si>
    <t xml:space="preserve">MP JRACESSORIOS 01/3-ANDREZA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</si>
  <si>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</si>
  <si>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</si>
  <si>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</si>
  <si>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</si>
  <si>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NF173212 - MILKA</t>
  </si>
  <si>
    <t xml:space="preserve">NF 14945 - DEBORA</t>
  </si>
  <si>
    <t xml:space="preserve">NF 742-02 MILKA</t>
  </si>
  <si>
    <t xml:space="preserve">NF 1686012 -1 MILKA</t>
  </si>
  <si>
    <t xml:space="preserve">ECOPAPER IND. DE FABRICACAO DE PAPEL DA </t>
  </si>
  <si>
    <t xml:space="preserve">OLEO CARRO  S10 MO1 - KEILA</t>
  </si>
  <si>
    <t xml:space="preserve">NF 394 - DEBORA</t>
  </si>
  <si>
    <t xml:space="preserve">NF 80 - DEBORA</t>
  </si>
  <si>
    <t xml:space="preserve">NF 3576 SANTO PAO - MILKA</t>
  </si>
  <si>
    <t xml:space="preserve">L S C DA SILVA PRADO LTDA</t>
  </si>
  <si>
    <t xml:space="preserve">07</t>
  </si>
  <si>
    <t xml:space="preserve">NF 2543 PARC 07/12 - KEILA</t>
  </si>
  <si>
    <t xml:space="preserve">BENS TANGIVEIS</t>
  </si>
  <si>
    <t xml:space="preserve">MAQUINAS E EQUIPAMENTOS</t>
  </si>
  <si>
    <t xml:space="preserve">NF 2676 / PARC 6/6 - MILKA</t>
  </si>
  <si>
    <t xml:space="preserve">M.R.G COMERCIO DE MAQUINAS EIRELI.</t>
  </si>
  <si>
    <t xml:space="preserve">NF 14298 / 4PARC / REFORMA PADARIA - MILKA</t>
  </si>
  <si>
    <t xml:space="preserve">NF 14289</t>
  </si>
  <si>
    <t xml:space="preserve">NF14750 - MILKA</t>
  </si>
  <si>
    <t xml:space="preserve">MELISSA COMERCIO E DISTRIBUIDORA DE GAS</t>
  </si>
  <si>
    <t xml:space="preserve">NF 1036 - DEBORA</t>
  </si>
  <si>
    <t xml:space="preserve">MIR IMPORTACAO E EXPORTACAO LTDA</t>
  </si>
  <si>
    <t xml:space="preserve">COMPRA/RAMSONS/GELADEIRA P/ COZINHA -ANDREZA NF 39685</t>
  </si>
  <si>
    <t xml:space="preserve">2477/2  NF2053 - MILKA</t>
  </si>
  <si>
    <t xml:space="preserve">PETROVAN DERIVADOS DE PETROLEO LTDA</t>
  </si>
  <si>
    <t xml:space="preserve">COMBUSTIVEL MO1 S10 RENATO - KEILA</t>
  </si>
  <si>
    <t xml:space="preserve">NF 11002-01/07 MILKA </t>
  </si>
  <si>
    <t xml:space="preserve">REFRIAL DISTRIBUIDORA COMERCIAL DE MAQUI</t>
  </si>
  <si>
    <t xml:space="preserve">DESPESA LOJA /NF 154967 / 5PARC - MILKA</t>
  </si>
  <si>
    <t xml:space="preserve">NF 156023 PARC 04/10 - MILKA</t>
  </si>
  <si>
    <t xml:space="preserve">FEIRA CARLOS - CAMARAO COM E SEM CASCA - DEBORA</t>
  </si>
  <si>
    <t xml:space="preserve">NF 1604302-02/02 MILKA</t>
  </si>
  <si>
    <t xml:space="preserve">NF 707 -02 MILKA</t>
  </si>
  <si>
    <t xml:space="preserve">EMOPS CONTROLE AMBIENTAL EIRELI</t>
  </si>
  <si>
    <t xml:space="preserve">DEDETIZACAO - LIMPEZA</t>
  </si>
  <si>
    <t xml:space="preserve">DEDETIZACAO MO1 - KEILA</t>
  </si>
  <si>
    <t xml:space="preserve">FAROL FINANCEIRO</t>
  </si>
  <si>
    <t xml:space="preserve">MENSALIDADE CONCILIACAO BANCARIA</t>
  </si>
  <si>
    <t xml:space="preserve">MENSALIDADE CONCILIACAO MO1 - KEILA</t>
  </si>
  <si>
    <t xml:space="preserve">NF 20352-3 MILKA</t>
  </si>
  <si>
    <t xml:space="preserve">NF 10262 -07/09 MILKA</t>
  </si>
  <si>
    <t xml:space="preserve">NF 882141 -3 MILKA</t>
  </si>
  <si>
    <t xml:space="preserve">MENS ASSOCIACAO AMASE LOJAS - NAO SOMAR</t>
  </si>
  <si>
    <t xml:space="preserve">MENS ASSOCIACAO AMASE MO1 PARTE - KEILA</t>
  </si>
  <si>
    <t xml:space="preserve">NF 11447 -2 MILKA</t>
  </si>
  <si>
    <t xml:space="preserve">MENSALIDADE SISTEMA CISS LOJAS -NAO SOMAR -ANDREZA</t>
  </si>
  <si>
    <t xml:space="preserve">NF 173326 - MILKA</t>
  </si>
  <si>
    <t xml:space="preserve">NF281541-1 USO E CONSUMO PADARIA/ MARGARINA 15KG - MILKA</t>
  </si>
  <si>
    <t xml:space="preserve">NF 1686926 - MILKA</t>
  </si>
  <si>
    <t xml:space="preserve">NF 1690878-1 MILKA / DESCONTO NO BOLETO</t>
  </si>
  <si>
    <t xml:space="preserve">FC COMERCIO VAREJISTA DE OUTROS PRODUTOS</t>
  </si>
  <si>
    <t xml:space="preserve">NF 385 FRUTA CAFE - MILKA</t>
  </si>
  <si>
    <t xml:space="preserve">NF 2524-3 MILKA</t>
  </si>
  <si>
    <t xml:space="preserve">NF 226411 - MILKA</t>
  </si>
  <si>
    <t xml:space="preserve">NF 396 - DEBORA</t>
  </si>
  <si>
    <t xml:space="preserve">NF 85 - DEBORA</t>
  </si>
  <si>
    <t xml:space="preserve">TAR CONTR/RENOV CTA GAR ITAU1NV-ANDREZA</t>
  </si>
  <si>
    <t xml:space="preserve">JUROS CONTA 608.63511-7 ITAU 1NV-ANDREZA</t>
  </si>
  <si>
    <t xml:space="preserve">NF 1773396/ NF 1773397 -02 MILKA</t>
  </si>
  <si>
    <t xml:space="preserve">NF 14759 - MILKA</t>
  </si>
  <si>
    <t xml:space="preserve">PL NEILA SEGURO CARRO - </t>
  </si>
  <si>
    <t xml:space="preserve">NF 44115 - MILKA</t>
  </si>
  <si>
    <t xml:space="preserve">NF 40994 - MILKA</t>
  </si>
  <si>
    <t xml:space="preserve">NF 419583-3 MILKA</t>
  </si>
  <si>
    <t xml:space="preserve">NF 727 - MILKA</t>
  </si>
  <si>
    <t xml:space="preserve">NF 729 - DEBORA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</si>
  <si>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</si>
  <si>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</si>
  <si>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</si>
  <si>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RV RECARGA -ANDREZA</t>
  </si>
  <si>
    <t xml:space="preserve">NF 567587 -01 C/TAIFA MILKA</t>
  </si>
  <si>
    <t xml:space="preserve">NF 15153 AMAZONGURT - MILKA</t>
  </si>
  <si>
    <t xml:space="preserve">NF 543 BLOOM - MILKA</t>
  </si>
  <si>
    <t xml:space="preserve">NF 343 - PGTO NO PIX P/ DISTRIB. OLIVEIRA - MILKA</t>
  </si>
  <si>
    <t xml:space="preserve">NF 1032774 - MILKA</t>
  </si>
  <si>
    <t xml:space="preserve">mensalidade sistema ciss lojas -nao somar-andreza</t>
  </si>
  <si>
    <t xml:space="preserve">FEIRA SR RENATO LOJAS-ANDREZA</t>
  </si>
  <si>
    <t xml:space="preserve">NAO SOMAR PARC 17/36 PL ROGER E RENATO </t>
  </si>
  <si>
    <t xml:space="preserve">18259030 /NF1778370 NF1778371 - 02 MILKA</t>
  </si>
  <si>
    <t xml:space="preserve">192333643  NF7876 - MILKA</t>
  </si>
  <si>
    <t xml:space="preserve">NF 423615 -3 MILKA</t>
  </si>
  <si>
    <t xml:space="preserve">NF 732 - MILKA</t>
  </si>
  <si>
    <t xml:space="preserve">NF 10336 -07 MILKA</t>
  </si>
  <si>
    <t xml:space="preserve">RENATO DE O AZEVEDO E CIA LTDA</t>
  </si>
  <si>
    <t xml:space="preserve">CONVENIO MO1 DROG 03/26 - KEILA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</si>
  <si>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</si>
  <si>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</si>
  <si>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</si>
  <si>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</si>
  <si>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</si>
  <si>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</si>
  <si>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NF 3614 DESPESA LOJA MO1 - MILKA</t>
  </si>
  <si>
    <t xml:space="preserve">NF 10372 - MILKA</t>
  </si>
  <si>
    <t xml:space="preserve">NF 203762- MILKA</t>
  </si>
  <si>
    <t xml:space="preserve">NF 1933730 C/ TARIFA - MILKA</t>
  </si>
  <si>
    <t xml:space="preserve">NF1605894-02/02 - MILKA</t>
  </si>
  <si>
    <t xml:space="preserve">NF 1608648 -01/02  MILKA</t>
  </si>
  <si>
    <t xml:space="preserve">14967 - DEBORA</t>
  </si>
  <si>
    <t xml:space="preserve">D N COMERCIO ATACADISTA DE EMBALAGENS E</t>
  </si>
  <si>
    <t xml:space="preserve">NF 413 - DEBORA</t>
  </si>
  <si>
    <t xml:space="preserve">NF 1685233-2 MILKA</t>
  </si>
  <si>
    <t xml:space="preserve">NF 1685064 - MILKA</t>
  </si>
  <si>
    <t xml:space="preserve">CUSTOS DE PRODUCAO</t>
  </si>
  <si>
    <t xml:space="preserve">MAO DE OBRA</t>
  </si>
  <si>
    <t xml:space="preserve"> DESPESAPG.SERV DUCHA BANHEIRO ESCR.DESISTR, AREA PET </t>
  </si>
  <si>
    <t xml:space="preserve">NF 5843 FAZENDINHA - MILKA</t>
  </si>
  <si>
    <t xml:space="preserve">INNOVAR DISTRIBUIDORA DE COSMETICOS E MEDICAMENTOS LTDA</t>
  </si>
  <si>
    <t xml:space="preserve">NF 104122 - MILKA</t>
  </si>
  <si>
    <t xml:space="preserve">cobertura de conta eso -andreza</t>
  </si>
  <si>
    <t xml:space="preserve">NF 3590 SANTO PAO - MILKA</t>
  </si>
  <si>
    <t xml:space="preserve">NF 306058-3 MILKA</t>
  </si>
  <si>
    <t xml:space="preserve">NF 307805-2 MILKA</t>
  </si>
  <si>
    <t xml:space="preserve">NF 499471 - MILKA</t>
  </si>
  <si>
    <t xml:space="preserve">NF1425692-03/03 MILKA</t>
  </si>
  <si>
    <t xml:space="preserve">NF 10643-05/05 MILKA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</si>
  <si>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</si>
  <si>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</si>
  <si>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</si>
  <si>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</si>
  <si>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</si>
  <si>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</si>
  <si>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</si>
  <si>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</si>
  <si>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</si>
  <si>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2741 SP CEREAL - MILKA</t>
  </si>
  <si>
    <t xml:space="preserve">NF 550 BLOOM  - MILKA</t>
  </si>
  <si>
    <t xml:space="preserve">NF 346 PGTO. P/ ADRIANO DISTRIB. - MILKA</t>
  </si>
  <si>
    <t xml:space="preserve">NF 20994 - MILKA</t>
  </si>
  <si>
    <t xml:space="preserve">BONNA VITTA INDUSTRIA E COMERCIO LTDA.</t>
  </si>
  <si>
    <t xml:space="preserve">NF 1350 -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</si>
  <si>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</si>
  <si>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</si>
  <si>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</si>
  <si>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11479-1 KARU - MILKA </t>
  </si>
  <si>
    <t xml:space="preserve">952611-A/C  NF854275 - MILKA</t>
  </si>
  <si>
    <t xml:space="preserve">NF 196700 - MILKA</t>
  </si>
  <si>
    <t xml:space="preserve">SERV CAIXA DE GORDURA DA AREA PETSHOP MO1 -  KEILA</t>
  </si>
  <si>
    <t xml:space="preserve">NF 312590-2 MILKA</t>
  </si>
  <si>
    <t xml:space="preserve">NF 2808-1 MILKA</t>
  </si>
  <si>
    <t xml:space="preserve">NF 97 - DEBORA</t>
  </si>
  <si>
    <t xml:space="preserve">NF 98 - DEBORA</t>
  </si>
  <si>
    <t xml:space="preserve">NF 96 - DEBORA</t>
  </si>
  <si>
    <t xml:space="preserve">cap 60/60 itau 1nv-andreza</t>
  </si>
  <si>
    <t xml:space="preserve">NF 31601 - MILKA</t>
  </si>
  <si>
    <t xml:space="preserve">NF734837 DESP.LOJA TOUCA/POTE C/TPA - MILKA</t>
  </si>
  <si>
    <t xml:space="preserve">NF 1428642-02 MILKA</t>
  </si>
  <si>
    <t xml:space="preserve">NF 1431708-01/03 MILKA</t>
  </si>
  <si>
    <t xml:space="preserve">NF 1243403-2 MILKA</t>
  </si>
  <si>
    <t xml:space="preserve">NF 1245715-1/2 MILKA</t>
  </si>
  <si>
    <t xml:space="preserve">NF 34300-2 MILKA</t>
  </si>
  <si>
    <t xml:space="preserve">NF 608658 - DEBORA</t>
  </si>
  <si>
    <t xml:space="preserve">RV RECARGA CELULAR-ANDREZA</t>
  </si>
  <si>
    <t xml:space="preserve">JUROS  SALDO UTILIZ ATE LIM  SANTANDER 1VELHO-ANDREZA</t>
  </si>
  <si>
    <t xml:space="preserve">TARIFA EXTRATO INTELIGENTE BCO SANTANDER 1 VELHO-ANDREZA</t>
  </si>
  <si>
    <t xml:space="preserve">cobertura de conta banco santander 1velho-andreza</t>
  </si>
  <si>
    <t xml:space="preserve">NF 1957890-5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</si>
  <si>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</si>
  <si>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</si>
  <si>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</si>
  <si>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1033389 -MILKA</t>
  </si>
  <si>
    <t xml:space="preserve">NF 173548 - MILKA</t>
  </si>
  <si>
    <t xml:space="preserve">NF 14996 - DEBORA</t>
  </si>
  <si>
    <t xml:space="preserve">NF 920837 C/TARIFA INCLUSA - MILKA</t>
  </si>
  <si>
    <t xml:space="preserve">804856-B/C  NF681131 - MILKA</t>
  </si>
  <si>
    <t xml:space="preserve">5350-A/C  NF8364 -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</si>
  <si>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</si>
  <si>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</si>
  <si>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</si>
  <si>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</si>
  <si>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</si>
  <si>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</si>
  <si>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</si>
  <si>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</si>
  <si>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</si>
  <si>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455810-C/C  NF391785 MASTERFRIGO - MILKA</t>
  </si>
  <si>
    <t xml:space="preserve">NF 387 - DEBORA</t>
  </si>
  <si>
    <t xml:space="preserve">NF 2667 MESA FARTA - MILKA</t>
  </si>
  <si>
    <t xml:space="preserve">NF 34608-02 C/ ACRESCIMO - MILKA</t>
  </si>
  <si>
    <t xml:space="preserve">NF 4183 BODEGA DO PAO - MILKA</t>
  </si>
  <si>
    <t xml:space="preserve">NF 41360 - MILKA</t>
  </si>
  <si>
    <t xml:space="preserve">NF 430879-1 DELLY'S - MILKA</t>
  </si>
  <si>
    <t xml:space="preserve">NF 733 - MILKA</t>
  </si>
  <si>
    <t xml:space="preserve">NF 734 - MILKA</t>
  </si>
  <si>
    <t xml:space="preserve">NF 194574 -1 MILKA</t>
  </si>
  <si>
    <t xml:space="preserve">CONVENIO DROG 04/26 MO1  - KEILA</t>
  </si>
  <si>
    <t xml:space="preserve">FEIRA CARLOS - UVAS PASSAS - DEBORA</t>
  </si>
  <si>
    <t xml:space="preserve">NF 568312-1 MILKA</t>
  </si>
  <si>
    <t xml:space="preserve">TEREZINHA DA SILVA DOURADO PADARIA</t>
  </si>
  <si>
    <t xml:space="preserve">FERIAS</t>
  </si>
  <si>
    <t xml:space="preserve">FERIAS TEREZINHA 2025/2026 MO1 - KEILA</t>
  </si>
  <si>
    <t xml:space="preserve">NF 10389 - MILKA</t>
  </si>
  <si>
    <t xml:space="preserve">NF 3896 - DEBORA</t>
  </si>
  <si>
    <t xml:space="preserve">NF 3742 - DEBORA</t>
  </si>
  <si>
    <t xml:space="preserve">NF 3806 - DEBORA</t>
  </si>
  <si>
    <t xml:space="preserve">NF 3931 - DEBORA</t>
  </si>
  <si>
    <t xml:space="preserve">NF 3844 - DEBORA</t>
  </si>
  <si>
    <t xml:space="preserve">NF 3978 - DEBORA</t>
  </si>
  <si>
    <t xml:space="preserve">NF 1209351 COCA C/TARIFA - MILKA</t>
  </si>
  <si>
    <t xml:space="preserve">NF1942481 COCA - MILKA</t>
  </si>
  <si>
    <t xml:space="preserve">MENSALIDADE SIST VAREJO MO1 - KEILA</t>
  </si>
  <si>
    <t xml:space="preserve">NF 173595 - MILKA</t>
  </si>
  <si>
    <t xml:space="preserve">NF 1686012 -2 MILKA</t>
  </si>
  <si>
    <t xml:space="preserve">NF 3216011 DESP LOJA /PAPEL HIG/TOALHA - MILKA</t>
  </si>
  <si>
    <t xml:space="preserve">PAG VALE TRANSPORTE MO1 08/26 - KEILA</t>
  </si>
  <si>
    <t xml:space="preserve">PAG VALE TRANSPORTE ESCR 08/26 - KEILA</t>
  </si>
  <si>
    <t xml:space="preserve">NF 14815 - MILKA</t>
  </si>
  <si>
    <t xml:space="preserve">NF 34212-3 MILKA</t>
  </si>
  <si>
    <t xml:space="preserve">NF 32051 - MILKA</t>
  </si>
  <si>
    <t xml:space="preserve">NF32050 - MILKA</t>
  </si>
  <si>
    <t xml:space="preserve">PARC 09/48 EMPRESTIMO PARTE MO1 PAGAR P MO5 - KEILA</t>
  </si>
  <si>
    <t xml:space="preserve">NF173664 - MILKA</t>
  </si>
  <si>
    <t xml:space="preserve">NF 707 -03 MILKA</t>
  </si>
  <si>
    <t xml:space="preserve">NF 2494-2 MILKA</t>
  </si>
  <si>
    <t xml:space="preserve">NF 352 /PGTO PARA DIST. OLIVEIRA - MILKA</t>
  </si>
  <si>
    <t xml:space="preserve">NF 11479-2 KARU - MILKA </t>
  </si>
  <si>
    <t xml:space="preserve">NF 11493-1 KARU - MILKA</t>
  </si>
  <si>
    <t xml:space="preserve">CAFE REJANE</t>
  </si>
  <si>
    <t xml:space="preserve">DESPESA ALMOÇO SR RENATO 07/26</t>
  </si>
  <si>
    <t xml:space="preserve">NF173742 - MILKA</t>
  </si>
  <si>
    <t xml:space="preserve">NF281541-2 USO E CONSUMO PADARIA/ MARGARINA 15KG - MILKA</t>
  </si>
  <si>
    <t xml:space="preserve">NF 1690878-2 MILKA / DESCONTO NO BOLETO</t>
  </si>
  <si>
    <t xml:space="preserve">NF 145468 TOYA - MILKA</t>
  </si>
  <si>
    <t xml:space="preserve">NF 227030 - MILKA</t>
  </si>
  <si>
    <t xml:space="preserve">cobertura de conta itau1velho-andreza</t>
  </si>
  <si>
    <t xml:space="preserve">NF 308176 - MILKA</t>
  </si>
  <si>
    <t xml:space="preserve">MARCLEY MACHADO CHAVES</t>
  </si>
  <si>
    <t xml:space="preserve">NF 3541 - MILKA</t>
  </si>
  <si>
    <t xml:space="preserve">NF 14838 - MILKA</t>
  </si>
  <si>
    <t xml:space="preserve">NJF INDUSTRIA E COMERCIO LTDA</t>
  </si>
  <si>
    <t xml:space="preserve">NF 85345 -1 MILKA</t>
  </si>
  <si>
    <t xml:space="preserve">NF44711 - MILKA</t>
  </si>
  <si>
    <t xml:space="preserve">NF 4203 BODEGA DO PAO - MILKA</t>
  </si>
  <si>
    <t xml:space="preserve">NF 1249231-1/3 MILKA</t>
  </si>
  <si>
    <t xml:space="preserve">NF 736 - MILKA</t>
  </si>
  <si>
    <t xml:space="preserve">NF 3104 - MILKA</t>
  </si>
  <si>
    <t xml:space="preserve">CONVENIO MO1 DROG 05/26 - KEILA</t>
  </si>
  <si>
    <t xml:space="preserve">FARINHA 3 IRMAOS - MILKA</t>
  </si>
  <si>
    <t xml:space="preserve">Dinheiro Cx Geral</t>
  </si>
  <si>
    <t xml:space="preserve">PL RENATO MO1 - KEILA </t>
  </si>
  <si>
    <t xml:space="preserve">RECIBO 2 LEITOR DE CAIXA MO1-ANDREZA</t>
  </si>
  <si>
    <t xml:space="preserve">RV RECARGA CELULAR  CHIPS-ANDREZA</t>
  </si>
  <si>
    <t xml:space="preserve">NF 567587 -02 MILKA</t>
  </si>
  <si>
    <t xml:space="preserve">NF 15181 AMAZONGURT - MILKA</t>
  </si>
  <si>
    <t xml:space="preserve">NF 568 BLOOM - MILKA</t>
  </si>
  <si>
    <t xml:space="preserve">NF 1905834 - MILKA</t>
  </si>
  <si>
    <t xml:space="preserve">BETA INDUSTRIA E COMERCIO DE ALIMENTOS</t>
  </si>
  <si>
    <t xml:space="preserve">NF10861 PAPAGUARA - MILKA</t>
  </si>
  <si>
    <t xml:space="preserve">NF 1190625 - MILKA</t>
  </si>
  <si>
    <t xml:space="preserve">NF 1033944 - MILKA</t>
  </si>
  <si>
    <t xml:space="preserve">NF 3216535 -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</si>
  <si>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</si>
  <si>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</si>
  <si>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</si>
  <si>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134892 MULTI QUEIJO - MILKA</t>
  </si>
  <si>
    <t xml:space="preserve">NF 1398219 MAGISTRAL - MILKA</t>
  </si>
  <si>
    <t xml:space="preserve">18259031 /NF1778370 NF1778371 - 03 MILKA</t>
  </si>
  <si>
    <t xml:space="preserve">NF 41617 - MILKA</t>
  </si>
  <si>
    <t xml:space="preserve">NF 738 - MILKA</t>
  </si>
  <si>
    <t xml:space="preserve">NF 11002-02/07 MILKA </t>
  </si>
  <si>
    <t xml:space="preserve">NF 662479-01 MILKA</t>
  </si>
  <si>
    <t xml:space="preserve">NF 10753 CASA NOSTRA - MILKA</t>
  </si>
  <si>
    <t xml:space="preserve">NF 581016-1 MILKA</t>
  </si>
  <si>
    <t xml:space="preserve">DESPESA DE VENDA</t>
  </si>
  <si>
    <t xml:space="preserve">NF3735 USO E CONSUMO/ SACO PAPEL/ SACOLAS PLASTICA/ SACO PEAD - MILKA</t>
  </si>
  <si>
    <t xml:space="preserve">NF 10419 - MILKA</t>
  </si>
  <si>
    <t xml:space="preserve">NF 886068-1 MILKA</t>
  </si>
  <si>
    <t xml:space="preserve">NF 1906316 - MILKA</t>
  </si>
  <si>
    <t xml:space="preserve">NF 1611343-01/02 MILKA</t>
  </si>
  <si>
    <t xml:space="preserve">NF 1608648 -02/02   MILKA</t>
  </si>
  <si>
    <t xml:space="preserve">NF 854259 - MILKA</t>
  </si>
  <si>
    <t xml:space="preserve">NF 1696462 C/DESCONTO NO BOLETO - DEBORA</t>
  </si>
  <si>
    <t xml:space="preserve">NF 2301161 EBD - MILKA</t>
  </si>
  <si>
    <t xml:space="preserve">NF 53383 - MILKA</t>
  </si>
  <si>
    <t xml:space="preserve">NF 21048-1 MILKA</t>
  </si>
  <si>
    <t xml:space="preserve">NF 3624 SANTO PAO - MILKA</t>
  </si>
  <si>
    <t xml:space="preserve">NF 307805-3 MILKA</t>
  </si>
  <si>
    <t xml:space="preserve">AGUA MO1 1244728-5 - KEILA</t>
  </si>
  <si>
    <t xml:space="preserve">PL NEILA COND APTO - KEILA</t>
  </si>
  <si>
    <t xml:space="preserve">PL NEILA PINTURA 28/28 - KEILA</t>
  </si>
  <si>
    <t xml:space="preserve">3344/1  NF2785 - MILKA</t>
  </si>
  <si>
    <t xml:space="preserve">08</t>
  </si>
  <si>
    <t xml:space="preserve">NF 10262 -08/09 MILKA</t>
  </si>
  <si>
    <t xml:space="preserve">RCL COMERCIO DE PRODUTOS ALIMENTICIOS LT</t>
  </si>
  <si>
    <t xml:space="preserve">NF 218815 - MILKA</t>
  </si>
  <si>
    <t xml:space="preserve">CONVENIO MO1 DROG 06/26 - KEILA</t>
  </si>
  <si>
    <t xml:space="preserve">DOC.:157430/1 /VISCERA SR.RENATO - MILKA</t>
  </si>
  <si>
    <t xml:space="preserve">PG SALARIO 07/26 RENATO MO1 - KEILA</t>
  </si>
  <si>
    <t xml:space="preserve">NF32114 - MILKA</t>
  </si>
  <si>
    <t xml:space="preserve">NF 581288 - DEBORA</t>
  </si>
  <si>
    <t xml:space="preserve">NF353326-01 MILKA</t>
  </si>
  <si>
    <t xml:space="preserve">NF 11493-2 KARU - MILKA</t>
  </si>
  <si>
    <t xml:space="preserve">952611-B/C  NF854275 - MILKA</t>
  </si>
  <si>
    <t xml:space="preserve">NF 682525 - MILKA</t>
  </si>
  <si>
    <t xml:space="preserve">NF 1693814 DESCONTO EM BOLETO - MILKA</t>
  </si>
  <si>
    <t xml:space="preserve">NF 3220224 - MILKA</t>
  </si>
  <si>
    <t xml:space="preserve">NF 651360 -1 DEBORA</t>
  </si>
  <si>
    <t xml:space="preserve">NF 651362 - DEBORA</t>
  </si>
  <si>
    <t xml:space="preserve">5431-A/D  NF8403 - MILKA</t>
  </si>
  <si>
    <t xml:space="preserve">NF 314382 - COM TARIFA - DEBORA</t>
  </si>
  <si>
    <t xml:space="preserve">NF 312590-3 MILKA</t>
  </si>
  <si>
    <t xml:space="preserve">NF 396990 C/ ACRESCIMO - MILKA</t>
  </si>
  <si>
    <t xml:space="preserve">NF 2808-2 MILKA</t>
  </si>
  <si>
    <t xml:space="preserve">NF 5888 FAZENDINHA - MILKA</t>
  </si>
  <si>
    <t xml:space="preserve">NF 502189 -01 DISMELO -  MILKA</t>
  </si>
  <si>
    <t xml:space="preserve">NF 14881 - MILKA</t>
  </si>
  <si>
    <t xml:space="preserve">NF 739552 - MILKA</t>
  </si>
  <si>
    <t xml:space="preserve">NF 1431708-02/03 MILKA</t>
  </si>
  <si>
    <t xml:space="preserve">NF 1428642-03 MILKA</t>
  </si>
  <si>
    <t xml:space="preserve">ASOS FUNCIONARIOS MO1 06/26 - KEILA</t>
  </si>
  <si>
    <t xml:space="preserve">NF 1248470-01 MILKA</t>
  </si>
  <si>
    <t xml:space="preserve">NF 1245715-2/2 MILKA</t>
  </si>
  <si>
    <t xml:space="preserve">NF 739 - MILKA</t>
  </si>
  <si>
    <t xml:space="preserve">SL DISTRIBUIDORA COM. DE PROD. ALIMENTIC</t>
  </si>
  <si>
    <t xml:space="preserve">NF 10857 - MILKA</t>
  </si>
  <si>
    <t xml:space="preserve">NF 1951962 COCA - MILKA</t>
  </si>
  <si>
    <t xml:space="preserve">NF 1216466 C/DESCONTO DO COMODATO - MILKA</t>
  </si>
  <si>
    <t xml:space="preserve">NF 1217731 COCA - MILKA</t>
  </si>
  <si>
    <t xml:space="preserve">NF1197029 COCA / TARIFA INCLUSA - MILKA</t>
  </si>
  <si>
    <t xml:space="preserve">NF 1950823 COCA / DESCONTO COMODATO - MILKA</t>
  </si>
  <si>
    <t xml:space="preserve">NF 1611963 -01/02  MILKA</t>
  </si>
  <si>
    <t xml:space="preserve">NF 1034623 - MILKA</t>
  </si>
  <si>
    <t xml:space="preserve">NF 173886 - MILKA</t>
  </si>
  <si>
    <t xml:space="preserve">804856-C/C  NF681131 - MILKA</t>
  </si>
  <si>
    <t xml:space="preserve">5350-B/C  NF8364 - MILKA</t>
  </si>
  <si>
    <t xml:space="preserve">377101 -A/C  NF296100 - MILKA</t>
  </si>
  <si>
    <t xml:space="preserve">NF 2702 MESA FARTA - MILKA</t>
  </si>
  <si>
    <t xml:space="preserve">NF 41958 - MILKA</t>
  </si>
  <si>
    <t xml:space="preserve">NF 430879-2 DELLY'S - MILKA</t>
  </si>
  <si>
    <t xml:space="preserve">NF 34663-3 MILKA</t>
  </si>
  <si>
    <t xml:space="preserve">NF 34611 - MILKA</t>
  </si>
  <si>
    <t xml:space="preserve">NF 741 - MILKA</t>
  </si>
  <si>
    <t xml:space="preserve">NF 742 - MILKA</t>
  </si>
  <si>
    <t xml:space="preserve">NF 194574 -2 MILKA</t>
  </si>
  <si>
    <t xml:space="preserve">NF 194785 - DEBORA</t>
  </si>
  <si>
    <t xml:space="preserve">NF 10336 -08 MILKA</t>
  </si>
  <si>
    <t xml:space="preserve">COMPRA FARINHA CRUZEIRO/ PGTO NO PIX P/ JOSE CLAUDIO CHAVE:92991326372</t>
  </si>
  <si>
    <t xml:space="preserve">NF 568312-2 MILKA</t>
  </si>
  <si>
    <t xml:space="preserve">NF3858 USO E CONSUMO LOJA/ BOBINAS - MILKA</t>
  </si>
  <si>
    <t xml:space="preserve">NF 10438 - MILKA</t>
  </si>
  <si>
    <t xml:space="preserve">NF 2737-2 MILKA</t>
  </si>
  <si>
    <t xml:space="preserve">NF14907 - MILKA</t>
  </si>
  <si>
    <t xml:space="preserve">NF 660505-02 MILKA</t>
  </si>
  <si>
    <t xml:space="preserve">NF32187 - MILKA</t>
  </si>
  <si>
    <t xml:space="preserve">NF 707 -04 MILKA</t>
  </si>
  <si>
    <t xml:space="preserve">NF 34300-3 MILKA</t>
  </si>
  <si>
    <t xml:space="preserve">A5 COMERCIO DE EQUIPAMENTOS LTDA</t>
  </si>
  <si>
    <t xml:space="preserve">PARC 01/10 BALANCA CX 4 MO1 - KEILA</t>
  </si>
  <si>
    <t xml:space="preserve">COMPRAS FUNC ANDERSON PARC 07/12 - KEILA</t>
  </si>
  <si>
    <t xml:space="preserve">ATELECOMUNICACOES E ELETRONICA MELO LTD</t>
  </si>
  <si>
    <t xml:space="preserve">NF 168124 - DESP COMPRA DE SWITCH SERVIDOR MO1 - KE</t>
  </si>
  <si>
    <t xml:space="preserve">NF 5.536 PARC 02/02  TONNER ESCRITORIO - KEILA</t>
  </si>
  <si>
    <t xml:space="preserve">NF 5484 PARC 03/04 TONNER ESCR - KEILA</t>
  </si>
  <si>
    <t xml:space="preserve">CAP-COMERCIO DE EQUIPAMENTOS DE INFORMAT</t>
  </si>
  <si>
    <t xml:space="preserve">NF 28968 PARC1/3 2 LEITOR CX 1 E CX 4 MO1 - KEILA</t>
  </si>
  <si>
    <t xml:space="preserve">NF 174095 - MILKA</t>
  </si>
  <si>
    <t xml:space="preserve">NF 931981 C/DESCONTO DE BONIFICACAO NA NF - MILKA</t>
  </si>
  <si>
    <t xml:space="preserve">NF 933625 AMBEV - MILKA</t>
  </si>
  <si>
    <t xml:space="preserve">NF 933624 -  MILKA</t>
  </si>
  <si>
    <t xml:space="preserve">NF 931983 AMBEV - MILKA</t>
  </si>
  <si>
    <t xml:space="preserve">NF 931982 AMBEV - MILKA</t>
  </si>
  <si>
    <t xml:space="preserve">OUTROS DESP MO1 FUNCIONARIO PARC 04/06</t>
  </si>
  <si>
    <t xml:space="preserve">PARC 02/05 DESPESA MINEIRO - KEILA</t>
  </si>
  <si>
    <t xml:space="preserve">NF 1690976 / DESCONTO NO BOLETO - MILKA</t>
  </si>
  <si>
    <t xml:space="preserve">NF 1690878-3 MILKA / DESCONTO NO BOLETO</t>
  </si>
  <si>
    <t xml:space="preserve">DMF COMERCIO DE DESCARTAVEIS LTDA</t>
  </si>
  <si>
    <t xml:space="preserve">NFCE 40147 - SACO PARA TORRADA DESP PADARIA - KEIL </t>
  </si>
  <si>
    <t xml:space="preserve">NF 21047-1 MILKA</t>
  </si>
  <si>
    <t xml:space="preserve">PARC 02/03 LIQUIDIFICADOR PADARIA MO1 - KEILA</t>
  </si>
  <si>
    <t xml:space="preserve">DECORACAO LOJA COPA PARC 02/02 - KEILA</t>
  </si>
  <si>
    <t xml:space="preserve">NF 104754 - DEBORA</t>
  </si>
  <si>
    <t xml:space="preserve">NF 31724 - MILKA</t>
  </si>
  <si>
    <t xml:space="preserve">PARC 05/05 DESPE PADARIA MO1 - KEILA</t>
  </si>
  <si>
    <t xml:space="preserve">NF108113 /PISTAO A GAS /DESPESA PADARIA - MILKA</t>
  </si>
  <si>
    <t xml:space="preserve">NF 102658 PARC 3/3 DESPESA LOJA - KEILA</t>
  </si>
  <si>
    <t xml:space="preserve">AGUA MO1 1244736-6 - KEILA</t>
  </si>
  <si>
    <t xml:space="preserve">PARC 02/03 MATERIAL CONSTRUCAO </t>
  </si>
  <si>
    <t xml:space="preserve">NF 85346 -1 MILKA</t>
  </si>
  <si>
    <t xml:space="preserve">NF 85345 -2 MILKA</t>
  </si>
  <si>
    <t xml:space="preserve">NF 1249231-2/3 MILKA</t>
  </si>
  <si>
    <t xml:space="preserve">PONTO CHAVE </t>
  </si>
  <si>
    <t xml:space="preserve">RECIBO DESPESA COPIA DA CHAVE MO1-ANDREZA</t>
  </si>
  <si>
    <t xml:space="preserve">PONTO DO ELETRICISTA </t>
  </si>
  <si>
    <t xml:space="preserve">CABO PP PLUG REGUA DE ENTRADA CX 04 DESPESA - KEIL</t>
  </si>
  <si>
    <t xml:space="preserve">PL RENATO PARC 03/03 - KEILA</t>
  </si>
  <si>
    <t xml:space="preserve"> MO1 SERVIDOR WORDBALAACE - PARC 04/04</t>
  </si>
  <si>
    <t xml:space="preserve">COBERTURA CONTA CARTAO SANT 1 NOVO 4172 -KEILA</t>
  </si>
  <si>
    <t xml:space="preserve">NF3752 SABORE - MILKA</t>
  </si>
  <si>
    <t xml:space="preserve">SUPERMERCADOS DB LTDA</t>
  </si>
  <si>
    <t xml:space="preserve">NF51412 / PARC. 01/03  - MILKA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</si>
  <si>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</si>
  <si>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</si>
  <si>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</si>
  <si>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15204 AMAZONGURT - MILKA</t>
  </si>
  <si>
    <t xml:space="preserve">TIM S.A</t>
  </si>
  <si>
    <t xml:space="preserve">[BOLETO FINANCEIRO]CELULAR TIM RENATO MO1 - KEILA</t>
  </si>
  <si>
    <t xml:space="preserve">NF 1905835 MILKA</t>
  </si>
  <si>
    <t xml:space="preserve">NF 2302521 - DEBORA</t>
  </si>
  <si>
    <t xml:space="preserve">NF740926 USO E CONSUMO LOJA/ BANDEJAS B1/B2 - MILKA</t>
  </si>
  <si>
    <t xml:space="preserve">NF740924 USO E CONSUMO VENDA/ SACO PAPEL/COPO PLAST/TPA COPO 300ML - MILKA</t>
  </si>
  <si>
    <t xml:space="preserve">NF 42217- MILKA</t>
  </si>
  <si>
    <t xml:space="preserve">PLANO ODONTOLOGICO KEILA,HELIO, THAII, DAVID E ELIAN </t>
  </si>
  <si>
    <t xml:space="preserve">NF 662479-02 MILKA</t>
  </si>
  <si>
    <t xml:space="preserve">NF 581015 -1 MILKA</t>
  </si>
  <si>
    <t xml:space="preserve">NF 886068-2 MILKA</t>
  </si>
  <si>
    <t xml:space="preserve">NF 1906317 - MILKA</t>
  </si>
  <si>
    <t xml:space="preserve">NF 1614419-1 DESCONTO NO BOLETO - MILKA</t>
  </si>
  <si>
    <t xml:space="preserve">NF 1611343-02/02 MILKA</t>
  </si>
  <si>
    <t xml:space="preserve">NF 3223292-1 MILKA</t>
  </si>
  <si>
    <t xml:space="preserve">NF 21188 -1 MILKA</t>
  </si>
  <si>
    <t xml:space="preserve">NF 20498-2 MILKA</t>
  </si>
  <si>
    <t xml:space="preserve">NF 34737-1 MILKA</t>
  </si>
  <si>
    <t xml:space="preserve">3344/2  NF2785 - MILKA</t>
  </si>
  <si>
    <t xml:space="preserve">NF 665164 -1 MILKA</t>
  </si>
  <si>
    <t xml:space="preserve">7226-1/2  NF6933 - MILKA</t>
  </si>
  <si>
    <t xml:space="preserve">NF 581288 - COM TAXA - DEBORA</t>
  </si>
  <si>
    <t xml:space="preserve">NF353326-02 MILKA</t>
  </si>
  <si>
    <t xml:space="preserve">NF3899 USO E CONSUMO VENDA/ SACO PAPEL/SACOLA PLASTICA - MILKA </t>
  </si>
  <si>
    <t xml:space="preserve">NF 79231 BALY C/ NF(79232) DE BONIFICACAO - MILKA</t>
  </si>
  <si>
    <t xml:space="preserve">NF 1910465 - MILKA</t>
  </si>
  <si>
    <t xml:space="preserve">NF 1959703 COCA - MILKA</t>
  </si>
  <si>
    <t xml:space="preserve">NF 1224519 COCA - MILKA</t>
  </si>
  <si>
    <t xml:space="preserve">NF 1225932 COCA - MILKA</t>
  </si>
  <si>
    <t xml:space="preserve">952611-C/C  NF854275 - MILKA</t>
  </si>
  <si>
    <t xml:space="preserve">NF1697798 USO E CONSUMO VENDA / PADARIA/ CABECA DE TOURO 5KG - MILKA</t>
  </si>
  <si>
    <t xml:space="preserve">DISTRIBUIDORA PRIME LTDA</t>
  </si>
  <si>
    <t xml:space="preserve">NF 134703-1 MILKA</t>
  </si>
  <si>
    <t xml:space="preserve">NF 651360 -2 DEBORA</t>
  </si>
  <si>
    <t xml:space="preserve">5431-B/D  NF8403 - MILKA</t>
  </si>
  <si>
    <t xml:space="preserve">G P FERESIN LTDA</t>
  </si>
  <si>
    <t xml:space="preserve">NF 19144 RACAO MO1 - KEILA</t>
  </si>
  <si>
    <t xml:space="preserve">NF 502189 -02 DISMELO -  MILKA</t>
  </si>
  <si>
    <t xml:space="preserve">NF1784397 / NF1784398 C/TARIFA INCLUSA - MILKA</t>
  </si>
  <si>
    <t xml:space="preserve">NF 739551 USO E CONSUMO LUVA/BANDEJAS B1/B2 - MILKA</t>
  </si>
  <si>
    <t xml:space="preserve">NF 1431398 - MILKA</t>
  </si>
  <si>
    <t xml:space="preserve">NF 1431708-03/03 MILKA</t>
  </si>
  <si>
    <t xml:space="preserve">NF 1250798 - MILKA</t>
  </si>
  <si>
    <t xml:space="preserve">NF 1248470-02 MILKA</t>
  </si>
  <si>
    <t xml:space="preserve">NF 1964147-1 MILKA</t>
  </si>
  <si>
    <t xml:space="preserve">EMPRESTIMOS TERCEIROS</t>
  </si>
  <si>
    <t xml:space="preserve">PREVIA GARANTIDA MO5 PU PAGAR JUROS </t>
  </si>
  <si>
    <t xml:space="preserve">NF 1611963 -02/02  MILKA</t>
  </si>
  <si>
    <t xml:space="preserve">NF 1698036 C/ DESC. NO BOLETO - MILKA</t>
  </si>
  <si>
    <t xml:space="preserve">5350-C/C  NF8364 - MILKA</t>
  </si>
  <si>
    <t xml:space="preserve">377101 -B/C  NF296100 - MILKA</t>
  </si>
  <si>
    <t xml:space="preserve">459602-A/B  NF395526 - MILKA</t>
  </si>
  <si>
    <t xml:space="preserve">NF 2736 MESA FARTA - MILKA</t>
  </si>
  <si>
    <t xml:space="preserve">NF 42703 - MILKA</t>
  </si>
  <si>
    <t xml:space="preserve">NF 11002-03/07 MILKA </t>
  </si>
  <si>
    <t xml:space="preserve">NF 1964247 - MILKA</t>
  </si>
  <si>
    <t xml:space="preserve">NF 568312-3 MILKA</t>
  </si>
  <si>
    <t xml:space="preserve">NF 21048-2 MILKA</t>
  </si>
  <si>
    <t xml:space="preserve">PARC 10/48 PARC GIRO MO1 - KEILA</t>
  </si>
  <si>
    <t xml:space="preserve">NF 1408028 MAGISTRAL - MILKA</t>
  </si>
  <si>
    <t xml:space="preserve">MENS INTERNET MO1 CLARO - KEILA</t>
  </si>
  <si>
    <t xml:space="preserve">PARC 06/10 IPTU PADARIA MO1 - KEILA</t>
  </si>
  <si>
    <t xml:space="preserve">PAR 06/10 IPTU MO1 100910 - KEILA</t>
  </si>
  <si>
    <t xml:space="preserve">09</t>
  </si>
  <si>
    <t xml:space="preserve">NF 10262 -09/09 MILKA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</si>
  <si>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</si>
  <si>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</si>
  <si>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</si>
  <si>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</si>
  <si>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309642-1 MILKA</t>
  </si>
  <si>
    <t xml:space="preserve">NF 309757-1 MILKA</t>
  </si>
  <si>
    <t xml:space="preserve">NF 85346 -2 MILKA</t>
  </si>
  <si>
    <t xml:space="preserve">NF 1249231-3/3 MILKA</t>
  </si>
  <si>
    <t xml:space="preserve">NF 34663-1 MILKA</t>
  </si>
  <si>
    <t xml:space="preserve">NF 11134 -01/06  MILKA</t>
  </si>
  <si>
    <t xml:space="preserve">NF 1905836 - MILKA</t>
  </si>
  <si>
    <t xml:space="preserve">NF 1966628 COCA - MILKA</t>
  </si>
  <si>
    <t xml:space="preserve">NF 1230481 COCA C/TARIFA INCLUSA - MILKA</t>
  </si>
  <si>
    <t xml:space="preserve">NF 1696209 C/ DESCONTO NO BOLETO  - MILKA</t>
  </si>
  <si>
    <t xml:space="preserve">NF 3226195 - MILKA</t>
  </si>
  <si>
    <t xml:space="preserve">NF 29536 QUEIROZ - MILKA</t>
  </si>
  <si>
    <t xml:space="preserve">NF 740923 - MILKA</t>
  </si>
  <si>
    <t xml:space="preserve">NF 662479-03 MILKA</t>
  </si>
  <si>
    <t xml:space="preserve">NF 581016-2 C/ TAXA - MILKA</t>
  </si>
  <si>
    <t xml:space="preserve">NF 581015 -2 C/TAXA - MILKA</t>
  </si>
  <si>
    <t xml:space="preserve">NF4014 USO E CONSUMO VENDA /BOBINA E SACOLA - MILKA</t>
  </si>
  <si>
    <t xml:space="preserve">NF 885524 - DEBORA</t>
  </si>
  <si>
    <t xml:space="preserve">NF 886068-3 MILKA</t>
  </si>
  <si>
    <t xml:space="preserve">NF 21118 - DEBORA</t>
  </si>
  <si>
    <t xml:space="preserve">NF 1614419-2 DESCONTO NO BOLETO - MILKA</t>
  </si>
  <si>
    <t xml:space="preserve">NF 3223292-2 C/TAXA PARC. - MILKA</t>
  </si>
  <si>
    <t xml:space="preserve">NF 665164 -2 MILKA</t>
  </si>
  <si>
    <t xml:space="preserve">NF353326-03 MILKA</t>
  </si>
  <si>
    <t xml:space="preserve">NF 1910466 - MILKA</t>
  </si>
  <si>
    <t xml:space="preserve">NF 1701839 DESCONTO NO BOLETO - MILKA</t>
  </si>
  <si>
    <t xml:space="preserve">NF 1701960-1 MILKA</t>
  </si>
  <si>
    <t xml:space="preserve">NF 1697653 C/ DESCONTO NO BOLETO - MILKA</t>
  </si>
  <si>
    <t xml:space="preserve">NF 134703-2 MILKA</t>
  </si>
  <si>
    <t xml:space="preserve">NF 651360 -3 DEBORA</t>
  </si>
  <si>
    <t xml:space="preserve">5431-C/D  NF8403 - MILKA</t>
  </si>
  <si>
    <t xml:space="preserve">PREVIA MENS PARTE MO1 INSTAGRAM - KEILA</t>
  </si>
  <si>
    <t xml:space="preserve">NF 502189 -03 DISMELO -  MILKA</t>
  </si>
  <si>
    <t xml:space="preserve">NF 1253285 - MILKA</t>
  </si>
  <si>
    <t xml:space="preserve">NF 1964147-2 MILKA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</si>
  <si>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</si>
  <si>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</si>
  <si>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</si>
  <si>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NF 21188 -2 MILKA</t>
  </si>
  <si>
    <t xml:space="preserve">NF 34737-2 MILKA</t>
  </si>
  <si>
    <t xml:space="preserve">PL NEILA CARRO 05/36 </t>
  </si>
  <si>
    <t xml:space="preserve">NF 1911152 - MILKA</t>
  </si>
  <si>
    <t xml:space="preserve">NF 329028-2 MILKA</t>
  </si>
  <si>
    <t xml:space="preserve">NF 309757-2 MILKA</t>
  </si>
  <si>
    <t xml:space="preserve">NF 309642-2 MILKA</t>
  </si>
  <si>
    <t xml:space="preserve">NORTE DISTRIBUIDORA DE ACUMULADORES E AC</t>
  </si>
  <si>
    <t xml:space="preserve">NF 105914 -1/3 MOURA -  MILKA</t>
  </si>
  <si>
    <t xml:space="preserve">NF 34300-4 MILKA</t>
  </si>
  <si>
    <t xml:space="preserve">NF 11002-04/07 MILKA </t>
  </si>
  <si>
    <t xml:space="preserve">NF1141 /COMPRA DO PAO REAL - MILKA</t>
  </si>
  <si>
    <t xml:space="preserve">NF 1154 /COMPRA PAO REAL - MILKA</t>
  </si>
  <si>
    <t xml:space="preserve">NF 1155 COMPRA REAL PAES  - MILKA</t>
  </si>
  <si>
    <t xml:space="preserve">NF 1146 / COMPRA PAO REAL - MILKA</t>
  </si>
  <si>
    <t xml:space="preserve">NF 21048-3 MILKA</t>
  </si>
  <si>
    <t xml:space="preserve">NF 21047-2 MILKA</t>
  </si>
  <si>
    <t xml:space="preserve">JESSICA LUANA</t>
  </si>
  <si>
    <t xml:space="preserve">NF 1148 /COMPRA PAO REAL - MILKA</t>
  </si>
  <si>
    <t xml:space="preserve">NF 2543 PARC 08/12 - KEILA</t>
  </si>
  <si>
    <t xml:space="preserve">NF 14298 / 5PARC / REFORMA PADARIA - MILKA</t>
  </si>
  <si>
    <t xml:space="preserve">COMPRA/RAMSONS/GELADEIRA P/ COZINHA -ANDREZA NF39685</t>
  </si>
  <si>
    <t xml:space="preserve">DESPESA LOJA /NF 154967 / 6PARC - MILKA</t>
  </si>
  <si>
    <t xml:space="preserve">NF 156023 PARC 05/10 - MILKA</t>
  </si>
  <si>
    <t xml:space="preserve">NF 662479-04 MILKA</t>
  </si>
  <si>
    <t xml:space="preserve">MENS DEDETIZACAO MO1 - KEILA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</si>
  <si>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</si>
  <si>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</si>
  <si>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</si>
  <si>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NF 665164 -3 MILKA</t>
  </si>
  <si>
    <t xml:space="preserve">NF 1910467 - MILKA</t>
  </si>
  <si>
    <t xml:space="preserve">NF 1701960-2 MILKA</t>
  </si>
  <si>
    <t xml:space="preserve">NF 134703-3 MILKA</t>
  </si>
  <si>
    <t xml:space="preserve">5431-D/D  NF8403 - MILKA</t>
  </si>
  <si>
    <t xml:space="preserve">NF 34663-2 MILKA</t>
  </si>
  <si>
    <t xml:space="preserve">NF 11134 -02/06  MILKA</t>
  </si>
  <si>
    <t xml:space="preserve">NF 1964147-3 MILKA</t>
  </si>
  <si>
    <t xml:space="preserve">NAO SOMAR PARC 18/36 PL ROGER E RENATO </t>
  </si>
  <si>
    <t xml:space="preserve">NF 34855 - MILKA</t>
  </si>
  <si>
    <t xml:space="preserve">JUROS DO EMPRESTIMO ROBSON P MO1 50MIL 1% AO MES - KEILA</t>
  </si>
  <si>
    <t xml:space="preserve">PREVIA DOS EMPRESTIMOS</t>
  </si>
  <si>
    <t xml:space="preserve">PREVIA EMPRESTIMO DO ROBSON P MO1 50MIL - KEILA</t>
  </si>
  <si>
    <t xml:space="preserve">PREVIA DO EMPRESTIMO ROBSON P MO1 200MIL - KEILA</t>
  </si>
  <si>
    <t xml:space="preserve">NF 309757-3 MILKA</t>
  </si>
  <si>
    <t xml:space="preserve">NF 309642-3 MILKA</t>
  </si>
  <si>
    <t xml:space="preserve">NF 21188 -3 MILKA</t>
  </si>
  <si>
    <t xml:space="preserve">NF 34737-3 MILKA</t>
  </si>
  <si>
    <t xml:space="preserve">PARC 10/48 EMPRESTIMO PARTE MO1 PAGAR P MO5 - KEILA</t>
  </si>
  <si>
    <t xml:space="preserve">NF 11002-05/07 MILKA </t>
  </si>
  <si>
    <t xml:space="preserve">PG SALARIO 08/26 RENATO MO1 - KEILA</t>
  </si>
  <si>
    <t xml:space="preserve">NF 11134 -03/06  MILKA</t>
  </si>
  <si>
    <t xml:space="preserve">NF 105914 -2/3 MOURA -  MILKA</t>
  </si>
  <si>
    <t xml:space="preserve">NF 21047-3 MILKA</t>
  </si>
  <si>
    <t xml:space="preserve">PARC 02/10 BALANCA CX 4 MO1 - KEILA</t>
  </si>
  <si>
    <t xml:space="preserve">COMPRAS FUNC ANDERSON PARC 08/12 - KEILA</t>
  </si>
  <si>
    <t xml:space="preserve">NF 5484 PARC 04/04 TONNER ESCR - KEILA</t>
  </si>
  <si>
    <t xml:space="preserve">NF 28968 PARC2/3 2 LEITOR CX 1 E CX 4 MO1 - KEILA</t>
  </si>
  <si>
    <t xml:space="preserve">PARC 03/05 DESPESA MINEIRO - KEILA</t>
  </si>
  <si>
    <t xml:space="preserve">OUTROS DESP MO1 FUNCIONARIO PARC 05/06</t>
  </si>
  <si>
    <t xml:space="preserve">NF 20459-1 MILKA</t>
  </si>
  <si>
    <t xml:space="preserve">PARC 03/03 LIQUIDIFICADOR PADARIA MO1 - KEILA</t>
  </si>
  <si>
    <t xml:space="preserve">PARC 03/03 MATERIAL CONSTRUCAO </t>
  </si>
  <si>
    <t xml:space="preserve">NF51412 / PARC. 02/03  - MILKA</t>
  </si>
  <si>
    <t xml:space="preserve">NF 20498-3 MILKA</t>
  </si>
  <si>
    <t xml:space="preserve">7226-2/2  NF6933 - MILKA</t>
  </si>
  <si>
    <t xml:space="preserve">NF 11002-06/07 MILKA </t>
  </si>
  <si>
    <t xml:space="preserve">PARC 11/48 PARC GIRO MO1 - KEILA</t>
  </si>
  <si>
    <t xml:space="preserve">PAR 07/10 IPTU MO1 100910 - KEILA</t>
  </si>
  <si>
    <t xml:space="preserve">PARC 07/10 IPTU PADARIA MO1 - KEILA</t>
  </si>
  <si>
    <t xml:space="preserve">NF 21188 -4 MILKA</t>
  </si>
  <si>
    <t xml:space="preserve">NF 11134 -04/06  MILKA</t>
  </si>
  <si>
    <t xml:space="preserve">NF 105914 -3/3 MOURA -  MILKA</t>
  </si>
  <si>
    <t xml:space="preserve">PL NEILA CARRO 06/36 </t>
  </si>
  <si>
    <t xml:space="preserve">NF 11002-07/07 MILKA </t>
  </si>
  <si>
    <t xml:space="preserve">NF 2543 PARC 09/12 - KEILA</t>
  </si>
  <si>
    <t xml:space="preserve">NF 14298 / 6PARC / REFORMA PADARIA - MILKA</t>
  </si>
  <si>
    <t xml:space="preserve">NF 156023 PARC 06/10 - MILKA</t>
  </si>
  <si>
    <t xml:space="preserve">DESPESA LOJA /NF 154967 / 7PARC - MILKA</t>
  </si>
  <si>
    <t xml:space="preserve">NF 11134 -05/06  MILKA</t>
  </si>
  <si>
    <t xml:space="preserve">NAO SOMAR PARC 19/36 PL ROGER E RENATO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</si>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</sst>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0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46189</v>
      </c>
      <c r="C10" s="11" t="n">
        <v>46200</v>
      </c>
      <c r="D10" s="10" t="n">
        <v>1812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1261480</v>
      </c>
      <c r="L10" s="10" t="n">
        <v>2720</v>
      </c>
      <c r="M10" s="12" t="s">
        <v>33</v>
      </c>
      <c r="N10" s="12" t="s">
        <v>34</v>
      </c>
      <c r="P10" s="10" t="n">
        <v>103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434.5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46170</v>
      </c>
      <c r="C11" s="11" t="n">
        <v>46200</v>
      </c>
      <c r="D11" s="10" t="n">
        <v>1659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1168612</v>
      </c>
      <c r="L11" s="10" t="n">
        <v>875267</v>
      </c>
      <c r="M11" s="12" t="s">
        <v>40</v>
      </c>
      <c r="N11" s="12" t="s">
        <v>34</v>
      </c>
      <c r="P11" s="10" t="n">
        <v>103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769.97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46184</v>
      </c>
      <c r="C12" s="11" t="n">
        <v>46200</v>
      </c>
      <c r="D12" s="10" t="n">
        <v>1659</v>
      </c>
      <c r="E12" s="12" t="s">
        <v>39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1236079</v>
      </c>
      <c r="L12" s="10" t="n">
        <v>877771</v>
      </c>
      <c r="M12" s="12" t="s">
        <v>33</v>
      </c>
      <c r="N12" s="12" t="s">
        <v>34</v>
      </c>
      <c r="P12" s="10" t="n">
        <v>103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456.25</v>
      </c>
      <c r="W12" s="13" t="n">
        <v>0</v>
      </c>
      <c r="X12" s="12" t="s">
        <v>42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46184</v>
      </c>
      <c r="C13" s="11" t="n">
        <v>46200</v>
      </c>
      <c r="D13" s="10" t="n">
        <v>1659</v>
      </c>
      <c r="E13" s="12" t="s">
        <v>39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1236106</v>
      </c>
      <c r="L13" s="10" t="n">
        <v>877772</v>
      </c>
      <c r="M13" s="12" t="s">
        <v>33</v>
      </c>
      <c r="N13" s="12" t="s">
        <v>34</v>
      </c>
      <c r="P13" s="10" t="n">
        <v>103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376.07</v>
      </c>
      <c r="W13" s="13" t="n">
        <v>0</v>
      </c>
      <c r="X13" s="12" t="s">
        <v>43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46181</v>
      </c>
      <c r="C14" s="11" t="n">
        <v>46200</v>
      </c>
      <c r="D14" s="10" t="n">
        <v>1695</v>
      </c>
      <c r="E14" s="12" t="s">
        <v>44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1222097</v>
      </c>
      <c r="L14" s="10" t="n">
        <v>18532</v>
      </c>
      <c r="M14" s="12" t="s">
        <v>40</v>
      </c>
      <c r="N14" s="12" t="s">
        <v>34</v>
      </c>
      <c r="P14" s="10" t="n">
        <v>103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807.4</v>
      </c>
      <c r="W14" s="13" t="n">
        <v>0</v>
      </c>
      <c r="X14" s="12" t="s">
        <v>45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46192</v>
      </c>
      <c r="C15" s="11" t="n">
        <v>46200</v>
      </c>
      <c r="D15" s="10" t="n">
        <v>1705</v>
      </c>
      <c r="E15" s="12" t="s">
        <v>46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1272650</v>
      </c>
      <c r="L15" s="10" t="n">
        <v>1879436</v>
      </c>
      <c r="M15" s="12" t="s">
        <v>33</v>
      </c>
      <c r="N15" s="12" t="s">
        <v>34</v>
      </c>
      <c r="P15" s="10" t="n">
        <v>103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5794.4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46199</v>
      </c>
      <c r="C16" s="11" t="n">
        <v>46200</v>
      </c>
      <c r="D16" s="10" t="n">
        <v>1615</v>
      </c>
      <c r="E16" s="12" t="s">
        <v>48</v>
      </c>
      <c r="F16" s="10" t="n">
        <v>34</v>
      </c>
      <c r="G16" s="12" t="s">
        <v>49</v>
      </c>
      <c r="H16" s="10" t="n">
        <v>2110101</v>
      </c>
      <c r="I16" s="12" t="s">
        <v>32</v>
      </c>
      <c r="J16" s="10" t="n">
        <v>1310365</v>
      </c>
      <c r="L16" s="10" t="n">
        <v>14752</v>
      </c>
      <c r="M16" s="12" t="s">
        <v>33</v>
      </c>
      <c r="N16" s="12" t="s">
        <v>34</v>
      </c>
      <c r="P16" s="10" t="n">
        <v>104</v>
      </c>
      <c r="Q16" s="12" t="s">
        <v>50</v>
      </c>
      <c r="R16" s="12" t="s">
        <v>36</v>
      </c>
      <c r="S16" s="10" t="n">
        <v>1130101</v>
      </c>
      <c r="T16" s="12" t="s">
        <v>37</v>
      </c>
      <c r="U16" s="13" t="n">
        <v>1000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46181</v>
      </c>
      <c r="C17" s="11" t="n">
        <v>46200</v>
      </c>
      <c r="D17" s="10" t="n">
        <v>1608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1223463</v>
      </c>
      <c r="L17" s="10" t="n">
        <v>1669083</v>
      </c>
      <c r="M17" s="12" t="s">
        <v>33</v>
      </c>
      <c r="N17" s="12" t="s">
        <v>34</v>
      </c>
      <c r="P17" s="10" t="n">
        <v>103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2209.54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46200</v>
      </c>
      <c r="C18" s="11" t="n">
        <v>46200</v>
      </c>
      <c r="D18" s="10" t="n">
        <v>978</v>
      </c>
      <c r="E18" s="12" t="s">
        <v>54</v>
      </c>
      <c r="F18" s="10" t="n">
        <v>13</v>
      </c>
      <c r="G18" s="12" t="s">
        <v>55</v>
      </c>
      <c r="H18" s="10" t="n">
        <v>2110101</v>
      </c>
      <c r="I18" s="12" t="s">
        <v>32</v>
      </c>
      <c r="J18" s="10" t="n">
        <v>1313023</v>
      </c>
      <c r="L18" s="10" t="n">
        <v>325</v>
      </c>
      <c r="M18" s="12" t="s">
        <v>33</v>
      </c>
      <c r="N18" s="12" t="s">
        <v>34</v>
      </c>
      <c r="P18" s="10" t="n">
        <v>104</v>
      </c>
      <c r="Q18" s="12" t="s">
        <v>50</v>
      </c>
      <c r="R18" s="12" t="s">
        <v>36</v>
      </c>
      <c r="S18" s="10" t="n">
        <v>1130101</v>
      </c>
      <c r="T18" s="12" t="s">
        <v>37</v>
      </c>
      <c r="U18" s="13" t="n">
        <v>380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46200</v>
      </c>
      <c r="C19" s="11" t="n">
        <v>46200</v>
      </c>
      <c r="D19" s="10" t="n">
        <v>1187</v>
      </c>
      <c r="E19" s="12" t="s">
        <v>57</v>
      </c>
      <c r="F19" s="10" t="n">
        <v>13</v>
      </c>
      <c r="G19" s="12" t="s">
        <v>55</v>
      </c>
      <c r="H19" s="10" t="n">
        <v>2110101</v>
      </c>
      <c r="I19" s="12" t="s">
        <v>32</v>
      </c>
      <c r="J19" s="10" t="n">
        <v>1360419</v>
      </c>
      <c r="L19" s="10" t="n">
        <v>225</v>
      </c>
      <c r="M19" s="12" t="s">
        <v>33</v>
      </c>
      <c r="N19" s="12" t="s">
        <v>34</v>
      </c>
      <c r="P19" s="10" t="n">
        <v>104</v>
      </c>
      <c r="Q19" s="12" t="s">
        <v>50</v>
      </c>
      <c r="R19" s="12" t="s">
        <v>36</v>
      </c>
      <c r="S19" s="10" t="n">
        <v>1130101</v>
      </c>
      <c r="T19" s="12" t="s">
        <v>37</v>
      </c>
      <c r="U19" s="13" t="n">
        <v>750</v>
      </c>
      <c r="W19" s="13" t="n">
        <v>0</v>
      </c>
      <c r="X19" s="12" t="s">
        <v>58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46188</v>
      </c>
      <c r="C20" s="11" t="n">
        <v>46200</v>
      </c>
      <c r="D20" s="10" t="n">
        <v>1672</v>
      </c>
      <c r="E20" s="12" t="s">
        <v>59</v>
      </c>
      <c r="F20" s="10" t="n">
        <v>24</v>
      </c>
      <c r="G20" s="12" t="s">
        <v>31</v>
      </c>
      <c r="H20" s="10" t="n">
        <v>2110101</v>
      </c>
      <c r="I20" s="12" t="s">
        <v>32</v>
      </c>
      <c r="J20" s="10" t="n">
        <v>1255515</v>
      </c>
      <c r="L20" s="10" t="n">
        <v>1366480</v>
      </c>
      <c r="M20" s="12" t="s">
        <v>33</v>
      </c>
      <c r="N20" s="12" t="s">
        <v>34</v>
      </c>
      <c r="P20" s="10" t="n">
        <v>103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954</v>
      </c>
      <c r="W20" s="13" t="n">
        <v>0</v>
      </c>
      <c r="X20" s="12" t="s">
        <v>60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46188</v>
      </c>
      <c r="C21" s="11" t="n">
        <v>46200</v>
      </c>
      <c r="D21" s="10" t="n">
        <v>1672</v>
      </c>
      <c r="E21" s="12" t="s">
        <v>59</v>
      </c>
      <c r="F21" s="10" t="n">
        <v>24</v>
      </c>
      <c r="G21" s="12" t="s">
        <v>31</v>
      </c>
      <c r="H21" s="10" t="n">
        <v>2110101</v>
      </c>
      <c r="I21" s="12" t="s">
        <v>32</v>
      </c>
      <c r="J21" s="10" t="n">
        <v>1255563</v>
      </c>
      <c r="L21" s="10" t="n">
        <v>1367200</v>
      </c>
      <c r="M21" s="12" t="s">
        <v>33</v>
      </c>
      <c r="N21" s="12" t="s">
        <v>34</v>
      </c>
      <c r="P21" s="10" t="n">
        <v>103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2200.3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46195</v>
      </c>
      <c r="C22" s="11" t="n">
        <v>46200</v>
      </c>
      <c r="D22" s="10" t="n">
        <v>1625</v>
      </c>
      <c r="E22" s="12" t="s">
        <v>62</v>
      </c>
      <c r="F22" s="10" t="n">
        <v>24</v>
      </c>
      <c r="G22" s="12" t="s">
        <v>31</v>
      </c>
      <c r="H22" s="10" t="n">
        <v>2110101</v>
      </c>
      <c r="I22" s="12" t="s">
        <v>32</v>
      </c>
      <c r="J22" s="10" t="n">
        <v>1289204</v>
      </c>
      <c r="L22" s="10" t="n">
        <v>14526</v>
      </c>
      <c r="M22" s="12" t="s">
        <v>33</v>
      </c>
      <c r="N22" s="12" t="s">
        <v>34</v>
      </c>
      <c r="P22" s="10" t="n">
        <v>103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8271.06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46199</v>
      </c>
      <c r="C23" s="11" t="n">
        <v>46200</v>
      </c>
      <c r="D23" s="10" t="n">
        <v>33</v>
      </c>
      <c r="E23" s="12" t="s">
        <v>64</v>
      </c>
      <c r="F23" s="10" t="n">
        <v>34</v>
      </c>
      <c r="G23" s="12" t="s">
        <v>49</v>
      </c>
      <c r="H23" s="10" t="n">
        <v>2110101</v>
      </c>
      <c r="I23" s="12" t="s">
        <v>32</v>
      </c>
      <c r="J23" s="10" t="n">
        <v>1310202</v>
      </c>
      <c r="L23" s="10" t="n">
        <v>5196</v>
      </c>
      <c r="M23" s="12" t="s">
        <v>33</v>
      </c>
      <c r="N23" s="12" t="s">
        <v>34</v>
      </c>
      <c r="P23" s="10" t="n">
        <v>104</v>
      </c>
      <c r="Q23" s="12" t="s">
        <v>50</v>
      </c>
      <c r="R23" s="12" t="s">
        <v>36</v>
      </c>
      <c r="S23" s="10" t="n">
        <v>1130101</v>
      </c>
      <c r="T23" s="12" t="s">
        <v>37</v>
      </c>
      <c r="U23" s="13" t="n">
        <v>2596</v>
      </c>
      <c r="W23" s="13" t="n">
        <v>0</v>
      </c>
      <c r="X23" s="12" t="s">
        <v>65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46199</v>
      </c>
      <c r="C24" s="11" t="n">
        <v>46200</v>
      </c>
      <c r="D24" s="10" t="n">
        <v>33</v>
      </c>
      <c r="E24" s="12" t="s">
        <v>64</v>
      </c>
      <c r="F24" s="10" t="n">
        <v>34</v>
      </c>
      <c r="G24" s="12" t="s">
        <v>49</v>
      </c>
      <c r="H24" s="10" t="n">
        <v>2110101</v>
      </c>
      <c r="I24" s="12" t="s">
        <v>32</v>
      </c>
      <c r="J24" s="10" t="n">
        <v>1310381</v>
      </c>
      <c r="L24" s="10" t="n">
        <v>542335</v>
      </c>
      <c r="M24" s="12" t="s">
        <v>33</v>
      </c>
      <c r="N24" s="12" t="s">
        <v>66</v>
      </c>
      <c r="P24" s="10" t="n">
        <v>104</v>
      </c>
      <c r="Q24" s="12" t="s">
        <v>50</v>
      </c>
      <c r="R24" s="12" t="s">
        <v>36</v>
      </c>
      <c r="S24" s="10" t="n">
        <v>1130101</v>
      </c>
      <c r="T24" s="12" t="s">
        <v>37</v>
      </c>
      <c r="U24" s="13" t="n">
        <v>160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46195</v>
      </c>
      <c r="C25" s="11" t="n">
        <v>46200</v>
      </c>
      <c r="D25" s="10" t="n">
        <v>754</v>
      </c>
      <c r="E25" s="12" t="s">
        <v>68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1289125</v>
      </c>
      <c r="L25" s="10" t="n">
        <v>31244</v>
      </c>
      <c r="M25" s="12" t="s">
        <v>33</v>
      </c>
      <c r="N25" s="12" t="s">
        <v>34</v>
      </c>
      <c r="P25" s="10" t="n">
        <v>103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1840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46195</v>
      </c>
      <c r="C26" s="11" t="n">
        <v>46200</v>
      </c>
      <c r="D26" s="10" t="n">
        <v>754</v>
      </c>
      <c r="E26" s="12" t="s">
        <v>68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1289188</v>
      </c>
      <c r="L26" s="10" t="n">
        <v>31245</v>
      </c>
      <c r="M26" s="12" t="s">
        <v>33</v>
      </c>
      <c r="N26" s="12" t="s">
        <v>34</v>
      </c>
      <c r="P26" s="10" t="n">
        <v>103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3337.5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46192</v>
      </c>
      <c r="C27" s="11" t="n">
        <v>46201</v>
      </c>
      <c r="D27" s="10" t="n">
        <v>1613</v>
      </c>
      <c r="E27" s="12" t="s">
        <v>71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1272759</v>
      </c>
      <c r="L27" s="10" t="n">
        <v>1597184</v>
      </c>
      <c r="M27" s="12" t="s">
        <v>33</v>
      </c>
      <c r="N27" s="12" t="s">
        <v>34</v>
      </c>
      <c r="P27" s="10" t="n">
        <v>103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607.27</v>
      </c>
      <c r="W27" s="13" t="n">
        <v>0</v>
      </c>
      <c r="X27" s="12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46195</v>
      </c>
      <c r="C28" s="11" t="n">
        <v>46201</v>
      </c>
      <c r="D28" s="10" t="n">
        <v>10085</v>
      </c>
      <c r="E28" s="12" t="s">
        <v>73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1291255</v>
      </c>
      <c r="L28" s="10" t="n">
        <v>253</v>
      </c>
      <c r="M28" s="12" t="s">
        <v>33</v>
      </c>
      <c r="N28" s="12" t="s">
        <v>34</v>
      </c>
      <c r="P28" s="10" t="n">
        <v>103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498.13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46182</v>
      </c>
      <c r="C29" s="11" t="n">
        <v>46201</v>
      </c>
      <c r="D29" s="10" t="n">
        <v>957</v>
      </c>
      <c r="E29" s="12" t="s">
        <v>75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1227398</v>
      </c>
      <c r="L29" s="10" t="n">
        <v>20167</v>
      </c>
      <c r="M29" s="12" t="s">
        <v>76</v>
      </c>
      <c r="N29" s="12" t="s">
        <v>34</v>
      </c>
      <c r="P29" s="10" t="n">
        <v>103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4521.75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46154</v>
      </c>
      <c r="C30" s="11" t="n">
        <v>46201</v>
      </c>
      <c r="D30" s="10" t="n">
        <v>10011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1089077</v>
      </c>
      <c r="L30" s="10" t="n">
        <v>33621</v>
      </c>
      <c r="M30" s="12" t="s">
        <v>79</v>
      </c>
      <c r="N30" s="12" t="s">
        <v>34</v>
      </c>
      <c r="P30" s="10" t="n">
        <v>103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2792.58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46148</v>
      </c>
      <c r="C31" s="11" t="n">
        <v>46201</v>
      </c>
      <c r="D31" s="10" t="n">
        <v>607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1057743</v>
      </c>
      <c r="L31" s="10" t="n">
        <v>10336</v>
      </c>
      <c r="M31" s="12" t="s">
        <v>79</v>
      </c>
      <c r="N31" s="12" t="s">
        <v>34</v>
      </c>
      <c r="P31" s="10" t="n">
        <v>103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250.35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46189</v>
      </c>
      <c r="C32" s="11" t="n">
        <v>46201</v>
      </c>
      <c r="D32" s="10" t="n">
        <v>1671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1260807</v>
      </c>
      <c r="L32" s="10" t="n">
        <v>574740</v>
      </c>
      <c r="M32" s="12" t="s">
        <v>33</v>
      </c>
      <c r="N32" s="12" t="s">
        <v>34</v>
      </c>
      <c r="P32" s="10" t="n">
        <v>101</v>
      </c>
      <c r="Q32" s="12" t="s">
        <v>84</v>
      </c>
      <c r="R32" s="12" t="s">
        <v>36</v>
      </c>
      <c r="S32" s="10" t="n">
        <v>1130101</v>
      </c>
      <c r="T32" s="12" t="s">
        <v>37</v>
      </c>
      <c r="U32" s="13" t="n">
        <v>372.96</v>
      </c>
      <c r="W32" s="13" t="n">
        <v>0</v>
      </c>
      <c r="X32" s="12" t="s">
        <v>85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46181</v>
      </c>
      <c r="C33" s="11" t="n">
        <v>46202</v>
      </c>
      <c r="D33" s="10" t="n">
        <v>1659</v>
      </c>
      <c r="E33" s="12" t="s">
        <v>39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1223005</v>
      </c>
      <c r="L33" s="10" t="n">
        <v>876740</v>
      </c>
      <c r="M33" s="12" t="s">
        <v>76</v>
      </c>
      <c r="N33" s="12" t="s">
        <v>34</v>
      </c>
      <c r="P33" s="10" t="n">
        <v>103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584.18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46189</v>
      </c>
      <c r="C34" s="11" t="n">
        <v>46202</v>
      </c>
      <c r="D34" s="10" t="n">
        <v>1678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1262147</v>
      </c>
      <c r="L34" s="10" t="n">
        <v>160841</v>
      </c>
      <c r="M34" s="12" t="s">
        <v>33</v>
      </c>
      <c r="N34" s="12" t="s">
        <v>34</v>
      </c>
      <c r="P34" s="10" t="n">
        <v>103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465.5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46202</v>
      </c>
      <c r="C35" s="11" t="n">
        <v>46202</v>
      </c>
      <c r="D35" s="10" t="n">
        <v>1408</v>
      </c>
      <c r="E35" s="12" t="s">
        <v>89</v>
      </c>
      <c r="F35" s="10" t="n">
        <v>34</v>
      </c>
      <c r="G35" s="12" t="s">
        <v>49</v>
      </c>
      <c r="H35" s="10" t="n">
        <v>1110202</v>
      </c>
      <c r="I35" s="12" t="s">
        <v>90</v>
      </c>
      <c r="J35" s="10" t="n">
        <v>1449656</v>
      </c>
      <c r="L35" s="10" t="n">
        <v>596296</v>
      </c>
      <c r="M35" s="12" t="s">
        <v>33</v>
      </c>
      <c r="N35" s="12" t="s">
        <v>66</v>
      </c>
      <c r="P35" s="10" t="n">
        <v>101</v>
      </c>
      <c r="Q35" s="12" t="s">
        <v>84</v>
      </c>
      <c r="R35" s="12" t="s">
        <v>91</v>
      </c>
      <c r="S35" s="10" t="n">
        <v>4220199</v>
      </c>
      <c r="T35" s="12" t="s">
        <v>92</v>
      </c>
      <c r="U35" s="13" t="n">
        <v>250</v>
      </c>
      <c r="W35" s="13" t="n">
        <v>0</v>
      </c>
      <c r="X35" s="12" t="s">
        <v>93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46202</v>
      </c>
      <c r="C36" s="11" t="n">
        <v>46202</v>
      </c>
      <c r="D36" s="10" t="n">
        <v>1408</v>
      </c>
      <c r="E36" s="12" t="s">
        <v>89</v>
      </c>
      <c r="F36" s="10" t="n">
        <v>24</v>
      </c>
      <c r="G36" s="12" t="s">
        <v>31</v>
      </c>
      <c r="H36" s="10" t="n">
        <v>1110202</v>
      </c>
      <c r="I36" s="12" t="s">
        <v>90</v>
      </c>
      <c r="J36" s="10" t="n">
        <v>1449660</v>
      </c>
      <c r="L36" s="10" t="n">
        <v>596297</v>
      </c>
      <c r="M36" s="12" t="s">
        <v>33</v>
      </c>
      <c r="N36" s="12" t="s">
        <v>66</v>
      </c>
      <c r="P36" s="10" t="n">
        <v>101</v>
      </c>
      <c r="Q36" s="12" t="s">
        <v>84</v>
      </c>
      <c r="R36" s="12" t="s">
        <v>94</v>
      </c>
      <c r="S36" s="10" t="n">
        <v>4210218</v>
      </c>
      <c r="T36" s="12" t="s">
        <v>95</v>
      </c>
      <c r="U36" s="13" t="n">
        <v>125</v>
      </c>
      <c r="W36" s="13" t="n">
        <v>0</v>
      </c>
      <c r="X36" s="12" t="s">
        <v>96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46188</v>
      </c>
      <c r="C37" s="11" t="n">
        <v>46202</v>
      </c>
      <c r="D37" s="10" t="n">
        <v>1637</v>
      </c>
      <c r="E37" s="12" t="s">
        <v>97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1255926</v>
      </c>
      <c r="L37" s="10" t="n">
        <v>1888443</v>
      </c>
      <c r="M37" s="12" t="s">
        <v>33</v>
      </c>
      <c r="N37" s="12" t="s">
        <v>34</v>
      </c>
      <c r="P37" s="10" t="n">
        <v>103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1599.9</v>
      </c>
      <c r="W37" s="13" t="n">
        <v>0</v>
      </c>
      <c r="X37" s="12" t="s">
        <v>98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46195</v>
      </c>
      <c r="C38" s="11" t="n">
        <v>46202</v>
      </c>
      <c r="D38" s="10" t="n">
        <v>1614</v>
      </c>
      <c r="E38" s="12" t="s">
        <v>99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1289995</v>
      </c>
      <c r="L38" s="10" t="n">
        <v>11298</v>
      </c>
      <c r="M38" s="12" t="s">
        <v>76</v>
      </c>
      <c r="N38" s="12" t="s">
        <v>34</v>
      </c>
      <c r="P38" s="10" t="n">
        <v>103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364.8</v>
      </c>
      <c r="W38" s="13" t="n">
        <v>0</v>
      </c>
      <c r="X38" s="12" t="s">
        <v>100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46199</v>
      </c>
      <c r="C39" s="11" t="n">
        <v>46202</v>
      </c>
      <c r="D39" s="10" t="n">
        <v>1614</v>
      </c>
      <c r="E39" s="12" t="s">
        <v>99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1308813</v>
      </c>
      <c r="L39" s="10" t="n">
        <v>11315</v>
      </c>
      <c r="M39" s="12" t="s">
        <v>33</v>
      </c>
      <c r="N39" s="12" t="s">
        <v>34</v>
      </c>
      <c r="P39" s="10" t="n">
        <v>103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459.6</v>
      </c>
      <c r="W39" s="13" t="n">
        <v>0</v>
      </c>
      <c r="X39" s="12" t="s">
        <v>101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46202</v>
      </c>
      <c r="C40" s="11" t="n">
        <v>46202</v>
      </c>
      <c r="D40" s="10" t="n">
        <v>1000001</v>
      </c>
      <c r="E40" s="12" t="s">
        <v>102</v>
      </c>
      <c r="F40" s="10" t="n">
        <v>24</v>
      </c>
      <c r="G40" s="12" t="s">
        <v>31</v>
      </c>
      <c r="H40" s="10" t="n">
        <v>1110202</v>
      </c>
      <c r="I40" s="12" t="s">
        <v>90</v>
      </c>
      <c r="J40" s="10" t="n">
        <v>1449664</v>
      </c>
      <c r="L40" s="10" t="n">
        <v>596300</v>
      </c>
      <c r="M40" s="12" t="s">
        <v>33</v>
      </c>
      <c r="N40" s="12" t="s">
        <v>66</v>
      </c>
      <c r="P40" s="10" t="n">
        <v>101</v>
      </c>
      <c r="Q40" s="12" t="s">
        <v>84</v>
      </c>
      <c r="R40" s="12" t="s">
        <v>91</v>
      </c>
      <c r="S40" s="10" t="n">
        <v>4220199</v>
      </c>
      <c r="T40" s="12" t="s">
        <v>92</v>
      </c>
      <c r="U40" s="13" t="n">
        <v>1300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Pagamentos outros não operacionais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46184</v>
      </c>
      <c r="C41" s="11" t="n">
        <v>46202</v>
      </c>
      <c r="D41" s="10" t="n">
        <v>1218</v>
      </c>
      <c r="E41" s="12" t="s">
        <v>104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1235655</v>
      </c>
      <c r="L41" s="10" t="n">
        <v>9271</v>
      </c>
      <c r="M41" s="12" t="s">
        <v>33</v>
      </c>
      <c r="N41" s="12" t="s">
        <v>34</v>
      </c>
      <c r="P41" s="10" t="n">
        <v>103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543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46195</v>
      </c>
      <c r="C42" s="11" t="n">
        <v>46202</v>
      </c>
      <c r="D42" s="10" t="n">
        <v>686</v>
      </c>
      <c r="E42" s="12" t="s">
        <v>106</v>
      </c>
      <c r="F42" s="10" t="n">
        <v>34</v>
      </c>
      <c r="G42" s="12" t="s">
        <v>49</v>
      </c>
      <c r="H42" s="10" t="n">
        <v>2110101</v>
      </c>
      <c r="I42" s="12" t="s">
        <v>32</v>
      </c>
      <c r="J42" s="10" t="n">
        <v>1289646</v>
      </c>
      <c r="L42" s="10" t="n">
        <v>1324</v>
      </c>
      <c r="M42" s="12" t="s">
        <v>33</v>
      </c>
      <c r="N42" s="12" t="s">
        <v>34</v>
      </c>
      <c r="P42" s="10" t="n">
        <v>103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280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46199</v>
      </c>
      <c r="C43" s="11" t="n">
        <v>46202</v>
      </c>
      <c r="D43" s="10" t="n">
        <v>1650</v>
      </c>
      <c r="E43" s="12" t="s">
        <v>108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1309005</v>
      </c>
      <c r="L43" s="10" t="n">
        <v>224078</v>
      </c>
      <c r="M43" s="12" t="s">
        <v>33</v>
      </c>
      <c r="N43" s="12" t="s">
        <v>34</v>
      </c>
      <c r="P43" s="10" t="n">
        <v>103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1167.14</v>
      </c>
      <c r="W43" s="13" t="n">
        <v>0</v>
      </c>
      <c r="X43" s="12" t="s">
        <v>109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46202</v>
      </c>
      <c r="C44" s="11" t="n">
        <v>46202</v>
      </c>
      <c r="D44" s="10" t="n">
        <v>978</v>
      </c>
      <c r="E44" s="12" t="s">
        <v>54</v>
      </c>
      <c r="F44" s="10" t="n">
        <v>13</v>
      </c>
      <c r="G44" s="12" t="s">
        <v>55</v>
      </c>
      <c r="H44" s="10" t="n">
        <v>2110101</v>
      </c>
      <c r="I44" s="12" t="s">
        <v>32</v>
      </c>
      <c r="J44" s="10" t="n">
        <v>1360396</v>
      </c>
      <c r="L44" s="10" t="n">
        <v>328</v>
      </c>
      <c r="M44" s="12" t="s">
        <v>33</v>
      </c>
      <c r="N44" s="12" t="s">
        <v>34</v>
      </c>
      <c r="P44" s="10" t="n">
        <v>104</v>
      </c>
      <c r="Q44" s="12" t="s">
        <v>50</v>
      </c>
      <c r="R44" s="12" t="s">
        <v>36</v>
      </c>
      <c r="S44" s="10" t="n">
        <v>1130101</v>
      </c>
      <c r="T44" s="12" t="s">
        <v>37</v>
      </c>
      <c r="U44" s="13" t="n">
        <v>398</v>
      </c>
      <c r="W44" s="13" t="n">
        <v>0</v>
      </c>
      <c r="X44" s="12" t="s">
        <v>110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46202</v>
      </c>
      <c r="C45" s="11" t="n">
        <v>46202</v>
      </c>
      <c r="D45" s="10" t="n">
        <v>515</v>
      </c>
      <c r="E45" s="12" t="s">
        <v>111</v>
      </c>
      <c r="F45" s="10" t="n">
        <v>34</v>
      </c>
      <c r="G45" s="12" t="s">
        <v>49</v>
      </c>
      <c r="H45" s="10" t="n">
        <v>1110202</v>
      </c>
      <c r="I45" s="12" t="s">
        <v>90</v>
      </c>
      <c r="J45" s="10" t="n">
        <v>1448893</v>
      </c>
      <c r="L45" s="10" t="n">
        <v>596069</v>
      </c>
      <c r="M45" s="12" t="s">
        <v>33</v>
      </c>
      <c r="N45" s="12" t="s">
        <v>66</v>
      </c>
      <c r="P45" s="10" t="n">
        <v>102</v>
      </c>
      <c r="Q45" s="12" t="s">
        <v>112</v>
      </c>
      <c r="R45" s="12" t="s">
        <v>113</v>
      </c>
      <c r="S45" s="10" t="n">
        <v>4210504</v>
      </c>
      <c r="T45" s="12" t="s">
        <v>114</v>
      </c>
      <c r="U45" s="13" t="n">
        <v>165</v>
      </c>
      <c r="W45" s="13" t="n">
        <v>0</v>
      </c>
      <c r="X45" s="12" t="s">
        <v>115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46050</v>
      </c>
      <c r="C46" s="11" t="n">
        <v>46202</v>
      </c>
      <c r="D46" s="10" t="n">
        <v>515</v>
      </c>
      <c r="E46" s="12" t="s">
        <v>111</v>
      </c>
      <c r="F46" s="10" t="n">
        <v>34</v>
      </c>
      <c r="G46" s="12" t="s">
        <v>49</v>
      </c>
      <c r="H46" s="10" t="n">
        <v>1110202</v>
      </c>
      <c r="I46" s="12" t="s">
        <v>90</v>
      </c>
      <c r="J46" s="10" t="n">
        <v>1449526</v>
      </c>
      <c r="L46" s="10" t="n">
        <v>596254</v>
      </c>
      <c r="M46" s="12" t="s">
        <v>116</v>
      </c>
      <c r="N46" s="12" t="s">
        <v>66</v>
      </c>
      <c r="P46" s="10" t="n">
        <v>101</v>
      </c>
      <c r="Q46" s="12" t="s">
        <v>84</v>
      </c>
      <c r="R46" s="12" t="s">
        <v>91</v>
      </c>
      <c r="S46" s="10" t="n">
        <v>4220199</v>
      </c>
      <c r="T46" s="12" t="s">
        <v>92</v>
      </c>
      <c r="U46" s="13" t="n">
        <v>3853.23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Pagamentos outros não operacionais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46199</v>
      </c>
      <c r="C47" s="11" t="n">
        <v>46202</v>
      </c>
      <c r="D47" s="10" t="n">
        <v>10035</v>
      </c>
      <c r="E47" s="12" t="s">
        <v>118</v>
      </c>
      <c r="F47" s="10" t="n">
        <v>34</v>
      </c>
      <c r="G47" s="12" t="s">
        <v>49</v>
      </c>
      <c r="H47" s="10" t="n">
        <v>2110101</v>
      </c>
      <c r="I47" s="12" t="s">
        <v>32</v>
      </c>
      <c r="J47" s="10" t="n">
        <v>1309767</v>
      </c>
      <c r="L47" s="10" t="n">
        <v>326</v>
      </c>
      <c r="M47" s="12" t="s">
        <v>33</v>
      </c>
      <c r="N47" s="12" t="s">
        <v>34</v>
      </c>
      <c r="P47" s="10" t="n">
        <v>104</v>
      </c>
      <c r="Q47" s="12" t="s">
        <v>50</v>
      </c>
      <c r="R47" s="12" t="s">
        <v>36</v>
      </c>
      <c r="S47" s="10" t="n">
        <v>1130101</v>
      </c>
      <c r="T47" s="12" t="s">
        <v>37</v>
      </c>
      <c r="U47" s="13" t="n">
        <v>850</v>
      </c>
      <c r="W47" s="13" t="n">
        <v>0</v>
      </c>
      <c r="X47" s="12" t="s">
        <v>119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46202</v>
      </c>
      <c r="C48" s="11" t="n">
        <v>46202</v>
      </c>
      <c r="D48" s="10" t="n">
        <v>518</v>
      </c>
      <c r="E48" s="12" t="s">
        <v>120</v>
      </c>
      <c r="F48" s="10" t="n">
        <v>34</v>
      </c>
      <c r="G48" s="12" t="s">
        <v>49</v>
      </c>
      <c r="H48" s="10" t="n">
        <v>1110202</v>
      </c>
      <c r="I48" s="12" t="s">
        <v>90</v>
      </c>
      <c r="J48" s="10" t="n">
        <v>1449572</v>
      </c>
      <c r="L48" s="10" t="n">
        <v>596275</v>
      </c>
      <c r="M48" s="12" t="s">
        <v>33</v>
      </c>
      <c r="N48" s="12" t="s">
        <v>66</v>
      </c>
      <c r="P48" s="10" t="n">
        <v>101</v>
      </c>
      <c r="Q48" s="12" t="s">
        <v>84</v>
      </c>
      <c r="R48" s="12" t="s">
        <v>121</v>
      </c>
      <c r="S48" s="10" t="n">
        <v>4210301</v>
      </c>
      <c r="T48" s="12" t="s">
        <v>122</v>
      </c>
      <c r="U48" s="13" t="n">
        <v>973.68</v>
      </c>
      <c r="W48" s="13" t="n">
        <v>0</v>
      </c>
      <c r="X48" s="12" t="s">
        <v>123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46190</v>
      </c>
      <c r="C49" s="11" t="n">
        <v>46202</v>
      </c>
      <c r="D49" s="10" t="n">
        <v>1699</v>
      </c>
      <c r="E49" s="12" t="s">
        <v>124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1265996</v>
      </c>
      <c r="L49" s="10" t="n">
        <v>304778</v>
      </c>
      <c r="M49" s="12" t="s">
        <v>33</v>
      </c>
      <c r="N49" s="12" t="s">
        <v>34</v>
      </c>
      <c r="P49" s="10" t="n">
        <v>103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375.5</v>
      </c>
      <c r="W49" s="13" t="n">
        <v>0</v>
      </c>
      <c r="X49" s="12" t="s">
        <v>125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46182</v>
      </c>
      <c r="C50" s="11" t="n">
        <v>46202</v>
      </c>
      <c r="D50" s="10" t="n">
        <v>666</v>
      </c>
      <c r="E50" s="12" t="s">
        <v>126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1228251</v>
      </c>
      <c r="L50" s="10" t="n">
        <v>7726</v>
      </c>
      <c r="M50" s="12" t="s">
        <v>40</v>
      </c>
      <c r="N50" s="12" t="s">
        <v>34</v>
      </c>
      <c r="P50" s="10" t="n">
        <v>103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287.8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46190</v>
      </c>
      <c r="C51" s="11" t="n">
        <v>46202</v>
      </c>
      <c r="D51" s="10" t="n">
        <v>1114</v>
      </c>
      <c r="E51" s="12" t="s">
        <v>128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1266142</v>
      </c>
      <c r="L51" s="10" t="n">
        <v>38499</v>
      </c>
      <c r="M51" s="12" t="s">
        <v>33</v>
      </c>
      <c r="N51" s="12" t="s">
        <v>34</v>
      </c>
      <c r="P51" s="10" t="n">
        <v>103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3756.4</v>
      </c>
      <c r="W51" s="13" t="n">
        <v>0</v>
      </c>
      <c r="X51" s="12" t="s">
        <v>129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46190</v>
      </c>
      <c r="C52" s="11" t="n">
        <v>46202</v>
      </c>
      <c r="D52" s="10" t="n">
        <v>1114</v>
      </c>
      <c r="E52" s="12" t="s">
        <v>128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1266149</v>
      </c>
      <c r="L52" s="10" t="n">
        <v>38498</v>
      </c>
      <c r="M52" s="12" t="s">
        <v>33</v>
      </c>
      <c r="N52" s="12" t="s">
        <v>34</v>
      </c>
      <c r="P52" s="10" t="n">
        <v>103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338.58</v>
      </c>
      <c r="W52" s="13" t="n">
        <v>0</v>
      </c>
      <c r="X52" s="12" t="s">
        <v>130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46199</v>
      </c>
      <c r="C53" s="11" t="n">
        <v>46202</v>
      </c>
      <c r="D53" s="10" t="n">
        <v>1899</v>
      </c>
      <c r="E53" s="12" t="s">
        <v>131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1308891</v>
      </c>
      <c r="L53" s="10" t="n">
        <v>675</v>
      </c>
      <c r="M53" s="12" t="s">
        <v>33</v>
      </c>
      <c r="N53" s="12" t="s">
        <v>34</v>
      </c>
      <c r="P53" s="10" t="n">
        <v>103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1400</v>
      </c>
      <c r="W53" s="13" t="n">
        <v>0</v>
      </c>
      <c r="X53" s="12" t="s">
        <v>132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46199</v>
      </c>
      <c r="C54" s="11" t="n">
        <v>46202</v>
      </c>
      <c r="D54" s="10" t="n">
        <v>1899</v>
      </c>
      <c r="E54" s="12" t="s">
        <v>131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1308921</v>
      </c>
      <c r="L54" s="10" t="n">
        <v>680</v>
      </c>
      <c r="M54" s="12" t="s">
        <v>33</v>
      </c>
      <c r="N54" s="12" t="s">
        <v>34</v>
      </c>
      <c r="P54" s="10" t="n">
        <v>103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304.75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46172</v>
      </c>
      <c r="C55" s="11" t="n">
        <v>46202</v>
      </c>
      <c r="D55" s="10" t="n">
        <v>607</v>
      </c>
      <c r="E55" s="12" t="s">
        <v>81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1177308</v>
      </c>
      <c r="L55" s="10" t="n">
        <v>10643</v>
      </c>
      <c r="M55" s="12" t="s">
        <v>76</v>
      </c>
      <c r="N55" s="12" t="s">
        <v>34</v>
      </c>
      <c r="P55" s="10" t="n">
        <v>103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319.72</v>
      </c>
      <c r="W55" s="13" t="n">
        <v>0</v>
      </c>
      <c r="X55" s="12" t="s">
        <v>134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46197</v>
      </c>
      <c r="C56" s="11" t="n">
        <v>46202</v>
      </c>
      <c r="D56" s="10" t="n">
        <v>33</v>
      </c>
      <c r="E56" s="12" t="s">
        <v>64</v>
      </c>
      <c r="F56" s="10" t="n">
        <v>34</v>
      </c>
      <c r="G56" s="12" t="s">
        <v>49</v>
      </c>
      <c r="H56" s="10" t="n">
        <v>2110101</v>
      </c>
      <c r="I56" s="12" t="s">
        <v>32</v>
      </c>
      <c r="J56" s="10" t="n">
        <v>1299886</v>
      </c>
      <c r="L56" s="10" t="n">
        <v>5171</v>
      </c>
      <c r="M56" s="12" t="s">
        <v>33</v>
      </c>
      <c r="N56" s="12" t="s">
        <v>34</v>
      </c>
      <c r="P56" s="10" t="n">
        <v>103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1380</v>
      </c>
      <c r="W56" s="13" t="n">
        <v>0</v>
      </c>
      <c r="X56" s="12" t="s">
        <v>135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46202</v>
      </c>
      <c r="C57" s="11" t="n">
        <v>46202</v>
      </c>
      <c r="D57" s="10" t="n">
        <v>815</v>
      </c>
      <c r="E57" s="12" t="s">
        <v>136</v>
      </c>
      <c r="F57" s="10" t="n">
        <v>24</v>
      </c>
      <c r="G57" s="12" t="s">
        <v>31</v>
      </c>
      <c r="H57" s="10" t="n">
        <v>1110202</v>
      </c>
      <c r="I57" s="12" t="s">
        <v>90</v>
      </c>
      <c r="J57" s="10" t="n">
        <v>1449558</v>
      </c>
      <c r="L57" s="10" t="n">
        <v>596274</v>
      </c>
      <c r="M57" s="12" t="s">
        <v>33</v>
      </c>
      <c r="N57" s="12" t="s">
        <v>66</v>
      </c>
      <c r="P57" s="10" t="n">
        <v>101</v>
      </c>
      <c r="Q57" s="12" t="s">
        <v>84</v>
      </c>
      <c r="R57" s="12" t="s">
        <v>91</v>
      </c>
      <c r="S57" s="10" t="n">
        <v>4220199</v>
      </c>
      <c r="T57" s="12" t="s">
        <v>92</v>
      </c>
      <c r="U57" s="13" t="n">
        <v>50000</v>
      </c>
      <c r="W57" s="13" t="n">
        <v>0</v>
      </c>
      <c r="X57" s="12" t="s">
        <v>137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46197</v>
      </c>
      <c r="C58" s="11" t="n">
        <v>46202</v>
      </c>
      <c r="D58" s="10" t="n">
        <v>754</v>
      </c>
      <c r="E58" s="12" t="s">
        <v>68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1300713</v>
      </c>
      <c r="L58" s="10" t="n">
        <v>31278</v>
      </c>
      <c r="M58" s="12" t="s">
        <v>33</v>
      </c>
      <c r="N58" s="12" t="s">
        <v>34</v>
      </c>
      <c r="P58" s="10" t="n">
        <v>103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1278.8</v>
      </c>
      <c r="W58" s="13" t="n">
        <v>0</v>
      </c>
      <c r="X58" s="12" t="s">
        <v>138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46182</v>
      </c>
      <c r="C59" s="11" t="n">
        <v>46202</v>
      </c>
      <c r="D59" s="10" t="n">
        <v>1666</v>
      </c>
      <c r="E59" s="12" t="s">
        <v>139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1226844</v>
      </c>
      <c r="L59" s="10" t="n">
        <v>562604</v>
      </c>
      <c r="M59" s="12" t="s">
        <v>40</v>
      </c>
      <c r="N59" s="12" t="s">
        <v>34</v>
      </c>
      <c r="P59" s="10" t="n">
        <v>103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4478.95</v>
      </c>
      <c r="W59" s="13" t="n">
        <v>0</v>
      </c>
      <c r="X59" s="12" t="s">
        <v>140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46195</v>
      </c>
      <c r="C60" s="11" t="n">
        <v>46202</v>
      </c>
      <c r="D60" s="10" t="n">
        <v>1631</v>
      </c>
      <c r="E60" s="12" t="s">
        <v>141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1291379</v>
      </c>
      <c r="L60" s="10" t="n">
        <v>15045</v>
      </c>
      <c r="M60" s="12" t="s">
        <v>33</v>
      </c>
      <c r="N60" s="12" t="s">
        <v>34</v>
      </c>
      <c r="P60" s="10" t="n">
        <v>103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642.79</v>
      </c>
      <c r="W60" s="13" t="n">
        <v>0</v>
      </c>
      <c r="X60" s="12" t="s">
        <v>142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46190</v>
      </c>
      <c r="C61" s="11" t="n">
        <v>46202</v>
      </c>
      <c r="D61" s="10" t="n">
        <v>1196</v>
      </c>
      <c r="E61" s="12" t="s">
        <v>143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1265535</v>
      </c>
      <c r="L61" s="10" t="n">
        <v>11722</v>
      </c>
      <c r="M61" s="12" t="s">
        <v>33</v>
      </c>
      <c r="N61" s="12" t="s">
        <v>34</v>
      </c>
      <c r="P61" s="10" t="n">
        <v>103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642.15</v>
      </c>
      <c r="W61" s="13" t="n">
        <v>0</v>
      </c>
      <c r="X61" s="12" t="s">
        <v>144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46202</v>
      </c>
      <c r="C62" s="11" t="n">
        <v>46203</v>
      </c>
      <c r="D62" s="10" t="n">
        <v>642</v>
      </c>
      <c r="E62" s="12" t="s">
        <v>145</v>
      </c>
      <c r="F62" s="10" t="n">
        <v>24</v>
      </c>
      <c r="G62" s="12" t="s">
        <v>31</v>
      </c>
      <c r="H62" s="10" t="n">
        <v>2110101</v>
      </c>
      <c r="I62" s="12" t="s">
        <v>32</v>
      </c>
      <c r="J62" s="10" t="n">
        <v>1321719</v>
      </c>
      <c r="L62" s="10" t="n">
        <v>511</v>
      </c>
      <c r="M62" s="12" t="s">
        <v>33</v>
      </c>
      <c r="N62" s="12" t="s">
        <v>34</v>
      </c>
      <c r="P62" s="10" t="n">
        <v>103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960</v>
      </c>
      <c r="W62" s="13" t="n">
        <v>0</v>
      </c>
      <c r="X62" s="12" t="s">
        <v>146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46199</v>
      </c>
      <c r="C63" s="11" t="n">
        <v>46203</v>
      </c>
      <c r="D63" s="10" t="n">
        <v>10018</v>
      </c>
      <c r="E63" s="12" t="s">
        <v>147</v>
      </c>
      <c r="F63" s="10" t="n">
        <v>34</v>
      </c>
      <c r="G63" s="12" t="s">
        <v>49</v>
      </c>
      <c r="H63" s="10" t="n">
        <v>2110101</v>
      </c>
      <c r="I63" s="12" t="s">
        <v>32</v>
      </c>
      <c r="J63" s="10" t="n">
        <v>1309485</v>
      </c>
      <c r="L63" s="10" t="n">
        <v>317</v>
      </c>
      <c r="M63" s="12" t="s">
        <v>33</v>
      </c>
      <c r="N63" s="12" t="s">
        <v>34</v>
      </c>
      <c r="P63" s="10" t="n">
        <v>103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899.95</v>
      </c>
      <c r="W63" s="13" t="n">
        <v>0</v>
      </c>
      <c r="X63" s="12" t="s">
        <v>148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46203</v>
      </c>
      <c r="C64" s="11" t="n">
        <v>46203</v>
      </c>
      <c r="D64" s="10" t="n">
        <v>1961</v>
      </c>
      <c r="E64" s="12" t="s">
        <v>149</v>
      </c>
      <c r="F64" s="10" t="n">
        <v>34</v>
      </c>
      <c r="G64" s="12" t="s">
        <v>49</v>
      </c>
      <c r="H64" s="10" t="n">
        <v>1110202</v>
      </c>
      <c r="I64" s="12" t="s">
        <v>90</v>
      </c>
      <c r="J64" s="10" t="n">
        <v>1341512</v>
      </c>
      <c r="L64" s="10" t="n">
        <v>554231</v>
      </c>
      <c r="M64" s="12" t="s">
        <v>33</v>
      </c>
      <c r="N64" s="12" t="s">
        <v>66</v>
      </c>
      <c r="P64" s="10" t="n">
        <v>102</v>
      </c>
      <c r="Q64" s="12" t="s">
        <v>112</v>
      </c>
      <c r="R64" s="12" t="s">
        <v>121</v>
      </c>
      <c r="S64" s="10" t="n">
        <v>4210310</v>
      </c>
      <c r="T64" s="12" t="s">
        <v>150</v>
      </c>
      <c r="U64" s="13" t="n">
        <v>400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46199</v>
      </c>
      <c r="C65" s="11" t="n">
        <v>46203</v>
      </c>
      <c r="D65" s="10" t="n">
        <v>359</v>
      </c>
      <c r="E65" s="12" t="s">
        <v>152</v>
      </c>
      <c r="F65" s="10" t="n">
        <v>34</v>
      </c>
      <c r="G65" s="12" t="s">
        <v>49</v>
      </c>
      <c r="H65" s="10" t="n">
        <v>2110405</v>
      </c>
      <c r="I65" s="12" t="s">
        <v>153</v>
      </c>
      <c r="J65" s="10" t="n">
        <v>1309340</v>
      </c>
      <c r="L65" s="10" t="n">
        <v>20252026</v>
      </c>
      <c r="M65" s="12" t="s">
        <v>33</v>
      </c>
      <c r="N65" s="12" t="s">
        <v>66</v>
      </c>
      <c r="P65" s="10" t="n">
        <v>101</v>
      </c>
      <c r="Q65" s="12" t="s">
        <v>84</v>
      </c>
      <c r="R65" s="12" t="s">
        <v>154</v>
      </c>
      <c r="S65" s="10" t="n">
        <v>2110503</v>
      </c>
      <c r="T65" s="12" t="s">
        <v>155</v>
      </c>
      <c r="U65" s="13" t="n">
        <v>2343.33</v>
      </c>
      <c r="W65" s="13" t="n">
        <v>0</v>
      </c>
      <c r="X65" s="12" t="s">
        <v>156</v>
      </c>
      <c r="Z65" s="1" t="str">
        <f aca="false">IF($T65="","",IFERROR(INDEX('Resumo Grupos'!$AC$3:$AC$200,MATCH($T65,'Resumo Grupos'!$AB$3:$AB$200,0)),"n/d"))</f>
        <v>Salários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46195</v>
      </c>
      <c r="C66" s="11" t="n">
        <v>46203</v>
      </c>
      <c r="D66" s="10" t="n">
        <v>1613</v>
      </c>
      <c r="E66" s="12" t="s">
        <v>71</v>
      </c>
      <c r="F66" s="10" t="n">
        <v>24</v>
      </c>
      <c r="G66" s="12" t="s">
        <v>31</v>
      </c>
      <c r="H66" s="10" t="n">
        <v>2110101</v>
      </c>
      <c r="I66" s="12" t="s">
        <v>32</v>
      </c>
      <c r="J66" s="10" t="n">
        <v>1290054</v>
      </c>
      <c r="L66" s="10" t="n">
        <v>1598074</v>
      </c>
      <c r="M66" s="12" t="s">
        <v>33</v>
      </c>
      <c r="N66" s="12" t="s">
        <v>34</v>
      </c>
      <c r="P66" s="10" t="n">
        <v>103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2103</v>
      </c>
      <c r="W66" s="13" t="n">
        <v>0</v>
      </c>
      <c r="X66" s="12" t="s">
        <v>157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46199</v>
      </c>
      <c r="C67" s="11" t="n">
        <v>46203</v>
      </c>
      <c r="D67" s="10" t="n">
        <v>1642</v>
      </c>
      <c r="E67" s="12" t="s">
        <v>158</v>
      </c>
      <c r="F67" s="10" t="n">
        <v>24</v>
      </c>
      <c r="G67" s="12" t="s">
        <v>31</v>
      </c>
      <c r="H67" s="10" t="n">
        <v>2110101</v>
      </c>
      <c r="I67" s="12" t="s">
        <v>32</v>
      </c>
      <c r="J67" s="10" t="n">
        <v>1308875</v>
      </c>
      <c r="L67" s="10" t="n">
        <v>1028313</v>
      </c>
      <c r="M67" s="12" t="s">
        <v>33</v>
      </c>
      <c r="N67" s="12" t="s">
        <v>34</v>
      </c>
      <c r="P67" s="10" t="n">
        <v>103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675.17</v>
      </c>
      <c r="W67" s="13" t="n">
        <v>0</v>
      </c>
      <c r="X67" s="12" t="s">
        <v>159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46203</v>
      </c>
      <c r="D68" s="10" t="n">
        <v>794</v>
      </c>
      <c r="E68" s="12" t="s">
        <v>160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1192775</v>
      </c>
      <c r="L68" s="10" t="n">
        <v>7862</v>
      </c>
      <c r="M68" s="12" t="s">
        <v>79</v>
      </c>
      <c r="N68" s="12" t="s">
        <v>34</v>
      </c>
      <c r="P68" s="10" t="n">
        <v>103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1695.88</v>
      </c>
      <c r="W68" s="13" t="n">
        <v>0</v>
      </c>
      <c r="X68" s="12" t="s">
        <v>161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46190</v>
      </c>
      <c r="C69" s="11" t="n">
        <v>46203</v>
      </c>
      <c r="D69" s="10" t="n">
        <v>1683</v>
      </c>
      <c r="E69" s="12" t="s">
        <v>162</v>
      </c>
      <c r="F69" s="10" t="n">
        <v>34</v>
      </c>
      <c r="G69" s="12" t="s">
        <v>49</v>
      </c>
      <c r="H69" s="10" t="n">
        <v>2110101</v>
      </c>
      <c r="I69" s="12" t="s">
        <v>32</v>
      </c>
      <c r="J69" s="10" t="n">
        <v>1309593</v>
      </c>
      <c r="L69" s="10" t="n">
        <v>1633522</v>
      </c>
      <c r="M69" s="12" t="s">
        <v>33</v>
      </c>
      <c r="N69" s="12" t="s">
        <v>34</v>
      </c>
      <c r="P69" s="10" t="n">
        <v>104</v>
      </c>
      <c r="Q69" s="12" t="s">
        <v>50</v>
      </c>
      <c r="R69" s="12" t="s">
        <v>36</v>
      </c>
      <c r="S69" s="10" t="n">
        <v>1130101</v>
      </c>
      <c r="T69" s="12" t="s">
        <v>37</v>
      </c>
      <c r="U69" s="13" t="n">
        <v>276</v>
      </c>
      <c r="W69" s="13" t="n">
        <v>0</v>
      </c>
      <c r="X69" s="12" t="s">
        <v>163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46199</v>
      </c>
      <c r="C70" s="11" t="n">
        <v>46203</v>
      </c>
      <c r="D70" s="10" t="n">
        <v>1683</v>
      </c>
      <c r="E70" s="12" t="s">
        <v>162</v>
      </c>
      <c r="F70" s="10" t="n">
        <v>34</v>
      </c>
      <c r="G70" s="12" t="s">
        <v>49</v>
      </c>
      <c r="H70" s="10" t="n">
        <v>2110101</v>
      </c>
      <c r="I70" s="12" t="s">
        <v>32</v>
      </c>
      <c r="J70" s="10" t="n">
        <v>1312842</v>
      </c>
      <c r="L70" s="10" t="n">
        <v>1638595</v>
      </c>
      <c r="M70" s="12" t="s">
        <v>33</v>
      </c>
      <c r="N70" s="12" t="s">
        <v>34</v>
      </c>
      <c r="P70" s="10" t="n">
        <v>104</v>
      </c>
      <c r="Q70" s="12" t="s">
        <v>50</v>
      </c>
      <c r="R70" s="12" t="s">
        <v>36</v>
      </c>
      <c r="S70" s="10" t="n">
        <v>1130101</v>
      </c>
      <c r="T70" s="12" t="s">
        <v>37</v>
      </c>
      <c r="U70" s="13" t="n">
        <v>180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46200</v>
      </c>
      <c r="C71" s="11" t="n">
        <v>46203</v>
      </c>
      <c r="D71" s="10" t="n">
        <v>1683</v>
      </c>
      <c r="E71" s="12" t="s">
        <v>162</v>
      </c>
      <c r="F71" s="10" t="n">
        <v>34</v>
      </c>
      <c r="G71" s="12" t="s">
        <v>49</v>
      </c>
      <c r="H71" s="10" t="n">
        <v>2110101</v>
      </c>
      <c r="I71" s="12" t="s">
        <v>32</v>
      </c>
      <c r="J71" s="10" t="n">
        <v>1312862</v>
      </c>
      <c r="L71" s="10" t="n">
        <v>1638591</v>
      </c>
      <c r="M71" s="12" t="s">
        <v>33</v>
      </c>
      <c r="N71" s="12" t="s">
        <v>34</v>
      </c>
      <c r="P71" s="10" t="n">
        <v>104</v>
      </c>
      <c r="Q71" s="12" t="s">
        <v>50</v>
      </c>
      <c r="R71" s="12" t="s">
        <v>36</v>
      </c>
      <c r="S71" s="10" t="n">
        <v>1130101</v>
      </c>
      <c r="T71" s="12" t="s">
        <v>37</v>
      </c>
      <c r="U71" s="13" t="n">
        <v>276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46199</v>
      </c>
      <c r="C72" s="11" t="n">
        <v>46203</v>
      </c>
      <c r="D72" s="10" t="n">
        <v>1683</v>
      </c>
      <c r="E72" s="12" t="s">
        <v>162</v>
      </c>
      <c r="F72" s="10" t="n">
        <v>34</v>
      </c>
      <c r="G72" s="12" t="s">
        <v>49</v>
      </c>
      <c r="H72" s="10" t="n">
        <v>2110101</v>
      </c>
      <c r="I72" s="12" t="s">
        <v>32</v>
      </c>
      <c r="J72" s="10" t="n">
        <v>1312884</v>
      </c>
      <c r="L72" s="10" t="n">
        <v>1638586</v>
      </c>
      <c r="M72" s="12" t="s">
        <v>33</v>
      </c>
      <c r="N72" s="12" t="s">
        <v>34</v>
      </c>
      <c r="P72" s="10" t="n">
        <v>104</v>
      </c>
      <c r="Q72" s="12" t="s">
        <v>50</v>
      </c>
      <c r="R72" s="12" t="s">
        <v>36</v>
      </c>
      <c r="S72" s="10" t="n">
        <v>1130101</v>
      </c>
      <c r="T72" s="12" t="s">
        <v>37</v>
      </c>
      <c r="U72" s="13" t="n">
        <v>189</v>
      </c>
      <c r="W72" s="13" t="n">
        <v>0</v>
      </c>
      <c r="X72" s="12" t="s">
        <v>166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46199</v>
      </c>
      <c r="C73" s="11" t="n">
        <v>46203</v>
      </c>
      <c r="D73" s="10" t="n">
        <v>1683</v>
      </c>
      <c r="E73" s="12" t="s">
        <v>162</v>
      </c>
      <c r="F73" s="10" t="n">
        <v>34</v>
      </c>
      <c r="G73" s="12" t="s">
        <v>49</v>
      </c>
      <c r="H73" s="10" t="n">
        <v>2110101</v>
      </c>
      <c r="I73" s="12" t="s">
        <v>32</v>
      </c>
      <c r="J73" s="10" t="n">
        <v>1312944</v>
      </c>
      <c r="L73" s="10" t="n">
        <v>1638582</v>
      </c>
      <c r="M73" s="12" t="s">
        <v>33</v>
      </c>
      <c r="N73" s="12" t="s">
        <v>34</v>
      </c>
      <c r="P73" s="10" t="n">
        <v>104</v>
      </c>
      <c r="Q73" s="12" t="s">
        <v>50</v>
      </c>
      <c r="R73" s="12" t="s">
        <v>36</v>
      </c>
      <c r="S73" s="10" t="n">
        <v>1130101</v>
      </c>
      <c r="T73" s="12" t="s">
        <v>37</v>
      </c>
      <c r="U73" s="13" t="n">
        <v>246</v>
      </c>
      <c r="W73" s="13" t="n">
        <v>0</v>
      </c>
      <c r="X73" s="12" t="s">
        <v>167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46199</v>
      </c>
      <c r="C74" s="11" t="n">
        <v>46203</v>
      </c>
      <c r="D74" s="10" t="n">
        <v>1683</v>
      </c>
      <c r="E74" s="12" t="s">
        <v>162</v>
      </c>
      <c r="F74" s="10" t="n">
        <v>34</v>
      </c>
      <c r="G74" s="12" t="s">
        <v>49</v>
      </c>
      <c r="H74" s="10" t="n">
        <v>2110101</v>
      </c>
      <c r="I74" s="12" t="s">
        <v>32</v>
      </c>
      <c r="J74" s="10" t="n">
        <v>1312961</v>
      </c>
      <c r="L74" s="10" t="n">
        <v>1638578</v>
      </c>
      <c r="M74" s="12" t="s">
        <v>33</v>
      </c>
      <c r="N74" s="12" t="s">
        <v>34</v>
      </c>
      <c r="P74" s="10" t="n">
        <v>104</v>
      </c>
      <c r="Q74" s="12" t="s">
        <v>50</v>
      </c>
      <c r="R74" s="12" t="s">
        <v>36</v>
      </c>
      <c r="S74" s="10" t="n">
        <v>1130101</v>
      </c>
      <c r="T74" s="12" t="s">
        <v>37</v>
      </c>
      <c r="U74" s="13" t="n">
        <v>174</v>
      </c>
      <c r="W74" s="13" t="n">
        <v>0</v>
      </c>
      <c r="X74" s="12" t="s">
        <v>168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46200</v>
      </c>
      <c r="C75" s="11" t="n">
        <v>46203</v>
      </c>
      <c r="D75" s="10" t="n">
        <v>1683</v>
      </c>
      <c r="E75" s="12" t="s">
        <v>162</v>
      </c>
      <c r="F75" s="10" t="n">
        <v>34</v>
      </c>
      <c r="G75" s="12" t="s">
        <v>49</v>
      </c>
      <c r="H75" s="10" t="n">
        <v>2110101</v>
      </c>
      <c r="I75" s="12" t="s">
        <v>32</v>
      </c>
      <c r="J75" s="10" t="n">
        <v>1321915</v>
      </c>
      <c r="L75" s="10" t="n">
        <v>1638981</v>
      </c>
      <c r="M75" s="12" t="s">
        <v>33</v>
      </c>
      <c r="N75" s="12" t="s">
        <v>34</v>
      </c>
      <c r="P75" s="10" t="n">
        <v>104</v>
      </c>
      <c r="Q75" s="12" t="s">
        <v>50</v>
      </c>
      <c r="R75" s="12" t="s">
        <v>36</v>
      </c>
      <c r="S75" s="10" t="n">
        <v>1130101</v>
      </c>
      <c r="T75" s="12" t="s">
        <v>37</v>
      </c>
      <c r="U75" s="13" t="n">
        <v>300</v>
      </c>
      <c r="W75" s="13" t="n">
        <v>0</v>
      </c>
      <c r="X75" s="12" t="s">
        <v>169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46202</v>
      </c>
      <c r="C76" s="11" t="n">
        <v>46203</v>
      </c>
      <c r="D76" s="10" t="n">
        <v>1683</v>
      </c>
      <c r="E76" s="12" t="s">
        <v>162</v>
      </c>
      <c r="F76" s="10" t="n">
        <v>34</v>
      </c>
      <c r="G76" s="12" t="s">
        <v>49</v>
      </c>
      <c r="H76" s="10" t="n">
        <v>2110101</v>
      </c>
      <c r="I76" s="12" t="s">
        <v>32</v>
      </c>
      <c r="J76" s="10" t="n">
        <v>1325564</v>
      </c>
      <c r="L76" s="10" t="n">
        <v>1639492</v>
      </c>
      <c r="M76" s="12" t="s">
        <v>33</v>
      </c>
      <c r="N76" s="12" t="s">
        <v>34</v>
      </c>
      <c r="P76" s="10" t="n">
        <v>104</v>
      </c>
      <c r="Q76" s="12" t="s">
        <v>50</v>
      </c>
      <c r="R76" s="12" t="s">
        <v>36</v>
      </c>
      <c r="S76" s="10" t="n">
        <v>1130101</v>
      </c>
      <c r="T76" s="12" t="s">
        <v>37</v>
      </c>
      <c r="U76" s="13" t="n">
        <v>180</v>
      </c>
      <c r="W76" s="13" t="n">
        <v>0</v>
      </c>
      <c r="X76" s="12" t="s">
        <v>170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46203</v>
      </c>
      <c r="C77" s="11" t="n">
        <v>46203</v>
      </c>
      <c r="D77" s="10" t="n">
        <v>1037</v>
      </c>
      <c r="E77" s="12" t="s">
        <v>171</v>
      </c>
      <c r="F77" s="10" t="n">
        <v>34</v>
      </c>
      <c r="G77" s="12" t="s">
        <v>49</v>
      </c>
      <c r="H77" s="10" t="n">
        <v>1110202</v>
      </c>
      <c r="I77" s="12" t="s">
        <v>90</v>
      </c>
      <c r="J77" s="10" t="n">
        <v>1341604</v>
      </c>
      <c r="L77" s="10" t="n">
        <v>554269</v>
      </c>
      <c r="M77" s="12" t="s">
        <v>33</v>
      </c>
      <c r="N77" s="12" t="s">
        <v>66</v>
      </c>
      <c r="P77" s="10" t="n">
        <v>102</v>
      </c>
      <c r="Q77" s="12" t="s">
        <v>112</v>
      </c>
      <c r="R77" s="12" t="s">
        <v>91</v>
      </c>
      <c r="S77" s="10" t="n">
        <v>4220199</v>
      </c>
      <c r="T77" s="12" t="s">
        <v>92</v>
      </c>
      <c r="U77" s="13" t="n">
        <v>3586.11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Pagamentos outros não operacionais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46205</v>
      </c>
      <c r="C78" s="11" t="n">
        <v>46203</v>
      </c>
      <c r="D78" s="10" t="n">
        <v>515</v>
      </c>
      <c r="E78" s="12" t="s">
        <v>111</v>
      </c>
      <c r="F78" s="10" t="n">
        <v>34</v>
      </c>
      <c r="G78" s="12" t="s">
        <v>49</v>
      </c>
      <c r="H78" s="10" t="n">
        <v>1110202</v>
      </c>
      <c r="I78" s="12" t="s">
        <v>90</v>
      </c>
      <c r="J78" s="10" t="n">
        <v>593261</v>
      </c>
      <c r="L78" s="10" t="n">
        <v>264274</v>
      </c>
      <c r="M78" s="12" t="s">
        <v>76</v>
      </c>
      <c r="N78" s="12" t="s">
        <v>66</v>
      </c>
      <c r="P78" s="10" t="n">
        <v>102</v>
      </c>
      <c r="Q78" s="12" t="s">
        <v>112</v>
      </c>
      <c r="R78" s="12" t="s">
        <v>113</v>
      </c>
      <c r="S78" s="10" t="n">
        <v>4210508</v>
      </c>
      <c r="T78" s="12" t="s">
        <v>173</v>
      </c>
      <c r="U78" s="13" t="n">
        <v>153.13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46189</v>
      </c>
      <c r="C79" s="11" t="n">
        <v>46203</v>
      </c>
      <c r="D79" s="10" t="n">
        <v>1815</v>
      </c>
      <c r="E79" s="12" t="s">
        <v>175</v>
      </c>
      <c r="F79" s="10" t="n">
        <v>24</v>
      </c>
      <c r="G79" s="12" t="s">
        <v>31</v>
      </c>
      <c r="H79" s="10" t="n">
        <v>2110101</v>
      </c>
      <c r="I79" s="12" t="s">
        <v>32</v>
      </c>
      <c r="J79" s="10" t="n">
        <v>1262226</v>
      </c>
      <c r="L79" s="10" t="n">
        <v>387396</v>
      </c>
      <c r="M79" s="12" t="s">
        <v>76</v>
      </c>
      <c r="N79" s="12" t="s">
        <v>34</v>
      </c>
      <c r="P79" s="10" t="n">
        <v>103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1107.75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46199</v>
      </c>
      <c r="C80" s="11" t="n">
        <v>46203</v>
      </c>
      <c r="D80" s="10" t="n">
        <v>1363</v>
      </c>
      <c r="E80" s="12" t="s">
        <v>177</v>
      </c>
      <c r="F80" s="10" t="n">
        <v>24</v>
      </c>
      <c r="G80" s="12" t="s">
        <v>31</v>
      </c>
      <c r="H80" s="10" t="n">
        <v>2110101</v>
      </c>
      <c r="I80" s="12" t="s">
        <v>32</v>
      </c>
      <c r="J80" s="10" t="n">
        <v>1308855</v>
      </c>
      <c r="L80" s="10" t="n">
        <v>3422</v>
      </c>
      <c r="M80" s="12" t="s">
        <v>33</v>
      </c>
      <c r="N80" s="12" t="s">
        <v>34</v>
      </c>
      <c r="P80" s="10" t="n">
        <v>103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405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46199</v>
      </c>
      <c r="C81" s="11" t="n">
        <v>46203</v>
      </c>
      <c r="D81" s="10" t="n">
        <v>1819</v>
      </c>
      <c r="E81" s="12" t="s">
        <v>179</v>
      </c>
      <c r="F81" s="10" t="n">
        <v>24</v>
      </c>
      <c r="G81" s="12" t="s">
        <v>31</v>
      </c>
      <c r="H81" s="10" t="n">
        <v>2110101</v>
      </c>
      <c r="I81" s="12" t="s">
        <v>32</v>
      </c>
      <c r="J81" s="10" t="n">
        <v>1308931</v>
      </c>
      <c r="L81" s="10" t="n">
        <v>16177</v>
      </c>
      <c r="M81" s="12" t="s">
        <v>33</v>
      </c>
      <c r="N81" s="12" t="s">
        <v>34</v>
      </c>
      <c r="P81" s="10" t="n">
        <v>103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240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46191</v>
      </c>
      <c r="C82" s="11" t="n">
        <v>46203</v>
      </c>
      <c r="D82" s="10" t="n">
        <v>10009</v>
      </c>
      <c r="E82" s="12" t="s">
        <v>181</v>
      </c>
      <c r="F82" s="10" t="n">
        <v>24</v>
      </c>
      <c r="G82" s="12" t="s">
        <v>31</v>
      </c>
      <c r="H82" s="10" t="n">
        <v>2110101</v>
      </c>
      <c r="I82" s="12" t="s">
        <v>32</v>
      </c>
      <c r="J82" s="10" t="n">
        <v>1269997</v>
      </c>
      <c r="L82" s="10" t="n">
        <v>1414551</v>
      </c>
      <c r="M82" s="12" t="s">
        <v>33</v>
      </c>
      <c r="N82" s="12" t="s">
        <v>34</v>
      </c>
      <c r="P82" s="10" t="n">
        <v>103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1464.55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46188</v>
      </c>
      <c r="C83" s="11" t="n">
        <v>46203</v>
      </c>
      <c r="D83" s="10" t="n">
        <v>1830</v>
      </c>
      <c r="E83" s="12" t="s">
        <v>183</v>
      </c>
      <c r="F83" s="10" t="n">
        <v>24</v>
      </c>
      <c r="G83" s="12" t="s">
        <v>31</v>
      </c>
      <c r="H83" s="10" t="n">
        <v>2110405</v>
      </c>
      <c r="I83" s="12" t="s">
        <v>153</v>
      </c>
      <c r="J83" s="10" t="n">
        <v>1256567</v>
      </c>
      <c r="L83" s="10" t="n">
        <v>856</v>
      </c>
      <c r="M83" s="12" t="s">
        <v>33</v>
      </c>
      <c r="N83" s="12" t="s">
        <v>66</v>
      </c>
      <c r="P83" s="10" t="n">
        <v>101</v>
      </c>
      <c r="Q83" s="12" t="s">
        <v>84</v>
      </c>
      <c r="R83" s="12" t="s">
        <v>121</v>
      </c>
      <c r="S83" s="10" t="n">
        <v>4210319</v>
      </c>
      <c r="T83" s="12" t="s">
        <v>184</v>
      </c>
      <c r="U83" s="13" t="n">
        <v>1248</v>
      </c>
      <c r="W83" s="13" t="n">
        <v>0</v>
      </c>
      <c r="X83" s="12" t="s">
        <v>185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46199</v>
      </c>
      <c r="C84" s="11" t="n">
        <v>46203</v>
      </c>
      <c r="D84" s="10" t="n">
        <v>1328</v>
      </c>
      <c r="E84" s="12" t="s">
        <v>186</v>
      </c>
      <c r="F84" s="10" t="n">
        <v>24</v>
      </c>
      <c r="G84" s="12" t="s">
        <v>31</v>
      </c>
      <c r="H84" s="10" t="n">
        <v>2110101</v>
      </c>
      <c r="I84" s="12" t="s">
        <v>32</v>
      </c>
      <c r="J84" s="10" t="n">
        <v>1308839</v>
      </c>
      <c r="L84" s="10" t="n">
        <v>3863</v>
      </c>
      <c r="M84" s="12" t="s">
        <v>33</v>
      </c>
      <c r="N84" s="12" t="s">
        <v>34</v>
      </c>
      <c r="P84" s="10" t="n">
        <v>103</v>
      </c>
      <c r="Q84" s="12" t="s">
        <v>35</v>
      </c>
      <c r="R84" s="12" t="s">
        <v>36</v>
      </c>
      <c r="S84" s="10" t="n">
        <v>1130101</v>
      </c>
      <c r="T84" s="12" t="s">
        <v>37</v>
      </c>
      <c r="U84" s="13" t="n">
        <v>241.6</v>
      </c>
      <c r="W84" s="13" t="n">
        <v>0</v>
      </c>
      <c r="X84" s="12" t="s">
        <v>187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46190</v>
      </c>
      <c r="C85" s="11" t="n">
        <v>46203</v>
      </c>
      <c r="D85" s="10" t="n">
        <v>1749</v>
      </c>
      <c r="E85" s="12" t="s">
        <v>188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1265754</v>
      </c>
      <c r="L85" s="10" t="n">
        <v>1774</v>
      </c>
      <c r="M85" s="12" t="s">
        <v>33</v>
      </c>
      <c r="N85" s="12" t="s">
        <v>34</v>
      </c>
      <c r="P85" s="10" t="n">
        <v>103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1143.6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46199</v>
      </c>
      <c r="C86" s="11" t="n">
        <v>46203</v>
      </c>
      <c r="D86" s="10" t="n">
        <v>1899</v>
      </c>
      <c r="E86" s="12" t="s">
        <v>131</v>
      </c>
      <c r="F86" s="10" t="n">
        <v>24</v>
      </c>
      <c r="G86" s="12" t="s">
        <v>31</v>
      </c>
      <c r="H86" s="10" t="n">
        <v>2110101</v>
      </c>
      <c r="I86" s="12" t="s">
        <v>32</v>
      </c>
      <c r="J86" s="10" t="n">
        <v>1308928</v>
      </c>
      <c r="L86" s="10" t="n">
        <v>683</v>
      </c>
      <c r="M86" s="12" t="s">
        <v>33</v>
      </c>
      <c r="N86" s="12" t="s">
        <v>34</v>
      </c>
      <c r="P86" s="10" t="n">
        <v>103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357.1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46200</v>
      </c>
      <c r="C87" s="11" t="n">
        <v>46203</v>
      </c>
      <c r="D87" s="10" t="n">
        <v>1899</v>
      </c>
      <c r="E87" s="12" t="s">
        <v>131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1312476</v>
      </c>
      <c r="L87" s="10" t="n">
        <v>681</v>
      </c>
      <c r="M87" s="12" t="s">
        <v>33</v>
      </c>
      <c r="N87" s="12" t="s">
        <v>34</v>
      </c>
      <c r="P87" s="10" t="n">
        <v>103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825</v>
      </c>
      <c r="W87" s="13" t="n">
        <v>0</v>
      </c>
      <c r="X87" s="12" t="s">
        <v>191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46203</v>
      </c>
      <c r="C88" s="11" t="n">
        <v>46203</v>
      </c>
      <c r="D88" s="10" t="n">
        <v>1877</v>
      </c>
      <c r="E88" s="12" t="s">
        <v>192</v>
      </c>
      <c r="F88" s="10" t="n">
        <v>34</v>
      </c>
      <c r="G88" s="12" t="s">
        <v>49</v>
      </c>
      <c r="H88" s="10" t="n">
        <v>1110202</v>
      </c>
      <c r="I88" s="12" t="s">
        <v>90</v>
      </c>
      <c r="J88" s="10" t="n">
        <v>1341577</v>
      </c>
      <c r="L88" s="10" t="n">
        <v>554254</v>
      </c>
      <c r="M88" s="12" t="s">
        <v>33</v>
      </c>
      <c r="N88" s="12" t="s">
        <v>66</v>
      </c>
      <c r="P88" s="10" t="n">
        <v>102</v>
      </c>
      <c r="Q88" s="12" t="s">
        <v>112</v>
      </c>
      <c r="R88" s="12" t="s">
        <v>121</v>
      </c>
      <c r="S88" s="10" t="n">
        <v>4210310</v>
      </c>
      <c r="T88" s="12" t="s">
        <v>150</v>
      </c>
      <c r="U88" s="13" t="n">
        <v>794</v>
      </c>
      <c r="W88" s="13" t="n">
        <v>0</v>
      </c>
      <c r="X88" s="12" t="s">
        <v>193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46199</v>
      </c>
      <c r="C89" s="11" t="n">
        <v>46203</v>
      </c>
      <c r="D89" s="10" t="n">
        <v>33</v>
      </c>
      <c r="E89" s="12" t="s">
        <v>64</v>
      </c>
      <c r="F89" s="10" t="n">
        <v>34</v>
      </c>
      <c r="G89" s="12" t="s">
        <v>49</v>
      </c>
      <c r="H89" s="10" t="n">
        <v>2110101</v>
      </c>
      <c r="I89" s="12" t="s">
        <v>32</v>
      </c>
      <c r="J89" s="10" t="n">
        <v>1309570</v>
      </c>
      <c r="L89" s="10" t="n">
        <v>5184</v>
      </c>
      <c r="M89" s="12" t="s">
        <v>33</v>
      </c>
      <c r="N89" s="12" t="s">
        <v>34</v>
      </c>
      <c r="P89" s="10" t="n">
        <v>103</v>
      </c>
      <c r="Q89" s="12" t="s">
        <v>35</v>
      </c>
      <c r="R89" s="12" t="s">
        <v>36</v>
      </c>
      <c r="S89" s="10" t="n">
        <v>1130101</v>
      </c>
      <c r="T89" s="12" t="s">
        <v>37</v>
      </c>
      <c r="U89" s="13" t="n">
        <v>1250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46203</v>
      </c>
      <c r="C90" s="11" t="n">
        <v>46203</v>
      </c>
      <c r="D90" s="10" t="n">
        <v>33</v>
      </c>
      <c r="E90" s="12" t="s">
        <v>64</v>
      </c>
      <c r="F90" s="10" t="n">
        <v>13</v>
      </c>
      <c r="G90" s="12" t="s">
        <v>55</v>
      </c>
      <c r="H90" s="10" t="n">
        <v>2110101</v>
      </c>
      <c r="I90" s="12" t="s">
        <v>32</v>
      </c>
      <c r="J90" s="10" t="n">
        <v>1329372</v>
      </c>
      <c r="L90" s="10" t="n">
        <v>5204</v>
      </c>
      <c r="M90" s="12" t="s">
        <v>33</v>
      </c>
      <c r="N90" s="12" t="s">
        <v>34</v>
      </c>
      <c r="P90" s="10" t="n">
        <v>104</v>
      </c>
      <c r="Q90" s="12" t="s">
        <v>50</v>
      </c>
      <c r="R90" s="12" t="s">
        <v>36</v>
      </c>
      <c r="S90" s="10" t="n">
        <v>1130101</v>
      </c>
      <c r="T90" s="12" t="s">
        <v>37</v>
      </c>
      <c r="U90" s="13" t="n">
        <v>280</v>
      </c>
      <c r="W90" s="13" t="n">
        <v>280</v>
      </c>
      <c r="X90" s="12" t="s">
        <v>195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46203</v>
      </c>
      <c r="C91" s="11" t="n">
        <v>46203</v>
      </c>
      <c r="D91" s="10" t="n">
        <v>33</v>
      </c>
      <c r="E91" s="12" t="s">
        <v>64</v>
      </c>
      <c r="F91" s="10" t="n">
        <v>13</v>
      </c>
      <c r="G91" s="12" t="s">
        <v>55</v>
      </c>
      <c r="H91" s="10" t="n">
        <v>2110101</v>
      </c>
      <c r="I91" s="12" t="s">
        <v>32</v>
      </c>
      <c r="J91" s="10" t="n">
        <v>1329846</v>
      </c>
      <c r="L91" s="10" t="n">
        <v>5213</v>
      </c>
      <c r="M91" s="12" t="s">
        <v>33</v>
      </c>
      <c r="N91" s="12" t="s">
        <v>34</v>
      </c>
      <c r="P91" s="10" t="n">
        <v>104</v>
      </c>
      <c r="Q91" s="12" t="s">
        <v>50</v>
      </c>
      <c r="R91" s="12" t="s">
        <v>36</v>
      </c>
      <c r="S91" s="10" t="n">
        <v>1130101</v>
      </c>
      <c r="T91" s="12" t="s">
        <v>37</v>
      </c>
      <c r="U91" s="13" t="n">
        <v>266</v>
      </c>
      <c r="W91" s="13" t="n">
        <v>266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46203</v>
      </c>
      <c r="C92" s="11" t="n">
        <v>46203</v>
      </c>
      <c r="D92" s="10" t="n">
        <v>33</v>
      </c>
      <c r="E92" s="12" t="s">
        <v>64</v>
      </c>
      <c r="F92" s="10" t="n">
        <v>13</v>
      </c>
      <c r="G92" s="12" t="s">
        <v>55</v>
      </c>
      <c r="H92" s="10" t="n">
        <v>2110101</v>
      </c>
      <c r="I92" s="12" t="s">
        <v>32</v>
      </c>
      <c r="J92" s="10" t="n">
        <v>1330289</v>
      </c>
      <c r="L92" s="10" t="n">
        <v>5215</v>
      </c>
      <c r="M92" s="12" t="s">
        <v>33</v>
      </c>
      <c r="N92" s="12" t="s">
        <v>34</v>
      </c>
      <c r="P92" s="10" t="n">
        <v>104</v>
      </c>
      <c r="Q92" s="12" t="s">
        <v>50</v>
      </c>
      <c r="R92" s="12" t="s">
        <v>36</v>
      </c>
      <c r="S92" s="10" t="n">
        <v>1130101</v>
      </c>
      <c r="T92" s="12" t="s">
        <v>37</v>
      </c>
      <c r="U92" s="13" t="n">
        <v>420</v>
      </c>
      <c r="W92" s="13" t="n">
        <v>420</v>
      </c>
      <c r="X92" s="12" t="s">
        <v>195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46203</v>
      </c>
      <c r="C93" s="11" t="n">
        <v>46203</v>
      </c>
      <c r="D93" s="10" t="n">
        <v>33</v>
      </c>
      <c r="E93" s="12" t="s">
        <v>64</v>
      </c>
      <c r="F93" s="10" t="n">
        <v>34</v>
      </c>
      <c r="G93" s="12" t="s">
        <v>49</v>
      </c>
      <c r="H93" s="10" t="n">
        <v>2110101</v>
      </c>
      <c r="I93" s="12" t="s">
        <v>32</v>
      </c>
      <c r="J93" s="10" t="n">
        <v>1330575</v>
      </c>
      <c r="L93" s="10" t="n">
        <v>5219</v>
      </c>
      <c r="M93" s="12" t="s">
        <v>33</v>
      </c>
      <c r="N93" s="12" t="s">
        <v>34</v>
      </c>
      <c r="P93" s="10" t="n">
        <v>104</v>
      </c>
      <c r="Q93" s="12" t="s">
        <v>50</v>
      </c>
      <c r="R93" s="12" t="s">
        <v>36</v>
      </c>
      <c r="S93" s="10" t="n">
        <v>1130101</v>
      </c>
      <c r="T93" s="12" t="s">
        <v>37</v>
      </c>
      <c r="U93" s="13" t="n">
        <v>2907.29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46183</v>
      </c>
      <c r="C94" s="11" t="n">
        <v>46203</v>
      </c>
      <c r="D94" s="10" t="n">
        <v>1697</v>
      </c>
      <c r="E94" s="12" t="s">
        <v>196</v>
      </c>
      <c r="F94" s="10" t="n">
        <v>24</v>
      </c>
      <c r="G94" s="12" t="s">
        <v>31</v>
      </c>
      <c r="H94" s="10" t="n">
        <v>2110102</v>
      </c>
      <c r="I94" s="12" t="s">
        <v>197</v>
      </c>
      <c r="J94" s="10" t="n">
        <v>1231622</v>
      </c>
      <c r="L94" s="10" t="n">
        <v>207140</v>
      </c>
      <c r="M94" s="12" t="s">
        <v>76</v>
      </c>
      <c r="N94" s="12" t="s">
        <v>34</v>
      </c>
      <c r="P94" s="10" t="n">
        <v>103</v>
      </c>
      <c r="Q94" s="12" t="s">
        <v>35</v>
      </c>
      <c r="R94" s="12" t="s">
        <v>94</v>
      </c>
      <c r="S94" s="10" t="n">
        <v>4210204</v>
      </c>
      <c r="T94" s="12" t="s">
        <v>198</v>
      </c>
      <c r="U94" s="13" t="n">
        <v>622.46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46197</v>
      </c>
      <c r="C95" s="11" t="n">
        <v>46203</v>
      </c>
      <c r="D95" s="10" t="n">
        <v>1807</v>
      </c>
      <c r="E95" s="12" t="s">
        <v>200</v>
      </c>
      <c r="F95" s="10" t="n">
        <v>24</v>
      </c>
      <c r="G95" s="12" t="s">
        <v>31</v>
      </c>
      <c r="H95" s="10" t="n">
        <v>2110405</v>
      </c>
      <c r="I95" s="12" t="s">
        <v>153</v>
      </c>
      <c r="J95" s="10" t="n">
        <v>1299935</v>
      </c>
      <c r="L95" s="10" t="n">
        <v>538243</v>
      </c>
      <c r="M95" s="12" t="s">
        <v>33</v>
      </c>
      <c r="N95" s="12" t="s">
        <v>66</v>
      </c>
      <c r="P95" s="10" t="n">
        <v>101</v>
      </c>
      <c r="Q95" s="12" t="s">
        <v>84</v>
      </c>
      <c r="R95" s="12" t="s">
        <v>201</v>
      </c>
      <c r="S95" s="10" t="n">
        <v>2110704</v>
      </c>
      <c r="T95" s="12" t="s">
        <v>202</v>
      </c>
      <c r="U95" s="13" t="n">
        <v>972.76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46197</v>
      </c>
      <c r="C96" s="11" t="n">
        <v>46203</v>
      </c>
      <c r="D96" s="10" t="n">
        <v>1807</v>
      </c>
      <c r="E96" s="12" t="s">
        <v>200</v>
      </c>
      <c r="F96" s="10" t="n">
        <v>24</v>
      </c>
      <c r="G96" s="12" t="s">
        <v>31</v>
      </c>
      <c r="H96" s="10" t="n">
        <v>2110405</v>
      </c>
      <c r="I96" s="12" t="s">
        <v>153</v>
      </c>
      <c r="J96" s="10" t="n">
        <v>1299945</v>
      </c>
      <c r="L96" s="10" t="n">
        <v>538245</v>
      </c>
      <c r="M96" s="12" t="s">
        <v>33</v>
      </c>
      <c r="N96" s="12" t="s">
        <v>66</v>
      </c>
      <c r="P96" s="10" t="n">
        <v>101</v>
      </c>
      <c r="Q96" s="12" t="s">
        <v>84</v>
      </c>
      <c r="R96" s="12" t="s">
        <v>204</v>
      </c>
      <c r="S96" s="10" t="n">
        <v>4310102</v>
      </c>
      <c r="T96" s="12" t="s">
        <v>205</v>
      </c>
      <c r="U96" s="13" t="n">
        <v>583.66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Impostos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46197</v>
      </c>
      <c r="C97" s="11" t="n">
        <v>46203</v>
      </c>
      <c r="D97" s="10" t="n">
        <v>754</v>
      </c>
      <c r="E97" s="12" t="s">
        <v>68</v>
      </c>
      <c r="F97" s="10" t="n">
        <v>24</v>
      </c>
      <c r="G97" s="12" t="s">
        <v>31</v>
      </c>
      <c r="H97" s="10" t="n">
        <v>2110101</v>
      </c>
      <c r="I97" s="12" t="s">
        <v>32</v>
      </c>
      <c r="J97" s="10" t="n">
        <v>1300974</v>
      </c>
      <c r="L97" s="10" t="n">
        <v>31315</v>
      </c>
      <c r="M97" s="12" t="s">
        <v>33</v>
      </c>
      <c r="N97" s="12" t="s">
        <v>34</v>
      </c>
      <c r="P97" s="10" t="n">
        <v>103</v>
      </c>
      <c r="Q97" s="12" t="s">
        <v>35</v>
      </c>
      <c r="R97" s="12" t="s">
        <v>36</v>
      </c>
      <c r="S97" s="10" t="n">
        <v>1130101</v>
      </c>
      <c r="T97" s="12" t="s">
        <v>37</v>
      </c>
      <c r="U97" s="13" t="n">
        <v>3075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46197</v>
      </c>
      <c r="C98" s="11" t="n">
        <v>46203</v>
      </c>
      <c r="D98" s="10" t="n">
        <v>1794</v>
      </c>
      <c r="E98" s="12" t="s">
        <v>208</v>
      </c>
      <c r="F98" s="10" t="n">
        <v>24</v>
      </c>
      <c r="G98" s="12" t="s">
        <v>31</v>
      </c>
      <c r="H98" s="10" t="n">
        <v>2110405</v>
      </c>
      <c r="I98" s="12" t="s">
        <v>153</v>
      </c>
      <c r="J98" s="10" t="n">
        <v>1299960</v>
      </c>
      <c r="L98" s="10" t="n">
        <v>538251</v>
      </c>
      <c r="M98" s="12" t="s">
        <v>33</v>
      </c>
      <c r="N98" s="12" t="s">
        <v>66</v>
      </c>
      <c r="P98" s="10" t="n">
        <v>101</v>
      </c>
      <c r="Q98" s="12" t="s">
        <v>84</v>
      </c>
      <c r="R98" s="12" t="s">
        <v>201</v>
      </c>
      <c r="S98" s="10" t="n">
        <v>2110707</v>
      </c>
      <c r="T98" s="12" t="s">
        <v>209</v>
      </c>
      <c r="U98" s="13" t="n">
        <v>1379.84</v>
      </c>
      <c r="W98" s="13" t="n">
        <v>0</v>
      </c>
      <c r="X98" s="12" t="s">
        <v>210</v>
      </c>
      <c r="Z98" s="1" t="str">
        <f aca="false">IF($T98="","",IFERROR(INDEX('Resumo Grupos'!$AC$3:$AC$200,MATCH($T98,'Resumo Grupos'!$AB$3:$AB$200,0)),"n/d"))</f>
        <v>Impostos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46196</v>
      </c>
      <c r="C99" s="11" t="n">
        <v>46203</v>
      </c>
      <c r="D99" s="10" t="n">
        <v>1666</v>
      </c>
      <c r="E99" s="12" t="s">
        <v>139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1293782</v>
      </c>
      <c r="L99" s="10" t="n">
        <v>564351</v>
      </c>
      <c r="M99" s="12" t="s">
        <v>33</v>
      </c>
      <c r="N99" s="12" t="s">
        <v>34</v>
      </c>
      <c r="P99" s="10" t="n">
        <v>103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7746.67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46184</v>
      </c>
      <c r="C100" s="11" t="n">
        <v>46203</v>
      </c>
      <c r="D100" s="10" t="n">
        <v>1745</v>
      </c>
      <c r="E100" s="12" t="s">
        <v>212</v>
      </c>
      <c r="F100" s="10" t="n">
        <v>24</v>
      </c>
      <c r="G100" s="12" t="s">
        <v>31</v>
      </c>
      <c r="H100" s="10" t="n">
        <v>2110101</v>
      </c>
      <c r="I100" s="12" t="s">
        <v>32</v>
      </c>
      <c r="J100" s="10" t="n">
        <v>1236138</v>
      </c>
      <c r="L100" s="10" t="n">
        <v>346214</v>
      </c>
      <c r="M100" s="12" t="s">
        <v>76</v>
      </c>
      <c r="N100" s="12" t="s">
        <v>34</v>
      </c>
      <c r="P100" s="10" t="n">
        <v>103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1199.99</v>
      </c>
      <c r="W100" s="13" t="n">
        <v>0</v>
      </c>
      <c r="X100" s="12" t="s">
        <v>213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46183</v>
      </c>
      <c r="C101" s="11" t="n">
        <v>46203</v>
      </c>
      <c r="D101" s="10" t="n">
        <v>1402</v>
      </c>
      <c r="E101" s="12" t="s">
        <v>214</v>
      </c>
      <c r="F101" s="10" t="n">
        <v>24</v>
      </c>
      <c r="G101" s="12" t="s">
        <v>31</v>
      </c>
      <c r="H101" s="10" t="n">
        <v>2110102</v>
      </c>
      <c r="I101" s="12" t="s">
        <v>197</v>
      </c>
      <c r="J101" s="10" t="n">
        <v>1231605</v>
      </c>
      <c r="L101" s="10" t="n">
        <v>3245</v>
      </c>
      <c r="M101" s="12" t="s">
        <v>33</v>
      </c>
      <c r="N101" s="12" t="s">
        <v>34</v>
      </c>
      <c r="P101" s="10" t="n">
        <v>103</v>
      </c>
      <c r="Q101" s="12" t="s">
        <v>35</v>
      </c>
      <c r="R101" s="12" t="s">
        <v>94</v>
      </c>
      <c r="S101" s="10" t="n">
        <v>4210204</v>
      </c>
      <c r="T101" s="12" t="s">
        <v>198</v>
      </c>
      <c r="U101" s="13" t="n">
        <v>1524.18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46199</v>
      </c>
      <c r="C102" s="11" t="n">
        <v>46203</v>
      </c>
      <c r="D102" s="10" t="n">
        <v>1286</v>
      </c>
      <c r="E102" s="12" t="s">
        <v>216</v>
      </c>
      <c r="F102" s="10" t="n">
        <v>24</v>
      </c>
      <c r="G102" s="12" t="s">
        <v>31</v>
      </c>
      <c r="H102" s="10" t="n">
        <v>2110101</v>
      </c>
      <c r="I102" s="12" t="s">
        <v>32</v>
      </c>
      <c r="J102" s="10" t="n">
        <v>1308949</v>
      </c>
      <c r="L102" s="10" t="n">
        <v>10158</v>
      </c>
      <c r="M102" s="12" t="s">
        <v>33</v>
      </c>
      <c r="N102" s="12" t="s">
        <v>34</v>
      </c>
      <c r="P102" s="10" t="n">
        <v>103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1026</v>
      </c>
      <c r="W102" s="13" t="n">
        <v>0</v>
      </c>
      <c r="X102" s="12" t="s">
        <v>217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46174</v>
      </c>
      <c r="C103" s="11" t="n">
        <v>46203</v>
      </c>
      <c r="D103" s="10" t="n">
        <v>1316</v>
      </c>
      <c r="E103" s="12" t="s">
        <v>218</v>
      </c>
      <c r="F103" s="10" t="n">
        <v>34</v>
      </c>
      <c r="G103" s="12" t="s">
        <v>49</v>
      </c>
      <c r="H103" s="10" t="n">
        <v>2110101</v>
      </c>
      <c r="I103" s="12" t="s">
        <v>32</v>
      </c>
      <c r="J103" s="10" t="n">
        <v>1189192</v>
      </c>
      <c r="L103" s="10" t="n">
        <v>3454</v>
      </c>
      <c r="M103" s="12" t="s">
        <v>33</v>
      </c>
      <c r="N103" s="12" t="s">
        <v>34</v>
      </c>
      <c r="P103" s="10" t="n">
        <v>104</v>
      </c>
      <c r="Q103" s="12" t="s">
        <v>50</v>
      </c>
      <c r="R103" s="12" t="s">
        <v>36</v>
      </c>
      <c r="S103" s="10" t="n">
        <v>1130101</v>
      </c>
      <c r="T103" s="12" t="s">
        <v>37</v>
      </c>
      <c r="U103" s="13" t="n">
        <v>105</v>
      </c>
      <c r="W103" s="13" t="n">
        <v>0</v>
      </c>
      <c r="X103" s="12" t="s">
        <v>219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46176</v>
      </c>
      <c r="C104" s="11" t="n">
        <v>46203</v>
      </c>
      <c r="D104" s="10" t="n">
        <v>1316</v>
      </c>
      <c r="E104" s="12" t="s">
        <v>218</v>
      </c>
      <c r="F104" s="10" t="n">
        <v>34</v>
      </c>
      <c r="G104" s="12" t="s">
        <v>49</v>
      </c>
      <c r="H104" s="10" t="n">
        <v>2110101</v>
      </c>
      <c r="I104" s="12" t="s">
        <v>32</v>
      </c>
      <c r="J104" s="10" t="n">
        <v>1228315</v>
      </c>
      <c r="L104" s="10" t="n">
        <v>3477</v>
      </c>
      <c r="M104" s="12" t="s">
        <v>33</v>
      </c>
      <c r="N104" s="12" t="s">
        <v>34</v>
      </c>
      <c r="P104" s="10" t="n">
        <v>104</v>
      </c>
      <c r="Q104" s="12" t="s">
        <v>50</v>
      </c>
      <c r="R104" s="12" t="s">
        <v>36</v>
      </c>
      <c r="S104" s="10" t="n">
        <v>1130101</v>
      </c>
      <c r="T104" s="12" t="s">
        <v>37</v>
      </c>
      <c r="U104" s="13" t="n">
        <v>52.5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46179</v>
      </c>
      <c r="C105" s="11" t="n">
        <v>46203</v>
      </c>
      <c r="D105" s="10" t="n">
        <v>1316</v>
      </c>
      <c r="E105" s="12" t="s">
        <v>218</v>
      </c>
      <c r="F105" s="10" t="n">
        <v>34</v>
      </c>
      <c r="G105" s="12" t="s">
        <v>49</v>
      </c>
      <c r="H105" s="10" t="n">
        <v>2110101</v>
      </c>
      <c r="I105" s="12" t="s">
        <v>32</v>
      </c>
      <c r="J105" s="10" t="n">
        <v>1228489</v>
      </c>
      <c r="L105" s="10" t="n">
        <v>3504</v>
      </c>
      <c r="M105" s="12" t="s">
        <v>33</v>
      </c>
      <c r="N105" s="12" t="s">
        <v>34</v>
      </c>
      <c r="P105" s="10" t="n">
        <v>104</v>
      </c>
      <c r="Q105" s="12" t="s">
        <v>50</v>
      </c>
      <c r="R105" s="12" t="s">
        <v>36</v>
      </c>
      <c r="S105" s="10" t="n">
        <v>1130101</v>
      </c>
      <c r="T105" s="12" t="s">
        <v>37</v>
      </c>
      <c r="U105" s="13" t="n">
        <v>140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46181</v>
      </c>
      <c r="C106" s="11" t="n">
        <v>46203</v>
      </c>
      <c r="D106" s="10" t="n">
        <v>1316</v>
      </c>
      <c r="E106" s="12" t="s">
        <v>218</v>
      </c>
      <c r="F106" s="10" t="n">
        <v>34</v>
      </c>
      <c r="G106" s="12" t="s">
        <v>49</v>
      </c>
      <c r="H106" s="10" t="n">
        <v>2110101</v>
      </c>
      <c r="I106" s="12" t="s">
        <v>32</v>
      </c>
      <c r="J106" s="10" t="n">
        <v>1230677</v>
      </c>
      <c r="L106" s="10" t="n">
        <v>3515</v>
      </c>
      <c r="M106" s="12" t="s">
        <v>33</v>
      </c>
      <c r="N106" s="12" t="s">
        <v>34</v>
      </c>
      <c r="P106" s="10" t="n">
        <v>104</v>
      </c>
      <c r="Q106" s="12" t="s">
        <v>50</v>
      </c>
      <c r="R106" s="12" t="s">
        <v>36</v>
      </c>
      <c r="S106" s="10" t="n">
        <v>1130101</v>
      </c>
      <c r="T106" s="12" t="s">
        <v>37</v>
      </c>
      <c r="U106" s="13" t="n">
        <v>105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46186</v>
      </c>
      <c r="C107" s="11" t="n">
        <v>46203</v>
      </c>
      <c r="D107" s="10" t="n">
        <v>1316</v>
      </c>
      <c r="E107" s="12" t="s">
        <v>218</v>
      </c>
      <c r="F107" s="10" t="n">
        <v>34</v>
      </c>
      <c r="G107" s="12" t="s">
        <v>49</v>
      </c>
      <c r="H107" s="10" t="n">
        <v>2110101</v>
      </c>
      <c r="I107" s="12" t="s">
        <v>32</v>
      </c>
      <c r="J107" s="10" t="n">
        <v>1261307</v>
      </c>
      <c r="L107" s="10" t="n">
        <v>3555</v>
      </c>
      <c r="M107" s="12" t="s">
        <v>33</v>
      </c>
      <c r="N107" s="12" t="s">
        <v>34</v>
      </c>
      <c r="P107" s="10" t="n">
        <v>104</v>
      </c>
      <c r="Q107" s="12" t="s">
        <v>50</v>
      </c>
      <c r="R107" s="12" t="s">
        <v>36</v>
      </c>
      <c r="S107" s="10" t="n">
        <v>1130101</v>
      </c>
      <c r="T107" s="12" t="s">
        <v>37</v>
      </c>
      <c r="U107" s="13" t="n">
        <v>87.5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46184</v>
      </c>
      <c r="C108" s="11" t="n">
        <v>46203</v>
      </c>
      <c r="D108" s="10" t="n">
        <v>1316</v>
      </c>
      <c r="E108" s="12" t="s">
        <v>218</v>
      </c>
      <c r="F108" s="10" t="n">
        <v>34</v>
      </c>
      <c r="G108" s="12" t="s">
        <v>49</v>
      </c>
      <c r="H108" s="10" t="n">
        <v>2110101</v>
      </c>
      <c r="I108" s="12" t="s">
        <v>32</v>
      </c>
      <c r="J108" s="10" t="n">
        <v>1261327</v>
      </c>
      <c r="L108" s="10" t="n">
        <v>3538</v>
      </c>
      <c r="M108" s="12" t="s">
        <v>33</v>
      </c>
      <c r="N108" s="12" t="s">
        <v>34</v>
      </c>
      <c r="P108" s="10" t="n">
        <v>104</v>
      </c>
      <c r="Q108" s="12" t="s">
        <v>50</v>
      </c>
      <c r="R108" s="12" t="s">
        <v>36</v>
      </c>
      <c r="S108" s="10" t="n">
        <v>1130101</v>
      </c>
      <c r="T108" s="12" t="s">
        <v>37</v>
      </c>
      <c r="U108" s="13" t="n">
        <v>105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46198</v>
      </c>
      <c r="C109" s="11" t="n">
        <v>46203</v>
      </c>
      <c r="D109" s="10" t="n">
        <v>1316</v>
      </c>
      <c r="E109" s="12" t="s">
        <v>218</v>
      </c>
      <c r="F109" s="10" t="n">
        <v>34</v>
      </c>
      <c r="G109" s="12" t="s">
        <v>49</v>
      </c>
      <c r="H109" s="10" t="n">
        <v>2110101</v>
      </c>
      <c r="I109" s="12" t="s">
        <v>32</v>
      </c>
      <c r="J109" s="10" t="n">
        <v>1309149</v>
      </c>
      <c r="L109" s="10" t="n">
        <v>3650</v>
      </c>
      <c r="M109" s="12" t="s">
        <v>33</v>
      </c>
      <c r="N109" s="12" t="s">
        <v>34</v>
      </c>
      <c r="P109" s="10" t="n">
        <v>104</v>
      </c>
      <c r="Q109" s="12" t="s">
        <v>50</v>
      </c>
      <c r="R109" s="12" t="s">
        <v>36</v>
      </c>
      <c r="S109" s="10" t="n">
        <v>1130101</v>
      </c>
      <c r="T109" s="12" t="s">
        <v>37</v>
      </c>
      <c r="U109" s="13" t="n">
        <v>135</v>
      </c>
      <c r="W109" s="13" t="n">
        <v>0</v>
      </c>
      <c r="X109" s="12" t="s">
        <v>225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46190</v>
      </c>
      <c r="C110" s="11" t="n">
        <v>46203</v>
      </c>
      <c r="D110" s="10" t="n">
        <v>1316</v>
      </c>
      <c r="E110" s="12" t="s">
        <v>218</v>
      </c>
      <c r="F110" s="10" t="n">
        <v>34</v>
      </c>
      <c r="G110" s="12" t="s">
        <v>49</v>
      </c>
      <c r="H110" s="10" t="n">
        <v>2110101</v>
      </c>
      <c r="I110" s="12" t="s">
        <v>32</v>
      </c>
      <c r="J110" s="10" t="n">
        <v>1309173</v>
      </c>
      <c r="L110" s="10" t="n">
        <v>3582</v>
      </c>
      <c r="M110" s="12" t="s">
        <v>33</v>
      </c>
      <c r="N110" s="12" t="s">
        <v>34</v>
      </c>
      <c r="P110" s="10" t="n">
        <v>104</v>
      </c>
      <c r="Q110" s="12" t="s">
        <v>50</v>
      </c>
      <c r="R110" s="12" t="s">
        <v>36</v>
      </c>
      <c r="S110" s="10" t="n">
        <v>1130101</v>
      </c>
      <c r="T110" s="12" t="s">
        <v>37</v>
      </c>
      <c r="U110" s="13" t="n">
        <v>90</v>
      </c>
      <c r="W110" s="13" t="n">
        <v>0</v>
      </c>
      <c r="X110" s="12" t="s">
        <v>226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46195</v>
      </c>
      <c r="C111" s="11" t="n">
        <v>46203</v>
      </c>
      <c r="D111" s="10" t="n">
        <v>1316</v>
      </c>
      <c r="E111" s="12" t="s">
        <v>218</v>
      </c>
      <c r="F111" s="10" t="n">
        <v>34</v>
      </c>
      <c r="G111" s="12" t="s">
        <v>49</v>
      </c>
      <c r="H111" s="10" t="n">
        <v>2110101</v>
      </c>
      <c r="I111" s="12" t="s">
        <v>32</v>
      </c>
      <c r="J111" s="10" t="n">
        <v>1309210</v>
      </c>
      <c r="L111" s="10" t="n">
        <v>3630</v>
      </c>
      <c r="M111" s="12" t="s">
        <v>33</v>
      </c>
      <c r="N111" s="12" t="s">
        <v>34</v>
      </c>
      <c r="P111" s="10" t="n">
        <v>104</v>
      </c>
      <c r="Q111" s="12" t="s">
        <v>50</v>
      </c>
      <c r="R111" s="12" t="s">
        <v>36</v>
      </c>
      <c r="S111" s="10" t="n">
        <v>1130101</v>
      </c>
      <c r="T111" s="12" t="s">
        <v>37</v>
      </c>
      <c r="U111" s="13" t="n">
        <v>135</v>
      </c>
      <c r="W111" s="13" t="n">
        <v>0</v>
      </c>
      <c r="X111" s="12" t="s">
        <v>227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46199</v>
      </c>
      <c r="C112" s="11" t="n">
        <v>46203</v>
      </c>
      <c r="D112" s="10" t="n">
        <v>1316</v>
      </c>
      <c r="E112" s="12" t="s">
        <v>218</v>
      </c>
      <c r="F112" s="10" t="n">
        <v>34</v>
      </c>
      <c r="G112" s="12" t="s">
        <v>49</v>
      </c>
      <c r="H112" s="10" t="n">
        <v>2110101</v>
      </c>
      <c r="I112" s="12" t="s">
        <v>32</v>
      </c>
      <c r="J112" s="10" t="n">
        <v>1309780</v>
      </c>
      <c r="L112" s="10" t="n">
        <v>3668</v>
      </c>
      <c r="M112" s="12" t="s">
        <v>33</v>
      </c>
      <c r="N112" s="12" t="s">
        <v>34</v>
      </c>
      <c r="P112" s="10" t="n">
        <v>104</v>
      </c>
      <c r="Q112" s="12" t="s">
        <v>50</v>
      </c>
      <c r="R112" s="12" t="s">
        <v>36</v>
      </c>
      <c r="S112" s="10" t="n">
        <v>1130101</v>
      </c>
      <c r="T112" s="12" t="s">
        <v>37</v>
      </c>
      <c r="U112" s="13" t="n">
        <v>90</v>
      </c>
      <c r="W112" s="13" t="n">
        <v>0</v>
      </c>
      <c r="X112" s="12" t="s">
        <v>228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46200</v>
      </c>
      <c r="C113" s="11" t="n">
        <v>46203</v>
      </c>
      <c r="D113" s="10" t="n">
        <v>1316</v>
      </c>
      <c r="E113" s="12" t="s">
        <v>218</v>
      </c>
      <c r="F113" s="10" t="n">
        <v>34</v>
      </c>
      <c r="G113" s="12" t="s">
        <v>49</v>
      </c>
      <c r="H113" s="10" t="n">
        <v>2110101</v>
      </c>
      <c r="I113" s="12" t="s">
        <v>32</v>
      </c>
      <c r="J113" s="10" t="n">
        <v>1313009</v>
      </c>
      <c r="L113" s="10" t="n">
        <v>3680</v>
      </c>
      <c r="M113" s="12" t="s">
        <v>33</v>
      </c>
      <c r="N113" s="12" t="s">
        <v>34</v>
      </c>
      <c r="P113" s="10" t="n">
        <v>104</v>
      </c>
      <c r="Q113" s="12" t="s">
        <v>50</v>
      </c>
      <c r="R113" s="12" t="s">
        <v>36</v>
      </c>
      <c r="S113" s="10" t="n">
        <v>1130101</v>
      </c>
      <c r="T113" s="12" t="s">
        <v>37</v>
      </c>
      <c r="U113" s="13" t="n">
        <v>200</v>
      </c>
      <c r="W113" s="13" t="n">
        <v>0</v>
      </c>
      <c r="X113" s="12" t="s">
        <v>229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46203</v>
      </c>
      <c r="C114" s="11" t="n">
        <v>46203</v>
      </c>
      <c r="D114" s="10" t="n">
        <v>1316</v>
      </c>
      <c r="E114" s="12" t="s">
        <v>218</v>
      </c>
      <c r="F114" s="10" t="n">
        <v>34</v>
      </c>
      <c r="G114" s="12" t="s">
        <v>49</v>
      </c>
      <c r="H114" s="10" t="n">
        <v>2110101</v>
      </c>
      <c r="I114" s="12" t="s">
        <v>32</v>
      </c>
      <c r="J114" s="10" t="n">
        <v>1331159</v>
      </c>
      <c r="L114" s="10" t="n">
        <v>3700</v>
      </c>
      <c r="M114" s="12" t="s">
        <v>33</v>
      </c>
      <c r="N114" s="12" t="s">
        <v>34</v>
      </c>
      <c r="P114" s="10" t="n">
        <v>104</v>
      </c>
      <c r="Q114" s="12" t="s">
        <v>50</v>
      </c>
      <c r="R114" s="12" t="s">
        <v>36</v>
      </c>
      <c r="S114" s="10" t="n">
        <v>1130101</v>
      </c>
      <c r="T114" s="12" t="s">
        <v>37</v>
      </c>
      <c r="U114" s="13" t="n">
        <v>120</v>
      </c>
      <c r="W114" s="13" t="n">
        <v>0</v>
      </c>
      <c r="X114" s="12" t="s">
        <v>230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46198</v>
      </c>
      <c r="C115" s="11" t="n">
        <v>46204</v>
      </c>
      <c r="D115" s="10" t="n">
        <v>1712</v>
      </c>
      <c r="E115" s="12" t="s">
        <v>231</v>
      </c>
      <c r="F115" s="10" t="n">
        <v>24</v>
      </c>
      <c r="G115" s="12" t="s">
        <v>31</v>
      </c>
      <c r="H115" s="10" t="n">
        <v>2110101</v>
      </c>
      <c r="I115" s="12" t="s">
        <v>32</v>
      </c>
      <c r="J115" s="10" t="n">
        <v>1306051</v>
      </c>
      <c r="L115" s="10" t="n">
        <v>28698</v>
      </c>
      <c r="M115" s="12" t="s">
        <v>33</v>
      </c>
      <c r="N115" s="12" t="s">
        <v>34</v>
      </c>
      <c r="P115" s="10" t="n">
        <v>103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637.12</v>
      </c>
      <c r="W115" s="13" t="n">
        <v>0</v>
      </c>
      <c r="X115" s="12" t="s">
        <v>232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46182</v>
      </c>
      <c r="C116" s="11" t="n">
        <v>46204</v>
      </c>
      <c r="D116" s="10" t="n">
        <v>1664</v>
      </c>
      <c r="E116" s="12" t="s">
        <v>233</v>
      </c>
      <c r="F116" s="10" t="n">
        <v>24</v>
      </c>
      <c r="G116" s="12" t="s">
        <v>31</v>
      </c>
      <c r="H116" s="10" t="n">
        <v>2110101</v>
      </c>
      <c r="I116" s="12" t="s">
        <v>32</v>
      </c>
      <c r="J116" s="10" t="n">
        <v>1227598</v>
      </c>
      <c r="L116" s="10" t="n">
        <v>76652</v>
      </c>
      <c r="M116" s="12" t="s">
        <v>33</v>
      </c>
      <c r="N116" s="12" t="s">
        <v>34</v>
      </c>
      <c r="P116" s="10" t="n">
        <v>103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1143.6</v>
      </c>
      <c r="W116" s="13" t="n">
        <v>0</v>
      </c>
      <c r="X116" s="12" t="s">
        <v>234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46188</v>
      </c>
      <c r="C117" s="11" t="n">
        <v>46204</v>
      </c>
      <c r="D117" s="10" t="n">
        <v>1637</v>
      </c>
      <c r="E117" s="12" t="s">
        <v>97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1255915</v>
      </c>
      <c r="L117" s="10" t="n">
        <v>1890181</v>
      </c>
      <c r="M117" s="12" t="s">
        <v>33</v>
      </c>
      <c r="N117" s="12" t="s">
        <v>34</v>
      </c>
      <c r="P117" s="10" t="n">
        <v>103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1759.06</v>
      </c>
      <c r="W117" s="13" t="n">
        <v>0</v>
      </c>
      <c r="X117" s="12" t="s">
        <v>235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46189</v>
      </c>
      <c r="C118" s="11" t="n">
        <v>46204</v>
      </c>
      <c r="D118" s="10" t="n">
        <v>1613</v>
      </c>
      <c r="E118" s="12" t="s">
        <v>71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1260864</v>
      </c>
      <c r="L118" s="10" t="n">
        <v>1595987</v>
      </c>
      <c r="M118" s="12" t="s">
        <v>76</v>
      </c>
      <c r="N118" s="12" t="s">
        <v>34</v>
      </c>
      <c r="P118" s="10" t="n">
        <v>103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5942.06</v>
      </c>
      <c r="W118" s="13" t="n">
        <v>0</v>
      </c>
      <c r="X118" s="12" t="s">
        <v>236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46195</v>
      </c>
      <c r="C119" s="11" t="n">
        <v>46204</v>
      </c>
      <c r="D119" s="10" t="n">
        <v>1613</v>
      </c>
      <c r="E119" s="12" t="s">
        <v>71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1290083</v>
      </c>
      <c r="L119" s="10" t="n">
        <v>1598766</v>
      </c>
      <c r="M119" s="12" t="s">
        <v>33</v>
      </c>
      <c r="N119" s="12" t="s">
        <v>34</v>
      </c>
      <c r="P119" s="10" t="n">
        <v>103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3813.46</v>
      </c>
      <c r="W119" s="13" t="n">
        <v>0</v>
      </c>
      <c r="X119" s="12" t="s">
        <v>237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46202</v>
      </c>
      <c r="C120" s="11" t="n">
        <v>46204</v>
      </c>
      <c r="D120" s="10" t="n">
        <v>1614</v>
      </c>
      <c r="E120" s="12" t="s">
        <v>99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1321750</v>
      </c>
      <c r="L120" s="10" t="n">
        <v>11328</v>
      </c>
      <c r="M120" s="12" t="s">
        <v>33</v>
      </c>
      <c r="N120" s="12" t="s">
        <v>34</v>
      </c>
      <c r="P120" s="10" t="n">
        <v>103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527.42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46195</v>
      </c>
      <c r="C121" s="11" t="n">
        <v>46204</v>
      </c>
      <c r="D121" s="10" t="n">
        <v>1792</v>
      </c>
      <c r="E121" s="12" t="s">
        <v>239</v>
      </c>
      <c r="F121" s="10" t="n">
        <v>24</v>
      </c>
      <c r="G121" s="12" t="s">
        <v>31</v>
      </c>
      <c r="H121" s="10" t="n">
        <v>2110405</v>
      </c>
      <c r="I121" s="12" t="s">
        <v>153</v>
      </c>
      <c r="J121" s="10" t="n">
        <v>1290181</v>
      </c>
      <c r="L121" s="10" t="n">
        <v>534713</v>
      </c>
      <c r="M121" s="12" t="s">
        <v>33</v>
      </c>
      <c r="N121" s="12" t="s">
        <v>66</v>
      </c>
      <c r="P121" s="10" t="n">
        <v>101</v>
      </c>
      <c r="Q121" s="12" t="s">
        <v>84</v>
      </c>
      <c r="R121" s="12" t="s">
        <v>240</v>
      </c>
      <c r="S121" s="10" t="n">
        <v>1240203</v>
      </c>
      <c r="T121" s="12" t="s">
        <v>241</v>
      </c>
      <c r="U121" s="13" t="n">
        <v>486.45</v>
      </c>
      <c r="W121" s="13" t="n">
        <v>0</v>
      </c>
      <c r="X121" s="12" t="s">
        <v>242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46191</v>
      </c>
      <c r="C122" s="11" t="n">
        <v>46204</v>
      </c>
      <c r="D122" s="10" t="n">
        <v>1601</v>
      </c>
      <c r="E122" s="12" t="s">
        <v>243</v>
      </c>
      <c r="F122" s="10" t="n">
        <v>24</v>
      </c>
      <c r="G122" s="12" t="s">
        <v>31</v>
      </c>
      <c r="H122" s="10" t="n">
        <v>2110101</v>
      </c>
      <c r="I122" s="12" t="s">
        <v>32</v>
      </c>
      <c r="J122" s="10" t="n">
        <v>1268785</v>
      </c>
      <c r="L122" s="10" t="n">
        <v>844855</v>
      </c>
      <c r="M122" s="12" t="s">
        <v>33</v>
      </c>
      <c r="N122" s="12" t="s">
        <v>34</v>
      </c>
      <c r="P122" s="10" t="n">
        <v>103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985.29</v>
      </c>
      <c r="W122" s="13" t="n">
        <v>0</v>
      </c>
      <c r="X122" s="12" t="s">
        <v>244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46203</v>
      </c>
      <c r="C123" s="11" t="n">
        <v>46204</v>
      </c>
      <c r="D123" s="10" t="n">
        <v>1615</v>
      </c>
      <c r="E123" s="12" t="s">
        <v>48</v>
      </c>
      <c r="F123" s="10" t="n">
        <v>34</v>
      </c>
      <c r="G123" s="12" t="s">
        <v>49</v>
      </c>
      <c r="H123" s="10" t="n">
        <v>2110101</v>
      </c>
      <c r="I123" s="12" t="s">
        <v>32</v>
      </c>
      <c r="J123" s="10" t="n">
        <v>1330809</v>
      </c>
      <c r="L123" s="10" t="n">
        <v>14765</v>
      </c>
      <c r="M123" s="12" t="s">
        <v>33</v>
      </c>
      <c r="N123" s="12" t="s">
        <v>34</v>
      </c>
      <c r="P123" s="10" t="n">
        <v>104</v>
      </c>
      <c r="Q123" s="12" t="s">
        <v>50</v>
      </c>
      <c r="R123" s="12" t="s">
        <v>36</v>
      </c>
      <c r="S123" s="10" t="n">
        <v>1130101</v>
      </c>
      <c r="T123" s="12" t="s">
        <v>37</v>
      </c>
      <c r="U123" s="13" t="n">
        <v>760</v>
      </c>
      <c r="W123" s="13" t="n">
        <v>0</v>
      </c>
      <c r="X123" s="12" t="s">
        <v>245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46199</v>
      </c>
      <c r="C124" s="11" t="n">
        <v>46204</v>
      </c>
      <c r="D124" s="10" t="n">
        <v>1798</v>
      </c>
      <c r="E124" s="12" t="s">
        <v>246</v>
      </c>
      <c r="F124" s="10" t="n">
        <v>24</v>
      </c>
      <c r="G124" s="12" t="s">
        <v>31</v>
      </c>
      <c r="H124" s="10" t="n">
        <v>2110101</v>
      </c>
      <c r="I124" s="12" t="s">
        <v>32</v>
      </c>
      <c r="J124" s="10" t="n">
        <v>1309969</v>
      </c>
      <c r="L124" s="10" t="n">
        <v>831615</v>
      </c>
      <c r="M124" s="12" t="s">
        <v>33</v>
      </c>
      <c r="N124" s="12" t="s">
        <v>34</v>
      </c>
      <c r="P124" s="10" t="n">
        <v>103</v>
      </c>
      <c r="Q124" s="12" t="s">
        <v>35</v>
      </c>
      <c r="R124" s="12" t="s">
        <v>36</v>
      </c>
      <c r="S124" s="10" t="n">
        <v>1130101</v>
      </c>
      <c r="T124" s="12" t="s">
        <v>37</v>
      </c>
      <c r="U124" s="13" t="n">
        <v>1292</v>
      </c>
      <c r="W124" s="13" t="n">
        <v>0</v>
      </c>
      <c r="X124" s="12" t="s">
        <v>247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46184</v>
      </c>
      <c r="C125" s="11" t="n">
        <v>46204</v>
      </c>
      <c r="D125" s="10" t="n">
        <v>1612</v>
      </c>
      <c r="E125" s="12" t="s">
        <v>248</v>
      </c>
      <c r="F125" s="10" t="n">
        <v>24</v>
      </c>
      <c r="G125" s="12" t="s">
        <v>31</v>
      </c>
      <c r="H125" s="10" t="n">
        <v>2110101</v>
      </c>
      <c r="I125" s="12" t="s">
        <v>32</v>
      </c>
      <c r="J125" s="10" t="n">
        <v>1235909</v>
      </c>
      <c r="L125" s="10" t="n">
        <v>2291498</v>
      </c>
      <c r="M125" s="12" t="s">
        <v>76</v>
      </c>
      <c r="N125" s="12" t="s">
        <v>34</v>
      </c>
      <c r="P125" s="10" t="n">
        <v>103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786.1</v>
      </c>
      <c r="W125" s="13" t="n">
        <v>0</v>
      </c>
      <c r="X125" s="12" t="s">
        <v>249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46191</v>
      </c>
      <c r="C126" s="11" t="n">
        <v>46204</v>
      </c>
      <c r="D126" s="10" t="n">
        <v>1626</v>
      </c>
      <c r="E126" s="12" t="s">
        <v>250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1269874</v>
      </c>
      <c r="L126" s="10" t="n">
        <v>309639</v>
      </c>
      <c r="M126" s="12" t="s">
        <v>33</v>
      </c>
      <c r="N126" s="12" t="s">
        <v>34</v>
      </c>
      <c r="P126" s="10" t="n">
        <v>103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722.41</v>
      </c>
      <c r="W126" s="13" t="n">
        <v>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46204</v>
      </c>
      <c r="C127" s="11" t="n">
        <v>46204</v>
      </c>
      <c r="D127" s="10" t="n">
        <v>1137</v>
      </c>
      <c r="E127" s="12" t="s">
        <v>252</v>
      </c>
      <c r="F127" s="10" t="n">
        <v>34</v>
      </c>
      <c r="G127" s="12" t="s">
        <v>49</v>
      </c>
      <c r="H127" s="10" t="n">
        <v>2110405</v>
      </c>
      <c r="I127" s="12" t="s">
        <v>153</v>
      </c>
      <c r="J127" s="10" t="n">
        <v>1336399</v>
      </c>
      <c r="L127" s="10" t="n">
        <v>552326</v>
      </c>
      <c r="M127" s="12" t="s">
        <v>33</v>
      </c>
      <c r="N127" s="12" t="s">
        <v>66</v>
      </c>
      <c r="P127" s="10" t="n">
        <v>101</v>
      </c>
      <c r="Q127" s="12" t="s">
        <v>84</v>
      </c>
      <c r="R127" s="12" t="s">
        <v>121</v>
      </c>
      <c r="S127" s="10" t="n">
        <v>4210309</v>
      </c>
      <c r="T127" s="12" t="s">
        <v>253</v>
      </c>
      <c r="U127" s="13" t="n">
        <v>1760</v>
      </c>
      <c r="W127" s="13" t="n">
        <v>0</v>
      </c>
      <c r="X127" s="12" t="s">
        <v>254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46204</v>
      </c>
      <c r="C128" s="11" t="n">
        <v>46204</v>
      </c>
      <c r="D128" s="10" t="n">
        <v>1137</v>
      </c>
      <c r="E128" s="12" t="s">
        <v>252</v>
      </c>
      <c r="F128" s="10" t="n">
        <v>34</v>
      </c>
      <c r="G128" s="12" t="s">
        <v>49</v>
      </c>
      <c r="H128" s="10" t="n">
        <v>2110405</v>
      </c>
      <c r="I128" s="12" t="s">
        <v>153</v>
      </c>
      <c r="J128" s="10" t="n">
        <v>1336404</v>
      </c>
      <c r="L128" s="10" t="n">
        <v>552329</v>
      </c>
      <c r="M128" s="12" t="s">
        <v>33</v>
      </c>
      <c r="N128" s="12" t="s">
        <v>66</v>
      </c>
      <c r="P128" s="10" t="n">
        <v>101</v>
      </c>
      <c r="Q128" s="12" t="s">
        <v>84</v>
      </c>
      <c r="R128" s="12" t="s">
        <v>121</v>
      </c>
      <c r="S128" s="10" t="n">
        <v>4210309</v>
      </c>
      <c r="T128" s="12" t="s">
        <v>253</v>
      </c>
      <c r="U128" s="13" t="n">
        <v>540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46192</v>
      </c>
      <c r="C129" s="11" t="n">
        <v>46204</v>
      </c>
      <c r="D129" s="10" t="n">
        <v>1665</v>
      </c>
      <c r="E129" s="12" t="s">
        <v>256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1272612</v>
      </c>
      <c r="L129" s="10" t="n">
        <v>132832</v>
      </c>
      <c r="M129" s="12" t="s">
        <v>33</v>
      </c>
      <c r="N129" s="12" t="s">
        <v>34</v>
      </c>
      <c r="P129" s="10" t="n">
        <v>103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421.2</v>
      </c>
      <c r="W129" s="13" t="n">
        <v>0</v>
      </c>
      <c r="X129" s="12" t="s">
        <v>257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46204</v>
      </c>
      <c r="C130" s="11" t="n">
        <v>46204</v>
      </c>
      <c r="D130" s="10" t="n">
        <v>515</v>
      </c>
      <c r="E130" s="12" t="s">
        <v>111</v>
      </c>
      <c r="F130" s="10" t="n">
        <v>34</v>
      </c>
      <c r="G130" s="12" t="s">
        <v>49</v>
      </c>
      <c r="H130" s="10" t="n">
        <v>1110202</v>
      </c>
      <c r="I130" s="12" t="s">
        <v>90</v>
      </c>
      <c r="J130" s="10" t="n">
        <v>1345007</v>
      </c>
      <c r="L130" s="10" t="n">
        <v>555608</v>
      </c>
      <c r="M130" s="12" t="s">
        <v>33</v>
      </c>
      <c r="N130" s="12" t="s">
        <v>66</v>
      </c>
      <c r="P130" s="10" t="n">
        <v>102</v>
      </c>
      <c r="Q130" s="12" t="s">
        <v>112</v>
      </c>
      <c r="R130" s="12" t="s">
        <v>91</v>
      </c>
      <c r="S130" s="10" t="n">
        <v>4220199</v>
      </c>
      <c r="T130" s="12" t="s">
        <v>92</v>
      </c>
      <c r="U130" s="13" t="n">
        <v>279.64</v>
      </c>
      <c r="W130" s="13" t="n">
        <v>0</v>
      </c>
      <c r="X130" s="12" t="s">
        <v>258</v>
      </c>
      <c r="Z130" s="1" t="str">
        <f aca="false">IF($T130="","",IFERROR(INDEX('Resumo Grupos'!$AC$3:$AC$200,MATCH($T130,'Resumo Grupos'!$AB$3:$AB$200,0)),"n/d"))</f>
        <v>Pagamentos outros não operacionais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46198</v>
      </c>
      <c r="C131" s="11" t="n">
        <v>46204</v>
      </c>
      <c r="D131" s="10" t="n">
        <v>1815</v>
      </c>
      <c r="E131" s="12" t="s">
        <v>175</v>
      </c>
      <c r="F131" s="10" t="n">
        <v>24</v>
      </c>
      <c r="G131" s="12" t="s">
        <v>31</v>
      </c>
      <c r="H131" s="10" t="n">
        <v>2110101</v>
      </c>
      <c r="I131" s="12" t="s">
        <v>32</v>
      </c>
      <c r="J131" s="10" t="n">
        <v>1304557</v>
      </c>
      <c r="L131" s="10" t="n">
        <v>388860</v>
      </c>
      <c r="M131" s="12" t="s">
        <v>33</v>
      </c>
      <c r="N131" s="12" t="s">
        <v>34</v>
      </c>
      <c r="P131" s="10" t="n">
        <v>103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1283.28</v>
      </c>
      <c r="W131" s="13" t="n">
        <v>0</v>
      </c>
      <c r="X131" s="12" t="s">
        <v>259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46190</v>
      </c>
      <c r="C132" s="11" t="n">
        <v>46204</v>
      </c>
      <c r="D132" s="10" t="n">
        <v>1699</v>
      </c>
      <c r="E132" s="12" t="s">
        <v>124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1264669</v>
      </c>
      <c r="L132" s="10" t="n">
        <v>304651</v>
      </c>
      <c r="M132" s="12" t="s">
        <v>33</v>
      </c>
      <c r="N132" s="12" t="s">
        <v>34</v>
      </c>
      <c r="P132" s="10" t="n">
        <v>101</v>
      </c>
      <c r="Q132" s="12" t="s">
        <v>84</v>
      </c>
      <c r="R132" s="12" t="s">
        <v>36</v>
      </c>
      <c r="S132" s="10" t="n">
        <v>1130101</v>
      </c>
      <c r="T132" s="12" t="s">
        <v>37</v>
      </c>
      <c r="U132" s="13" t="n">
        <v>1747.4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46190</v>
      </c>
      <c r="C133" s="11" t="n">
        <v>46204</v>
      </c>
      <c r="D133" s="10" t="n">
        <v>967</v>
      </c>
      <c r="E133" s="12" t="s">
        <v>261</v>
      </c>
      <c r="F133" s="10" t="n">
        <v>24</v>
      </c>
      <c r="G133" s="12" t="s">
        <v>31</v>
      </c>
      <c r="H133" s="10" t="n">
        <v>2110101</v>
      </c>
      <c r="I133" s="12" t="s">
        <v>32</v>
      </c>
      <c r="J133" s="10" t="n">
        <v>1265083</v>
      </c>
      <c r="L133" s="10" t="n">
        <v>33133</v>
      </c>
      <c r="M133" s="12" t="s">
        <v>33</v>
      </c>
      <c r="N133" s="12" t="s">
        <v>34</v>
      </c>
      <c r="P133" s="10" t="n">
        <v>103</v>
      </c>
      <c r="Q133" s="12" t="s">
        <v>35</v>
      </c>
      <c r="R133" s="12" t="s">
        <v>36</v>
      </c>
      <c r="S133" s="10" t="n">
        <v>1130101</v>
      </c>
      <c r="T133" s="12" t="s">
        <v>37</v>
      </c>
      <c r="U133" s="13" t="n">
        <v>2120.67</v>
      </c>
      <c r="W133" s="13" t="n">
        <v>0</v>
      </c>
      <c r="X133" s="12" t="s">
        <v>262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46188</v>
      </c>
      <c r="C134" s="11" t="n">
        <v>46204</v>
      </c>
      <c r="D134" s="10" t="n">
        <v>1668</v>
      </c>
      <c r="E134" s="12" t="s">
        <v>263</v>
      </c>
      <c r="F134" s="10" t="n">
        <v>24</v>
      </c>
      <c r="G134" s="12" t="s">
        <v>31</v>
      </c>
      <c r="H134" s="10" t="n">
        <v>2110101</v>
      </c>
      <c r="I134" s="12" t="s">
        <v>32</v>
      </c>
      <c r="J134" s="10" t="n">
        <v>1256293</v>
      </c>
      <c r="L134" s="10" t="n">
        <v>727418</v>
      </c>
      <c r="M134" s="12" t="s">
        <v>33</v>
      </c>
      <c r="N134" s="12" t="s">
        <v>34</v>
      </c>
      <c r="P134" s="10" t="n">
        <v>103</v>
      </c>
      <c r="Q134" s="12" t="s">
        <v>35</v>
      </c>
      <c r="R134" s="12" t="s">
        <v>36</v>
      </c>
      <c r="S134" s="10" t="n">
        <v>1130101</v>
      </c>
      <c r="T134" s="12" t="s">
        <v>37</v>
      </c>
      <c r="U134" s="13" t="n">
        <v>1177.6</v>
      </c>
      <c r="W134" s="13" t="n">
        <v>0</v>
      </c>
      <c r="X134" s="12" t="s">
        <v>264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46190</v>
      </c>
      <c r="C135" s="11" t="n">
        <v>46204</v>
      </c>
      <c r="D135" s="10" t="n">
        <v>10009</v>
      </c>
      <c r="E135" s="12" t="s">
        <v>181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1265196</v>
      </c>
      <c r="L135" s="10" t="n">
        <v>1414636</v>
      </c>
      <c r="M135" s="12" t="s">
        <v>40</v>
      </c>
      <c r="N135" s="12" t="s">
        <v>34</v>
      </c>
      <c r="P135" s="10" t="n">
        <v>103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1356.17</v>
      </c>
      <c r="W135" s="13" t="n">
        <v>0</v>
      </c>
      <c r="X135" s="12" t="s">
        <v>265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46204</v>
      </c>
      <c r="C136" s="11" t="n">
        <v>46204</v>
      </c>
      <c r="D136" s="10" t="n">
        <v>48</v>
      </c>
      <c r="E136" s="12" t="s">
        <v>266</v>
      </c>
      <c r="F136" s="10" t="n">
        <v>34</v>
      </c>
      <c r="G136" s="12" t="s">
        <v>49</v>
      </c>
      <c r="H136" s="10" t="n">
        <v>2110101</v>
      </c>
      <c r="I136" s="12" t="s">
        <v>32</v>
      </c>
      <c r="J136" s="10" t="n">
        <v>1335895</v>
      </c>
      <c r="L136" s="10" t="n">
        <v>552126</v>
      </c>
      <c r="M136" s="12" t="s">
        <v>33</v>
      </c>
      <c r="N136" s="12" t="s">
        <v>66</v>
      </c>
      <c r="P136" s="10" t="n">
        <v>101</v>
      </c>
      <c r="Q136" s="12" t="s">
        <v>84</v>
      </c>
      <c r="R136" s="12" t="s">
        <v>91</v>
      </c>
      <c r="S136" s="10" t="n">
        <v>4220199</v>
      </c>
      <c r="T136" s="12" t="s">
        <v>92</v>
      </c>
      <c r="U136" s="13" t="n">
        <v>130</v>
      </c>
      <c r="W136" s="13" t="n">
        <v>0</v>
      </c>
      <c r="X136" s="12" t="s">
        <v>267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46204</v>
      </c>
      <c r="C137" s="11" t="n">
        <v>46204</v>
      </c>
      <c r="D137" s="10" t="n">
        <v>17</v>
      </c>
      <c r="E137" s="12" t="s">
        <v>268</v>
      </c>
      <c r="F137" s="10" t="n">
        <v>34</v>
      </c>
      <c r="G137" s="12" t="s">
        <v>49</v>
      </c>
      <c r="H137" s="10" t="n">
        <v>2110405</v>
      </c>
      <c r="I137" s="12" t="s">
        <v>153</v>
      </c>
      <c r="J137" s="10" t="n">
        <v>1335913</v>
      </c>
      <c r="L137" s="10" t="n">
        <v>552129</v>
      </c>
      <c r="M137" s="12" t="s">
        <v>33</v>
      </c>
      <c r="N137" s="12" t="s">
        <v>66</v>
      </c>
      <c r="P137" s="10" t="n">
        <v>101</v>
      </c>
      <c r="Q137" s="12" t="s">
        <v>84</v>
      </c>
      <c r="R137" s="12" t="s">
        <v>91</v>
      </c>
      <c r="S137" s="10" t="n">
        <v>4220199</v>
      </c>
      <c r="T137" s="12" t="s">
        <v>92</v>
      </c>
      <c r="U137" s="13" t="n">
        <v>8000</v>
      </c>
      <c r="W137" s="13" t="n">
        <v>0</v>
      </c>
      <c r="X137" s="12" t="s">
        <v>269</v>
      </c>
      <c r="Z137" s="1" t="str">
        <f aca="false">IF($T137="","",IFERROR(INDEX('Resumo Grupos'!$AC$3:$AC$200,MATCH($T137,'Resumo Grupos'!$AB$3:$AB$200,0)),"n/d"))</f>
        <v>Pagamentos outros não operacionais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46200</v>
      </c>
      <c r="C138" s="11" t="n">
        <v>46204</v>
      </c>
      <c r="D138" s="10" t="n">
        <v>1899</v>
      </c>
      <c r="E138" s="12" t="s">
        <v>131</v>
      </c>
      <c r="F138" s="10" t="n">
        <v>24</v>
      </c>
      <c r="G138" s="12" t="s">
        <v>31</v>
      </c>
      <c r="H138" s="10" t="n">
        <v>2110101</v>
      </c>
      <c r="I138" s="12" t="s">
        <v>32</v>
      </c>
      <c r="J138" s="10" t="n">
        <v>1313440</v>
      </c>
      <c r="L138" s="10" t="n">
        <v>684</v>
      </c>
      <c r="M138" s="12" t="s">
        <v>33</v>
      </c>
      <c r="N138" s="12" t="s">
        <v>34</v>
      </c>
      <c r="P138" s="10" t="n">
        <v>103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876.6</v>
      </c>
      <c r="W138" s="13" t="n">
        <v>0</v>
      </c>
      <c r="X138" s="12" t="s">
        <v>270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46190</v>
      </c>
      <c r="C139" s="11" t="n">
        <v>46204</v>
      </c>
      <c r="D139" s="10" t="n">
        <v>10017</v>
      </c>
      <c r="E139" s="12" t="s">
        <v>271</v>
      </c>
      <c r="F139" s="10" t="n">
        <v>24</v>
      </c>
      <c r="G139" s="12" t="s">
        <v>31</v>
      </c>
      <c r="H139" s="10" t="n">
        <v>2110101</v>
      </c>
      <c r="I139" s="12" t="s">
        <v>32</v>
      </c>
      <c r="J139" s="10" t="n">
        <v>1265872</v>
      </c>
      <c r="L139" s="10" t="n">
        <v>193491</v>
      </c>
      <c r="M139" s="12" t="s">
        <v>33</v>
      </c>
      <c r="N139" s="12" t="s">
        <v>34</v>
      </c>
      <c r="P139" s="10" t="n">
        <v>103</v>
      </c>
      <c r="Q139" s="12" t="s">
        <v>35</v>
      </c>
      <c r="R139" s="12" t="s">
        <v>36</v>
      </c>
      <c r="S139" s="10" t="n">
        <v>1130101</v>
      </c>
      <c r="T139" s="12" t="s">
        <v>37</v>
      </c>
      <c r="U139" s="13" t="n">
        <v>568.92</v>
      </c>
      <c r="W139" s="13" t="n">
        <v>0</v>
      </c>
      <c r="X139" s="12" t="s">
        <v>272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46203</v>
      </c>
      <c r="C140" s="11" t="n">
        <v>46204</v>
      </c>
      <c r="D140" s="10" t="n">
        <v>33</v>
      </c>
      <c r="E140" s="12" t="s">
        <v>64</v>
      </c>
      <c r="F140" s="10" t="n">
        <v>34</v>
      </c>
      <c r="G140" s="12" t="s">
        <v>49</v>
      </c>
      <c r="H140" s="10" t="n">
        <v>2110101</v>
      </c>
      <c r="I140" s="12" t="s">
        <v>32</v>
      </c>
      <c r="J140" s="10" t="n">
        <v>1330729</v>
      </c>
      <c r="L140" s="10" t="n">
        <v>5222</v>
      </c>
      <c r="M140" s="12" t="s">
        <v>33</v>
      </c>
      <c r="N140" s="12" t="s">
        <v>34</v>
      </c>
      <c r="P140" s="10" t="n">
        <v>104</v>
      </c>
      <c r="Q140" s="12" t="s">
        <v>50</v>
      </c>
      <c r="R140" s="12" t="s">
        <v>36</v>
      </c>
      <c r="S140" s="10" t="n">
        <v>1130101</v>
      </c>
      <c r="T140" s="12" t="s">
        <v>37</v>
      </c>
      <c r="U140" s="13" t="n">
        <v>1701</v>
      </c>
      <c r="W140" s="13" t="n">
        <v>0</v>
      </c>
      <c r="X140" s="12" t="s">
        <v>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46203</v>
      </c>
      <c r="C141" s="11" t="n">
        <v>46204</v>
      </c>
      <c r="D141" s="10" t="n">
        <v>33</v>
      </c>
      <c r="E141" s="12" t="s">
        <v>64</v>
      </c>
      <c r="F141" s="10" t="n">
        <v>34</v>
      </c>
      <c r="G141" s="12" t="s">
        <v>49</v>
      </c>
      <c r="H141" s="10" t="n">
        <v>2110101</v>
      </c>
      <c r="I141" s="12" t="s">
        <v>32</v>
      </c>
      <c r="J141" s="10" t="n">
        <v>1330823</v>
      </c>
      <c r="L141" s="10" t="n">
        <v>550168</v>
      </c>
      <c r="M141" s="12" t="s">
        <v>33</v>
      </c>
      <c r="N141" s="12" t="s">
        <v>66</v>
      </c>
      <c r="P141" s="10" t="n">
        <v>104</v>
      </c>
      <c r="Q141" s="12" t="s">
        <v>50</v>
      </c>
      <c r="R141" s="12" t="s">
        <v>36</v>
      </c>
      <c r="S141" s="10" t="n">
        <v>1130101</v>
      </c>
      <c r="T141" s="12" t="s">
        <v>37</v>
      </c>
      <c r="U141" s="13" t="n">
        <v>140</v>
      </c>
      <c r="W141" s="13" t="n">
        <v>0</v>
      </c>
      <c r="X141" s="12" t="s">
        <v>273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46205</v>
      </c>
      <c r="C142" s="11" t="n">
        <v>46205</v>
      </c>
      <c r="D142" s="10" t="n">
        <v>1639</v>
      </c>
      <c r="E142" s="12" t="s">
        <v>274</v>
      </c>
      <c r="F142" s="10" t="n">
        <v>13</v>
      </c>
      <c r="G142" s="12" t="s">
        <v>55</v>
      </c>
      <c r="H142" s="10" t="n">
        <v>2110101</v>
      </c>
      <c r="I142" s="12" t="s">
        <v>32</v>
      </c>
      <c r="J142" s="10" t="n">
        <v>1370258</v>
      </c>
      <c r="L142" s="10" t="n">
        <v>7084</v>
      </c>
      <c r="M142" s="12" t="s">
        <v>33</v>
      </c>
      <c r="N142" s="12" t="s">
        <v>34</v>
      </c>
      <c r="P142" s="10" t="n">
        <v>104</v>
      </c>
      <c r="Q142" s="12" t="s">
        <v>50</v>
      </c>
      <c r="R142" s="12" t="s">
        <v>36</v>
      </c>
      <c r="S142" s="10" t="n">
        <v>1130101</v>
      </c>
      <c r="T142" s="12" t="s">
        <v>37</v>
      </c>
      <c r="U142" s="13" t="n">
        <v>205</v>
      </c>
      <c r="W142" s="13" t="n">
        <v>0</v>
      </c>
      <c r="X142" s="12" t="s">
        <v>275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46203</v>
      </c>
      <c r="C143" s="11" t="n">
        <v>46205</v>
      </c>
      <c r="D143" s="10" t="n">
        <v>642</v>
      </c>
      <c r="E143" s="12" t="s">
        <v>145</v>
      </c>
      <c r="F143" s="10" t="n">
        <v>24</v>
      </c>
      <c r="G143" s="12" t="s">
        <v>31</v>
      </c>
      <c r="H143" s="10" t="n">
        <v>2110101</v>
      </c>
      <c r="I143" s="12" t="s">
        <v>32</v>
      </c>
      <c r="J143" s="10" t="n">
        <v>1330506</v>
      </c>
      <c r="L143" s="10" t="n">
        <v>516</v>
      </c>
      <c r="M143" s="12" t="s">
        <v>33</v>
      </c>
      <c r="N143" s="12" t="s">
        <v>34</v>
      </c>
      <c r="P143" s="10" t="n">
        <v>103</v>
      </c>
      <c r="Q143" s="12" t="s">
        <v>35</v>
      </c>
      <c r="R143" s="12" t="s">
        <v>36</v>
      </c>
      <c r="S143" s="10" t="n">
        <v>1130101</v>
      </c>
      <c r="T143" s="12" t="s">
        <v>37</v>
      </c>
      <c r="U143" s="13" t="n">
        <v>720</v>
      </c>
      <c r="W143" s="13" t="n">
        <v>0</v>
      </c>
      <c r="X143" s="12" t="s">
        <v>276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46189</v>
      </c>
      <c r="C144" s="11" t="n">
        <v>46205</v>
      </c>
      <c r="D144" s="10" t="n">
        <v>1659</v>
      </c>
      <c r="E144" s="12" t="s">
        <v>39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1262158</v>
      </c>
      <c r="L144" s="10" t="n">
        <v>878848</v>
      </c>
      <c r="M144" s="12" t="s">
        <v>33</v>
      </c>
      <c r="N144" s="12" t="s">
        <v>34</v>
      </c>
      <c r="P144" s="10" t="n">
        <v>103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1402.89</v>
      </c>
      <c r="W144" s="13" t="n">
        <v>0</v>
      </c>
      <c r="X144" s="12" t="s">
        <v>277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46188</v>
      </c>
      <c r="C145" s="11" t="n">
        <v>46205</v>
      </c>
      <c r="D145" s="10" t="n">
        <v>1637</v>
      </c>
      <c r="E145" s="12" t="s">
        <v>97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1256554</v>
      </c>
      <c r="L145" s="10" t="n">
        <v>1890669</v>
      </c>
      <c r="M145" s="12" t="s">
        <v>33</v>
      </c>
      <c r="N145" s="12" t="s">
        <v>34</v>
      </c>
      <c r="P145" s="10" t="n">
        <v>103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1837.5</v>
      </c>
      <c r="W145" s="13" t="n">
        <v>0</v>
      </c>
      <c r="X145" s="12" t="s">
        <v>278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46175</v>
      </c>
      <c r="C146" s="11" t="n">
        <v>46205</v>
      </c>
      <c r="D146" s="10" t="n">
        <v>49</v>
      </c>
      <c r="E146" s="12" t="s">
        <v>279</v>
      </c>
      <c r="F146" s="10" t="n">
        <v>34</v>
      </c>
      <c r="G146" s="12" t="s">
        <v>49</v>
      </c>
      <c r="H146" s="10" t="n">
        <v>1110202</v>
      </c>
      <c r="I146" s="12" t="s">
        <v>90</v>
      </c>
      <c r="J146" s="10" t="n">
        <v>1192282</v>
      </c>
      <c r="L146" s="10" t="n">
        <v>496259</v>
      </c>
      <c r="M146" s="12" t="s">
        <v>33</v>
      </c>
      <c r="N146" s="12" t="s">
        <v>66</v>
      </c>
      <c r="P146" s="10" t="n">
        <v>101</v>
      </c>
      <c r="Q146" s="12" t="s">
        <v>84</v>
      </c>
      <c r="R146" s="12" t="s">
        <v>280</v>
      </c>
      <c r="S146" s="10" t="n">
        <v>2110901</v>
      </c>
      <c r="T146" s="12" t="s">
        <v>281</v>
      </c>
      <c r="U146" s="13" t="n">
        <v>16292.89</v>
      </c>
      <c r="W146" s="13" t="n">
        <v>0</v>
      </c>
      <c r="X146" s="12" t="s">
        <v>282</v>
      </c>
      <c r="Z146" s="1" t="str">
        <f aca="false">IF($T146="","",IFERROR(INDEX('Resumo Grupos'!$AC$3:$AC$200,MATCH($T146,'Resumo Grupos'!$AB$3:$AB$200,0)),"n/d"))</f>
        <v>Empréstimo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46199</v>
      </c>
      <c r="C147" s="11" t="n">
        <v>46205</v>
      </c>
      <c r="D147" s="10" t="n">
        <v>1614</v>
      </c>
      <c r="E147" s="12" t="s">
        <v>99</v>
      </c>
      <c r="F147" s="10" t="n">
        <v>24</v>
      </c>
      <c r="G147" s="12" t="s">
        <v>31</v>
      </c>
      <c r="H147" s="10" t="n">
        <v>2110101</v>
      </c>
      <c r="I147" s="12" t="s">
        <v>32</v>
      </c>
      <c r="J147" s="10" t="n">
        <v>1308813</v>
      </c>
      <c r="L147" s="10" t="n">
        <v>11315</v>
      </c>
      <c r="M147" s="12" t="s">
        <v>76</v>
      </c>
      <c r="N147" s="12" t="s">
        <v>34</v>
      </c>
      <c r="P147" s="10" t="n">
        <v>103</v>
      </c>
      <c r="Q147" s="12" t="s">
        <v>35</v>
      </c>
      <c r="R147" s="12" t="s">
        <v>36</v>
      </c>
      <c r="S147" s="10" t="n">
        <v>1130101</v>
      </c>
      <c r="T147" s="12" t="s">
        <v>37</v>
      </c>
      <c r="U147" s="13" t="n">
        <v>459.59</v>
      </c>
      <c r="W147" s="13" t="n">
        <v>0</v>
      </c>
      <c r="X147" s="12" t="s">
        <v>283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46114</v>
      </c>
      <c r="C148" s="11" t="n">
        <v>46205</v>
      </c>
      <c r="D148" s="10" t="n">
        <v>1460</v>
      </c>
      <c r="E148" s="12" t="s">
        <v>284</v>
      </c>
      <c r="F148" s="10" t="n">
        <v>24</v>
      </c>
      <c r="G148" s="12" t="s">
        <v>31</v>
      </c>
      <c r="H148" s="10" t="n">
        <v>2110405</v>
      </c>
      <c r="I148" s="12" t="s">
        <v>153</v>
      </c>
      <c r="J148" s="10" t="n">
        <v>920174</v>
      </c>
      <c r="L148" s="10" t="n">
        <v>391878</v>
      </c>
      <c r="M148" s="12" t="s">
        <v>79</v>
      </c>
      <c r="N148" s="12" t="s">
        <v>66</v>
      </c>
      <c r="P148" s="10" t="n">
        <v>101</v>
      </c>
      <c r="Q148" s="12" t="s">
        <v>84</v>
      </c>
      <c r="R148" s="12" t="s">
        <v>91</v>
      </c>
      <c r="S148" s="10" t="n">
        <v>4220199</v>
      </c>
      <c r="T148" s="12" t="s">
        <v>92</v>
      </c>
      <c r="U148" s="13" t="n">
        <v>711.69</v>
      </c>
      <c r="W148" s="13" t="n">
        <v>0</v>
      </c>
      <c r="X148" s="12" t="s">
        <v>285</v>
      </c>
      <c r="Z148" s="1" t="str">
        <f aca="false">IF($T148="","",IFERROR(INDEX('Resumo Grupos'!$AC$3:$AC$200,MATCH($T148,'Resumo Grupos'!$AB$3:$AB$200,0)),"n/d"))</f>
        <v>Pagamentos outros não operacionais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46199</v>
      </c>
      <c r="C149" s="11" t="n">
        <v>46205</v>
      </c>
      <c r="D149" s="10" t="n">
        <v>1621</v>
      </c>
      <c r="E149" s="12" t="s">
        <v>286</v>
      </c>
      <c r="F149" s="10" t="n">
        <v>24</v>
      </c>
      <c r="G149" s="12" t="s">
        <v>31</v>
      </c>
      <c r="H149" s="10" t="n">
        <v>2110101</v>
      </c>
      <c r="I149" s="12" t="s">
        <v>32</v>
      </c>
      <c r="J149" s="10" t="n">
        <v>1309533</v>
      </c>
      <c r="L149" s="10" t="n">
        <v>875362</v>
      </c>
      <c r="M149" s="12" t="s">
        <v>33</v>
      </c>
      <c r="N149" s="12" t="s">
        <v>34</v>
      </c>
      <c r="P149" s="10" t="n">
        <v>103</v>
      </c>
      <c r="Q149" s="12" t="s">
        <v>35</v>
      </c>
      <c r="R149" s="12" t="s">
        <v>36</v>
      </c>
      <c r="S149" s="10" t="n">
        <v>1130101</v>
      </c>
      <c r="T149" s="12" t="s">
        <v>37</v>
      </c>
      <c r="U149" s="13" t="n">
        <v>5631.01</v>
      </c>
      <c r="W149" s="13" t="n">
        <v>0</v>
      </c>
      <c r="X149" s="12" t="s">
        <v>287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46195</v>
      </c>
      <c r="C150" s="11" t="n">
        <v>46205</v>
      </c>
      <c r="D150" s="10" t="n">
        <v>10002</v>
      </c>
      <c r="E150" s="12" t="s">
        <v>288</v>
      </c>
      <c r="F150" s="10" t="n">
        <v>24</v>
      </c>
      <c r="G150" s="12" t="s">
        <v>31</v>
      </c>
      <c r="H150" s="10" t="n">
        <v>2110101</v>
      </c>
      <c r="I150" s="12" t="s">
        <v>32</v>
      </c>
      <c r="J150" s="10" t="n">
        <v>1290025</v>
      </c>
      <c r="L150" s="10" t="n">
        <v>195984</v>
      </c>
      <c r="M150" s="12" t="s">
        <v>33</v>
      </c>
      <c r="N150" s="12" t="s">
        <v>34</v>
      </c>
      <c r="P150" s="10" t="n">
        <v>103</v>
      </c>
      <c r="Q150" s="12" t="s">
        <v>35</v>
      </c>
      <c r="R150" s="12" t="s">
        <v>36</v>
      </c>
      <c r="S150" s="10" t="n">
        <v>1130101</v>
      </c>
      <c r="T150" s="12" t="s">
        <v>37</v>
      </c>
      <c r="U150" s="13" t="n">
        <v>830.88</v>
      </c>
      <c r="W150" s="13" t="n">
        <v>0</v>
      </c>
      <c r="X150" s="12" t="s">
        <v>289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46188</v>
      </c>
      <c r="C151" s="11" t="n">
        <v>46205</v>
      </c>
      <c r="D151" s="10" t="n">
        <v>1636</v>
      </c>
      <c r="E151" s="12" t="s">
        <v>290</v>
      </c>
      <c r="F151" s="10" t="n">
        <v>24</v>
      </c>
      <c r="G151" s="12" t="s">
        <v>31</v>
      </c>
      <c r="H151" s="10" t="n">
        <v>2110101</v>
      </c>
      <c r="I151" s="12" t="s">
        <v>32</v>
      </c>
      <c r="J151" s="10" t="n">
        <v>1256327</v>
      </c>
      <c r="L151" s="10" t="n">
        <v>3201285</v>
      </c>
      <c r="M151" s="12" t="s">
        <v>33</v>
      </c>
      <c r="N151" s="12" t="s">
        <v>34</v>
      </c>
      <c r="P151" s="10" t="n">
        <v>103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538.38</v>
      </c>
      <c r="W151" s="13" t="n">
        <v>0</v>
      </c>
      <c r="X151" s="12" t="s">
        <v>291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46193</v>
      </c>
      <c r="C152" s="11" t="n">
        <v>46205</v>
      </c>
      <c r="D152" s="10" t="n">
        <v>1636</v>
      </c>
      <c r="E152" s="12" t="s">
        <v>290</v>
      </c>
      <c r="F152" s="10" t="n">
        <v>24</v>
      </c>
      <c r="G152" s="12" t="s">
        <v>31</v>
      </c>
      <c r="H152" s="10" t="n">
        <v>2110101</v>
      </c>
      <c r="I152" s="12" t="s">
        <v>32</v>
      </c>
      <c r="J152" s="10" t="n">
        <v>1280589</v>
      </c>
      <c r="L152" s="10" t="n">
        <v>3204501</v>
      </c>
      <c r="M152" s="12" t="s">
        <v>33</v>
      </c>
      <c r="N152" s="12" t="s">
        <v>34</v>
      </c>
      <c r="P152" s="10" t="n">
        <v>103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301.14</v>
      </c>
      <c r="W152" s="13" t="n">
        <v>0</v>
      </c>
      <c r="X152" s="12" t="s">
        <v>292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46168</v>
      </c>
      <c r="C153" s="11" t="n">
        <v>46205</v>
      </c>
      <c r="D153" s="10" t="n">
        <v>10020</v>
      </c>
      <c r="E153" s="12" t="s">
        <v>293</v>
      </c>
      <c r="F153" s="10" t="n">
        <v>24</v>
      </c>
      <c r="G153" s="12" t="s">
        <v>31</v>
      </c>
      <c r="H153" s="10" t="n">
        <v>2110101</v>
      </c>
      <c r="I153" s="12" t="s">
        <v>32</v>
      </c>
      <c r="J153" s="10" t="n">
        <v>1156884</v>
      </c>
      <c r="L153" s="10" t="n">
        <v>573</v>
      </c>
      <c r="M153" s="12" t="s">
        <v>116</v>
      </c>
      <c r="N153" s="12" t="s">
        <v>34</v>
      </c>
      <c r="P153" s="10" t="n">
        <v>103</v>
      </c>
      <c r="Q153" s="12" t="s">
        <v>35</v>
      </c>
      <c r="R153" s="12" t="s">
        <v>36</v>
      </c>
      <c r="S153" s="10" t="n">
        <v>1130101</v>
      </c>
      <c r="T153" s="12" t="s">
        <v>37</v>
      </c>
      <c r="U153" s="13" t="n">
        <v>503.26</v>
      </c>
      <c r="W153" s="13" t="n">
        <v>0</v>
      </c>
      <c r="X153" s="12" t="s">
        <v>294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46195</v>
      </c>
      <c r="C154" s="11" t="n">
        <v>46205</v>
      </c>
      <c r="D154" s="10" t="n">
        <v>10019</v>
      </c>
      <c r="E154" s="12" t="s">
        <v>295</v>
      </c>
      <c r="F154" s="10" t="n">
        <v>24</v>
      </c>
      <c r="G154" s="12" t="s">
        <v>31</v>
      </c>
      <c r="H154" s="10" t="n">
        <v>2110101</v>
      </c>
      <c r="I154" s="12" t="s">
        <v>32</v>
      </c>
      <c r="J154" s="10" t="n">
        <v>1289498</v>
      </c>
      <c r="L154" s="10" t="n">
        <v>534462</v>
      </c>
      <c r="M154" s="12" t="s">
        <v>76</v>
      </c>
      <c r="N154" s="12" t="s">
        <v>66</v>
      </c>
      <c r="P154" s="10" t="n">
        <v>103</v>
      </c>
      <c r="Q154" s="12" t="s">
        <v>35</v>
      </c>
      <c r="R154" s="12" t="s">
        <v>36</v>
      </c>
      <c r="S154" s="10" t="n">
        <v>1130101</v>
      </c>
      <c r="T154" s="12" t="s">
        <v>37</v>
      </c>
      <c r="U154" s="13" t="n">
        <v>3066.49</v>
      </c>
      <c r="W154" s="13" t="n">
        <v>0</v>
      </c>
      <c r="X154" s="12" t="s">
        <v>296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46199</v>
      </c>
      <c r="C155" s="11" t="n">
        <v>46205</v>
      </c>
      <c r="D155" s="10" t="n">
        <v>1650</v>
      </c>
      <c r="E155" s="12" t="s">
        <v>108</v>
      </c>
      <c r="F155" s="10" t="n">
        <v>24</v>
      </c>
      <c r="G155" s="12" t="s">
        <v>31</v>
      </c>
      <c r="H155" s="10" t="n">
        <v>2110101</v>
      </c>
      <c r="I155" s="12" t="s">
        <v>32</v>
      </c>
      <c r="J155" s="10" t="n">
        <v>1309015</v>
      </c>
      <c r="L155" s="10" t="n">
        <v>224467</v>
      </c>
      <c r="M155" s="12" t="s">
        <v>33</v>
      </c>
      <c r="N155" s="12" t="s">
        <v>34</v>
      </c>
      <c r="P155" s="10" t="n">
        <v>103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238.41</v>
      </c>
      <c r="W155" s="13" t="n">
        <v>0</v>
      </c>
      <c r="X155" s="12" t="s">
        <v>297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46193</v>
      </c>
      <c r="C156" s="11" t="n">
        <v>46205</v>
      </c>
      <c r="D156" s="10" t="n">
        <v>1873</v>
      </c>
      <c r="E156" s="12" t="s">
        <v>298</v>
      </c>
      <c r="F156" s="10" t="n">
        <v>24</v>
      </c>
      <c r="G156" s="12" t="s">
        <v>31</v>
      </c>
      <c r="H156" s="10" t="n">
        <v>2110101</v>
      </c>
      <c r="I156" s="12" t="s">
        <v>32</v>
      </c>
      <c r="J156" s="10" t="n">
        <v>1279554</v>
      </c>
      <c r="L156" s="10" t="n">
        <v>111495</v>
      </c>
      <c r="M156" s="12" t="s">
        <v>33</v>
      </c>
      <c r="N156" s="12" t="s">
        <v>34</v>
      </c>
      <c r="P156" s="10" t="n">
        <v>103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380</v>
      </c>
      <c r="W156" s="13" t="n">
        <v>0</v>
      </c>
      <c r="X156" s="12" t="s">
        <v>299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46193</v>
      </c>
      <c r="C157" s="11" t="n">
        <v>46205</v>
      </c>
      <c r="D157" s="10" t="n">
        <v>1657</v>
      </c>
      <c r="E157" s="12" t="s">
        <v>300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1280916</v>
      </c>
      <c r="L157" s="10" t="n">
        <v>293860</v>
      </c>
      <c r="M157" s="12" t="s">
        <v>33</v>
      </c>
      <c r="N157" s="12" t="s">
        <v>34</v>
      </c>
      <c r="P157" s="10" t="n">
        <v>103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1250.11</v>
      </c>
      <c r="W157" s="13" t="n">
        <v>0</v>
      </c>
      <c r="X157" s="12" t="s">
        <v>301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46205</v>
      </c>
      <c r="C158" s="11" t="n">
        <v>46205</v>
      </c>
      <c r="D158" s="10" t="n">
        <v>515</v>
      </c>
      <c r="E158" s="12" t="s">
        <v>111</v>
      </c>
      <c r="F158" s="10" t="n">
        <v>34</v>
      </c>
      <c r="G158" s="12" t="s">
        <v>49</v>
      </c>
      <c r="H158" s="10" t="n">
        <v>1110202</v>
      </c>
      <c r="I158" s="12" t="s">
        <v>90</v>
      </c>
      <c r="J158" s="10" t="n">
        <v>1345451</v>
      </c>
      <c r="L158" s="10" t="n">
        <v>555716</v>
      </c>
      <c r="M158" s="12" t="s">
        <v>33</v>
      </c>
      <c r="N158" s="12" t="s">
        <v>66</v>
      </c>
      <c r="P158" s="10" t="n">
        <v>102</v>
      </c>
      <c r="Q158" s="12" t="s">
        <v>112</v>
      </c>
      <c r="R158" s="12" t="s">
        <v>113</v>
      </c>
      <c r="S158" s="10" t="n">
        <v>4210504</v>
      </c>
      <c r="T158" s="12" t="s">
        <v>114</v>
      </c>
      <c r="U158" s="13" t="n">
        <v>9.55</v>
      </c>
      <c r="W158" s="13" t="n">
        <v>0</v>
      </c>
      <c r="X158" s="12" t="s">
        <v>302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46205</v>
      </c>
      <c r="C159" s="11" t="n">
        <v>46205</v>
      </c>
      <c r="D159" s="10" t="n">
        <v>515</v>
      </c>
      <c r="E159" s="12" t="s">
        <v>111</v>
      </c>
      <c r="F159" s="10" t="n">
        <v>34</v>
      </c>
      <c r="G159" s="12" t="s">
        <v>49</v>
      </c>
      <c r="H159" s="10" t="n">
        <v>1110202</v>
      </c>
      <c r="I159" s="12" t="s">
        <v>90</v>
      </c>
      <c r="J159" s="10" t="n">
        <v>1345481</v>
      </c>
      <c r="L159" s="10" t="n">
        <v>555728</v>
      </c>
      <c r="M159" s="12" t="s">
        <v>33</v>
      </c>
      <c r="N159" s="12" t="s">
        <v>66</v>
      </c>
      <c r="P159" s="10" t="n">
        <v>102</v>
      </c>
      <c r="Q159" s="12" t="s">
        <v>112</v>
      </c>
      <c r="R159" s="12" t="s">
        <v>113</v>
      </c>
      <c r="S159" s="10" t="n">
        <v>4210504</v>
      </c>
      <c r="T159" s="12" t="s">
        <v>114</v>
      </c>
      <c r="U159" s="13" t="n">
        <v>488.67</v>
      </c>
      <c r="W159" s="13" t="n">
        <v>0</v>
      </c>
      <c r="X159" s="12" t="s">
        <v>303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46205</v>
      </c>
      <c r="C160" s="11" t="n">
        <v>46205</v>
      </c>
      <c r="D160" s="10" t="n">
        <v>515</v>
      </c>
      <c r="E160" s="12" t="s">
        <v>111</v>
      </c>
      <c r="F160" s="10" t="n">
        <v>34</v>
      </c>
      <c r="G160" s="12" t="s">
        <v>49</v>
      </c>
      <c r="H160" s="10" t="n">
        <v>1110203</v>
      </c>
      <c r="I160" s="12" t="s">
        <v>304</v>
      </c>
      <c r="J160" s="10" t="n">
        <v>1345487</v>
      </c>
      <c r="L160" s="10" t="n">
        <v>555729</v>
      </c>
      <c r="M160" s="12" t="s">
        <v>33</v>
      </c>
      <c r="N160" s="12" t="s">
        <v>66</v>
      </c>
      <c r="P160" s="10" t="n">
        <v>102</v>
      </c>
      <c r="Q160" s="12" t="s">
        <v>112</v>
      </c>
      <c r="R160" s="12" t="s">
        <v>113</v>
      </c>
      <c r="S160" s="10" t="n">
        <v>4210504</v>
      </c>
      <c r="T160" s="12" t="s">
        <v>114</v>
      </c>
      <c r="U160" s="13" t="n">
        <v>615.99</v>
      </c>
      <c r="W160" s="13" t="n">
        <v>0</v>
      </c>
      <c r="X160" s="12" t="s">
        <v>305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46205</v>
      </c>
      <c r="C161" s="11" t="n">
        <v>46205</v>
      </c>
      <c r="D161" s="10" t="n">
        <v>515</v>
      </c>
      <c r="E161" s="12" t="s">
        <v>111</v>
      </c>
      <c r="F161" s="10" t="n">
        <v>34</v>
      </c>
      <c r="G161" s="12" t="s">
        <v>49</v>
      </c>
      <c r="H161" s="10" t="n">
        <v>1110202</v>
      </c>
      <c r="I161" s="12" t="s">
        <v>90</v>
      </c>
      <c r="J161" s="10" t="n">
        <v>1345495</v>
      </c>
      <c r="L161" s="10" t="n">
        <v>555733</v>
      </c>
      <c r="M161" s="12" t="s">
        <v>33</v>
      </c>
      <c r="N161" s="12" t="s">
        <v>66</v>
      </c>
      <c r="P161" s="10" t="n">
        <v>102</v>
      </c>
      <c r="Q161" s="12" t="s">
        <v>112</v>
      </c>
      <c r="R161" s="12" t="s">
        <v>113</v>
      </c>
      <c r="S161" s="10" t="n">
        <v>4210504</v>
      </c>
      <c r="T161" s="12" t="s">
        <v>114</v>
      </c>
      <c r="U161" s="13" t="n">
        <v>622.9</v>
      </c>
      <c r="W161" s="13" t="n">
        <v>0</v>
      </c>
      <c r="X161" s="12" t="s">
        <v>306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46205</v>
      </c>
      <c r="C162" s="11" t="n">
        <v>46205</v>
      </c>
      <c r="D162" s="10" t="n">
        <v>515</v>
      </c>
      <c r="E162" s="12" t="s">
        <v>111</v>
      </c>
      <c r="F162" s="10" t="n">
        <v>34</v>
      </c>
      <c r="G162" s="12" t="s">
        <v>49</v>
      </c>
      <c r="H162" s="10" t="n">
        <v>1110202</v>
      </c>
      <c r="I162" s="12" t="s">
        <v>90</v>
      </c>
      <c r="J162" s="10" t="n">
        <v>1345519</v>
      </c>
      <c r="L162" s="10" t="n">
        <v>555740</v>
      </c>
      <c r="M162" s="12" t="s">
        <v>33</v>
      </c>
      <c r="N162" s="12" t="s">
        <v>66</v>
      </c>
      <c r="P162" s="10" t="n">
        <v>102</v>
      </c>
      <c r="Q162" s="12" t="s">
        <v>112</v>
      </c>
      <c r="R162" s="12" t="s">
        <v>113</v>
      </c>
      <c r="S162" s="10" t="n">
        <v>4210504</v>
      </c>
      <c r="T162" s="12" t="s">
        <v>114</v>
      </c>
      <c r="U162" s="13" t="n">
        <v>1822.34</v>
      </c>
      <c r="W162" s="13" t="n">
        <v>0</v>
      </c>
      <c r="X162" s="12" t="s">
        <v>307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46190</v>
      </c>
      <c r="C163" s="11" t="n">
        <v>46205</v>
      </c>
      <c r="D163" s="10" t="n">
        <v>1699</v>
      </c>
      <c r="E163" s="12" t="s">
        <v>124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1265932</v>
      </c>
      <c r="L163" s="10" t="n">
        <v>304776</v>
      </c>
      <c r="M163" s="12" t="s">
        <v>33</v>
      </c>
      <c r="N163" s="12" t="s">
        <v>34</v>
      </c>
      <c r="P163" s="10" t="n">
        <v>103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1568.1</v>
      </c>
      <c r="W163" s="13" t="n">
        <v>0</v>
      </c>
      <c r="X163" s="12" t="s">
        <v>308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46199</v>
      </c>
      <c r="C164" s="11" t="n">
        <v>46205</v>
      </c>
      <c r="D164" s="10" t="n">
        <v>1123</v>
      </c>
      <c r="E164" s="12" t="s">
        <v>309</v>
      </c>
      <c r="F164" s="10" t="n">
        <v>24</v>
      </c>
      <c r="G164" s="12" t="s">
        <v>31</v>
      </c>
      <c r="H164" s="10" t="n">
        <v>2110101</v>
      </c>
      <c r="I164" s="12" t="s">
        <v>32</v>
      </c>
      <c r="J164" s="10" t="n">
        <v>1309009</v>
      </c>
      <c r="L164" s="10" t="n">
        <v>42233</v>
      </c>
      <c r="M164" s="12" t="s">
        <v>33</v>
      </c>
      <c r="N164" s="12" t="s">
        <v>34</v>
      </c>
      <c r="P164" s="10" t="n">
        <v>103</v>
      </c>
      <c r="Q164" s="12" t="s">
        <v>35</v>
      </c>
      <c r="R164" s="12" t="s">
        <v>36</v>
      </c>
      <c r="S164" s="10" t="n">
        <v>1130101</v>
      </c>
      <c r="T164" s="12" t="s">
        <v>37</v>
      </c>
      <c r="U164" s="13" t="n">
        <v>1380</v>
      </c>
      <c r="W164" s="13" t="n">
        <v>0</v>
      </c>
      <c r="X164" s="12" t="s">
        <v>310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46199</v>
      </c>
      <c r="C165" s="11" t="n">
        <v>46205</v>
      </c>
      <c r="D165" s="10" t="n">
        <v>1114</v>
      </c>
      <c r="E165" s="12" t="s">
        <v>128</v>
      </c>
      <c r="F165" s="10" t="n">
        <v>24</v>
      </c>
      <c r="G165" s="12" t="s">
        <v>31</v>
      </c>
      <c r="H165" s="10" t="n">
        <v>2110101</v>
      </c>
      <c r="I165" s="12" t="s">
        <v>32</v>
      </c>
      <c r="J165" s="10" t="n">
        <v>1308963</v>
      </c>
      <c r="L165" s="10" t="n">
        <v>38858</v>
      </c>
      <c r="M165" s="12" t="s">
        <v>33</v>
      </c>
      <c r="N165" s="12" t="s">
        <v>34</v>
      </c>
      <c r="P165" s="10" t="n">
        <v>103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5651.65</v>
      </c>
      <c r="W165" s="13" t="n">
        <v>0</v>
      </c>
      <c r="X165" s="12" t="s">
        <v>311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46188</v>
      </c>
      <c r="C166" s="11" t="n">
        <v>46205</v>
      </c>
      <c r="D166" s="10" t="n">
        <v>1740</v>
      </c>
      <c r="E166" s="12" t="s">
        <v>312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1256368</v>
      </c>
      <c r="L166" s="10" t="n">
        <v>1236075</v>
      </c>
      <c r="M166" s="12" t="s">
        <v>33</v>
      </c>
      <c r="N166" s="12" t="s">
        <v>34</v>
      </c>
      <c r="P166" s="10" t="n">
        <v>103</v>
      </c>
      <c r="Q166" s="12" t="s">
        <v>35</v>
      </c>
      <c r="R166" s="12" t="s">
        <v>36</v>
      </c>
      <c r="S166" s="10" t="n">
        <v>1130101</v>
      </c>
      <c r="T166" s="12" t="s">
        <v>37</v>
      </c>
      <c r="U166" s="13" t="n">
        <v>998.52</v>
      </c>
      <c r="W166" s="13" t="n">
        <v>0</v>
      </c>
      <c r="X166" s="12" t="s">
        <v>313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46200</v>
      </c>
      <c r="C167" s="11" t="n">
        <v>46205</v>
      </c>
      <c r="D167" s="10" t="n">
        <v>1024</v>
      </c>
      <c r="E167" s="12" t="s">
        <v>314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1313525</v>
      </c>
      <c r="L167" s="10" t="n">
        <v>590548</v>
      </c>
      <c r="M167" s="12" t="s">
        <v>33</v>
      </c>
      <c r="N167" s="12" t="s">
        <v>34</v>
      </c>
      <c r="P167" s="10" t="n">
        <v>103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718</v>
      </c>
      <c r="W167" s="13" t="n">
        <v>0</v>
      </c>
      <c r="X167" s="12" t="s">
        <v>315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46205</v>
      </c>
      <c r="C168" s="11" t="n">
        <v>46205</v>
      </c>
      <c r="D168" s="10" t="n">
        <v>33</v>
      </c>
      <c r="E168" s="12" t="s">
        <v>64</v>
      </c>
      <c r="F168" s="10" t="n">
        <v>13</v>
      </c>
      <c r="G168" s="12" t="s">
        <v>55</v>
      </c>
      <c r="H168" s="10" t="n">
        <v>2110101</v>
      </c>
      <c r="I168" s="12" t="s">
        <v>32</v>
      </c>
      <c r="J168" s="10" t="n">
        <v>1339663</v>
      </c>
      <c r="L168" s="10" t="n">
        <v>5235</v>
      </c>
      <c r="M168" s="12" t="s">
        <v>33</v>
      </c>
      <c r="N168" s="12" t="s">
        <v>34</v>
      </c>
      <c r="P168" s="10" t="n">
        <v>104</v>
      </c>
      <c r="Q168" s="12" t="s">
        <v>50</v>
      </c>
      <c r="R168" s="12" t="s">
        <v>36</v>
      </c>
      <c r="S168" s="10" t="n">
        <v>1130101</v>
      </c>
      <c r="T168" s="12" t="s">
        <v>37</v>
      </c>
      <c r="U168" s="13" t="n">
        <v>210</v>
      </c>
      <c r="W168" s="13" t="n">
        <v>210</v>
      </c>
      <c r="X168" s="12" t="s">
        <v>195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46205</v>
      </c>
      <c r="C169" s="11" t="n">
        <v>46205</v>
      </c>
      <c r="D169" s="10" t="n">
        <v>33</v>
      </c>
      <c r="E169" s="12" t="s">
        <v>64</v>
      </c>
      <c r="F169" s="10" t="n">
        <v>13</v>
      </c>
      <c r="G169" s="12" t="s">
        <v>55</v>
      </c>
      <c r="H169" s="10" t="n">
        <v>2110101</v>
      </c>
      <c r="I169" s="12" t="s">
        <v>32</v>
      </c>
      <c r="J169" s="10" t="n">
        <v>1340357</v>
      </c>
      <c r="L169" s="10" t="n">
        <v>5237</v>
      </c>
      <c r="M169" s="12" t="s">
        <v>33</v>
      </c>
      <c r="N169" s="12" t="s">
        <v>34</v>
      </c>
      <c r="P169" s="10" t="n">
        <v>104</v>
      </c>
      <c r="Q169" s="12" t="s">
        <v>50</v>
      </c>
      <c r="R169" s="12" t="s">
        <v>36</v>
      </c>
      <c r="S169" s="10" t="n">
        <v>1130101</v>
      </c>
      <c r="T169" s="12" t="s">
        <v>37</v>
      </c>
      <c r="U169" s="13" t="n">
        <v>280</v>
      </c>
      <c r="W169" s="13" t="n">
        <v>280</v>
      </c>
      <c r="X169" s="12" t="s">
        <v>195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46205</v>
      </c>
      <c r="C170" s="11" t="n">
        <v>46205</v>
      </c>
      <c r="D170" s="10" t="n">
        <v>1936</v>
      </c>
      <c r="E170" s="12" t="s">
        <v>316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1339581</v>
      </c>
      <c r="L170" s="10" t="n">
        <v>553619</v>
      </c>
      <c r="M170" s="12" t="s">
        <v>33</v>
      </c>
      <c r="N170" s="12" t="s">
        <v>66</v>
      </c>
      <c r="P170" s="10" t="n">
        <v>102</v>
      </c>
      <c r="Q170" s="12" t="s">
        <v>112</v>
      </c>
      <c r="R170" s="12" t="s">
        <v>36</v>
      </c>
      <c r="S170" s="10" t="n">
        <v>1130101</v>
      </c>
      <c r="T170" s="12" t="s">
        <v>37</v>
      </c>
      <c r="U170" s="13" t="n">
        <v>81.4</v>
      </c>
      <c r="W170" s="13" t="n">
        <v>0</v>
      </c>
      <c r="X170" s="12" t="s">
        <v>317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46189</v>
      </c>
      <c r="C171" s="11" t="n">
        <v>46205</v>
      </c>
      <c r="D171" s="10" t="n">
        <v>10012</v>
      </c>
      <c r="E171" s="12" t="s">
        <v>318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1261364</v>
      </c>
      <c r="L171" s="10" t="n">
        <v>1957890</v>
      </c>
      <c r="M171" s="12" t="s">
        <v>33</v>
      </c>
      <c r="N171" s="12" t="s">
        <v>34</v>
      </c>
      <c r="P171" s="10" t="n">
        <v>103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3937.78</v>
      </c>
      <c r="W171" s="13" t="n">
        <v>0</v>
      </c>
      <c r="X171" s="12" t="s">
        <v>319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46195</v>
      </c>
      <c r="C172" s="11" t="n">
        <v>46205</v>
      </c>
      <c r="D172" s="10" t="n">
        <v>1643</v>
      </c>
      <c r="E172" s="12" t="s">
        <v>320</v>
      </c>
      <c r="F172" s="10" t="n">
        <v>24</v>
      </c>
      <c r="G172" s="12" t="s">
        <v>31</v>
      </c>
      <c r="H172" s="10" t="n">
        <v>2110101</v>
      </c>
      <c r="I172" s="12" t="s">
        <v>32</v>
      </c>
      <c r="J172" s="10" t="n">
        <v>1289278</v>
      </c>
      <c r="L172" s="10" t="n">
        <v>10610</v>
      </c>
      <c r="M172" s="12" t="s">
        <v>33</v>
      </c>
      <c r="N172" s="12" t="s">
        <v>34</v>
      </c>
      <c r="P172" s="10" t="n">
        <v>103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228</v>
      </c>
      <c r="W172" s="13" t="n">
        <v>0</v>
      </c>
      <c r="X172" s="12" t="s">
        <v>321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46195</v>
      </c>
      <c r="C173" s="11" t="n">
        <v>46206</v>
      </c>
      <c r="D173" s="10" t="n">
        <v>1695</v>
      </c>
      <c r="E173" s="12" t="s">
        <v>44</v>
      </c>
      <c r="F173" s="10" t="n">
        <v>24</v>
      </c>
      <c r="G173" s="12" t="s">
        <v>31</v>
      </c>
      <c r="H173" s="10" t="n">
        <v>2110101</v>
      </c>
      <c r="I173" s="12" t="s">
        <v>32</v>
      </c>
      <c r="J173" s="10" t="n">
        <v>1289622</v>
      </c>
      <c r="L173" s="10" t="n">
        <v>18761</v>
      </c>
      <c r="M173" s="12" t="s">
        <v>76</v>
      </c>
      <c r="N173" s="12" t="s">
        <v>34</v>
      </c>
      <c r="P173" s="10" t="n">
        <v>103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467.2</v>
      </c>
      <c r="W173" s="13" t="n">
        <v>0</v>
      </c>
      <c r="X173" s="12" t="s">
        <v>322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46200</v>
      </c>
      <c r="C174" s="11" t="n">
        <v>46206</v>
      </c>
      <c r="D174" s="10" t="n">
        <v>1695</v>
      </c>
      <c r="E174" s="12" t="s">
        <v>44</v>
      </c>
      <c r="F174" s="10" t="n">
        <v>24</v>
      </c>
      <c r="G174" s="12" t="s">
        <v>31</v>
      </c>
      <c r="H174" s="10" t="n">
        <v>2110101</v>
      </c>
      <c r="I174" s="12" t="s">
        <v>32</v>
      </c>
      <c r="J174" s="10" t="n">
        <v>1312829</v>
      </c>
      <c r="L174" s="10" t="n">
        <v>18891</v>
      </c>
      <c r="M174" s="12" t="s">
        <v>33</v>
      </c>
      <c r="N174" s="12" t="s">
        <v>34</v>
      </c>
      <c r="P174" s="10" t="n">
        <v>103</v>
      </c>
      <c r="Q174" s="12" t="s">
        <v>35</v>
      </c>
      <c r="R174" s="12" t="s">
        <v>36</v>
      </c>
      <c r="S174" s="10" t="n">
        <v>1130101</v>
      </c>
      <c r="T174" s="12" t="s">
        <v>37</v>
      </c>
      <c r="U174" s="13" t="n">
        <v>998</v>
      </c>
      <c r="W174" s="13" t="n">
        <v>0</v>
      </c>
      <c r="X174" s="12" t="s">
        <v>323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46192</v>
      </c>
      <c r="C175" s="11" t="n">
        <v>46206</v>
      </c>
      <c r="D175" s="10" t="n">
        <v>1705</v>
      </c>
      <c r="E175" s="12" t="s">
        <v>46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1272899</v>
      </c>
      <c r="L175" s="10" t="n">
        <v>1168004</v>
      </c>
      <c r="M175" s="12" t="s">
        <v>33</v>
      </c>
      <c r="N175" s="12" t="s">
        <v>34</v>
      </c>
      <c r="P175" s="10" t="n">
        <v>103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822.31</v>
      </c>
      <c r="W175" s="13" t="n">
        <v>0</v>
      </c>
      <c r="X175" s="12" t="s">
        <v>324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46199</v>
      </c>
      <c r="C176" s="11" t="n">
        <v>46206</v>
      </c>
      <c r="D176" s="10" t="n">
        <v>1642</v>
      </c>
      <c r="E176" s="12" t="s">
        <v>158</v>
      </c>
      <c r="F176" s="10" t="n">
        <v>24</v>
      </c>
      <c r="G176" s="12" t="s">
        <v>31</v>
      </c>
      <c r="H176" s="10" t="n">
        <v>2110101</v>
      </c>
      <c r="I176" s="12" t="s">
        <v>32</v>
      </c>
      <c r="J176" s="10" t="n">
        <v>1309270</v>
      </c>
      <c r="L176" s="10" t="n">
        <v>1029068</v>
      </c>
      <c r="M176" s="12" t="s">
        <v>33</v>
      </c>
      <c r="N176" s="12" t="s">
        <v>34</v>
      </c>
      <c r="P176" s="10" t="n">
        <v>103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1016.96</v>
      </c>
      <c r="W176" s="13" t="n">
        <v>0</v>
      </c>
      <c r="X176" s="12" t="s">
        <v>325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46206</v>
      </c>
      <c r="C177" s="11" t="n">
        <v>46206</v>
      </c>
      <c r="D177" s="10" t="n">
        <v>1607</v>
      </c>
      <c r="E177" s="12" t="s">
        <v>326</v>
      </c>
      <c r="F177" s="10" t="n">
        <v>34</v>
      </c>
      <c r="G177" s="12" t="s">
        <v>49</v>
      </c>
      <c r="H177" s="10" t="n">
        <v>1110202</v>
      </c>
      <c r="I177" s="12" t="s">
        <v>90</v>
      </c>
      <c r="J177" s="10" t="n">
        <v>1370042</v>
      </c>
      <c r="L177" s="10" t="n">
        <v>565575</v>
      </c>
      <c r="M177" s="12" t="s">
        <v>33</v>
      </c>
      <c r="N177" s="12" t="s">
        <v>66</v>
      </c>
      <c r="P177" s="10" t="n">
        <v>102</v>
      </c>
      <c r="Q177" s="12" t="s">
        <v>112</v>
      </c>
      <c r="R177" s="12" t="s">
        <v>36</v>
      </c>
      <c r="S177" s="10" t="n">
        <v>1130101</v>
      </c>
      <c r="T177" s="12" t="s">
        <v>37</v>
      </c>
      <c r="U177" s="13" t="n">
        <v>1814</v>
      </c>
      <c r="W177" s="13" t="n">
        <v>0</v>
      </c>
      <c r="X177" s="12" t="s">
        <v>327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46206</v>
      </c>
      <c r="C178" s="11" t="n">
        <v>46206</v>
      </c>
      <c r="D178" s="10" t="n">
        <v>1615</v>
      </c>
      <c r="E178" s="12" t="s">
        <v>48</v>
      </c>
      <c r="F178" s="10" t="n">
        <v>34</v>
      </c>
      <c r="G178" s="12" t="s">
        <v>49</v>
      </c>
      <c r="H178" s="10" t="n">
        <v>2110101</v>
      </c>
      <c r="I178" s="12" t="s">
        <v>32</v>
      </c>
      <c r="J178" s="10" t="n">
        <v>1345556</v>
      </c>
      <c r="L178" s="10" t="n">
        <v>14791</v>
      </c>
      <c r="M178" s="12" t="s">
        <v>33</v>
      </c>
      <c r="N178" s="12" t="s">
        <v>34</v>
      </c>
      <c r="P178" s="10" t="n">
        <v>104</v>
      </c>
      <c r="Q178" s="12" t="s">
        <v>50</v>
      </c>
      <c r="R178" s="12" t="s">
        <v>36</v>
      </c>
      <c r="S178" s="10" t="n">
        <v>1130101</v>
      </c>
      <c r="T178" s="12" t="s">
        <v>37</v>
      </c>
      <c r="U178" s="13" t="n">
        <v>890</v>
      </c>
      <c r="W178" s="13" t="n">
        <v>0</v>
      </c>
      <c r="X178" s="12" t="s">
        <v>328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46211</v>
      </c>
      <c r="C179" s="11" t="n">
        <v>46206</v>
      </c>
      <c r="D179" s="10" t="n">
        <v>557</v>
      </c>
      <c r="E179" s="12" t="s">
        <v>329</v>
      </c>
      <c r="F179" s="10" t="n">
        <v>34</v>
      </c>
      <c r="G179" s="12" t="s">
        <v>49</v>
      </c>
      <c r="H179" s="10" t="n">
        <v>1110202</v>
      </c>
      <c r="I179" s="12" t="s">
        <v>90</v>
      </c>
      <c r="J179" s="10" t="n">
        <v>1122744</v>
      </c>
      <c r="L179" s="10" t="n">
        <v>469459</v>
      </c>
      <c r="M179" s="12" t="s">
        <v>76</v>
      </c>
      <c r="N179" s="12" t="s">
        <v>66</v>
      </c>
      <c r="P179" s="10" t="n">
        <v>102</v>
      </c>
      <c r="Q179" s="12" t="s">
        <v>112</v>
      </c>
      <c r="R179" s="12" t="s">
        <v>94</v>
      </c>
      <c r="S179" s="10" t="n">
        <v>4210206</v>
      </c>
      <c r="T179" s="12" t="s">
        <v>330</v>
      </c>
      <c r="U179" s="13" t="n">
        <v>258.62</v>
      </c>
      <c r="W179" s="13" t="n">
        <v>0</v>
      </c>
      <c r="X179" s="12" t="s">
        <v>331</v>
      </c>
      <c r="Z179" s="1" t="str">
        <f aca="false">IF($T179="","",IFERROR(INDEX('Resumo Grupos'!$AC$3:$AC$200,MATCH($T179,'Resumo Grupos'!$AB$3:$AB$200,0)),"n/d"))</f>
        <v>Despesa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46193</v>
      </c>
      <c r="C180" s="11" t="n">
        <v>46206</v>
      </c>
      <c r="D180" s="10" t="n">
        <v>1718</v>
      </c>
      <c r="E180" s="12" t="s">
        <v>332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1280728</v>
      </c>
      <c r="L180" s="10" t="n">
        <v>674930</v>
      </c>
      <c r="M180" s="12" t="s">
        <v>33</v>
      </c>
      <c r="N180" s="12" t="s">
        <v>34</v>
      </c>
      <c r="P180" s="10" t="n">
        <v>103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478.42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46182</v>
      </c>
      <c r="C181" s="11" t="n">
        <v>46206</v>
      </c>
      <c r="D181" s="10" t="n">
        <v>911</v>
      </c>
      <c r="E181" s="12" t="s">
        <v>334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1227621</v>
      </c>
      <c r="L181" s="10" t="n">
        <v>50992</v>
      </c>
      <c r="M181" s="12" t="s">
        <v>33</v>
      </c>
      <c r="N181" s="12" t="s">
        <v>34</v>
      </c>
      <c r="P181" s="10" t="n">
        <v>103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400.99</v>
      </c>
      <c r="W181" s="13" t="n">
        <v>0</v>
      </c>
      <c r="X181" s="12" t="s">
        <v>335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46188</v>
      </c>
      <c r="C182" s="11" t="n">
        <v>46206</v>
      </c>
      <c r="D182" s="10" t="n">
        <v>1667</v>
      </c>
      <c r="E182" s="12" t="s">
        <v>250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1256543</v>
      </c>
      <c r="L182" s="10" t="n">
        <v>394903</v>
      </c>
      <c r="M182" s="12" t="s">
        <v>33</v>
      </c>
      <c r="N182" s="12" t="s">
        <v>34</v>
      </c>
      <c r="P182" s="10" t="n">
        <v>103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581.76</v>
      </c>
      <c r="W182" s="13" t="n">
        <v>0</v>
      </c>
      <c r="X182" s="12" t="s">
        <v>336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46206</v>
      </c>
      <c r="C183" s="11" t="n">
        <v>46206</v>
      </c>
      <c r="D183" s="10" t="n">
        <v>1137</v>
      </c>
      <c r="E183" s="12" t="s">
        <v>252</v>
      </c>
      <c r="F183" s="10" t="n">
        <v>34</v>
      </c>
      <c r="G183" s="12" t="s">
        <v>49</v>
      </c>
      <c r="H183" s="10" t="n">
        <v>1110202</v>
      </c>
      <c r="I183" s="12" t="s">
        <v>90</v>
      </c>
      <c r="J183" s="10" t="n">
        <v>1345552</v>
      </c>
      <c r="L183" s="10" t="n">
        <v>555756</v>
      </c>
      <c r="M183" s="12" t="s">
        <v>33</v>
      </c>
      <c r="N183" s="12" t="s">
        <v>66</v>
      </c>
      <c r="P183" s="10" t="n">
        <v>101</v>
      </c>
      <c r="Q183" s="12" t="s">
        <v>84</v>
      </c>
      <c r="R183" s="12" t="s">
        <v>121</v>
      </c>
      <c r="S183" s="10" t="n">
        <v>4210301</v>
      </c>
      <c r="T183" s="12" t="s">
        <v>122</v>
      </c>
      <c r="U183" s="13" t="n">
        <v>2218.28</v>
      </c>
      <c r="W183" s="13" t="n">
        <v>0</v>
      </c>
      <c r="X183" s="12" t="s">
        <v>337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46206</v>
      </c>
      <c r="C184" s="11" t="n">
        <v>46206</v>
      </c>
      <c r="D184" s="10" t="n">
        <v>717</v>
      </c>
      <c r="E184" s="12" t="s">
        <v>338</v>
      </c>
      <c r="F184" s="10" t="n">
        <v>34</v>
      </c>
      <c r="G184" s="12" t="s">
        <v>49</v>
      </c>
      <c r="H184" s="10" t="n">
        <v>1110202</v>
      </c>
      <c r="I184" s="12" t="s">
        <v>90</v>
      </c>
      <c r="J184" s="10" t="n">
        <v>1370057</v>
      </c>
      <c r="L184" s="10" t="n">
        <v>565578</v>
      </c>
      <c r="M184" s="12" t="s">
        <v>33</v>
      </c>
      <c r="N184" s="12" t="s">
        <v>66</v>
      </c>
      <c r="P184" s="10" t="n">
        <v>102</v>
      </c>
      <c r="Q184" s="12" t="s">
        <v>112</v>
      </c>
      <c r="R184" s="12" t="s">
        <v>91</v>
      </c>
      <c r="S184" s="10" t="n">
        <v>4220199</v>
      </c>
      <c r="T184" s="12" t="s">
        <v>92</v>
      </c>
      <c r="U184" s="13" t="n">
        <v>686.5</v>
      </c>
      <c r="W184" s="13" t="n">
        <v>0</v>
      </c>
      <c r="X184" s="12" t="s">
        <v>339</v>
      </c>
      <c r="Z184" s="1" t="str">
        <f aca="false">IF($T184="","",IFERROR(INDEX('Resumo Grupos'!$AC$3:$AC$200,MATCH($T184,'Resumo Grupos'!$AB$3:$AB$200,0)),"n/d"))</f>
        <v>Pagamentos outros não operacionais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46172</v>
      </c>
      <c r="C185" s="11" t="n">
        <v>46206</v>
      </c>
      <c r="D185" s="10" t="n">
        <v>10037</v>
      </c>
      <c r="E185" s="12" t="s">
        <v>340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1177340</v>
      </c>
      <c r="L185" s="10" t="n">
        <v>2068</v>
      </c>
      <c r="M185" s="12" t="s">
        <v>79</v>
      </c>
      <c r="N185" s="12" t="s">
        <v>34</v>
      </c>
      <c r="P185" s="10" t="n">
        <v>103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1609.45</v>
      </c>
      <c r="W185" s="13" t="n">
        <v>0</v>
      </c>
      <c r="X185" s="12" t="s">
        <v>341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46206</v>
      </c>
      <c r="C186" s="11" t="n">
        <v>46206</v>
      </c>
      <c r="D186" s="10" t="n">
        <v>978</v>
      </c>
      <c r="E186" s="12" t="s">
        <v>54</v>
      </c>
      <c r="F186" s="10" t="n">
        <v>13</v>
      </c>
      <c r="G186" s="12" t="s">
        <v>55</v>
      </c>
      <c r="H186" s="10" t="n">
        <v>2110101</v>
      </c>
      <c r="I186" s="12" t="s">
        <v>32</v>
      </c>
      <c r="J186" s="10" t="n">
        <v>1370269</v>
      </c>
      <c r="L186" s="10" t="n">
        <v>340</v>
      </c>
      <c r="M186" s="12" t="s">
        <v>33</v>
      </c>
      <c r="N186" s="12" t="s">
        <v>34</v>
      </c>
      <c r="P186" s="10" t="n">
        <v>104</v>
      </c>
      <c r="Q186" s="12" t="s">
        <v>50</v>
      </c>
      <c r="R186" s="12" t="s">
        <v>36</v>
      </c>
      <c r="S186" s="10" t="n">
        <v>1130101</v>
      </c>
      <c r="T186" s="12" t="s">
        <v>37</v>
      </c>
      <c r="U186" s="13" t="n">
        <v>518</v>
      </c>
      <c r="W186" s="13" t="n">
        <v>0</v>
      </c>
      <c r="X186" s="12" t="s">
        <v>342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46200</v>
      </c>
      <c r="C187" s="11" t="n">
        <v>46206</v>
      </c>
      <c r="D187" s="10" t="n">
        <v>1609</v>
      </c>
      <c r="E187" s="12" t="s">
        <v>343</v>
      </c>
      <c r="F187" s="10" t="n">
        <v>24</v>
      </c>
      <c r="G187" s="12" t="s">
        <v>31</v>
      </c>
      <c r="H187" s="10" t="n">
        <v>2110101</v>
      </c>
      <c r="I187" s="12" t="s">
        <v>32</v>
      </c>
      <c r="J187" s="10" t="n">
        <v>1313860</v>
      </c>
      <c r="L187" s="10" t="n">
        <v>5716</v>
      </c>
      <c r="M187" s="12" t="s">
        <v>33</v>
      </c>
      <c r="N187" s="12" t="s">
        <v>34</v>
      </c>
      <c r="P187" s="10" t="n">
        <v>103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1427.3</v>
      </c>
      <c r="W187" s="13" t="n">
        <v>0</v>
      </c>
      <c r="X187" s="12" t="s">
        <v>344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46206</v>
      </c>
      <c r="C188" s="11" t="n">
        <v>46206</v>
      </c>
      <c r="D188" s="10" t="n">
        <v>10035</v>
      </c>
      <c r="E188" s="12" t="s">
        <v>118</v>
      </c>
      <c r="F188" s="10" t="n">
        <v>13</v>
      </c>
      <c r="G188" s="12" t="s">
        <v>55</v>
      </c>
      <c r="H188" s="10" t="n">
        <v>2110101</v>
      </c>
      <c r="I188" s="12" t="s">
        <v>32</v>
      </c>
      <c r="J188" s="10" t="n">
        <v>1370315</v>
      </c>
      <c r="L188" s="10" t="n">
        <v>336</v>
      </c>
      <c r="M188" s="12" t="s">
        <v>33</v>
      </c>
      <c r="N188" s="12" t="s">
        <v>34</v>
      </c>
      <c r="P188" s="10" t="n">
        <v>104</v>
      </c>
      <c r="Q188" s="12" t="s">
        <v>50</v>
      </c>
      <c r="R188" s="12" t="s">
        <v>36</v>
      </c>
      <c r="S188" s="10" t="n">
        <v>1130101</v>
      </c>
      <c r="T188" s="12" t="s">
        <v>37</v>
      </c>
      <c r="U188" s="13" t="n">
        <v>665</v>
      </c>
      <c r="W188" s="13" t="n">
        <v>0</v>
      </c>
      <c r="X188" s="12" t="s">
        <v>345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46169</v>
      </c>
      <c r="C189" s="11" t="n">
        <v>46206</v>
      </c>
      <c r="D189" s="10" t="n">
        <v>1711</v>
      </c>
      <c r="E189" s="12" t="s">
        <v>346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1162093</v>
      </c>
      <c r="L189" s="10" t="n">
        <v>155121</v>
      </c>
      <c r="M189" s="12" t="s">
        <v>79</v>
      </c>
      <c r="N189" s="12" t="s">
        <v>34</v>
      </c>
      <c r="P189" s="10" t="n">
        <v>103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1118.57</v>
      </c>
      <c r="W189" s="13" t="n">
        <v>0</v>
      </c>
      <c r="X189" s="12" t="s">
        <v>347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46188</v>
      </c>
      <c r="C190" s="11" t="n">
        <v>46206</v>
      </c>
      <c r="D190" s="10" t="n">
        <v>1270</v>
      </c>
      <c r="E190" s="12" t="s">
        <v>348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1255192</v>
      </c>
      <c r="L190" s="10" t="n">
        <v>2521</v>
      </c>
      <c r="M190" s="12" t="s">
        <v>33</v>
      </c>
      <c r="N190" s="12" t="s">
        <v>34</v>
      </c>
      <c r="P190" s="10" t="n">
        <v>103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665</v>
      </c>
      <c r="W190" s="13" t="n">
        <v>0</v>
      </c>
      <c r="X190" s="12" t="s">
        <v>349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46193</v>
      </c>
      <c r="C191" s="11" t="n">
        <v>46206</v>
      </c>
      <c r="D191" s="10" t="n">
        <v>1270</v>
      </c>
      <c r="E191" s="12" t="s">
        <v>348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1280685</v>
      </c>
      <c r="L191" s="10" t="n">
        <v>2554</v>
      </c>
      <c r="M191" s="12" t="s">
        <v>33</v>
      </c>
      <c r="N191" s="12" t="s">
        <v>34</v>
      </c>
      <c r="P191" s="10" t="n">
        <v>103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812.5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46200</v>
      </c>
      <c r="C192" s="11" t="n">
        <v>46206</v>
      </c>
      <c r="D192" s="10" t="n">
        <v>1363</v>
      </c>
      <c r="E192" s="12" t="s">
        <v>177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1313451</v>
      </c>
      <c r="L192" s="10" t="n">
        <v>3442</v>
      </c>
      <c r="M192" s="12" t="s">
        <v>33</v>
      </c>
      <c r="N192" s="12" t="s">
        <v>34</v>
      </c>
      <c r="P192" s="10" t="n">
        <v>103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399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46181</v>
      </c>
      <c r="C193" s="11" t="n">
        <v>46206</v>
      </c>
      <c r="D193" s="10" t="n">
        <v>1699</v>
      </c>
      <c r="E193" s="12" t="s">
        <v>124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1222961</v>
      </c>
      <c r="L193" s="10" t="n">
        <v>303409</v>
      </c>
      <c r="M193" s="12" t="s">
        <v>40</v>
      </c>
      <c r="N193" s="12" t="s">
        <v>34</v>
      </c>
      <c r="P193" s="10" t="n">
        <v>103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1037.84</v>
      </c>
      <c r="W193" s="13" t="n">
        <v>0</v>
      </c>
      <c r="X193" s="12" t="s">
        <v>352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46199</v>
      </c>
      <c r="C194" s="11" t="n">
        <v>46206</v>
      </c>
      <c r="D194" s="10" t="n">
        <v>1625</v>
      </c>
      <c r="E194" s="12" t="s">
        <v>62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1310018</v>
      </c>
      <c r="L194" s="10" t="n">
        <v>14562</v>
      </c>
      <c r="M194" s="12" t="s">
        <v>33</v>
      </c>
      <c r="N194" s="12" t="s">
        <v>34</v>
      </c>
      <c r="P194" s="10" t="n">
        <v>103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6075.66</v>
      </c>
      <c r="W194" s="13" t="n">
        <v>0</v>
      </c>
      <c r="X194" s="12" t="s">
        <v>353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46206</v>
      </c>
      <c r="C195" s="11" t="n">
        <v>46206</v>
      </c>
      <c r="D195" s="10" t="n">
        <v>48</v>
      </c>
      <c r="E195" s="12" t="s">
        <v>266</v>
      </c>
      <c r="F195" s="10" t="n">
        <v>34</v>
      </c>
      <c r="G195" s="12" t="s">
        <v>49</v>
      </c>
      <c r="H195" s="10" t="n">
        <v>1110202</v>
      </c>
      <c r="I195" s="12" t="s">
        <v>90</v>
      </c>
      <c r="J195" s="10" t="n">
        <v>1345449</v>
      </c>
      <c r="L195" s="10" t="n">
        <v>555715</v>
      </c>
      <c r="M195" s="12" t="s">
        <v>33</v>
      </c>
      <c r="N195" s="12" t="s">
        <v>66</v>
      </c>
      <c r="P195" s="10" t="n">
        <v>102</v>
      </c>
      <c r="Q195" s="12" t="s">
        <v>112</v>
      </c>
      <c r="R195" s="12" t="s">
        <v>36</v>
      </c>
      <c r="S195" s="10" t="n">
        <v>1130101</v>
      </c>
      <c r="T195" s="12" t="s">
        <v>37</v>
      </c>
      <c r="U195" s="13" t="n">
        <v>240</v>
      </c>
      <c r="W195" s="13" t="n">
        <v>0</v>
      </c>
      <c r="X195" s="12" t="s">
        <v>354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46202</v>
      </c>
      <c r="C196" s="11" t="n">
        <v>46206</v>
      </c>
      <c r="D196" s="10" t="n">
        <v>1328</v>
      </c>
      <c r="E196" s="12" t="s">
        <v>186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1321792</v>
      </c>
      <c r="L196" s="10" t="n">
        <v>3901</v>
      </c>
      <c r="M196" s="12" t="s">
        <v>33</v>
      </c>
      <c r="N196" s="12" t="s">
        <v>34</v>
      </c>
      <c r="P196" s="10" t="n">
        <v>103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226.4</v>
      </c>
      <c r="W196" s="13" t="n">
        <v>0</v>
      </c>
      <c r="X196" s="12" t="s">
        <v>355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46195</v>
      </c>
      <c r="C197" s="11" t="n">
        <v>46206</v>
      </c>
      <c r="D197" s="10" t="n">
        <v>1740</v>
      </c>
      <c r="E197" s="12" t="s">
        <v>312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1289301</v>
      </c>
      <c r="L197" s="10" t="n">
        <v>1238958</v>
      </c>
      <c r="M197" s="12" t="s">
        <v>33</v>
      </c>
      <c r="N197" s="12" t="s">
        <v>34</v>
      </c>
      <c r="P197" s="10" t="n">
        <v>103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2272.58</v>
      </c>
      <c r="W197" s="13" t="n">
        <v>0</v>
      </c>
      <c r="X197" s="12" t="s">
        <v>356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46200</v>
      </c>
      <c r="C198" s="11" t="n">
        <v>46206</v>
      </c>
      <c r="D198" s="10" t="n">
        <v>1749</v>
      </c>
      <c r="E198" s="12" t="s">
        <v>188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1312870</v>
      </c>
      <c r="L198" s="10" t="n">
        <v>2033</v>
      </c>
      <c r="M198" s="12" t="s">
        <v>33</v>
      </c>
      <c r="N198" s="12" t="s">
        <v>34</v>
      </c>
      <c r="P198" s="10" t="n">
        <v>103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754.42</v>
      </c>
      <c r="W198" s="13" t="n">
        <v>0</v>
      </c>
      <c r="X198" s="12" t="s">
        <v>357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46203</v>
      </c>
      <c r="C199" s="11" t="n">
        <v>46206</v>
      </c>
      <c r="D199" s="10" t="n">
        <v>1899</v>
      </c>
      <c r="E199" s="12" t="s">
        <v>131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1331254</v>
      </c>
      <c r="L199" s="10" t="n">
        <v>687</v>
      </c>
      <c r="M199" s="12" t="s">
        <v>33</v>
      </c>
      <c r="N199" s="12" t="s">
        <v>34</v>
      </c>
      <c r="P199" s="10" t="n">
        <v>103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1400</v>
      </c>
      <c r="W199" s="13" t="n">
        <v>0</v>
      </c>
      <c r="X199" s="12" t="s">
        <v>358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46188</v>
      </c>
      <c r="C200" s="11" t="n">
        <v>46206</v>
      </c>
      <c r="D200" s="10" t="n">
        <v>10017</v>
      </c>
      <c r="E200" s="12" t="s">
        <v>271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1256691</v>
      </c>
      <c r="L200" s="10" t="n">
        <v>193354</v>
      </c>
      <c r="M200" s="12" t="s">
        <v>76</v>
      </c>
      <c r="N200" s="12" t="s">
        <v>34</v>
      </c>
      <c r="P200" s="10" t="n">
        <v>103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372.09</v>
      </c>
      <c r="W200" s="13" t="n">
        <v>0</v>
      </c>
      <c r="X200" s="12" t="s">
        <v>359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46206</v>
      </c>
      <c r="C201" s="11" t="n">
        <v>46206</v>
      </c>
      <c r="D201" s="10" t="n">
        <v>804</v>
      </c>
      <c r="E201" s="12" t="s">
        <v>360</v>
      </c>
      <c r="F201" s="10" t="n">
        <v>34</v>
      </c>
      <c r="G201" s="12" t="s">
        <v>49</v>
      </c>
      <c r="H201" s="10" t="n">
        <v>1110202</v>
      </c>
      <c r="I201" s="12" t="s">
        <v>90</v>
      </c>
      <c r="J201" s="10" t="n">
        <v>1345468</v>
      </c>
      <c r="L201" s="10" t="n">
        <v>555723</v>
      </c>
      <c r="M201" s="12" t="s">
        <v>33</v>
      </c>
      <c r="N201" s="12" t="s">
        <v>66</v>
      </c>
      <c r="P201" s="10" t="n">
        <v>101</v>
      </c>
      <c r="Q201" s="12" t="s">
        <v>84</v>
      </c>
      <c r="R201" s="12" t="s">
        <v>91</v>
      </c>
      <c r="S201" s="10" t="n">
        <v>4220199</v>
      </c>
      <c r="T201" s="12" t="s">
        <v>92</v>
      </c>
      <c r="U201" s="13" t="n">
        <v>4554</v>
      </c>
      <c r="W201" s="13" t="n">
        <v>0</v>
      </c>
      <c r="X201" s="12" t="s">
        <v>361</v>
      </c>
      <c r="Z201" s="1" t="str">
        <f aca="false">IF($T201="","",IFERROR(INDEX('Resumo Grupos'!$AC$3:$AC$200,MATCH($T201,'Resumo Grupos'!$AB$3:$AB$200,0)),"n/d"))</f>
        <v>Pagamentos outros não operacionais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46206</v>
      </c>
      <c r="C202" s="11" t="n">
        <v>46206</v>
      </c>
      <c r="D202" s="10" t="n">
        <v>804</v>
      </c>
      <c r="E202" s="12" t="s">
        <v>360</v>
      </c>
      <c r="F202" s="10" t="n">
        <v>34</v>
      </c>
      <c r="G202" s="12" t="s">
        <v>49</v>
      </c>
      <c r="H202" s="10" t="n">
        <v>1110202</v>
      </c>
      <c r="I202" s="12" t="s">
        <v>90</v>
      </c>
      <c r="J202" s="10" t="n">
        <v>1345474</v>
      </c>
      <c r="L202" s="10" t="n">
        <v>555724</v>
      </c>
      <c r="M202" s="12" t="s">
        <v>33</v>
      </c>
      <c r="N202" s="12" t="s">
        <v>66</v>
      </c>
      <c r="P202" s="10" t="n">
        <v>101</v>
      </c>
      <c r="Q202" s="12" t="s">
        <v>84</v>
      </c>
      <c r="R202" s="12" t="s">
        <v>94</v>
      </c>
      <c r="S202" s="10" t="n">
        <v>4210203</v>
      </c>
      <c r="T202" s="12" t="s">
        <v>362</v>
      </c>
      <c r="U202" s="13" t="n">
        <v>2293.29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46206</v>
      </c>
      <c r="C203" s="11" t="n">
        <v>46206</v>
      </c>
      <c r="D203" s="10" t="n">
        <v>33</v>
      </c>
      <c r="E203" s="12" t="s">
        <v>64</v>
      </c>
      <c r="F203" s="10" t="n">
        <v>34</v>
      </c>
      <c r="G203" s="12" t="s">
        <v>49</v>
      </c>
      <c r="H203" s="10" t="n">
        <v>2110101</v>
      </c>
      <c r="I203" s="12" t="s">
        <v>32</v>
      </c>
      <c r="J203" s="10" t="n">
        <v>1345214</v>
      </c>
      <c r="L203" s="10" t="n">
        <v>5238</v>
      </c>
      <c r="M203" s="12" t="s">
        <v>33</v>
      </c>
      <c r="N203" s="12" t="s">
        <v>34</v>
      </c>
      <c r="P203" s="10" t="n">
        <v>104</v>
      </c>
      <c r="Q203" s="12" t="s">
        <v>50</v>
      </c>
      <c r="R203" s="12" t="s">
        <v>36</v>
      </c>
      <c r="S203" s="10" t="n">
        <v>1130101</v>
      </c>
      <c r="T203" s="12" t="s">
        <v>37</v>
      </c>
      <c r="U203" s="13" t="n">
        <v>2905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46206</v>
      </c>
      <c r="C204" s="11" t="n">
        <v>46206</v>
      </c>
      <c r="D204" s="10" t="n">
        <v>33</v>
      </c>
      <c r="E204" s="12" t="s">
        <v>64</v>
      </c>
      <c r="F204" s="10" t="n">
        <v>13</v>
      </c>
      <c r="G204" s="12" t="s">
        <v>55</v>
      </c>
      <c r="H204" s="10" t="n">
        <v>2110101</v>
      </c>
      <c r="I204" s="12" t="s">
        <v>32</v>
      </c>
      <c r="J204" s="10" t="n">
        <v>1345330</v>
      </c>
      <c r="L204" s="10" t="n">
        <v>5239</v>
      </c>
      <c r="M204" s="12" t="s">
        <v>33</v>
      </c>
      <c r="N204" s="12" t="s">
        <v>34</v>
      </c>
      <c r="P204" s="10" t="n">
        <v>104</v>
      </c>
      <c r="Q204" s="12" t="s">
        <v>50</v>
      </c>
      <c r="R204" s="12" t="s">
        <v>36</v>
      </c>
      <c r="S204" s="10" t="n">
        <v>1130101</v>
      </c>
      <c r="T204" s="12" t="s">
        <v>37</v>
      </c>
      <c r="U204" s="13" t="n">
        <v>400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46206</v>
      </c>
      <c r="C205" s="11" t="n">
        <v>46206</v>
      </c>
      <c r="D205" s="10" t="n">
        <v>33</v>
      </c>
      <c r="E205" s="12" t="s">
        <v>64</v>
      </c>
      <c r="F205" s="10" t="n">
        <v>34</v>
      </c>
      <c r="G205" s="12" t="s">
        <v>49</v>
      </c>
      <c r="H205" s="10" t="n">
        <v>2110101</v>
      </c>
      <c r="I205" s="12" t="s">
        <v>32</v>
      </c>
      <c r="J205" s="10" t="n">
        <v>1345531</v>
      </c>
      <c r="L205" s="10" t="n">
        <v>5240</v>
      </c>
      <c r="M205" s="12" t="s">
        <v>33</v>
      </c>
      <c r="N205" s="12" t="s">
        <v>34</v>
      </c>
      <c r="P205" s="10" t="n">
        <v>104</v>
      </c>
      <c r="Q205" s="12" t="s">
        <v>50</v>
      </c>
      <c r="R205" s="12" t="s">
        <v>36</v>
      </c>
      <c r="S205" s="10" t="n">
        <v>1130101</v>
      </c>
      <c r="T205" s="12" t="s">
        <v>37</v>
      </c>
      <c r="U205" s="13" t="n">
        <v>3621</v>
      </c>
      <c r="W205" s="13" t="n">
        <v>0</v>
      </c>
      <c r="X205" s="12" t="s">
        <v>65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46206</v>
      </c>
      <c r="C206" s="11" t="n">
        <v>46206</v>
      </c>
      <c r="D206" s="10" t="n">
        <v>33</v>
      </c>
      <c r="E206" s="12" t="s">
        <v>64</v>
      </c>
      <c r="F206" s="10" t="n">
        <v>34</v>
      </c>
      <c r="G206" s="12" t="s">
        <v>49</v>
      </c>
      <c r="H206" s="10" t="n">
        <v>2110101</v>
      </c>
      <c r="I206" s="12" t="s">
        <v>32</v>
      </c>
      <c r="J206" s="10" t="n">
        <v>1345567</v>
      </c>
      <c r="L206" s="10" t="n">
        <v>555763</v>
      </c>
      <c r="M206" s="12" t="s">
        <v>33</v>
      </c>
      <c r="N206" s="12" t="s">
        <v>66</v>
      </c>
      <c r="P206" s="10" t="n">
        <v>104</v>
      </c>
      <c r="Q206" s="12" t="s">
        <v>50</v>
      </c>
      <c r="R206" s="12" t="s">
        <v>36</v>
      </c>
      <c r="S206" s="10" t="n">
        <v>1130101</v>
      </c>
      <c r="T206" s="12" t="s">
        <v>37</v>
      </c>
      <c r="U206" s="13" t="n">
        <v>90</v>
      </c>
      <c r="W206" s="13" t="n">
        <v>0</v>
      </c>
      <c r="X206" s="12" t="s">
        <v>366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46206</v>
      </c>
      <c r="C207" s="11" t="n">
        <v>46206</v>
      </c>
      <c r="D207" s="10" t="n">
        <v>33</v>
      </c>
      <c r="E207" s="12" t="s">
        <v>64</v>
      </c>
      <c r="F207" s="10" t="n">
        <v>13</v>
      </c>
      <c r="G207" s="12" t="s">
        <v>55</v>
      </c>
      <c r="H207" s="10" t="n">
        <v>2110101</v>
      </c>
      <c r="I207" s="12" t="s">
        <v>32</v>
      </c>
      <c r="J207" s="10" t="n">
        <v>1346016</v>
      </c>
      <c r="L207" s="10" t="n">
        <v>5249</v>
      </c>
      <c r="M207" s="12" t="s">
        <v>33</v>
      </c>
      <c r="N207" s="12" t="s">
        <v>34</v>
      </c>
      <c r="P207" s="10" t="n">
        <v>104</v>
      </c>
      <c r="Q207" s="12" t="s">
        <v>50</v>
      </c>
      <c r="R207" s="12" t="s">
        <v>36</v>
      </c>
      <c r="S207" s="10" t="n">
        <v>1130101</v>
      </c>
      <c r="T207" s="12" t="s">
        <v>37</v>
      </c>
      <c r="U207" s="13" t="n">
        <v>350</v>
      </c>
      <c r="W207" s="13" t="n">
        <v>350</v>
      </c>
      <c r="X207" s="12" t="s">
        <v>195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46183</v>
      </c>
      <c r="C208" s="11" t="n">
        <v>46206</v>
      </c>
      <c r="D208" s="10" t="n">
        <v>1624</v>
      </c>
      <c r="E208" s="12" t="s">
        <v>367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1230768</v>
      </c>
      <c r="L208" s="10" t="n">
        <v>657246</v>
      </c>
      <c r="M208" s="12" t="s">
        <v>33</v>
      </c>
      <c r="N208" s="12" t="s">
        <v>34</v>
      </c>
      <c r="P208" s="10" t="n">
        <v>103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1755.4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46195</v>
      </c>
      <c r="C209" s="11" t="n">
        <v>46206</v>
      </c>
      <c r="D209" s="10" t="n">
        <v>1292</v>
      </c>
      <c r="E209" s="12" t="s">
        <v>369</v>
      </c>
      <c r="F209" s="10" t="n">
        <v>24</v>
      </c>
      <c r="G209" s="12" t="s">
        <v>31</v>
      </c>
      <c r="H209" s="10" t="n">
        <v>2110102</v>
      </c>
      <c r="I209" s="12" t="s">
        <v>197</v>
      </c>
      <c r="J209" s="10" t="n">
        <v>1289607</v>
      </c>
      <c r="L209" s="10" t="n">
        <v>3441</v>
      </c>
      <c r="M209" s="12" t="s">
        <v>33</v>
      </c>
      <c r="N209" s="12" t="s">
        <v>34</v>
      </c>
      <c r="P209" s="10" t="n">
        <v>103</v>
      </c>
      <c r="Q209" s="12" t="s">
        <v>35</v>
      </c>
      <c r="R209" s="12" t="s">
        <v>94</v>
      </c>
      <c r="S209" s="10" t="n">
        <v>4210204</v>
      </c>
      <c r="T209" s="12" t="s">
        <v>198</v>
      </c>
      <c r="U209" s="13" t="n">
        <v>717.5</v>
      </c>
      <c r="W209" s="13" t="n">
        <v>0</v>
      </c>
      <c r="X209" s="12" t="s">
        <v>370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46195</v>
      </c>
      <c r="C210" s="11" t="n">
        <v>46206</v>
      </c>
      <c r="D210" s="10" t="n">
        <v>1292</v>
      </c>
      <c r="E210" s="12" t="s">
        <v>369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1289612</v>
      </c>
      <c r="L210" s="10" t="n">
        <v>3442</v>
      </c>
      <c r="M210" s="12" t="s">
        <v>76</v>
      </c>
      <c r="N210" s="12" t="s">
        <v>34</v>
      </c>
      <c r="P210" s="10" t="n">
        <v>103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854.5</v>
      </c>
      <c r="W210" s="13" t="n">
        <v>0</v>
      </c>
      <c r="X210" s="12" t="s">
        <v>371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46188</v>
      </c>
      <c r="C211" s="11" t="n">
        <v>46206</v>
      </c>
      <c r="D211" s="10" t="n">
        <v>1666</v>
      </c>
      <c r="E211" s="12" t="s">
        <v>139</v>
      </c>
      <c r="F211" s="10" t="n">
        <v>24</v>
      </c>
      <c r="G211" s="12" t="s">
        <v>31</v>
      </c>
      <c r="H211" s="10" t="n">
        <v>2110101</v>
      </c>
      <c r="I211" s="12" t="s">
        <v>32</v>
      </c>
      <c r="J211" s="10" t="n">
        <v>1256489</v>
      </c>
      <c r="L211" s="10" t="n">
        <v>563233</v>
      </c>
      <c r="M211" s="12" t="s">
        <v>76</v>
      </c>
      <c r="N211" s="12" t="s">
        <v>34</v>
      </c>
      <c r="P211" s="10" t="n">
        <v>103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5018.57</v>
      </c>
      <c r="W211" s="13" t="n">
        <v>0</v>
      </c>
      <c r="X211" s="12" t="s">
        <v>372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46200</v>
      </c>
      <c r="C212" s="11" t="n">
        <v>46206</v>
      </c>
      <c r="D212" s="10" t="n">
        <v>1666</v>
      </c>
      <c r="E212" s="12" t="s">
        <v>139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1312788</v>
      </c>
      <c r="L212" s="10" t="n">
        <v>565012</v>
      </c>
      <c r="M212" s="12" t="s">
        <v>33</v>
      </c>
      <c r="N212" s="12" t="s">
        <v>34</v>
      </c>
      <c r="P212" s="10" t="n">
        <v>103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5229.62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46200</v>
      </c>
      <c r="C213" s="11" t="n">
        <v>46206</v>
      </c>
      <c r="D213" s="10" t="n">
        <v>1286</v>
      </c>
      <c r="E213" s="12" t="s">
        <v>216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1313459</v>
      </c>
      <c r="L213" s="10" t="n">
        <v>10182</v>
      </c>
      <c r="M213" s="12" t="s">
        <v>33</v>
      </c>
      <c r="N213" s="12" t="s">
        <v>34</v>
      </c>
      <c r="P213" s="10" t="n">
        <v>103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1125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46184</v>
      </c>
      <c r="C214" s="11" t="n">
        <v>46207</v>
      </c>
      <c r="D214" s="10" t="n">
        <v>1659</v>
      </c>
      <c r="E214" s="12" t="s">
        <v>39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1236106</v>
      </c>
      <c r="L214" s="10" t="n">
        <v>877772</v>
      </c>
      <c r="M214" s="12" t="s">
        <v>76</v>
      </c>
      <c r="N214" s="12" t="s">
        <v>34</v>
      </c>
      <c r="P214" s="10" t="n">
        <v>103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376.07</v>
      </c>
      <c r="W214" s="13" t="n">
        <v>0</v>
      </c>
      <c r="X214" s="12" t="s">
        <v>375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46196</v>
      </c>
      <c r="C215" s="11" t="n">
        <v>46207</v>
      </c>
      <c r="D215" s="10" t="n">
        <v>1705</v>
      </c>
      <c r="E215" s="12" t="s">
        <v>46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1295867</v>
      </c>
      <c r="L215" s="10" t="n">
        <v>1170325</v>
      </c>
      <c r="M215" s="12" t="s">
        <v>33</v>
      </c>
      <c r="N215" s="12" t="s">
        <v>34</v>
      </c>
      <c r="P215" s="10" t="n">
        <v>103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3036.55</v>
      </c>
      <c r="W215" s="13" t="n">
        <v>0</v>
      </c>
      <c r="X215" s="12" t="s">
        <v>376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46196</v>
      </c>
      <c r="C216" s="11" t="n">
        <v>46207</v>
      </c>
      <c r="D216" s="10" t="n">
        <v>1705</v>
      </c>
      <c r="E216" s="12" t="s">
        <v>46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1296332</v>
      </c>
      <c r="L216" s="10" t="n">
        <v>1892110</v>
      </c>
      <c r="M216" s="12" t="s">
        <v>33</v>
      </c>
      <c r="N216" s="12" t="s">
        <v>34</v>
      </c>
      <c r="P216" s="10" t="n">
        <v>103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6040.63</v>
      </c>
      <c r="W216" s="13" t="n">
        <v>0</v>
      </c>
      <c r="X216" s="12" t="s">
        <v>377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46198</v>
      </c>
      <c r="C217" s="11" t="n">
        <v>46207</v>
      </c>
      <c r="D217" s="10" t="n">
        <v>1723</v>
      </c>
      <c r="E217" s="12" t="s">
        <v>378</v>
      </c>
      <c r="F217" s="10" t="n">
        <v>24</v>
      </c>
      <c r="G217" s="12" t="s">
        <v>31</v>
      </c>
      <c r="H217" s="10" t="n">
        <v>2110101</v>
      </c>
      <c r="I217" s="12" t="s">
        <v>32</v>
      </c>
      <c r="J217" s="10" t="n">
        <v>1306185</v>
      </c>
      <c r="L217" s="10" t="n">
        <v>172090</v>
      </c>
      <c r="M217" s="12" t="s">
        <v>33</v>
      </c>
      <c r="N217" s="12" t="s">
        <v>34</v>
      </c>
      <c r="P217" s="10" t="n">
        <v>103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5951.8</v>
      </c>
      <c r="W217" s="13" t="n">
        <v>0</v>
      </c>
      <c r="X217" s="12" t="s">
        <v>379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46193</v>
      </c>
      <c r="C218" s="11" t="n">
        <v>46207</v>
      </c>
      <c r="D218" s="10" t="n">
        <v>1711</v>
      </c>
      <c r="E218" s="12" t="s">
        <v>346</v>
      </c>
      <c r="F218" s="10" t="n">
        <v>24</v>
      </c>
      <c r="G218" s="12" t="s">
        <v>31</v>
      </c>
      <c r="H218" s="10" t="n">
        <v>2110102</v>
      </c>
      <c r="I218" s="12" t="s">
        <v>197</v>
      </c>
      <c r="J218" s="10" t="n">
        <v>1279613</v>
      </c>
      <c r="L218" s="10" t="n">
        <v>156812</v>
      </c>
      <c r="M218" s="12" t="s">
        <v>33</v>
      </c>
      <c r="N218" s="12" t="s">
        <v>34</v>
      </c>
      <c r="P218" s="10" t="n">
        <v>103</v>
      </c>
      <c r="Q218" s="12" t="s">
        <v>35</v>
      </c>
      <c r="R218" s="12" t="s">
        <v>94</v>
      </c>
      <c r="S218" s="10" t="n">
        <v>4210205</v>
      </c>
      <c r="T218" s="12" t="s">
        <v>380</v>
      </c>
      <c r="U218" s="13" t="n">
        <v>431.8</v>
      </c>
      <c r="W218" s="13" t="n">
        <v>0</v>
      </c>
      <c r="X218" s="12" t="s">
        <v>381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46191</v>
      </c>
      <c r="C219" s="11" t="n">
        <v>46207</v>
      </c>
      <c r="D219" s="10" t="n">
        <v>1672</v>
      </c>
      <c r="E219" s="12" t="s">
        <v>59</v>
      </c>
      <c r="F219" s="10" t="n">
        <v>24</v>
      </c>
      <c r="G219" s="12" t="s">
        <v>31</v>
      </c>
      <c r="H219" s="10" t="n">
        <v>2110101</v>
      </c>
      <c r="I219" s="12" t="s">
        <v>32</v>
      </c>
      <c r="J219" s="10" t="n">
        <v>1270189</v>
      </c>
      <c r="L219" s="10" t="n">
        <v>1372912</v>
      </c>
      <c r="M219" s="12" t="s">
        <v>33</v>
      </c>
      <c r="N219" s="12" t="s">
        <v>34</v>
      </c>
      <c r="P219" s="10" t="n">
        <v>103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778.4</v>
      </c>
      <c r="W219" s="13" t="n">
        <v>0</v>
      </c>
      <c r="X219" s="12" t="s">
        <v>382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46203</v>
      </c>
      <c r="C220" s="11" t="n">
        <v>46207</v>
      </c>
      <c r="D220" s="10" t="n">
        <v>1625</v>
      </c>
      <c r="E220" s="12" t="s">
        <v>62</v>
      </c>
      <c r="F220" s="10" t="n">
        <v>24</v>
      </c>
      <c r="G220" s="12" t="s">
        <v>31</v>
      </c>
      <c r="H220" s="10" t="n">
        <v>2110101</v>
      </c>
      <c r="I220" s="12" t="s">
        <v>32</v>
      </c>
      <c r="J220" s="10" t="n">
        <v>1329338</v>
      </c>
      <c r="L220" s="10" t="n">
        <v>14571</v>
      </c>
      <c r="M220" s="12" t="s">
        <v>33</v>
      </c>
      <c r="N220" s="12" t="s">
        <v>34</v>
      </c>
      <c r="P220" s="10" t="n">
        <v>103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9942.14</v>
      </c>
      <c r="W220" s="13" t="n">
        <v>0</v>
      </c>
      <c r="X220" s="12" t="s">
        <v>383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46172</v>
      </c>
      <c r="C221" s="11" t="n">
        <v>46207</v>
      </c>
      <c r="D221" s="10" t="n">
        <v>607</v>
      </c>
      <c r="E221" s="12" t="s">
        <v>81</v>
      </c>
      <c r="F221" s="10" t="n">
        <v>24</v>
      </c>
      <c r="G221" s="12" t="s">
        <v>31</v>
      </c>
      <c r="H221" s="10" t="n">
        <v>2110101</v>
      </c>
      <c r="I221" s="12" t="s">
        <v>32</v>
      </c>
      <c r="J221" s="10" t="n">
        <v>1177249</v>
      </c>
      <c r="L221" s="10" t="n">
        <v>10589</v>
      </c>
      <c r="M221" s="12" t="s">
        <v>40</v>
      </c>
      <c r="N221" s="12" t="s">
        <v>34</v>
      </c>
      <c r="P221" s="10" t="n">
        <v>103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1060.9</v>
      </c>
      <c r="W221" s="13" t="n">
        <v>0</v>
      </c>
      <c r="X221" s="12" t="s">
        <v>384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46207</v>
      </c>
      <c r="C222" s="11" t="n">
        <v>46207</v>
      </c>
      <c r="D222" s="10" t="n">
        <v>33</v>
      </c>
      <c r="E222" s="12" t="s">
        <v>64</v>
      </c>
      <c r="F222" s="10" t="n">
        <v>13</v>
      </c>
      <c r="G222" s="12" t="s">
        <v>55</v>
      </c>
      <c r="H222" s="10" t="n">
        <v>2110101</v>
      </c>
      <c r="I222" s="12" t="s">
        <v>32</v>
      </c>
      <c r="J222" s="10" t="n">
        <v>1348399</v>
      </c>
      <c r="L222" s="10" t="n">
        <v>5250</v>
      </c>
      <c r="M222" s="12" t="s">
        <v>33</v>
      </c>
      <c r="N222" s="12" t="s">
        <v>34</v>
      </c>
      <c r="P222" s="10" t="n">
        <v>104</v>
      </c>
      <c r="Q222" s="12" t="s">
        <v>50</v>
      </c>
      <c r="R222" s="12" t="s">
        <v>36</v>
      </c>
      <c r="S222" s="10" t="n">
        <v>1130101</v>
      </c>
      <c r="T222" s="12" t="s">
        <v>37</v>
      </c>
      <c r="U222" s="13" t="n">
        <v>280</v>
      </c>
      <c r="W222" s="13" t="n">
        <v>280</v>
      </c>
      <c r="X222" s="12" t="s">
        <v>195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46200</v>
      </c>
      <c r="C223" s="11" t="n">
        <v>46207</v>
      </c>
      <c r="D223" s="10" t="n">
        <v>10006</v>
      </c>
      <c r="E223" s="12" t="s">
        <v>385</v>
      </c>
      <c r="F223" s="10" t="n">
        <v>24</v>
      </c>
      <c r="G223" s="12" t="s">
        <v>31</v>
      </c>
      <c r="H223" s="10" t="n">
        <v>2110405</v>
      </c>
      <c r="I223" s="12" t="s">
        <v>153</v>
      </c>
      <c r="J223" s="10" t="n">
        <v>1312823</v>
      </c>
      <c r="L223" s="10" t="n">
        <v>543586</v>
      </c>
      <c r="M223" s="12" t="s">
        <v>33</v>
      </c>
      <c r="N223" s="12" t="s">
        <v>66</v>
      </c>
      <c r="P223" s="10" t="n">
        <v>101</v>
      </c>
      <c r="Q223" s="12" t="s">
        <v>84</v>
      </c>
      <c r="R223" s="12" t="s">
        <v>94</v>
      </c>
      <c r="S223" s="10" t="n">
        <v>4210233</v>
      </c>
      <c r="T223" s="12" t="s">
        <v>386</v>
      </c>
      <c r="U223" s="13" t="n">
        <v>258</v>
      </c>
      <c r="W223" s="13" t="n">
        <v>0</v>
      </c>
      <c r="X223" s="12" t="s">
        <v>387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46170</v>
      </c>
      <c r="C224" s="11" t="n">
        <v>46208</v>
      </c>
      <c r="D224" s="10" t="n">
        <v>1779</v>
      </c>
      <c r="E224" s="12" t="s">
        <v>388</v>
      </c>
      <c r="F224" s="10" t="n">
        <v>35</v>
      </c>
      <c r="G224" s="12" t="s">
        <v>389</v>
      </c>
      <c r="H224" s="10" t="n">
        <v>2110101</v>
      </c>
      <c r="I224" s="12" t="s">
        <v>32</v>
      </c>
      <c r="J224" s="10" t="n">
        <v>1166902</v>
      </c>
      <c r="L224" s="10" t="n">
        <v>486494</v>
      </c>
      <c r="M224" s="12" t="s">
        <v>33</v>
      </c>
      <c r="N224" s="12" t="s">
        <v>66</v>
      </c>
      <c r="P224" s="10" t="n">
        <v>102</v>
      </c>
      <c r="Q224" s="12" t="s">
        <v>112</v>
      </c>
      <c r="R224" s="12" t="s">
        <v>36</v>
      </c>
      <c r="S224" s="10" t="n">
        <v>1130101</v>
      </c>
      <c r="T224" s="12" t="s">
        <v>37</v>
      </c>
      <c r="U224" s="13" t="n">
        <v>2404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46192</v>
      </c>
      <c r="C225" s="11" t="n">
        <v>46208</v>
      </c>
      <c r="D225" s="10" t="n">
        <v>1613</v>
      </c>
      <c r="E225" s="12" t="s">
        <v>71</v>
      </c>
      <c r="F225" s="10" t="n">
        <v>24</v>
      </c>
      <c r="G225" s="12" t="s">
        <v>31</v>
      </c>
      <c r="H225" s="10" t="n">
        <v>2110101</v>
      </c>
      <c r="I225" s="12" t="s">
        <v>32</v>
      </c>
      <c r="J225" s="10" t="n">
        <v>1272759</v>
      </c>
      <c r="L225" s="10" t="n">
        <v>1597184</v>
      </c>
      <c r="M225" s="12" t="s">
        <v>76</v>
      </c>
      <c r="N225" s="12" t="s">
        <v>34</v>
      </c>
      <c r="P225" s="10" t="n">
        <v>103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607.26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46199</v>
      </c>
      <c r="C226" s="11" t="n">
        <v>46208</v>
      </c>
      <c r="D226" s="10" t="n">
        <v>1723</v>
      </c>
      <c r="E226" s="12" t="s">
        <v>378</v>
      </c>
      <c r="F226" s="10" t="n">
        <v>24</v>
      </c>
      <c r="G226" s="12" t="s">
        <v>31</v>
      </c>
      <c r="H226" s="10" t="n">
        <v>2110101</v>
      </c>
      <c r="I226" s="12" t="s">
        <v>32</v>
      </c>
      <c r="J226" s="10" t="n">
        <v>1309867</v>
      </c>
      <c r="L226" s="10" t="n">
        <v>172132</v>
      </c>
      <c r="M226" s="12" t="s">
        <v>33</v>
      </c>
      <c r="N226" s="12" t="s">
        <v>34</v>
      </c>
      <c r="P226" s="10" t="n">
        <v>103</v>
      </c>
      <c r="Q226" s="12" t="s">
        <v>35</v>
      </c>
      <c r="R226" s="12" t="s">
        <v>36</v>
      </c>
      <c r="S226" s="10" t="n">
        <v>1130101</v>
      </c>
      <c r="T226" s="12" t="s">
        <v>37</v>
      </c>
      <c r="U226" s="13" t="n">
        <v>5174.8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46147</v>
      </c>
      <c r="C227" s="11" t="n">
        <v>46208</v>
      </c>
      <c r="D227" s="10" t="n">
        <v>1061</v>
      </c>
      <c r="E227" s="12" t="s">
        <v>393</v>
      </c>
      <c r="F227" s="10" t="n">
        <v>34</v>
      </c>
      <c r="G227" s="12" t="s">
        <v>49</v>
      </c>
      <c r="H227" s="10" t="n">
        <v>1110202</v>
      </c>
      <c r="I227" s="12" t="s">
        <v>90</v>
      </c>
      <c r="J227" s="10" t="n">
        <v>1053498</v>
      </c>
      <c r="L227" s="10" t="n">
        <v>443316</v>
      </c>
      <c r="M227" s="12" t="s">
        <v>40</v>
      </c>
      <c r="N227" s="12" t="s">
        <v>66</v>
      </c>
      <c r="P227" s="10" t="n">
        <v>101</v>
      </c>
      <c r="Q227" s="12" t="s">
        <v>84</v>
      </c>
      <c r="R227" s="12" t="s">
        <v>91</v>
      </c>
      <c r="S227" s="10" t="n">
        <v>4220199</v>
      </c>
      <c r="T227" s="12" t="s">
        <v>92</v>
      </c>
      <c r="U227" s="13" t="n">
        <v>1500</v>
      </c>
      <c r="W227" s="13" t="n">
        <v>0</v>
      </c>
      <c r="X227" s="12" t="s">
        <v>394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46185</v>
      </c>
      <c r="C228" s="11" t="n">
        <v>46208</v>
      </c>
      <c r="D228" s="10" t="n">
        <v>1768</v>
      </c>
      <c r="E228" s="12" t="s">
        <v>395</v>
      </c>
      <c r="F228" s="10" t="n">
        <v>34</v>
      </c>
      <c r="G228" s="12" t="s">
        <v>49</v>
      </c>
      <c r="H228" s="10" t="n">
        <v>1110202</v>
      </c>
      <c r="I228" s="12" t="s">
        <v>90</v>
      </c>
      <c r="J228" s="10" t="n">
        <v>1240158</v>
      </c>
      <c r="L228" s="10" t="n">
        <v>515079</v>
      </c>
      <c r="M228" s="12" t="s">
        <v>33</v>
      </c>
      <c r="N228" s="12" t="s">
        <v>66</v>
      </c>
      <c r="P228" s="10" t="n">
        <v>102</v>
      </c>
      <c r="Q228" s="12" t="s">
        <v>112</v>
      </c>
      <c r="R228" s="12" t="s">
        <v>94</v>
      </c>
      <c r="S228" s="10" t="n">
        <v>4210202</v>
      </c>
      <c r="T228" s="12" t="s">
        <v>396</v>
      </c>
      <c r="U228" s="13" t="n">
        <v>2431.5</v>
      </c>
      <c r="W228" s="13" t="n">
        <v>0</v>
      </c>
      <c r="X228" s="12" t="s">
        <v>397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46112</v>
      </c>
      <c r="C229" s="11" t="n">
        <v>46208</v>
      </c>
      <c r="D229" s="10" t="n">
        <v>17</v>
      </c>
      <c r="E229" s="12" t="s">
        <v>268</v>
      </c>
      <c r="F229" s="10" t="n">
        <v>24</v>
      </c>
      <c r="G229" s="12" t="s">
        <v>31</v>
      </c>
      <c r="H229" s="10" t="n">
        <v>1110202</v>
      </c>
      <c r="I229" s="12" t="s">
        <v>90</v>
      </c>
      <c r="J229" s="10" t="n">
        <v>881704</v>
      </c>
      <c r="L229" s="10" t="n">
        <v>376470</v>
      </c>
      <c r="M229" s="12" t="s">
        <v>40</v>
      </c>
      <c r="N229" s="12" t="s">
        <v>66</v>
      </c>
      <c r="P229" s="10" t="n">
        <v>101</v>
      </c>
      <c r="Q229" s="12" t="s">
        <v>84</v>
      </c>
      <c r="R229" s="12" t="s">
        <v>91</v>
      </c>
      <c r="S229" s="10" t="n">
        <v>4220199</v>
      </c>
      <c r="T229" s="12" t="s">
        <v>92</v>
      </c>
      <c r="U229" s="13" t="n">
        <v>250</v>
      </c>
      <c r="W229" s="13" t="n">
        <v>0</v>
      </c>
      <c r="X229" s="12" t="s">
        <v>398</v>
      </c>
      <c r="Z229" s="1" t="str">
        <f aca="false">IF($T229="","",IFERROR(INDEX('Resumo Grupos'!$AC$3:$AC$200,MATCH($T229,'Resumo Grupos'!$AB$3:$AB$200,0)),"n/d"))</f>
        <v>Pagamentos outros não operacionais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46208</v>
      </c>
      <c r="C230" s="11" t="n">
        <v>46208</v>
      </c>
      <c r="D230" s="10" t="n">
        <v>17</v>
      </c>
      <c r="E230" s="12" t="s">
        <v>268</v>
      </c>
      <c r="F230" s="10" t="n">
        <v>24</v>
      </c>
      <c r="G230" s="12" t="s">
        <v>31</v>
      </c>
      <c r="H230" s="10" t="n">
        <v>1110202</v>
      </c>
      <c r="I230" s="12" t="s">
        <v>90</v>
      </c>
      <c r="J230" s="10" t="n">
        <v>1359969</v>
      </c>
      <c r="L230" s="10" t="n">
        <v>561604</v>
      </c>
      <c r="M230" s="12" t="s">
        <v>33</v>
      </c>
      <c r="N230" s="12" t="s">
        <v>66</v>
      </c>
      <c r="P230" s="10" t="n">
        <v>101</v>
      </c>
      <c r="Q230" s="12" t="s">
        <v>84</v>
      </c>
      <c r="R230" s="12" t="s">
        <v>91</v>
      </c>
      <c r="S230" s="10" t="n">
        <v>4220199</v>
      </c>
      <c r="T230" s="12" t="s">
        <v>92</v>
      </c>
      <c r="U230" s="13" t="n">
        <v>600.31</v>
      </c>
      <c r="W230" s="13" t="n">
        <v>0</v>
      </c>
      <c r="X230" s="12" t="s">
        <v>399</v>
      </c>
      <c r="Z230" s="1" t="str">
        <f aca="false">IF($T230="","",IFERROR(INDEX('Resumo Grupos'!$AC$3:$AC$200,MATCH($T230,'Resumo Grupos'!$AB$3:$AB$200,0)),"n/d"))</f>
        <v>Pagamentos outros não operacionais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46147</v>
      </c>
      <c r="C231" s="11" t="n">
        <v>46208</v>
      </c>
      <c r="D231" s="10" t="n">
        <v>956</v>
      </c>
      <c r="E231" s="12" t="s">
        <v>400</v>
      </c>
      <c r="F231" s="10" t="n">
        <v>34</v>
      </c>
      <c r="G231" s="12" t="s">
        <v>49</v>
      </c>
      <c r="H231" s="10" t="n">
        <v>1110202</v>
      </c>
      <c r="I231" s="12" t="s">
        <v>90</v>
      </c>
      <c r="J231" s="10" t="n">
        <v>1053484</v>
      </c>
      <c r="L231" s="10" t="n">
        <v>443312</v>
      </c>
      <c r="M231" s="12" t="s">
        <v>76</v>
      </c>
      <c r="N231" s="12" t="s">
        <v>66</v>
      </c>
      <c r="P231" s="10" t="n">
        <v>101</v>
      </c>
      <c r="Q231" s="12" t="s">
        <v>84</v>
      </c>
      <c r="R231" s="12" t="s">
        <v>401</v>
      </c>
      <c r="S231" s="10" t="n">
        <v>4210111</v>
      </c>
      <c r="T231" s="12" t="s">
        <v>402</v>
      </c>
      <c r="U231" s="13" t="n">
        <v>4300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46167</v>
      </c>
      <c r="C232" s="11" t="n">
        <v>46208</v>
      </c>
      <c r="D232" s="10" t="n">
        <v>1195</v>
      </c>
      <c r="E232" s="12" t="s">
        <v>404</v>
      </c>
      <c r="F232" s="10" t="n">
        <v>24</v>
      </c>
      <c r="G232" s="12" t="s">
        <v>31</v>
      </c>
      <c r="H232" s="10" t="n">
        <v>2110405</v>
      </c>
      <c r="I232" s="12" t="s">
        <v>153</v>
      </c>
      <c r="J232" s="10" t="n">
        <v>1152372</v>
      </c>
      <c r="L232" s="10" t="n">
        <v>480964</v>
      </c>
      <c r="M232" s="12" t="s">
        <v>33</v>
      </c>
      <c r="N232" s="12" t="s">
        <v>66</v>
      </c>
      <c r="P232" s="10" t="n">
        <v>101</v>
      </c>
      <c r="Q232" s="12" t="s">
        <v>84</v>
      </c>
      <c r="R232" s="12" t="s">
        <v>121</v>
      </c>
      <c r="S232" s="10" t="n">
        <v>4210311</v>
      </c>
      <c r="T232" s="12" t="s">
        <v>405</v>
      </c>
      <c r="U232" s="13" t="n">
        <v>2802.21</v>
      </c>
      <c r="W232" s="13" t="n">
        <v>0</v>
      </c>
      <c r="X232" s="12" t="s">
        <v>406</v>
      </c>
      <c r="Z232" s="1" t="str">
        <f aca="false">IF($T232="","",IFERROR(INDEX('Resumo Grupos'!$AC$3:$AC$200,MATCH($T232,'Resumo Grupos'!$AB$3:$AB$200,0)),"n/d"))</f>
        <v>Salários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46147</v>
      </c>
      <c r="C233" s="11" t="n">
        <v>46208</v>
      </c>
      <c r="D233" s="10" t="n">
        <v>16</v>
      </c>
      <c r="E233" s="12" t="s">
        <v>407</v>
      </c>
      <c r="F233" s="10" t="n">
        <v>34</v>
      </c>
      <c r="G233" s="12" t="s">
        <v>49</v>
      </c>
      <c r="H233" s="10" t="n">
        <v>2110405</v>
      </c>
      <c r="I233" s="12" t="s">
        <v>153</v>
      </c>
      <c r="J233" s="10" t="n">
        <v>1053543</v>
      </c>
      <c r="L233" s="10" t="n">
        <v>443329</v>
      </c>
      <c r="M233" s="12" t="s">
        <v>40</v>
      </c>
      <c r="N233" s="12" t="s">
        <v>66</v>
      </c>
      <c r="P233" s="10" t="n">
        <v>101</v>
      </c>
      <c r="Q233" s="12" t="s">
        <v>84</v>
      </c>
      <c r="R233" s="12" t="s">
        <v>121</v>
      </c>
      <c r="S233" s="10" t="n">
        <v>4210301</v>
      </c>
      <c r="T233" s="12" t="s">
        <v>122</v>
      </c>
      <c r="U233" s="13" t="n">
        <v>500</v>
      </c>
      <c r="W233" s="13" t="n">
        <v>0</v>
      </c>
      <c r="X233" s="12" t="s">
        <v>408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46181</v>
      </c>
      <c r="C234" s="11" t="n">
        <v>46208</v>
      </c>
      <c r="D234" s="10" t="n">
        <v>974</v>
      </c>
      <c r="E234" s="12" t="s">
        <v>409</v>
      </c>
      <c r="F234" s="10" t="n">
        <v>35</v>
      </c>
      <c r="G234" s="12" t="s">
        <v>389</v>
      </c>
      <c r="H234" s="10" t="n">
        <v>2110101</v>
      </c>
      <c r="I234" s="12" t="s">
        <v>32</v>
      </c>
      <c r="J234" s="10" t="n">
        <v>1222431</v>
      </c>
      <c r="L234" s="10" t="n">
        <v>417</v>
      </c>
      <c r="M234" s="12" t="s">
        <v>33</v>
      </c>
      <c r="N234" s="12" t="s">
        <v>34</v>
      </c>
      <c r="P234" s="10" t="n">
        <v>103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1124</v>
      </c>
      <c r="W234" s="13" t="n">
        <v>0</v>
      </c>
      <c r="X234" s="12" t="s">
        <v>410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46196</v>
      </c>
      <c r="C235" s="11" t="n">
        <v>46208</v>
      </c>
      <c r="D235" s="10" t="n">
        <v>1196</v>
      </c>
      <c r="E235" s="12" t="s">
        <v>143</v>
      </c>
      <c r="F235" s="10" t="n">
        <v>24</v>
      </c>
      <c r="G235" s="12" t="s">
        <v>31</v>
      </c>
      <c r="H235" s="10" t="n">
        <v>2110101</v>
      </c>
      <c r="I235" s="12" t="s">
        <v>32</v>
      </c>
      <c r="J235" s="10" t="n">
        <v>1293749</v>
      </c>
      <c r="L235" s="10" t="n">
        <v>11908</v>
      </c>
      <c r="M235" s="12" t="s">
        <v>33</v>
      </c>
      <c r="N235" s="12" t="s">
        <v>34</v>
      </c>
      <c r="P235" s="10" t="n">
        <v>103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495.45</v>
      </c>
      <c r="W235" s="13" t="n">
        <v>0</v>
      </c>
      <c r="X235" s="12" t="s">
        <v>411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46181</v>
      </c>
      <c r="C236" s="11" t="n">
        <v>46208</v>
      </c>
      <c r="D236" s="10" t="n">
        <v>796</v>
      </c>
      <c r="E236" s="12" t="s">
        <v>412</v>
      </c>
      <c r="F236" s="10" t="n">
        <v>35</v>
      </c>
      <c r="G236" s="12" t="s">
        <v>389</v>
      </c>
      <c r="H236" s="10" t="n">
        <v>2110101</v>
      </c>
      <c r="I236" s="12" t="s">
        <v>32</v>
      </c>
      <c r="J236" s="10" t="n">
        <v>1222777</v>
      </c>
      <c r="L236" s="10" t="n">
        <v>1005</v>
      </c>
      <c r="M236" s="12" t="s">
        <v>33</v>
      </c>
      <c r="N236" s="12" t="s">
        <v>34</v>
      </c>
      <c r="P236" s="10" t="n">
        <v>103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415.75</v>
      </c>
      <c r="W236" s="13" t="n">
        <v>0</v>
      </c>
      <c r="X236" s="12" t="s">
        <v>413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46181</v>
      </c>
      <c r="C237" s="11" t="n">
        <v>46209</v>
      </c>
      <c r="D237" s="10" t="n">
        <v>1659</v>
      </c>
      <c r="E237" s="12" t="s">
        <v>39</v>
      </c>
      <c r="F237" s="10" t="n">
        <v>24</v>
      </c>
      <c r="G237" s="12" t="s">
        <v>31</v>
      </c>
      <c r="H237" s="10" t="n">
        <v>2110101</v>
      </c>
      <c r="I237" s="12" t="s">
        <v>32</v>
      </c>
      <c r="J237" s="10" t="n">
        <v>1223005</v>
      </c>
      <c r="L237" s="10" t="n">
        <v>876740</v>
      </c>
      <c r="M237" s="12" t="s">
        <v>40</v>
      </c>
      <c r="N237" s="12" t="s">
        <v>34</v>
      </c>
      <c r="P237" s="10" t="n">
        <v>103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584.18</v>
      </c>
      <c r="W237" s="13" t="n">
        <v>0</v>
      </c>
      <c r="X237" s="12" t="s">
        <v>414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46195</v>
      </c>
      <c r="C238" s="11" t="n">
        <v>46209</v>
      </c>
      <c r="D238" s="10" t="n">
        <v>1659</v>
      </c>
      <c r="E238" s="12" t="s">
        <v>39</v>
      </c>
      <c r="F238" s="10" t="n">
        <v>24</v>
      </c>
      <c r="G238" s="12" t="s">
        <v>31</v>
      </c>
      <c r="H238" s="10" t="n">
        <v>2110101</v>
      </c>
      <c r="I238" s="12" t="s">
        <v>32</v>
      </c>
      <c r="J238" s="10" t="n">
        <v>1289564</v>
      </c>
      <c r="L238" s="10" t="n">
        <v>880067</v>
      </c>
      <c r="M238" s="12" t="s">
        <v>33</v>
      </c>
      <c r="N238" s="12" t="s">
        <v>34</v>
      </c>
      <c r="P238" s="10" t="n">
        <v>103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1044</v>
      </c>
      <c r="W238" s="13" t="n">
        <v>0</v>
      </c>
      <c r="X238" s="12" t="s">
        <v>415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46189</v>
      </c>
      <c r="C239" s="11" t="n">
        <v>46209</v>
      </c>
      <c r="D239" s="10" t="n">
        <v>1664</v>
      </c>
      <c r="E239" s="12" t="s">
        <v>233</v>
      </c>
      <c r="F239" s="10" t="n">
        <v>24</v>
      </c>
      <c r="G239" s="12" t="s">
        <v>31</v>
      </c>
      <c r="H239" s="10" t="n">
        <v>2110101</v>
      </c>
      <c r="I239" s="12" t="s">
        <v>32</v>
      </c>
      <c r="J239" s="10" t="n">
        <v>1261009</v>
      </c>
      <c r="L239" s="10" t="n">
        <v>77381</v>
      </c>
      <c r="M239" s="12" t="s">
        <v>33</v>
      </c>
      <c r="N239" s="12" t="s">
        <v>34</v>
      </c>
      <c r="P239" s="10" t="n">
        <v>103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2275.2</v>
      </c>
      <c r="W239" s="13" t="n">
        <v>0</v>
      </c>
      <c r="X239" s="12" t="s">
        <v>416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46188</v>
      </c>
      <c r="C240" s="11" t="n">
        <v>46209</v>
      </c>
      <c r="D240" s="10" t="n">
        <v>1637</v>
      </c>
      <c r="E240" s="12" t="s">
        <v>97</v>
      </c>
      <c r="F240" s="10" t="n">
        <v>24</v>
      </c>
      <c r="G240" s="12" t="s">
        <v>31</v>
      </c>
      <c r="H240" s="10" t="n">
        <v>2110101</v>
      </c>
      <c r="I240" s="12" t="s">
        <v>32</v>
      </c>
      <c r="J240" s="10" t="n">
        <v>1256797</v>
      </c>
      <c r="L240" s="10" t="n">
        <v>1891097</v>
      </c>
      <c r="M240" s="12" t="s">
        <v>33</v>
      </c>
      <c r="N240" s="12" t="s">
        <v>34</v>
      </c>
      <c r="P240" s="10" t="n">
        <v>103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954.39</v>
      </c>
      <c r="W240" s="13" t="n">
        <v>0</v>
      </c>
      <c r="X240" s="12" t="s">
        <v>417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46195</v>
      </c>
      <c r="C241" s="11" t="n">
        <v>46209</v>
      </c>
      <c r="D241" s="10" t="n">
        <v>1637</v>
      </c>
      <c r="E241" s="12" t="s">
        <v>97</v>
      </c>
      <c r="F241" s="10" t="n">
        <v>24</v>
      </c>
      <c r="G241" s="12" t="s">
        <v>31</v>
      </c>
      <c r="H241" s="10" t="n">
        <v>2110101</v>
      </c>
      <c r="I241" s="12" t="s">
        <v>32</v>
      </c>
      <c r="J241" s="10" t="n">
        <v>1291486</v>
      </c>
      <c r="L241" s="10" t="n">
        <v>1894396</v>
      </c>
      <c r="M241" s="12" t="s">
        <v>33</v>
      </c>
      <c r="N241" s="12" t="s">
        <v>34</v>
      </c>
      <c r="P241" s="10" t="n">
        <v>103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979.98</v>
      </c>
      <c r="W241" s="13" t="n">
        <v>0</v>
      </c>
      <c r="X241" s="12" t="s">
        <v>418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46209</v>
      </c>
      <c r="C242" s="11" t="n">
        <v>46209</v>
      </c>
      <c r="D242" s="10" t="n">
        <v>816</v>
      </c>
      <c r="E242" s="12" t="s">
        <v>419</v>
      </c>
      <c r="F242" s="10" t="n">
        <v>34</v>
      </c>
      <c r="G242" s="12" t="s">
        <v>49</v>
      </c>
      <c r="H242" s="10" t="n">
        <v>1110202</v>
      </c>
      <c r="I242" s="12" t="s">
        <v>90</v>
      </c>
      <c r="J242" s="10" t="n">
        <v>480233</v>
      </c>
      <c r="L242" s="10" t="n">
        <v>216087</v>
      </c>
      <c r="M242" s="12" t="s">
        <v>79</v>
      </c>
      <c r="N242" s="12" t="s">
        <v>66</v>
      </c>
      <c r="P242" s="10" t="n">
        <v>102</v>
      </c>
      <c r="Q242" s="12" t="s">
        <v>112</v>
      </c>
      <c r="R242" s="12" t="s">
        <v>91</v>
      </c>
      <c r="S242" s="10" t="n">
        <v>4220199</v>
      </c>
      <c r="T242" s="12" t="s">
        <v>92</v>
      </c>
      <c r="U242" s="13" t="n">
        <v>2000</v>
      </c>
      <c r="W242" s="13" t="n">
        <v>0</v>
      </c>
      <c r="X242" s="12" t="s">
        <v>420</v>
      </c>
      <c r="Z242" s="1" t="str">
        <f aca="false">IF($T242="","",IFERROR(INDEX('Resumo Grupos'!$AC$3:$AC$200,MATCH($T242,'Resumo Grupos'!$AB$3:$AB$200,0)),"n/d"))</f>
        <v>Pagamentos outros não operacionais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46209</v>
      </c>
      <c r="C243" s="11" t="n">
        <v>46209</v>
      </c>
      <c r="D243" s="10" t="n">
        <v>1779</v>
      </c>
      <c r="E243" s="12" t="s">
        <v>388</v>
      </c>
      <c r="F243" s="10" t="n">
        <v>34</v>
      </c>
      <c r="G243" s="12" t="s">
        <v>49</v>
      </c>
      <c r="H243" s="10" t="n">
        <v>2110405</v>
      </c>
      <c r="I243" s="12" t="s">
        <v>153</v>
      </c>
      <c r="J243" s="10" t="n">
        <v>1361211</v>
      </c>
      <c r="L243" s="10" t="n">
        <v>561967</v>
      </c>
      <c r="M243" s="12" t="s">
        <v>33</v>
      </c>
      <c r="N243" s="12" t="s">
        <v>66</v>
      </c>
      <c r="P243" s="10" t="n">
        <v>102</v>
      </c>
      <c r="Q243" s="12" t="s">
        <v>112</v>
      </c>
      <c r="R243" s="12" t="s">
        <v>113</v>
      </c>
      <c r="S243" s="10" t="n">
        <v>4210504</v>
      </c>
      <c r="T243" s="12" t="s">
        <v>114</v>
      </c>
      <c r="U243" s="13" t="n">
        <v>93.1</v>
      </c>
      <c r="W243" s="13" t="n">
        <v>0</v>
      </c>
      <c r="X243" s="12" t="s">
        <v>421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46209</v>
      </c>
      <c r="C244" s="11" t="n">
        <v>46209</v>
      </c>
      <c r="D244" s="10" t="n">
        <v>1779</v>
      </c>
      <c r="E244" s="12" t="s">
        <v>388</v>
      </c>
      <c r="F244" s="10" t="n">
        <v>34</v>
      </c>
      <c r="G244" s="12" t="s">
        <v>49</v>
      </c>
      <c r="H244" s="10" t="n">
        <v>1110202</v>
      </c>
      <c r="I244" s="12" t="s">
        <v>90</v>
      </c>
      <c r="J244" s="10" t="n">
        <v>1448883</v>
      </c>
      <c r="L244" s="10" t="n">
        <v>596067</v>
      </c>
      <c r="M244" s="12" t="s">
        <v>33</v>
      </c>
      <c r="N244" s="12" t="s">
        <v>66</v>
      </c>
      <c r="P244" s="10" t="n">
        <v>101</v>
      </c>
      <c r="Q244" s="12" t="s">
        <v>84</v>
      </c>
      <c r="R244" s="12" t="s">
        <v>91</v>
      </c>
      <c r="S244" s="10" t="n">
        <v>4220199</v>
      </c>
      <c r="T244" s="12" t="s">
        <v>92</v>
      </c>
      <c r="U244" s="13" t="n">
        <v>4600</v>
      </c>
      <c r="W244" s="13" t="n">
        <v>0</v>
      </c>
      <c r="X244" s="12" t="s">
        <v>422</v>
      </c>
      <c r="Z244" s="1" t="str">
        <f aca="false">IF($T244="","",IFERROR(INDEX('Resumo Grupos'!$AC$3:$AC$200,MATCH($T244,'Resumo Grupos'!$AB$3:$AB$200,0)),"n/d"))</f>
        <v>Pagamentos outros não operacionais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46202</v>
      </c>
      <c r="C245" s="11" t="n">
        <v>46209</v>
      </c>
      <c r="D245" s="10" t="n">
        <v>1614</v>
      </c>
      <c r="E245" s="12" t="s">
        <v>99</v>
      </c>
      <c r="F245" s="10" t="n">
        <v>24</v>
      </c>
      <c r="G245" s="12" t="s">
        <v>31</v>
      </c>
      <c r="H245" s="10" t="n">
        <v>2110101</v>
      </c>
      <c r="I245" s="12" t="s">
        <v>32</v>
      </c>
      <c r="J245" s="10" t="n">
        <v>1321750</v>
      </c>
      <c r="L245" s="10" t="n">
        <v>11328</v>
      </c>
      <c r="M245" s="12" t="s">
        <v>76</v>
      </c>
      <c r="N245" s="12" t="s">
        <v>34</v>
      </c>
      <c r="P245" s="10" t="n">
        <v>103</v>
      </c>
      <c r="Q245" s="12" t="s">
        <v>35</v>
      </c>
      <c r="R245" s="12" t="s">
        <v>36</v>
      </c>
      <c r="S245" s="10" t="n">
        <v>1130101</v>
      </c>
      <c r="T245" s="12" t="s">
        <v>37</v>
      </c>
      <c r="U245" s="13" t="n">
        <v>527.41</v>
      </c>
      <c r="W245" s="13" t="n">
        <v>0</v>
      </c>
      <c r="X245" s="12" t="s">
        <v>423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46206</v>
      </c>
      <c r="C246" s="11" t="n">
        <v>46209</v>
      </c>
      <c r="D246" s="10" t="n">
        <v>1614</v>
      </c>
      <c r="E246" s="12" t="s">
        <v>99</v>
      </c>
      <c r="F246" s="10" t="n">
        <v>24</v>
      </c>
      <c r="G246" s="12" t="s">
        <v>31</v>
      </c>
      <c r="H246" s="10" t="n">
        <v>2110101</v>
      </c>
      <c r="I246" s="12" t="s">
        <v>32</v>
      </c>
      <c r="J246" s="10" t="n">
        <v>1346045</v>
      </c>
      <c r="L246" s="10" t="n">
        <v>11352</v>
      </c>
      <c r="M246" s="12" t="s">
        <v>33</v>
      </c>
      <c r="N246" s="12" t="s">
        <v>34</v>
      </c>
      <c r="P246" s="10" t="n">
        <v>103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406.93</v>
      </c>
      <c r="W246" s="13" t="n">
        <v>0</v>
      </c>
      <c r="X246" s="12" t="s">
        <v>424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46209</v>
      </c>
      <c r="C247" s="11" t="n">
        <v>46209</v>
      </c>
      <c r="D247" s="10" t="n">
        <v>714</v>
      </c>
      <c r="E247" s="12" t="s">
        <v>425</v>
      </c>
      <c r="F247" s="10" t="n">
        <v>34</v>
      </c>
      <c r="G247" s="12" t="s">
        <v>49</v>
      </c>
      <c r="H247" s="10" t="n">
        <v>1110202</v>
      </c>
      <c r="I247" s="12" t="s">
        <v>90</v>
      </c>
      <c r="J247" s="10" t="n">
        <v>1207135</v>
      </c>
      <c r="L247" s="10" t="n">
        <v>502146</v>
      </c>
      <c r="M247" s="12" t="s">
        <v>76</v>
      </c>
      <c r="N247" s="12" t="s">
        <v>66</v>
      </c>
      <c r="P247" s="10" t="n">
        <v>102</v>
      </c>
      <c r="Q247" s="12" t="s">
        <v>112</v>
      </c>
      <c r="R247" s="12" t="s">
        <v>401</v>
      </c>
      <c r="S247" s="10" t="n">
        <v>4210111</v>
      </c>
      <c r="T247" s="12" t="s">
        <v>402</v>
      </c>
      <c r="U247" s="13" t="n">
        <v>6500</v>
      </c>
      <c r="W247" s="13" t="n">
        <v>0</v>
      </c>
      <c r="X247" s="12" t="s">
        <v>426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46209</v>
      </c>
      <c r="C248" s="11" t="n">
        <v>46209</v>
      </c>
      <c r="D248" s="10" t="n">
        <v>714</v>
      </c>
      <c r="E248" s="12" t="s">
        <v>425</v>
      </c>
      <c r="F248" s="10" t="n">
        <v>34</v>
      </c>
      <c r="G248" s="12" t="s">
        <v>49</v>
      </c>
      <c r="H248" s="10" t="n">
        <v>1110202</v>
      </c>
      <c r="I248" s="12" t="s">
        <v>90</v>
      </c>
      <c r="J248" s="10" t="n">
        <v>1207137</v>
      </c>
      <c r="L248" s="10" t="n">
        <v>502147</v>
      </c>
      <c r="M248" s="12" t="s">
        <v>76</v>
      </c>
      <c r="N248" s="12" t="s">
        <v>66</v>
      </c>
      <c r="P248" s="10" t="n">
        <v>102</v>
      </c>
      <c r="Q248" s="12" t="s">
        <v>112</v>
      </c>
      <c r="R248" s="12" t="s">
        <v>91</v>
      </c>
      <c r="S248" s="10" t="n">
        <v>4220199</v>
      </c>
      <c r="T248" s="12" t="s">
        <v>92</v>
      </c>
      <c r="U248" s="13" t="n">
        <v>6000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Pagamentos outros não operacionais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46209</v>
      </c>
      <c r="C249" s="11" t="n">
        <v>46209</v>
      </c>
      <c r="D249" s="10" t="n">
        <v>28</v>
      </c>
      <c r="E249" s="12" t="s">
        <v>428</v>
      </c>
      <c r="F249" s="10" t="n">
        <v>2</v>
      </c>
      <c r="G249" s="12" t="s">
        <v>429</v>
      </c>
      <c r="H249" s="10" t="n">
        <v>2110405</v>
      </c>
      <c r="I249" s="12" t="s">
        <v>153</v>
      </c>
      <c r="J249" s="10" t="n">
        <v>1360381</v>
      </c>
      <c r="L249" s="10" t="n">
        <v>561724</v>
      </c>
      <c r="M249" s="12" t="s">
        <v>33</v>
      </c>
      <c r="N249" s="12" t="s">
        <v>66</v>
      </c>
      <c r="P249" s="10" t="n">
        <v>101</v>
      </c>
      <c r="Q249" s="12" t="s">
        <v>84</v>
      </c>
      <c r="R249" s="12" t="s">
        <v>94</v>
      </c>
      <c r="S249" s="10" t="n">
        <v>4210231</v>
      </c>
      <c r="T249" s="12" t="s">
        <v>430</v>
      </c>
      <c r="U249" s="13" t="n">
        <v>1718.33</v>
      </c>
      <c r="W249" s="13" t="n">
        <v>0</v>
      </c>
      <c r="X249" s="12" t="s">
        <v>431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46204</v>
      </c>
      <c r="C250" s="11" t="n">
        <v>46209</v>
      </c>
      <c r="D250" s="10" t="n">
        <v>1357</v>
      </c>
      <c r="E250" s="12" t="s">
        <v>432</v>
      </c>
      <c r="F250" s="10" t="n">
        <v>24</v>
      </c>
      <c r="G250" s="12" t="s">
        <v>31</v>
      </c>
      <c r="H250" s="10" t="n">
        <v>2110102</v>
      </c>
      <c r="I250" s="12" t="s">
        <v>197</v>
      </c>
      <c r="J250" s="10" t="n">
        <v>1334239</v>
      </c>
      <c r="L250" s="10" t="n">
        <v>280092</v>
      </c>
      <c r="M250" s="12" t="s">
        <v>33</v>
      </c>
      <c r="N250" s="12" t="s">
        <v>34</v>
      </c>
      <c r="P250" s="10" t="n">
        <v>103</v>
      </c>
      <c r="Q250" s="12" t="s">
        <v>35</v>
      </c>
      <c r="R250" s="12" t="s">
        <v>94</v>
      </c>
      <c r="S250" s="10" t="n">
        <v>4210204</v>
      </c>
      <c r="T250" s="12" t="s">
        <v>198</v>
      </c>
      <c r="U250" s="13" t="n">
        <v>288.85</v>
      </c>
      <c r="W250" s="13" t="n">
        <v>0</v>
      </c>
      <c r="X250" s="12" t="s">
        <v>433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46196</v>
      </c>
      <c r="C251" s="11" t="n">
        <v>46209</v>
      </c>
      <c r="D251" s="10" t="n">
        <v>1616</v>
      </c>
      <c r="E251" s="12" t="s">
        <v>434</v>
      </c>
      <c r="F251" s="10" t="n">
        <v>24</v>
      </c>
      <c r="G251" s="12" t="s">
        <v>31</v>
      </c>
      <c r="H251" s="10" t="n">
        <v>2110101</v>
      </c>
      <c r="I251" s="12" t="s">
        <v>32</v>
      </c>
      <c r="J251" s="10" t="n">
        <v>1296447</v>
      </c>
      <c r="L251" s="10" t="n">
        <v>646740</v>
      </c>
      <c r="M251" s="12" t="s">
        <v>33</v>
      </c>
      <c r="N251" s="12" t="s">
        <v>34</v>
      </c>
      <c r="P251" s="10" t="n">
        <v>103</v>
      </c>
      <c r="Q251" s="12" t="s">
        <v>35</v>
      </c>
      <c r="R251" s="12" t="s">
        <v>36</v>
      </c>
      <c r="S251" s="10" t="n">
        <v>1130101</v>
      </c>
      <c r="T251" s="12" t="s">
        <v>37</v>
      </c>
      <c r="U251" s="13" t="n">
        <v>211.68</v>
      </c>
      <c r="W251" s="13" t="n">
        <v>0</v>
      </c>
      <c r="X251" s="12" t="s">
        <v>435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46209</v>
      </c>
      <c r="C252" s="11" t="n">
        <v>46209</v>
      </c>
      <c r="D252" s="10" t="n">
        <v>1061</v>
      </c>
      <c r="E252" s="12" t="s">
        <v>393</v>
      </c>
      <c r="F252" s="10" t="n">
        <v>34</v>
      </c>
      <c r="G252" s="12" t="s">
        <v>49</v>
      </c>
      <c r="H252" s="10" t="n">
        <v>1110202</v>
      </c>
      <c r="I252" s="12" t="s">
        <v>90</v>
      </c>
      <c r="J252" s="10" t="n">
        <v>1448819</v>
      </c>
      <c r="L252" s="10" t="n">
        <v>596052</v>
      </c>
      <c r="M252" s="12" t="s">
        <v>33</v>
      </c>
      <c r="N252" s="12" t="s">
        <v>66</v>
      </c>
      <c r="P252" s="10" t="n">
        <v>101</v>
      </c>
      <c r="Q252" s="12" t="s">
        <v>84</v>
      </c>
      <c r="R252" s="12" t="s">
        <v>121</v>
      </c>
      <c r="S252" s="10" t="n">
        <v>4210301</v>
      </c>
      <c r="T252" s="12" t="s">
        <v>122</v>
      </c>
      <c r="U252" s="13" t="n">
        <v>748.12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46209</v>
      </c>
      <c r="C253" s="11" t="n">
        <v>46209</v>
      </c>
      <c r="D253" s="10" t="n">
        <v>1137</v>
      </c>
      <c r="E253" s="12" t="s">
        <v>252</v>
      </c>
      <c r="F253" s="10" t="n">
        <v>34</v>
      </c>
      <c r="G253" s="12" t="s">
        <v>49</v>
      </c>
      <c r="H253" s="10" t="n">
        <v>1110202</v>
      </c>
      <c r="I253" s="12" t="s">
        <v>90</v>
      </c>
      <c r="J253" s="10" t="n">
        <v>1448934</v>
      </c>
      <c r="L253" s="10" t="n">
        <v>596082</v>
      </c>
      <c r="M253" s="12" t="s">
        <v>33</v>
      </c>
      <c r="N253" s="12" t="s">
        <v>66</v>
      </c>
      <c r="P253" s="10" t="n">
        <v>101</v>
      </c>
      <c r="Q253" s="12" t="s">
        <v>84</v>
      </c>
      <c r="R253" s="12" t="s">
        <v>121</v>
      </c>
      <c r="S253" s="10" t="n">
        <v>4210301</v>
      </c>
      <c r="T253" s="12" t="s">
        <v>122</v>
      </c>
      <c r="U253" s="13" t="n">
        <v>19737.67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46204</v>
      </c>
      <c r="C254" s="11" t="n">
        <v>46209</v>
      </c>
      <c r="D254" s="10" t="n">
        <v>1650</v>
      </c>
      <c r="E254" s="12" t="s">
        <v>108</v>
      </c>
      <c r="F254" s="10" t="n">
        <v>24</v>
      </c>
      <c r="G254" s="12" t="s">
        <v>31</v>
      </c>
      <c r="H254" s="10" t="n">
        <v>2110101</v>
      </c>
      <c r="I254" s="12" t="s">
        <v>32</v>
      </c>
      <c r="J254" s="10" t="n">
        <v>1334025</v>
      </c>
      <c r="L254" s="10" t="n">
        <v>224614</v>
      </c>
      <c r="M254" s="12" t="s">
        <v>33</v>
      </c>
      <c r="N254" s="12" t="s">
        <v>34</v>
      </c>
      <c r="P254" s="10" t="n">
        <v>103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462.99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46192</v>
      </c>
      <c r="C255" s="11" t="n">
        <v>46209</v>
      </c>
      <c r="D255" s="10" t="n">
        <v>957</v>
      </c>
      <c r="E255" s="12" t="s">
        <v>75</v>
      </c>
      <c r="F255" s="10" t="n">
        <v>24</v>
      </c>
      <c r="G255" s="12" t="s">
        <v>31</v>
      </c>
      <c r="H255" s="10" t="n">
        <v>2110101</v>
      </c>
      <c r="I255" s="12" t="s">
        <v>32</v>
      </c>
      <c r="J255" s="10" t="n">
        <v>1272947</v>
      </c>
      <c r="L255" s="10" t="n">
        <v>20352</v>
      </c>
      <c r="M255" s="12" t="s">
        <v>33</v>
      </c>
      <c r="N255" s="12" t="s">
        <v>34</v>
      </c>
      <c r="P255" s="10" t="n">
        <v>103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1263.3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46209</v>
      </c>
      <c r="C256" s="11" t="n">
        <v>46209</v>
      </c>
      <c r="D256" s="10" t="n">
        <v>978</v>
      </c>
      <c r="E256" s="12" t="s">
        <v>54</v>
      </c>
      <c r="F256" s="10" t="n">
        <v>13</v>
      </c>
      <c r="G256" s="12" t="s">
        <v>55</v>
      </c>
      <c r="H256" s="10" t="n">
        <v>2110101</v>
      </c>
      <c r="I256" s="12" t="s">
        <v>32</v>
      </c>
      <c r="J256" s="10" t="n">
        <v>1370204</v>
      </c>
      <c r="L256" s="10" t="n">
        <v>346</v>
      </c>
      <c r="M256" s="12" t="s">
        <v>33</v>
      </c>
      <c r="N256" s="12" t="s">
        <v>34</v>
      </c>
      <c r="P256" s="10" t="n">
        <v>104</v>
      </c>
      <c r="Q256" s="12" t="s">
        <v>50</v>
      </c>
      <c r="R256" s="12" t="s">
        <v>36</v>
      </c>
      <c r="S256" s="10" t="n">
        <v>1130101</v>
      </c>
      <c r="T256" s="12" t="s">
        <v>37</v>
      </c>
      <c r="U256" s="13" t="n">
        <v>494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46190</v>
      </c>
      <c r="C257" s="11" t="n">
        <v>46209</v>
      </c>
      <c r="D257" s="10" t="n">
        <v>1699</v>
      </c>
      <c r="E257" s="12" t="s">
        <v>124</v>
      </c>
      <c r="F257" s="10" t="n">
        <v>24</v>
      </c>
      <c r="G257" s="12" t="s">
        <v>31</v>
      </c>
      <c r="H257" s="10" t="n">
        <v>2110101</v>
      </c>
      <c r="I257" s="12" t="s">
        <v>32</v>
      </c>
      <c r="J257" s="10" t="n">
        <v>1265996</v>
      </c>
      <c r="L257" s="10" t="n">
        <v>304778</v>
      </c>
      <c r="M257" s="12" t="s">
        <v>76</v>
      </c>
      <c r="N257" s="12" t="s">
        <v>34</v>
      </c>
      <c r="P257" s="10" t="n">
        <v>103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375.5</v>
      </c>
      <c r="W257" s="13" t="n">
        <v>0</v>
      </c>
      <c r="X257" s="12" t="s">
        <v>441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46203</v>
      </c>
      <c r="C258" s="11" t="n">
        <v>46209</v>
      </c>
      <c r="D258" s="10" t="n">
        <v>1625</v>
      </c>
      <c r="E258" s="12" t="s">
        <v>62</v>
      </c>
      <c r="F258" s="10" t="n">
        <v>24</v>
      </c>
      <c r="G258" s="12" t="s">
        <v>31</v>
      </c>
      <c r="H258" s="10" t="n">
        <v>2110101</v>
      </c>
      <c r="I258" s="12" t="s">
        <v>32</v>
      </c>
      <c r="J258" s="10" t="n">
        <v>1329501</v>
      </c>
      <c r="L258" s="10" t="n">
        <v>14579</v>
      </c>
      <c r="M258" s="12" t="s">
        <v>33</v>
      </c>
      <c r="N258" s="12" t="s">
        <v>34</v>
      </c>
      <c r="P258" s="10" t="n">
        <v>103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6251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46209</v>
      </c>
      <c r="C259" s="11" t="n">
        <v>46209</v>
      </c>
      <c r="D259" s="10" t="n">
        <v>17</v>
      </c>
      <c r="E259" s="12" t="s">
        <v>268</v>
      </c>
      <c r="F259" s="10" t="n">
        <v>34</v>
      </c>
      <c r="G259" s="12" t="s">
        <v>49</v>
      </c>
      <c r="H259" s="10" t="n">
        <v>1110202</v>
      </c>
      <c r="I259" s="12" t="s">
        <v>90</v>
      </c>
      <c r="J259" s="10" t="n">
        <v>1362317</v>
      </c>
      <c r="L259" s="10" t="n">
        <v>562392</v>
      </c>
      <c r="M259" s="12" t="s">
        <v>33</v>
      </c>
      <c r="N259" s="12" t="s">
        <v>66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1507.62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46209</v>
      </c>
      <c r="C260" s="11" t="n">
        <v>46209</v>
      </c>
      <c r="D260" s="10" t="n">
        <v>17</v>
      </c>
      <c r="E260" s="12" t="s">
        <v>268</v>
      </c>
      <c r="F260" s="10" t="n">
        <v>34</v>
      </c>
      <c r="G260" s="12" t="s">
        <v>49</v>
      </c>
      <c r="H260" s="10" t="n">
        <v>1110202</v>
      </c>
      <c r="I260" s="12" t="s">
        <v>90</v>
      </c>
      <c r="J260" s="10" t="n">
        <v>1362351</v>
      </c>
      <c r="L260" s="10" t="n">
        <v>562398</v>
      </c>
      <c r="M260" s="12" t="s">
        <v>33</v>
      </c>
      <c r="N260" s="12" t="s">
        <v>66</v>
      </c>
      <c r="P260" s="10" t="n">
        <v>101</v>
      </c>
      <c r="Q260" s="12" t="s">
        <v>84</v>
      </c>
      <c r="R260" s="12" t="s">
        <v>91</v>
      </c>
      <c r="S260" s="10" t="n">
        <v>4220199</v>
      </c>
      <c r="T260" s="12" t="s">
        <v>92</v>
      </c>
      <c r="U260" s="13" t="n">
        <v>2002.05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46188</v>
      </c>
      <c r="C261" s="11" t="n">
        <v>46209</v>
      </c>
      <c r="D261" s="10" t="n">
        <v>1830</v>
      </c>
      <c r="E261" s="12" t="s">
        <v>183</v>
      </c>
      <c r="F261" s="10" t="n">
        <v>24</v>
      </c>
      <c r="G261" s="12" t="s">
        <v>31</v>
      </c>
      <c r="H261" s="10" t="n">
        <v>2110405</v>
      </c>
      <c r="I261" s="12" t="s">
        <v>153</v>
      </c>
      <c r="J261" s="10" t="n">
        <v>1256576</v>
      </c>
      <c r="L261" s="10" t="n">
        <v>857</v>
      </c>
      <c r="M261" s="12" t="s">
        <v>33</v>
      </c>
      <c r="N261" s="12" t="s">
        <v>66</v>
      </c>
      <c r="P261" s="10" t="n">
        <v>101</v>
      </c>
      <c r="Q261" s="12" t="s">
        <v>84</v>
      </c>
      <c r="R261" s="12" t="s">
        <v>121</v>
      </c>
      <c r="S261" s="10" t="n">
        <v>4210319</v>
      </c>
      <c r="T261" s="12" t="s">
        <v>184</v>
      </c>
      <c r="U261" s="13" t="n">
        <v>438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46204</v>
      </c>
      <c r="C262" s="11" t="n">
        <v>46209</v>
      </c>
      <c r="D262" s="10" t="n">
        <v>1899</v>
      </c>
      <c r="E262" s="12" t="s">
        <v>131</v>
      </c>
      <c r="F262" s="10" t="n">
        <v>24</v>
      </c>
      <c r="G262" s="12" t="s">
        <v>31</v>
      </c>
      <c r="H262" s="10" t="n">
        <v>2110101</v>
      </c>
      <c r="I262" s="12" t="s">
        <v>32</v>
      </c>
      <c r="J262" s="10" t="n">
        <v>1333858</v>
      </c>
      <c r="L262" s="10" t="n">
        <v>686</v>
      </c>
      <c r="M262" s="12" t="s">
        <v>33</v>
      </c>
      <c r="N262" s="12" t="s">
        <v>34</v>
      </c>
      <c r="P262" s="10" t="n">
        <v>103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202.5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46206</v>
      </c>
      <c r="C263" s="11" t="n">
        <v>46209</v>
      </c>
      <c r="D263" s="10" t="n">
        <v>1899</v>
      </c>
      <c r="E263" s="12" t="s">
        <v>131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1343556</v>
      </c>
      <c r="L263" s="10" t="n">
        <v>689</v>
      </c>
      <c r="M263" s="12" t="s">
        <v>33</v>
      </c>
      <c r="N263" s="12" t="s">
        <v>34</v>
      </c>
      <c r="P263" s="10" t="n">
        <v>103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359.55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46142</v>
      </c>
      <c r="C264" s="11" t="n">
        <v>46209</v>
      </c>
      <c r="D264" s="10" t="n">
        <v>607</v>
      </c>
      <c r="E264" s="12" t="s">
        <v>81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1028242</v>
      </c>
      <c r="L264" s="10" t="n">
        <v>10262</v>
      </c>
      <c r="M264" s="12" t="s">
        <v>448</v>
      </c>
      <c r="N264" s="12" t="s">
        <v>34</v>
      </c>
      <c r="P264" s="10" t="n">
        <v>103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1488.3</v>
      </c>
      <c r="W264" s="13" t="n">
        <v>0</v>
      </c>
      <c r="X264" s="12" t="s">
        <v>449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46209</v>
      </c>
      <c r="C265" s="11" t="n">
        <v>46209</v>
      </c>
      <c r="D265" s="10" t="n">
        <v>33</v>
      </c>
      <c r="E265" s="12" t="s">
        <v>64</v>
      </c>
      <c r="F265" s="10" t="n">
        <v>13</v>
      </c>
      <c r="G265" s="12" t="s">
        <v>55</v>
      </c>
      <c r="H265" s="10" t="n">
        <v>2110101</v>
      </c>
      <c r="I265" s="12" t="s">
        <v>32</v>
      </c>
      <c r="J265" s="10" t="n">
        <v>1360947</v>
      </c>
      <c r="L265" s="10" t="n">
        <v>5251</v>
      </c>
      <c r="M265" s="12" t="s">
        <v>33</v>
      </c>
      <c r="N265" s="12" t="s">
        <v>34</v>
      </c>
      <c r="P265" s="10" t="n">
        <v>104</v>
      </c>
      <c r="Q265" s="12" t="s">
        <v>50</v>
      </c>
      <c r="R265" s="12" t="s">
        <v>36</v>
      </c>
      <c r="S265" s="10" t="n">
        <v>1130101</v>
      </c>
      <c r="T265" s="12" t="s">
        <v>37</v>
      </c>
      <c r="U265" s="13" t="n">
        <v>280</v>
      </c>
      <c r="W265" s="13" t="n">
        <v>280</v>
      </c>
      <c r="X265" s="12" t="s">
        <v>195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46209</v>
      </c>
      <c r="C266" s="11" t="n">
        <v>46209</v>
      </c>
      <c r="D266" s="10" t="n">
        <v>33</v>
      </c>
      <c r="E266" s="12" t="s">
        <v>64</v>
      </c>
      <c r="F266" s="10" t="n">
        <v>13</v>
      </c>
      <c r="G266" s="12" t="s">
        <v>55</v>
      </c>
      <c r="H266" s="10" t="n">
        <v>2110101</v>
      </c>
      <c r="I266" s="12" t="s">
        <v>32</v>
      </c>
      <c r="J266" s="10" t="n">
        <v>1361016</v>
      </c>
      <c r="L266" s="10" t="n">
        <v>5252</v>
      </c>
      <c r="M266" s="12" t="s">
        <v>33</v>
      </c>
      <c r="N266" s="12" t="s">
        <v>34</v>
      </c>
      <c r="P266" s="10" t="n">
        <v>104</v>
      </c>
      <c r="Q266" s="12" t="s">
        <v>50</v>
      </c>
      <c r="R266" s="12" t="s">
        <v>36</v>
      </c>
      <c r="S266" s="10" t="n">
        <v>1130101</v>
      </c>
      <c r="T266" s="12" t="s">
        <v>37</v>
      </c>
      <c r="U266" s="13" t="n">
        <v>350</v>
      </c>
      <c r="W266" s="13" t="n">
        <v>350</v>
      </c>
      <c r="X266" s="12" t="s">
        <v>195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46209</v>
      </c>
      <c r="C267" s="11" t="n">
        <v>46209</v>
      </c>
      <c r="D267" s="10" t="n">
        <v>33</v>
      </c>
      <c r="E267" s="12" t="s">
        <v>64</v>
      </c>
      <c r="F267" s="10" t="n">
        <v>13</v>
      </c>
      <c r="G267" s="12" t="s">
        <v>55</v>
      </c>
      <c r="H267" s="10" t="n">
        <v>2110101</v>
      </c>
      <c r="I267" s="12" t="s">
        <v>32</v>
      </c>
      <c r="J267" s="10" t="n">
        <v>1361059</v>
      </c>
      <c r="L267" s="10" t="n">
        <v>5253</v>
      </c>
      <c r="M267" s="12" t="s">
        <v>33</v>
      </c>
      <c r="N267" s="12" t="s">
        <v>34</v>
      </c>
      <c r="P267" s="10" t="n">
        <v>104</v>
      </c>
      <c r="Q267" s="12" t="s">
        <v>50</v>
      </c>
      <c r="R267" s="12" t="s">
        <v>36</v>
      </c>
      <c r="S267" s="10" t="n">
        <v>1130101</v>
      </c>
      <c r="T267" s="12" t="s">
        <v>37</v>
      </c>
      <c r="U267" s="13" t="n">
        <v>280</v>
      </c>
      <c r="W267" s="13" t="n">
        <v>280</v>
      </c>
      <c r="X267" s="12" t="s">
        <v>195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46209</v>
      </c>
      <c r="C268" s="11" t="n">
        <v>46209</v>
      </c>
      <c r="D268" s="10" t="n">
        <v>33</v>
      </c>
      <c r="E268" s="12" t="s">
        <v>64</v>
      </c>
      <c r="F268" s="10" t="n">
        <v>13</v>
      </c>
      <c r="G268" s="12" t="s">
        <v>55</v>
      </c>
      <c r="H268" s="10" t="n">
        <v>2110101</v>
      </c>
      <c r="I268" s="12" t="s">
        <v>32</v>
      </c>
      <c r="J268" s="10" t="n">
        <v>1361148</v>
      </c>
      <c r="L268" s="10" t="n">
        <v>5254</v>
      </c>
      <c r="M268" s="12" t="s">
        <v>33</v>
      </c>
      <c r="N268" s="12" t="s">
        <v>34</v>
      </c>
      <c r="P268" s="10" t="n">
        <v>104</v>
      </c>
      <c r="Q268" s="12" t="s">
        <v>50</v>
      </c>
      <c r="R268" s="12" t="s">
        <v>36</v>
      </c>
      <c r="S268" s="10" t="n">
        <v>1130101</v>
      </c>
      <c r="T268" s="12" t="s">
        <v>37</v>
      </c>
      <c r="U268" s="13" t="n">
        <v>260</v>
      </c>
      <c r="W268" s="13" t="n">
        <v>260</v>
      </c>
      <c r="X268" s="12" t="s">
        <v>195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46209</v>
      </c>
      <c r="C269" s="11" t="n">
        <v>46209</v>
      </c>
      <c r="D269" s="10" t="n">
        <v>33</v>
      </c>
      <c r="E269" s="12" t="s">
        <v>64</v>
      </c>
      <c r="F269" s="10" t="n">
        <v>13</v>
      </c>
      <c r="G269" s="12" t="s">
        <v>55</v>
      </c>
      <c r="H269" s="10" t="n">
        <v>2110101</v>
      </c>
      <c r="I269" s="12" t="s">
        <v>32</v>
      </c>
      <c r="J269" s="10" t="n">
        <v>1361223</v>
      </c>
      <c r="L269" s="10" t="n">
        <v>5255</v>
      </c>
      <c r="M269" s="12" t="s">
        <v>33</v>
      </c>
      <c r="N269" s="12" t="s">
        <v>34</v>
      </c>
      <c r="P269" s="10" t="n">
        <v>104</v>
      </c>
      <c r="Q269" s="12" t="s">
        <v>50</v>
      </c>
      <c r="R269" s="12" t="s">
        <v>36</v>
      </c>
      <c r="S269" s="10" t="n">
        <v>1130101</v>
      </c>
      <c r="T269" s="12" t="s">
        <v>37</v>
      </c>
      <c r="U269" s="13" t="n">
        <v>280</v>
      </c>
      <c r="W269" s="13" t="n">
        <v>280</v>
      </c>
      <c r="X269" s="12" t="s">
        <v>195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46209</v>
      </c>
      <c r="C270" s="11" t="n">
        <v>46209</v>
      </c>
      <c r="D270" s="10" t="n">
        <v>33</v>
      </c>
      <c r="E270" s="12" t="s">
        <v>64</v>
      </c>
      <c r="F270" s="10" t="n">
        <v>13</v>
      </c>
      <c r="G270" s="12" t="s">
        <v>55</v>
      </c>
      <c r="H270" s="10" t="n">
        <v>2110101</v>
      </c>
      <c r="I270" s="12" t="s">
        <v>32</v>
      </c>
      <c r="J270" s="10" t="n">
        <v>1362077</v>
      </c>
      <c r="L270" s="10" t="n">
        <v>5260</v>
      </c>
      <c r="M270" s="12" t="s">
        <v>33</v>
      </c>
      <c r="N270" s="12" t="s">
        <v>34</v>
      </c>
      <c r="P270" s="10" t="n">
        <v>104</v>
      </c>
      <c r="Q270" s="12" t="s">
        <v>50</v>
      </c>
      <c r="R270" s="12" t="s">
        <v>36</v>
      </c>
      <c r="S270" s="10" t="n">
        <v>1130101</v>
      </c>
      <c r="T270" s="12" t="s">
        <v>37</v>
      </c>
      <c r="U270" s="13" t="n">
        <v>350</v>
      </c>
      <c r="W270" s="13" t="n">
        <v>350</v>
      </c>
      <c r="X270" s="12" t="s">
        <v>195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46209</v>
      </c>
      <c r="C271" s="11" t="n">
        <v>46209</v>
      </c>
      <c r="D271" s="10" t="n">
        <v>33</v>
      </c>
      <c r="E271" s="12" t="s">
        <v>64</v>
      </c>
      <c r="F271" s="10" t="n">
        <v>13</v>
      </c>
      <c r="G271" s="12" t="s">
        <v>55</v>
      </c>
      <c r="H271" s="10" t="n">
        <v>2110101</v>
      </c>
      <c r="I271" s="12" t="s">
        <v>32</v>
      </c>
      <c r="J271" s="10" t="n">
        <v>1362193</v>
      </c>
      <c r="L271" s="10" t="n">
        <v>5261</v>
      </c>
      <c r="M271" s="12" t="s">
        <v>33</v>
      </c>
      <c r="N271" s="12" t="s">
        <v>34</v>
      </c>
      <c r="P271" s="10" t="n">
        <v>104</v>
      </c>
      <c r="Q271" s="12" t="s">
        <v>50</v>
      </c>
      <c r="R271" s="12" t="s">
        <v>36</v>
      </c>
      <c r="S271" s="10" t="n">
        <v>1130101</v>
      </c>
      <c r="T271" s="12" t="s">
        <v>37</v>
      </c>
      <c r="U271" s="13" t="n">
        <v>280</v>
      </c>
      <c r="W271" s="13" t="n">
        <v>280</v>
      </c>
      <c r="X271" s="12" t="s">
        <v>195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46209</v>
      </c>
      <c r="C272" s="11" t="n">
        <v>46209</v>
      </c>
      <c r="D272" s="10" t="n">
        <v>33</v>
      </c>
      <c r="E272" s="12" t="s">
        <v>64</v>
      </c>
      <c r="F272" s="10" t="n">
        <v>13</v>
      </c>
      <c r="G272" s="12" t="s">
        <v>55</v>
      </c>
      <c r="H272" s="10" t="n">
        <v>2110101</v>
      </c>
      <c r="I272" s="12" t="s">
        <v>32</v>
      </c>
      <c r="J272" s="10" t="n">
        <v>1362292</v>
      </c>
      <c r="L272" s="10" t="n">
        <v>5262</v>
      </c>
      <c r="M272" s="12" t="s">
        <v>33</v>
      </c>
      <c r="N272" s="12" t="s">
        <v>34</v>
      </c>
      <c r="P272" s="10" t="n">
        <v>104</v>
      </c>
      <c r="Q272" s="12" t="s">
        <v>50</v>
      </c>
      <c r="R272" s="12" t="s">
        <v>36</v>
      </c>
      <c r="S272" s="10" t="n">
        <v>1130101</v>
      </c>
      <c r="T272" s="12" t="s">
        <v>37</v>
      </c>
      <c r="U272" s="13" t="n">
        <v>280</v>
      </c>
      <c r="W272" s="13" t="n">
        <v>280</v>
      </c>
      <c r="X272" s="12" t="s">
        <v>195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46209</v>
      </c>
      <c r="C273" s="11" t="n">
        <v>46209</v>
      </c>
      <c r="D273" s="10" t="n">
        <v>16</v>
      </c>
      <c r="E273" s="12" t="s">
        <v>407</v>
      </c>
      <c r="F273" s="10" t="n">
        <v>34</v>
      </c>
      <c r="G273" s="12" t="s">
        <v>49</v>
      </c>
      <c r="H273" s="10" t="n">
        <v>1110202</v>
      </c>
      <c r="I273" s="12" t="s">
        <v>90</v>
      </c>
      <c r="J273" s="10" t="n">
        <v>1207139</v>
      </c>
      <c r="L273" s="10" t="n">
        <v>502148</v>
      </c>
      <c r="M273" s="12" t="s">
        <v>76</v>
      </c>
      <c r="N273" s="12" t="s">
        <v>66</v>
      </c>
      <c r="P273" s="10" t="n">
        <v>102</v>
      </c>
      <c r="Q273" s="12" t="s">
        <v>112</v>
      </c>
      <c r="R273" s="12" t="s">
        <v>91</v>
      </c>
      <c r="S273" s="10" t="n">
        <v>4220199</v>
      </c>
      <c r="T273" s="12" t="s">
        <v>92</v>
      </c>
      <c r="U273" s="13" t="n">
        <v>350</v>
      </c>
      <c r="W273" s="13" t="n">
        <v>0</v>
      </c>
      <c r="X273" s="12" t="s">
        <v>450</v>
      </c>
      <c r="Z273" s="1" t="str">
        <f aca="false">IF($T273="","",IFERROR(INDEX('Resumo Grupos'!$AC$3:$AC$200,MATCH($T273,'Resumo Grupos'!$AB$3:$AB$200,0)),"n/d"))</f>
        <v>Pagamentos outros não operacionais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46204</v>
      </c>
      <c r="C274" s="11" t="n">
        <v>46209</v>
      </c>
      <c r="D274" s="10" t="n">
        <v>1292</v>
      </c>
      <c r="E274" s="12" t="s">
        <v>369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1333866</v>
      </c>
      <c r="L274" s="10" t="n">
        <v>3505</v>
      </c>
      <c r="M274" s="12" t="s">
        <v>33</v>
      </c>
      <c r="N274" s="12" t="s">
        <v>34</v>
      </c>
      <c r="P274" s="10" t="n">
        <v>103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899</v>
      </c>
      <c r="W274" s="13" t="n">
        <v>0</v>
      </c>
      <c r="X274" s="12" t="s">
        <v>451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46196</v>
      </c>
      <c r="C275" s="11" t="n">
        <v>46209</v>
      </c>
      <c r="D275" s="10" t="n">
        <v>1666</v>
      </c>
      <c r="E275" s="12" t="s">
        <v>139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1293782</v>
      </c>
      <c r="L275" s="10" t="n">
        <v>564351</v>
      </c>
      <c r="M275" s="12" t="s">
        <v>76</v>
      </c>
      <c r="N275" s="12" t="s">
        <v>34</v>
      </c>
      <c r="P275" s="10" t="n">
        <v>103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7606.68</v>
      </c>
      <c r="W275" s="13" t="n">
        <v>0</v>
      </c>
      <c r="X275" s="12" t="s">
        <v>452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46190</v>
      </c>
      <c r="C276" s="11" t="n">
        <v>46209</v>
      </c>
      <c r="D276" s="10" t="n">
        <v>1196</v>
      </c>
      <c r="E276" s="12" t="s">
        <v>143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1265535</v>
      </c>
      <c r="L276" s="10" t="n">
        <v>11722</v>
      </c>
      <c r="M276" s="12" t="s">
        <v>76</v>
      </c>
      <c r="N276" s="12" t="s">
        <v>34</v>
      </c>
      <c r="P276" s="10" t="n">
        <v>103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642.15</v>
      </c>
      <c r="W276" s="13" t="n">
        <v>0</v>
      </c>
      <c r="X276" s="12" t="s">
        <v>453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46209</v>
      </c>
      <c r="C277" s="11" t="n">
        <v>46210</v>
      </c>
      <c r="D277" s="10" t="n">
        <v>10091</v>
      </c>
      <c r="E277" s="12" t="s">
        <v>454</v>
      </c>
      <c r="F277" s="10" t="n">
        <v>34</v>
      </c>
      <c r="G277" s="12" t="s">
        <v>49</v>
      </c>
      <c r="H277" s="10" t="n">
        <v>2110101</v>
      </c>
      <c r="I277" s="12" t="s">
        <v>32</v>
      </c>
      <c r="J277" s="10" t="n">
        <v>1361611</v>
      </c>
      <c r="L277" s="10" t="n">
        <v>382</v>
      </c>
      <c r="M277" s="12" t="s">
        <v>33</v>
      </c>
      <c r="N277" s="12" t="s">
        <v>34</v>
      </c>
      <c r="P277" s="10" t="n">
        <v>103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154.09</v>
      </c>
      <c r="W277" s="13" t="n">
        <v>0</v>
      </c>
      <c r="X277" s="12" t="s">
        <v>455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46207</v>
      </c>
      <c r="C278" s="11" t="n">
        <v>46210</v>
      </c>
      <c r="D278" s="10" t="n">
        <v>642</v>
      </c>
      <c r="E278" s="12" t="s">
        <v>145</v>
      </c>
      <c r="F278" s="10" t="n">
        <v>24</v>
      </c>
      <c r="G278" s="12" t="s">
        <v>31</v>
      </c>
      <c r="H278" s="10" t="n">
        <v>2110101</v>
      </c>
      <c r="I278" s="12" t="s">
        <v>32</v>
      </c>
      <c r="J278" s="10" t="n">
        <v>1348664</v>
      </c>
      <c r="L278" s="10" t="n">
        <v>519</v>
      </c>
      <c r="M278" s="12" t="s">
        <v>33</v>
      </c>
      <c r="N278" s="12" t="s">
        <v>34</v>
      </c>
      <c r="P278" s="10" t="n">
        <v>103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936</v>
      </c>
      <c r="W278" s="13" t="n">
        <v>0</v>
      </c>
      <c r="X278" s="12" t="s">
        <v>456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46205</v>
      </c>
      <c r="C279" s="11" t="n">
        <v>46210</v>
      </c>
      <c r="D279" s="10" t="n">
        <v>10018</v>
      </c>
      <c r="E279" s="12" t="s">
        <v>147</v>
      </c>
      <c r="F279" s="10" t="n">
        <v>34</v>
      </c>
      <c r="G279" s="12" t="s">
        <v>49</v>
      </c>
      <c r="H279" s="10" t="n">
        <v>2110101</v>
      </c>
      <c r="I279" s="12" t="s">
        <v>32</v>
      </c>
      <c r="J279" s="10" t="n">
        <v>1340368</v>
      </c>
      <c r="L279" s="10" t="n">
        <v>320</v>
      </c>
      <c r="M279" s="12" t="s">
        <v>33</v>
      </c>
      <c r="N279" s="12" t="s">
        <v>34</v>
      </c>
      <c r="P279" s="10" t="n">
        <v>103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4139.57</v>
      </c>
      <c r="W279" s="13" t="n">
        <v>0</v>
      </c>
      <c r="X279" s="12" t="s">
        <v>457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46195</v>
      </c>
      <c r="C280" s="11" t="n">
        <v>46210</v>
      </c>
      <c r="D280" s="10" t="n">
        <v>1670</v>
      </c>
      <c r="E280" s="12" t="s">
        <v>458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1291357</v>
      </c>
      <c r="L280" s="10" t="n">
        <v>270492</v>
      </c>
      <c r="M280" s="12" t="s">
        <v>33</v>
      </c>
      <c r="N280" s="12" t="s">
        <v>34</v>
      </c>
      <c r="P280" s="10" t="n">
        <v>103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812</v>
      </c>
      <c r="W280" s="13" t="n">
        <v>0</v>
      </c>
      <c r="X280" s="12" t="s">
        <v>459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46202</v>
      </c>
      <c r="C281" s="11" t="n">
        <v>46210</v>
      </c>
      <c r="D281" s="10" t="n">
        <v>10029</v>
      </c>
      <c r="E281" s="12" t="s">
        <v>460</v>
      </c>
      <c r="F281" s="10" t="n">
        <v>24</v>
      </c>
      <c r="G281" s="12" t="s">
        <v>31</v>
      </c>
      <c r="H281" s="10" t="n">
        <v>2110102</v>
      </c>
      <c r="I281" s="12" t="s">
        <v>197</v>
      </c>
      <c r="J281" s="10" t="n">
        <v>1322427</v>
      </c>
      <c r="L281" s="10" t="n">
        <v>187</v>
      </c>
      <c r="M281" s="12" t="s">
        <v>33</v>
      </c>
      <c r="N281" s="12" t="s">
        <v>34</v>
      </c>
      <c r="P281" s="10" t="n">
        <v>103</v>
      </c>
      <c r="Q281" s="12" t="s">
        <v>35</v>
      </c>
      <c r="R281" s="12" t="s">
        <v>94</v>
      </c>
      <c r="S281" s="10" t="n">
        <v>4210204</v>
      </c>
      <c r="T281" s="12" t="s">
        <v>198</v>
      </c>
      <c r="U281" s="13" t="n">
        <v>2450</v>
      </c>
      <c r="W281" s="13" t="n">
        <v>0</v>
      </c>
      <c r="X281" s="12" t="s">
        <v>461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46196</v>
      </c>
      <c r="C282" s="11" t="n">
        <v>46210</v>
      </c>
      <c r="D282" s="10" t="n">
        <v>1705</v>
      </c>
      <c r="E282" s="12" t="s">
        <v>46</v>
      </c>
      <c r="F282" s="10" t="n">
        <v>24</v>
      </c>
      <c r="G282" s="12" t="s">
        <v>31</v>
      </c>
      <c r="H282" s="10" t="n">
        <v>2110101</v>
      </c>
      <c r="I282" s="12" t="s">
        <v>32</v>
      </c>
      <c r="J282" s="10" t="n">
        <v>1295709</v>
      </c>
      <c r="L282" s="10" t="n">
        <v>1170695</v>
      </c>
      <c r="M282" s="12" t="s">
        <v>33</v>
      </c>
      <c r="N282" s="12" t="s">
        <v>34</v>
      </c>
      <c r="P282" s="10" t="n">
        <v>103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461.34</v>
      </c>
      <c r="W282" s="13" t="n">
        <v>0</v>
      </c>
      <c r="X282" s="12" t="s">
        <v>462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46195</v>
      </c>
      <c r="C283" s="11" t="n">
        <v>46210</v>
      </c>
      <c r="D283" s="10" t="n">
        <v>1613</v>
      </c>
      <c r="E283" s="12" t="s">
        <v>71</v>
      </c>
      <c r="F283" s="10" t="n">
        <v>24</v>
      </c>
      <c r="G283" s="12" t="s">
        <v>31</v>
      </c>
      <c r="H283" s="10" t="n">
        <v>2110101</v>
      </c>
      <c r="I283" s="12" t="s">
        <v>32</v>
      </c>
      <c r="J283" s="10" t="n">
        <v>1290054</v>
      </c>
      <c r="L283" s="10" t="n">
        <v>1598074</v>
      </c>
      <c r="M283" s="12" t="s">
        <v>76</v>
      </c>
      <c r="N283" s="12" t="s">
        <v>34</v>
      </c>
      <c r="P283" s="10" t="n">
        <v>103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2103</v>
      </c>
      <c r="W283" s="13" t="n">
        <v>0</v>
      </c>
      <c r="X283" s="12" t="s">
        <v>463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46203</v>
      </c>
      <c r="C284" s="11" t="n">
        <v>46210</v>
      </c>
      <c r="D284" s="10" t="n">
        <v>1642</v>
      </c>
      <c r="E284" s="12" t="s">
        <v>158</v>
      </c>
      <c r="F284" s="10" t="n">
        <v>24</v>
      </c>
      <c r="G284" s="12" t="s">
        <v>31</v>
      </c>
      <c r="H284" s="10" t="n">
        <v>2110101</v>
      </c>
      <c r="I284" s="12" t="s">
        <v>32</v>
      </c>
      <c r="J284" s="10" t="n">
        <v>1331216</v>
      </c>
      <c r="L284" s="10" t="n">
        <v>1029524</v>
      </c>
      <c r="M284" s="12" t="s">
        <v>33</v>
      </c>
      <c r="N284" s="12" t="s">
        <v>34</v>
      </c>
      <c r="P284" s="10" t="n">
        <v>103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769.18</v>
      </c>
      <c r="W284" s="13" t="n">
        <v>0</v>
      </c>
      <c r="X284" s="12" t="s">
        <v>464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46197</v>
      </c>
      <c r="C285" s="11" t="n">
        <v>46210</v>
      </c>
      <c r="D285" s="10" t="n">
        <v>10073</v>
      </c>
      <c r="E285" s="12" t="s">
        <v>465</v>
      </c>
      <c r="F285" s="10" t="n">
        <v>24</v>
      </c>
      <c r="G285" s="12" t="s">
        <v>31</v>
      </c>
      <c r="H285" s="10" t="n">
        <v>2110101</v>
      </c>
      <c r="I285" s="12" t="s">
        <v>32</v>
      </c>
      <c r="J285" s="10" t="n">
        <v>1300300</v>
      </c>
      <c r="L285" s="10" t="n">
        <v>178</v>
      </c>
      <c r="M285" s="12" t="s">
        <v>33</v>
      </c>
      <c r="N285" s="12" t="s">
        <v>34</v>
      </c>
      <c r="P285" s="10" t="n">
        <v>103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369.3</v>
      </c>
      <c r="W285" s="13" t="n">
        <v>0</v>
      </c>
      <c r="X285" s="12" t="s">
        <v>466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46210</v>
      </c>
      <c r="C286" s="11" t="n">
        <v>46210</v>
      </c>
      <c r="D286" s="10" t="n">
        <v>1000001</v>
      </c>
      <c r="E286" s="12" t="s">
        <v>102</v>
      </c>
      <c r="F286" s="10" t="n">
        <v>24</v>
      </c>
      <c r="G286" s="12" t="s">
        <v>31</v>
      </c>
      <c r="H286" s="10" t="n">
        <v>1110202</v>
      </c>
      <c r="I286" s="12" t="s">
        <v>90</v>
      </c>
      <c r="J286" s="10" t="n">
        <v>1364200</v>
      </c>
      <c r="L286" s="10" t="n">
        <v>563349</v>
      </c>
      <c r="M286" s="12" t="s">
        <v>33</v>
      </c>
      <c r="N286" s="12" t="s">
        <v>66</v>
      </c>
      <c r="P286" s="10" t="n">
        <v>101</v>
      </c>
      <c r="Q286" s="12" t="s">
        <v>84</v>
      </c>
      <c r="R286" s="12" t="s">
        <v>91</v>
      </c>
      <c r="S286" s="10" t="n">
        <v>4220199</v>
      </c>
      <c r="T286" s="12" t="s">
        <v>92</v>
      </c>
      <c r="U286" s="13" t="n">
        <v>2380.07</v>
      </c>
      <c r="W286" s="13" t="n">
        <v>0</v>
      </c>
      <c r="X286" s="12" t="s">
        <v>467</v>
      </c>
      <c r="Z286" s="1" t="str">
        <f aca="false">IF($T286="","",IFERROR(INDEX('Resumo Grupos'!$AC$3:$AC$200,MATCH($T286,'Resumo Grupos'!$AB$3:$AB$200,0)),"n/d"))</f>
        <v>Pagamentos outros não operacionais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46191</v>
      </c>
      <c r="C287" s="11" t="n">
        <v>46210</v>
      </c>
      <c r="D287" s="10" t="n">
        <v>1608</v>
      </c>
      <c r="E287" s="12" t="s">
        <v>52</v>
      </c>
      <c r="F287" s="10" t="n">
        <v>24</v>
      </c>
      <c r="G287" s="12" t="s">
        <v>31</v>
      </c>
      <c r="H287" s="10" t="n">
        <v>2110101</v>
      </c>
      <c r="I287" s="12" t="s">
        <v>32</v>
      </c>
      <c r="J287" s="10" t="n">
        <v>1269669</v>
      </c>
      <c r="L287" s="10" t="n">
        <v>1673539</v>
      </c>
      <c r="M287" s="12" t="s">
        <v>33</v>
      </c>
      <c r="N287" s="12" t="s">
        <v>34</v>
      </c>
      <c r="P287" s="10" t="n">
        <v>103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2093.55</v>
      </c>
      <c r="W287" s="13" t="n">
        <v>0</v>
      </c>
      <c r="X287" s="12" t="s">
        <v>468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46190</v>
      </c>
      <c r="C288" s="11" t="n">
        <v>46210</v>
      </c>
      <c r="D288" s="10" t="n">
        <v>1616</v>
      </c>
      <c r="E288" s="12" t="s">
        <v>434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1265809</v>
      </c>
      <c r="L288" s="10" t="n">
        <v>646127</v>
      </c>
      <c r="M288" s="12" t="s">
        <v>33</v>
      </c>
      <c r="N288" s="12" t="s">
        <v>34</v>
      </c>
      <c r="P288" s="10" t="n">
        <v>103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865.4</v>
      </c>
      <c r="W288" s="13" t="n">
        <v>0</v>
      </c>
      <c r="X288" s="12" t="s">
        <v>469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46210</v>
      </c>
      <c r="C289" s="11" t="n">
        <v>46210</v>
      </c>
      <c r="D289" s="10" t="n">
        <v>905</v>
      </c>
      <c r="E289" s="12" t="s">
        <v>470</v>
      </c>
      <c r="F289" s="10" t="n">
        <v>34</v>
      </c>
      <c r="G289" s="12" t="s">
        <v>49</v>
      </c>
      <c r="H289" s="10" t="n">
        <v>1110202</v>
      </c>
      <c r="I289" s="12" t="s">
        <v>90</v>
      </c>
      <c r="J289" s="10" t="n">
        <v>1364963</v>
      </c>
      <c r="L289" s="10" t="n">
        <v>563612</v>
      </c>
      <c r="M289" s="12" t="s">
        <v>33</v>
      </c>
      <c r="N289" s="12" t="s">
        <v>66</v>
      </c>
      <c r="P289" s="10" t="n">
        <v>101</v>
      </c>
      <c r="Q289" s="12" t="s">
        <v>84</v>
      </c>
      <c r="R289" s="12" t="s">
        <v>94</v>
      </c>
      <c r="S289" s="10" t="n">
        <v>4210228</v>
      </c>
      <c r="T289" s="12" t="s">
        <v>471</v>
      </c>
      <c r="U289" s="13" t="n">
        <v>200</v>
      </c>
      <c r="W289" s="13" t="n">
        <v>0</v>
      </c>
      <c r="X289" s="12" t="s">
        <v>472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46210</v>
      </c>
      <c r="C290" s="11" t="n">
        <v>46210</v>
      </c>
      <c r="D290" s="10" t="n">
        <v>1037</v>
      </c>
      <c r="E290" s="12" t="s">
        <v>171</v>
      </c>
      <c r="F290" s="10" t="n">
        <v>34</v>
      </c>
      <c r="G290" s="12" t="s">
        <v>49</v>
      </c>
      <c r="H290" s="10" t="n">
        <v>1110202</v>
      </c>
      <c r="I290" s="12" t="s">
        <v>90</v>
      </c>
      <c r="J290" s="10" t="n">
        <v>1366386</v>
      </c>
      <c r="L290" s="10" t="n">
        <v>564010</v>
      </c>
      <c r="M290" s="12" t="s">
        <v>33</v>
      </c>
      <c r="N290" s="12" t="s">
        <v>66</v>
      </c>
      <c r="P290" s="10" t="n">
        <v>101</v>
      </c>
      <c r="Q290" s="12" t="s">
        <v>84</v>
      </c>
      <c r="R290" s="12" t="s">
        <v>91</v>
      </c>
      <c r="S290" s="10" t="n">
        <v>4220199</v>
      </c>
      <c r="T290" s="12" t="s">
        <v>92</v>
      </c>
      <c r="U290" s="13" t="n">
        <v>3827.71</v>
      </c>
      <c r="W290" s="13" t="n">
        <v>0</v>
      </c>
      <c r="X290" s="12" t="s">
        <v>473</v>
      </c>
      <c r="Z290" s="1" t="str">
        <f aca="false">IF($T290="","",IFERROR(INDEX('Resumo Grupos'!$AC$3:$AC$200,MATCH($T290,'Resumo Grupos'!$AB$3:$AB$200,0)),"n/d"))</f>
        <v>Pagamentos outros não operacionais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46189</v>
      </c>
      <c r="C291" s="11" t="n">
        <v>46210</v>
      </c>
      <c r="D291" s="10" t="n">
        <v>1815</v>
      </c>
      <c r="E291" s="12" t="s">
        <v>175</v>
      </c>
      <c r="F291" s="10" t="n">
        <v>24</v>
      </c>
      <c r="G291" s="12" t="s">
        <v>31</v>
      </c>
      <c r="H291" s="10" t="n">
        <v>2110101</v>
      </c>
      <c r="I291" s="12" t="s">
        <v>32</v>
      </c>
      <c r="J291" s="10" t="n">
        <v>1262226</v>
      </c>
      <c r="L291" s="10" t="n">
        <v>387396</v>
      </c>
      <c r="M291" s="12" t="s">
        <v>40</v>
      </c>
      <c r="N291" s="12" t="s">
        <v>34</v>
      </c>
      <c r="P291" s="10" t="n">
        <v>103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1107.75</v>
      </c>
      <c r="W291" s="13" t="n">
        <v>0</v>
      </c>
      <c r="X291" s="12" t="s">
        <v>474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46203</v>
      </c>
      <c r="C292" s="11" t="n">
        <v>46210</v>
      </c>
      <c r="D292" s="10" t="n">
        <v>1363</v>
      </c>
      <c r="E292" s="12" t="s">
        <v>177</v>
      </c>
      <c r="F292" s="10" t="n">
        <v>24</v>
      </c>
      <c r="G292" s="12" t="s">
        <v>31</v>
      </c>
      <c r="H292" s="10" t="n">
        <v>2110101</v>
      </c>
      <c r="I292" s="12" t="s">
        <v>32</v>
      </c>
      <c r="J292" s="10" t="n">
        <v>1331234</v>
      </c>
      <c r="L292" s="10" t="n">
        <v>3456</v>
      </c>
      <c r="M292" s="12" t="s">
        <v>33</v>
      </c>
      <c r="N292" s="12" t="s">
        <v>34</v>
      </c>
      <c r="P292" s="10" t="n">
        <v>103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368</v>
      </c>
      <c r="W292" s="13" t="n">
        <v>0</v>
      </c>
      <c r="X292" s="12" t="s">
        <v>475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46196</v>
      </c>
      <c r="C293" s="11" t="n">
        <v>46210</v>
      </c>
      <c r="D293" s="10" t="n">
        <v>1611</v>
      </c>
      <c r="E293" s="12" t="s">
        <v>476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1294640</v>
      </c>
      <c r="L293" s="10" t="n">
        <v>536311</v>
      </c>
      <c r="M293" s="12" t="s">
        <v>33</v>
      </c>
      <c r="N293" s="12" t="s">
        <v>66</v>
      </c>
      <c r="P293" s="10" t="n">
        <v>103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3224.65</v>
      </c>
      <c r="W293" s="13" t="n">
        <v>0</v>
      </c>
      <c r="X293" s="12" t="s">
        <v>477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46203</v>
      </c>
      <c r="C294" s="11" t="n">
        <v>46210</v>
      </c>
      <c r="D294" s="10" t="n">
        <v>1625</v>
      </c>
      <c r="E294" s="12" t="s">
        <v>62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1330590</v>
      </c>
      <c r="L294" s="10" t="n">
        <v>14587</v>
      </c>
      <c r="M294" s="12" t="s">
        <v>33</v>
      </c>
      <c r="N294" s="12" t="s">
        <v>34</v>
      </c>
      <c r="P294" s="10" t="n">
        <v>103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3046.54</v>
      </c>
      <c r="W294" s="13" t="n">
        <v>0</v>
      </c>
      <c r="X294" s="12" t="s">
        <v>478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46192</v>
      </c>
      <c r="C295" s="11" t="n">
        <v>46210</v>
      </c>
      <c r="D295" s="10" t="n">
        <v>1668</v>
      </c>
      <c r="E295" s="12" t="s">
        <v>263</v>
      </c>
      <c r="F295" s="10" t="n">
        <v>24</v>
      </c>
      <c r="G295" s="12" t="s">
        <v>31</v>
      </c>
      <c r="H295" s="10" t="n">
        <v>2110102</v>
      </c>
      <c r="I295" s="12" t="s">
        <v>197</v>
      </c>
      <c r="J295" s="10" t="n">
        <v>1272813</v>
      </c>
      <c r="L295" s="10" t="n">
        <v>729270</v>
      </c>
      <c r="M295" s="12" t="s">
        <v>33</v>
      </c>
      <c r="N295" s="12" t="s">
        <v>34</v>
      </c>
      <c r="P295" s="10" t="n">
        <v>103</v>
      </c>
      <c r="Q295" s="12" t="s">
        <v>35</v>
      </c>
      <c r="R295" s="12" t="s">
        <v>94</v>
      </c>
      <c r="S295" s="10" t="n">
        <v>4210204</v>
      </c>
      <c r="T295" s="12" t="s">
        <v>198</v>
      </c>
      <c r="U295" s="13" t="n">
        <v>314.67</v>
      </c>
      <c r="W295" s="13" t="n">
        <v>0</v>
      </c>
      <c r="X295" s="12" t="s">
        <v>479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46192</v>
      </c>
      <c r="C296" s="11" t="n">
        <v>46210</v>
      </c>
      <c r="D296" s="10" t="n">
        <v>1668</v>
      </c>
      <c r="E296" s="12" t="s">
        <v>263</v>
      </c>
      <c r="F296" s="10" t="n">
        <v>24</v>
      </c>
      <c r="G296" s="12" t="s">
        <v>31</v>
      </c>
      <c r="H296" s="10" t="n">
        <v>2110101</v>
      </c>
      <c r="I296" s="12" t="s">
        <v>32</v>
      </c>
      <c r="J296" s="10" t="n">
        <v>1272881</v>
      </c>
      <c r="L296" s="10" t="n">
        <v>729269</v>
      </c>
      <c r="M296" s="12" t="s">
        <v>33</v>
      </c>
      <c r="N296" s="12" t="s">
        <v>34</v>
      </c>
      <c r="P296" s="10" t="n">
        <v>103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1346</v>
      </c>
      <c r="W296" s="13" t="n">
        <v>0</v>
      </c>
      <c r="X296" s="12" t="s">
        <v>480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46202</v>
      </c>
      <c r="C297" s="11" t="n">
        <v>46210</v>
      </c>
      <c r="D297" s="10" t="n">
        <v>17</v>
      </c>
      <c r="E297" s="12" t="s">
        <v>268</v>
      </c>
      <c r="F297" s="10" t="n">
        <v>24</v>
      </c>
      <c r="G297" s="12" t="s">
        <v>31</v>
      </c>
      <c r="H297" s="10" t="n">
        <v>2110405</v>
      </c>
      <c r="I297" s="12" t="s">
        <v>153</v>
      </c>
      <c r="J297" s="10" t="n">
        <v>1323809</v>
      </c>
      <c r="L297" s="10" t="n">
        <v>548260</v>
      </c>
      <c r="M297" s="12" t="s">
        <v>33</v>
      </c>
      <c r="N297" s="12" t="s">
        <v>66</v>
      </c>
      <c r="P297" s="10" t="n">
        <v>101</v>
      </c>
      <c r="Q297" s="12" t="s">
        <v>84</v>
      </c>
      <c r="R297" s="12" t="s">
        <v>91</v>
      </c>
      <c r="S297" s="10" t="n">
        <v>4220199</v>
      </c>
      <c r="T297" s="12" t="s">
        <v>92</v>
      </c>
      <c r="U297" s="13" t="n">
        <v>636.58</v>
      </c>
      <c r="W297" s="13" t="n">
        <v>0</v>
      </c>
      <c r="X297" s="12" t="s">
        <v>481</v>
      </c>
      <c r="Z297" s="1" t="str">
        <f aca="false">IF($T297="","",IFERROR(INDEX('Resumo Grupos'!$AC$3:$AC$200,MATCH($T297,'Resumo Grupos'!$AB$3:$AB$200,0)),"n/d"))</f>
        <v>Pagamentos outros não operacionais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46199</v>
      </c>
      <c r="C298" s="11" t="n">
        <v>46210</v>
      </c>
      <c r="D298" s="10" t="n">
        <v>1114</v>
      </c>
      <c r="E298" s="12" t="s">
        <v>128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1308995</v>
      </c>
      <c r="L298" s="10" t="n">
        <v>39200</v>
      </c>
      <c r="M298" s="12" t="s">
        <v>33</v>
      </c>
      <c r="N298" s="12" t="s">
        <v>34</v>
      </c>
      <c r="P298" s="10" t="n">
        <v>103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4267.21</v>
      </c>
      <c r="W298" s="13" t="n">
        <v>0</v>
      </c>
      <c r="X298" s="12" t="s">
        <v>482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46190</v>
      </c>
      <c r="C299" s="11" t="n">
        <v>46210</v>
      </c>
      <c r="D299" s="10" t="n">
        <v>1749</v>
      </c>
      <c r="E299" s="12" t="s">
        <v>188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1265754</v>
      </c>
      <c r="L299" s="10" t="n">
        <v>1774</v>
      </c>
      <c r="M299" s="12" t="s">
        <v>76</v>
      </c>
      <c r="N299" s="12" t="s">
        <v>34</v>
      </c>
      <c r="P299" s="10" t="n">
        <v>103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1143.6</v>
      </c>
      <c r="W299" s="13" t="n">
        <v>0</v>
      </c>
      <c r="X299" s="12" t="s">
        <v>483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46210</v>
      </c>
      <c r="C300" s="11" t="n">
        <v>46210</v>
      </c>
      <c r="D300" s="10" t="n">
        <v>306</v>
      </c>
      <c r="E300" s="12" t="s">
        <v>484</v>
      </c>
      <c r="F300" s="10" t="n">
        <v>34</v>
      </c>
      <c r="G300" s="12" t="s">
        <v>49</v>
      </c>
      <c r="H300" s="10" t="n">
        <v>1110202</v>
      </c>
      <c r="I300" s="12" t="s">
        <v>90</v>
      </c>
      <c r="J300" s="10" t="n">
        <v>1364634</v>
      </c>
      <c r="L300" s="10" t="n">
        <v>563499</v>
      </c>
      <c r="M300" s="12" t="s">
        <v>33</v>
      </c>
      <c r="N300" s="12" t="s">
        <v>66</v>
      </c>
      <c r="P300" s="10" t="n">
        <v>101</v>
      </c>
      <c r="Q300" s="12" t="s">
        <v>84</v>
      </c>
      <c r="R300" s="12" t="s">
        <v>91</v>
      </c>
      <c r="S300" s="10" t="n">
        <v>4220199</v>
      </c>
      <c r="T300" s="12" t="s">
        <v>92</v>
      </c>
      <c r="U300" s="13" t="n">
        <v>1000</v>
      </c>
      <c r="W300" s="13" t="n">
        <v>0</v>
      </c>
      <c r="X300" s="12"/>
      <c r="Z300" s="1" t="str">
        <f aca="false">IF($T300="","",IFERROR(INDEX('Resumo Grupos'!$AC$3:$AC$200,MATCH($T300,'Resumo Grupos'!$AB$3:$AB$200,0)),"n/d"))</f>
        <v>Pagamentos outros não operacionais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46210</v>
      </c>
      <c r="C301" s="11" t="n">
        <v>46210</v>
      </c>
      <c r="D301" s="10" t="n">
        <v>33</v>
      </c>
      <c r="E301" s="12" t="s">
        <v>64</v>
      </c>
      <c r="F301" s="10" t="n">
        <v>13</v>
      </c>
      <c r="G301" s="12" t="s">
        <v>55</v>
      </c>
      <c r="H301" s="10" t="n">
        <v>2110101</v>
      </c>
      <c r="I301" s="12" t="s">
        <v>32</v>
      </c>
      <c r="J301" s="10" t="n">
        <v>1364558</v>
      </c>
      <c r="L301" s="10" t="n">
        <v>5263</v>
      </c>
      <c r="M301" s="12" t="s">
        <v>33</v>
      </c>
      <c r="N301" s="12" t="s">
        <v>34</v>
      </c>
      <c r="P301" s="10" t="n">
        <v>104</v>
      </c>
      <c r="Q301" s="12" t="s">
        <v>50</v>
      </c>
      <c r="R301" s="12" t="s">
        <v>36</v>
      </c>
      <c r="S301" s="10" t="n">
        <v>1130101</v>
      </c>
      <c r="T301" s="12" t="s">
        <v>37</v>
      </c>
      <c r="U301" s="13" t="n">
        <v>420</v>
      </c>
      <c r="W301" s="13" t="n">
        <v>420</v>
      </c>
      <c r="X301" s="12" t="s">
        <v>195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46210</v>
      </c>
      <c r="C302" s="11" t="n">
        <v>46210</v>
      </c>
      <c r="D302" s="10" t="n">
        <v>33</v>
      </c>
      <c r="E302" s="12" t="s">
        <v>64</v>
      </c>
      <c r="F302" s="10" t="n">
        <v>13</v>
      </c>
      <c r="G302" s="12" t="s">
        <v>55</v>
      </c>
      <c r="H302" s="10" t="n">
        <v>2110101</v>
      </c>
      <c r="I302" s="12" t="s">
        <v>32</v>
      </c>
      <c r="J302" s="10" t="n">
        <v>1364644</v>
      </c>
      <c r="L302" s="10" t="n">
        <v>5266</v>
      </c>
      <c r="M302" s="12" t="s">
        <v>33</v>
      </c>
      <c r="N302" s="12" t="s">
        <v>34</v>
      </c>
      <c r="P302" s="10" t="n">
        <v>104</v>
      </c>
      <c r="Q302" s="12" t="s">
        <v>50</v>
      </c>
      <c r="R302" s="12" t="s">
        <v>36</v>
      </c>
      <c r="S302" s="10" t="n">
        <v>1130101</v>
      </c>
      <c r="T302" s="12" t="s">
        <v>37</v>
      </c>
      <c r="U302" s="13" t="n">
        <v>280</v>
      </c>
      <c r="W302" s="13" t="n">
        <v>280</v>
      </c>
      <c r="X302" s="12" t="s">
        <v>195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46210</v>
      </c>
      <c r="C303" s="11" t="n">
        <v>46210</v>
      </c>
      <c r="D303" s="10" t="n">
        <v>33</v>
      </c>
      <c r="E303" s="12" t="s">
        <v>64</v>
      </c>
      <c r="F303" s="10" t="n">
        <v>34</v>
      </c>
      <c r="G303" s="12" t="s">
        <v>49</v>
      </c>
      <c r="H303" s="10" t="n">
        <v>2110101</v>
      </c>
      <c r="I303" s="12" t="s">
        <v>32</v>
      </c>
      <c r="J303" s="10" t="n">
        <v>1365603</v>
      </c>
      <c r="L303" s="10" t="n">
        <v>5267</v>
      </c>
      <c r="M303" s="12" t="s">
        <v>33</v>
      </c>
      <c r="N303" s="12" t="s">
        <v>34</v>
      </c>
      <c r="P303" s="10" t="n">
        <v>104</v>
      </c>
      <c r="Q303" s="12" t="s">
        <v>50</v>
      </c>
      <c r="R303" s="12" t="s">
        <v>36</v>
      </c>
      <c r="S303" s="10" t="n">
        <v>1130101</v>
      </c>
      <c r="T303" s="12" t="s">
        <v>37</v>
      </c>
      <c r="U303" s="13" t="n">
        <v>2171.29</v>
      </c>
      <c r="W303" s="13" t="n">
        <v>0</v>
      </c>
      <c r="X303" s="12" t="s">
        <v>364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46204</v>
      </c>
      <c r="C304" s="11" t="n">
        <v>46210</v>
      </c>
      <c r="D304" s="10" t="n">
        <v>754</v>
      </c>
      <c r="E304" s="12" t="s">
        <v>68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1335562</v>
      </c>
      <c r="L304" s="10" t="n">
        <v>31489</v>
      </c>
      <c r="M304" s="12" t="s">
        <v>33</v>
      </c>
      <c r="N304" s="12" t="s">
        <v>34</v>
      </c>
      <c r="P304" s="10" t="n">
        <v>103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1840</v>
      </c>
      <c r="W304" s="13" t="n">
        <v>0</v>
      </c>
      <c r="X304" s="12" t="s">
        <v>485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46204</v>
      </c>
      <c r="C305" s="11" t="n">
        <v>46210</v>
      </c>
      <c r="D305" s="10" t="n">
        <v>754</v>
      </c>
      <c r="E305" s="12" t="s">
        <v>68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1335621</v>
      </c>
      <c r="L305" s="10" t="n">
        <v>31488</v>
      </c>
      <c r="M305" s="12" t="s">
        <v>33</v>
      </c>
      <c r="N305" s="12" t="s">
        <v>34</v>
      </c>
      <c r="P305" s="10" t="n">
        <v>103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3080</v>
      </c>
      <c r="W305" s="13" t="n">
        <v>0</v>
      </c>
      <c r="X305" s="12" t="s">
        <v>486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46203</v>
      </c>
      <c r="C306" s="11" t="n">
        <v>46210</v>
      </c>
      <c r="D306" s="10" t="n">
        <v>1631</v>
      </c>
      <c r="E306" s="12" t="s">
        <v>141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1331169</v>
      </c>
      <c r="L306" s="10" t="n">
        <v>15072</v>
      </c>
      <c r="M306" s="12" t="s">
        <v>33</v>
      </c>
      <c r="N306" s="12" t="s">
        <v>34</v>
      </c>
      <c r="P306" s="10" t="n">
        <v>103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531.52</v>
      </c>
      <c r="W306" s="13" t="n">
        <v>0</v>
      </c>
      <c r="X306" s="12" t="s">
        <v>487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46184</v>
      </c>
      <c r="C307" s="11" t="n">
        <v>46210</v>
      </c>
      <c r="D307" s="10" t="n">
        <v>1745</v>
      </c>
      <c r="E307" s="12" t="s">
        <v>212</v>
      </c>
      <c r="F307" s="10" t="n">
        <v>24</v>
      </c>
      <c r="G307" s="12" t="s">
        <v>31</v>
      </c>
      <c r="H307" s="10" t="n">
        <v>2110101</v>
      </c>
      <c r="I307" s="12" t="s">
        <v>32</v>
      </c>
      <c r="J307" s="10" t="n">
        <v>1236138</v>
      </c>
      <c r="L307" s="10" t="n">
        <v>346214</v>
      </c>
      <c r="M307" s="12" t="s">
        <v>40</v>
      </c>
      <c r="N307" s="12" t="s">
        <v>34</v>
      </c>
      <c r="P307" s="10" t="n">
        <v>103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1200.02</v>
      </c>
      <c r="W307" s="13" t="n">
        <v>0</v>
      </c>
      <c r="X307" s="12" t="s">
        <v>488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46191</v>
      </c>
      <c r="C308" s="11" t="n">
        <v>46210</v>
      </c>
      <c r="D308" s="10" t="n">
        <v>1433</v>
      </c>
      <c r="E308" s="12" t="s">
        <v>489</v>
      </c>
      <c r="F308" s="10" t="n">
        <v>24</v>
      </c>
      <c r="G308" s="12" t="s">
        <v>31</v>
      </c>
      <c r="H308" s="10" t="n">
        <v>2110102</v>
      </c>
      <c r="I308" s="12" t="s">
        <v>197</v>
      </c>
      <c r="J308" s="10" t="n">
        <v>1269918</v>
      </c>
      <c r="L308" s="10" t="n">
        <v>3450</v>
      </c>
      <c r="M308" s="12" t="s">
        <v>33</v>
      </c>
      <c r="N308" s="12" t="s">
        <v>34</v>
      </c>
      <c r="P308" s="10" t="n">
        <v>103</v>
      </c>
      <c r="Q308" s="12" t="s">
        <v>35</v>
      </c>
      <c r="R308" s="12" t="s">
        <v>94</v>
      </c>
      <c r="S308" s="10" t="n">
        <v>4210204</v>
      </c>
      <c r="T308" s="12" t="s">
        <v>198</v>
      </c>
      <c r="U308" s="13" t="n">
        <v>2317.1</v>
      </c>
      <c r="W308" s="13" t="n">
        <v>0</v>
      </c>
      <c r="X308" s="12" t="s">
        <v>490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46204</v>
      </c>
      <c r="C309" s="11" t="n">
        <v>46210</v>
      </c>
      <c r="D309" s="10" t="n">
        <v>1286</v>
      </c>
      <c r="E309" s="12" t="s">
        <v>216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1333888</v>
      </c>
      <c r="L309" s="10" t="n">
        <v>10212</v>
      </c>
      <c r="M309" s="12" t="s">
        <v>33</v>
      </c>
      <c r="N309" s="12" t="s">
        <v>34</v>
      </c>
      <c r="P309" s="10" t="n">
        <v>103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1188</v>
      </c>
      <c r="W309" s="13" t="n">
        <v>0</v>
      </c>
      <c r="X309" s="12" t="s">
        <v>491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46206</v>
      </c>
      <c r="C310" s="11" t="n">
        <v>46211</v>
      </c>
      <c r="D310" s="10" t="n">
        <v>10018</v>
      </c>
      <c r="E310" s="12" t="s">
        <v>147</v>
      </c>
      <c r="F310" s="10" t="n">
        <v>34</v>
      </c>
      <c r="G310" s="12" t="s">
        <v>49</v>
      </c>
      <c r="H310" s="10" t="n">
        <v>2110101</v>
      </c>
      <c r="I310" s="12" t="s">
        <v>32</v>
      </c>
      <c r="J310" s="10" t="n">
        <v>1345994</v>
      </c>
      <c r="L310" s="10" t="n">
        <v>321</v>
      </c>
      <c r="M310" s="12" t="s">
        <v>33</v>
      </c>
      <c r="N310" s="12" t="s">
        <v>34</v>
      </c>
      <c r="P310" s="10" t="n">
        <v>103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899.95</v>
      </c>
      <c r="W310" s="13" t="n">
        <v>0</v>
      </c>
      <c r="X310" s="12" t="s">
        <v>492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46198</v>
      </c>
      <c r="C311" s="11" t="n">
        <v>46211</v>
      </c>
      <c r="D311" s="10" t="n">
        <v>1712</v>
      </c>
      <c r="E311" s="12" t="s">
        <v>231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1306051</v>
      </c>
      <c r="L311" s="10" t="n">
        <v>28698</v>
      </c>
      <c r="M311" s="12" t="s">
        <v>76</v>
      </c>
      <c r="N311" s="12" t="s">
        <v>34</v>
      </c>
      <c r="P311" s="10" t="n">
        <v>103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637.11</v>
      </c>
      <c r="W311" s="13" t="n">
        <v>0</v>
      </c>
      <c r="X311" s="12" t="s">
        <v>493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46188</v>
      </c>
      <c r="C312" s="11" t="n">
        <v>46211</v>
      </c>
      <c r="D312" s="10" t="n">
        <v>1637</v>
      </c>
      <c r="E312" s="12" t="s">
        <v>97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1255986</v>
      </c>
      <c r="L312" s="10" t="n">
        <v>1890180</v>
      </c>
      <c r="M312" s="12" t="s">
        <v>33</v>
      </c>
      <c r="N312" s="12" t="s">
        <v>34</v>
      </c>
      <c r="P312" s="10" t="n">
        <v>103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1823.14</v>
      </c>
      <c r="W312" s="13" t="n">
        <v>0</v>
      </c>
      <c r="X312" s="12" t="s">
        <v>494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46198</v>
      </c>
      <c r="C313" s="11" t="n">
        <v>46211</v>
      </c>
      <c r="D313" s="10" t="n">
        <v>1637</v>
      </c>
      <c r="E313" s="12" t="s">
        <v>97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1305258</v>
      </c>
      <c r="L313" s="10" t="n">
        <v>1892633</v>
      </c>
      <c r="M313" s="12" t="s">
        <v>33</v>
      </c>
      <c r="N313" s="12" t="s">
        <v>34</v>
      </c>
      <c r="P313" s="10" t="n">
        <v>103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752.31</v>
      </c>
      <c r="W313" s="13" t="n">
        <v>0</v>
      </c>
      <c r="X313" s="12" t="s">
        <v>495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46198</v>
      </c>
      <c r="C314" s="11" t="n">
        <v>46211</v>
      </c>
      <c r="D314" s="10" t="n">
        <v>1637</v>
      </c>
      <c r="E314" s="12" t="s">
        <v>97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1305665</v>
      </c>
      <c r="L314" s="10" t="n">
        <v>1895761</v>
      </c>
      <c r="M314" s="12" t="s">
        <v>33</v>
      </c>
      <c r="N314" s="12" t="s">
        <v>34</v>
      </c>
      <c r="P314" s="10" t="n">
        <v>103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1584.38</v>
      </c>
      <c r="W314" s="13" t="n">
        <v>0</v>
      </c>
      <c r="X314" s="12" t="s">
        <v>496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46198</v>
      </c>
      <c r="C315" s="11" t="n">
        <v>46211</v>
      </c>
      <c r="D315" s="10" t="n">
        <v>1637</v>
      </c>
      <c r="E315" s="12" t="s">
        <v>97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1305728</v>
      </c>
      <c r="L315" s="10" t="n">
        <v>1895808</v>
      </c>
      <c r="M315" s="12" t="s">
        <v>33</v>
      </c>
      <c r="N315" s="12" t="s">
        <v>34</v>
      </c>
      <c r="P315" s="10" t="n">
        <v>103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516.92</v>
      </c>
      <c r="W315" s="13" t="n">
        <v>0</v>
      </c>
      <c r="X315" s="12" t="s">
        <v>497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46195</v>
      </c>
      <c r="C316" s="11" t="n">
        <v>46211</v>
      </c>
      <c r="D316" s="10" t="n">
        <v>1613</v>
      </c>
      <c r="E316" s="12" t="s">
        <v>71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1290083</v>
      </c>
      <c r="L316" s="10" t="n">
        <v>1598766</v>
      </c>
      <c r="M316" s="12" t="s">
        <v>76</v>
      </c>
      <c r="N316" s="12" t="s">
        <v>34</v>
      </c>
      <c r="P316" s="10" t="n">
        <v>103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3813.46</v>
      </c>
      <c r="W316" s="13" t="n">
        <v>0</v>
      </c>
      <c r="X316" s="12" t="s">
        <v>498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46199</v>
      </c>
      <c r="C317" s="11" t="n">
        <v>46211</v>
      </c>
      <c r="D317" s="10" t="n">
        <v>1613</v>
      </c>
      <c r="E317" s="12" t="s">
        <v>71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1309293</v>
      </c>
      <c r="L317" s="10" t="n">
        <v>1600670</v>
      </c>
      <c r="M317" s="12" t="s">
        <v>33</v>
      </c>
      <c r="N317" s="12" t="s">
        <v>34</v>
      </c>
      <c r="P317" s="10" t="n">
        <v>103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6714.04</v>
      </c>
      <c r="W317" s="13" t="n">
        <v>0</v>
      </c>
      <c r="X317" s="12" t="s">
        <v>499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46191</v>
      </c>
      <c r="C318" s="11" t="n">
        <v>46211</v>
      </c>
      <c r="D318" s="10" t="n">
        <v>1601</v>
      </c>
      <c r="E318" s="12" t="s">
        <v>243</v>
      </c>
      <c r="F318" s="10" t="n">
        <v>24</v>
      </c>
      <c r="G318" s="12" t="s">
        <v>31</v>
      </c>
      <c r="H318" s="10" t="n">
        <v>2110101</v>
      </c>
      <c r="I318" s="12" t="s">
        <v>32</v>
      </c>
      <c r="J318" s="10" t="n">
        <v>1268785</v>
      </c>
      <c r="L318" s="10" t="n">
        <v>844855</v>
      </c>
      <c r="M318" s="12" t="s">
        <v>76</v>
      </c>
      <c r="N318" s="12" t="s">
        <v>34</v>
      </c>
      <c r="P318" s="10" t="n">
        <v>103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985.29</v>
      </c>
      <c r="W318" s="13" t="n">
        <v>0</v>
      </c>
      <c r="X318" s="12" t="s">
        <v>500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46211</v>
      </c>
      <c r="C319" s="11" t="n">
        <v>46211</v>
      </c>
      <c r="D319" s="10" t="n">
        <v>1000001</v>
      </c>
      <c r="E319" s="12" t="s">
        <v>102</v>
      </c>
      <c r="F319" s="10" t="n">
        <v>24</v>
      </c>
      <c r="G319" s="12" t="s">
        <v>31</v>
      </c>
      <c r="H319" s="10" t="n">
        <v>1110202</v>
      </c>
      <c r="I319" s="12" t="s">
        <v>90</v>
      </c>
      <c r="J319" s="10" t="n">
        <v>1449277</v>
      </c>
      <c r="L319" s="10" t="n">
        <v>596175</v>
      </c>
      <c r="M319" s="12" t="s">
        <v>33</v>
      </c>
      <c r="N319" s="12" t="s">
        <v>66</v>
      </c>
      <c r="P319" s="10" t="n">
        <v>102</v>
      </c>
      <c r="Q319" s="12" t="s">
        <v>112</v>
      </c>
      <c r="R319" s="12" t="s">
        <v>91</v>
      </c>
      <c r="S319" s="10" t="n">
        <v>4220199</v>
      </c>
      <c r="T319" s="12" t="s">
        <v>92</v>
      </c>
      <c r="U319" s="13" t="n">
        <v>1068.8</v>
      </c>
      <c r="W319" s="13" t="n">
        <v>0</v>
      </c>
      <c r="X319" s="12" t="s">
        <v>501</v>
      </c>
      <c r="Z319" s="1" t="str">
        <f aca="false">IF($T319="","",IFERROR(INDEX('Resumo Grupos'!$AC$3:$AC$200,MATCH($T319,'Resumo Grupos'!$AB$3:$AB$200,0)),"n/d"))</f>
        <v>Pagamentos outros não operacionais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46228</v>
      </c>
      <c r="C320" s="11" t="n">
        <v>46211</v>
      </c>
      <c r="D320" s="10" t="n">
        <v>1000001</v>
      </c>
      <c r="E320" s="12" t="s">
        <v>102</v>
      </c>
      <c r="F320" s="10" t="n">
        <v>24</v>
      </c>
      <c r="G320" s="12" t="s">
        <v>31</v>
      </c>
      <c r="H320" s="10" t="n">
        <v>1110202</v>
      </c>
      <c r="I320" s="12" t="s">
        <v>90</v>
      </c>
      <c r="J320" s="10" t="n">
        <v>1449277</v>
      </c>
      <c r="L320" s="10" t="n">
        <v>596175</v>
      </c>
      <c r="M320" s="12" t="s">
        <v>76</v>
      </c>
      <c r="N320" s="12" t="s">
        <v>66</v>
      </c>
      <c r="P320" s="10" t="n">
        <v>102</v>
      </c>
      <c r="Q320" s="12" t="s">
        <v>112</v>
      </c>
      <c r="R320" s="12" t="s">
        <v>91</v>
      </c>
      <c r="S320" s="10" t="n">
        <v>4220199</v>
      </c>
      <c r="T320" s="12" t="s">
        <v>92</v>
      </c>
      <c r="U320" s="13" t="n">
        <v>3752.9</v>
      </c>
      <c r="W320" s="13" t="n">
        <v>0</v>
      </c>
      <c r="X320" s="12" t="s">
        <v>501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46210</v>
      </c>
      <c r="C321" s="11" t="n">
        <v>46211</v>
      </c>
      <c r="D321" s="10" t="n">
        <v>1615</v>
      </c>
      <c r="E321" s="12" t="s">
        <v>48</v>
      </c>
      <c r="F321" s="10" t="n">
        <v>34</v>
      </c>
      <c r="G321" s="12" t="s">
        <v>49</v>
      </c>
      <c r="H321" s="10" t="n">
        <v>2110101</v>
      </c>
      <c r="I321" s="12" t="s">
        <v>32</v>
      </c>
      <c r="J321" s="10" t="n">
        <v>1365980</v>
      </c>
      <c r="L321" s="10" t="n">
        <v>14811</v>
      </c>
      <c r="M321" s="12" t="s">
        <v>33</v>
      </c>
      <c r="N321" s="12" t="s">
        <v>34</v>
      </c>
      <c r="P321" s="10" t="n">
        <v>104</v>
      </c>
      <c r="Q321" s="12" t="s">
        <v>50</v>
      </c>
      <c r="R321" s="12" t="s">
        <v>36</v>
      </c>
      <c r="S321" s="10" t="n">
        <v>1130101</v>
      </c>
      <c r="T321" s="12" t="s">
        <v>37</v>
      </c>
      <c r="U321" s="13" t="n">
        <v>1250</v>
      </c>
      <c r="W321" s="13" t="n">
        <v>0</v>
      </c>
      <c r="X321" s="12" t="s">
        <v>502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46207</v>
      </c>
      <c r="C322" s="11" t="n">
        <v>46211</v>
      </c>
      <c r="D322" s="10" t="n">
        <v>1621</v>
      </c>
      <c r="E322" s="12" t="s">
        <v>286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1348619</v>
      </c>
      <c r="L322" s="10" t="n">
        <v>885204</v>
      </c>
      <c r="M322" s="12" t="s">
        <v>33</v>
      </c>
      <c r="N322" s="12" t="s">
        <v>34</v>
      </c>
      <c r="P322" s="10" t="n">
        <v>103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714.96</v>
      </c>
      <c r="W322" s="13" t="n">
        <v>0</v>
      </c>
      <c r="X322" s="12" t="s">
        <v>503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46207</v>
      </c>
      <c r="C323" s="11" t="n">
        <v>46211</v>
      </c>
      <c r="D323" s="10" t="n">
        <v>1621</v>
      </c>
      <c r="E323" s="12" t="s">
        <v>286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1348630</v>
      </c>
      <c r="L323" s="10" t="n">
        <v>885205</v>
      </c>
      <c r="M323" s="12" t="s">
        <v>33</v>
      </c>
      <c r="N323" s="12" t="s">
        <v>34</v>
      </c>
      <c r="P323" s="10" t="n">
        <v>103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580.08</v>
      </c>
      <c r="W323" s="13" t="n">
        <v>0</v>
      </c>
      <c r="X323" s="12" t="s">
        <v>504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46207</v>
      </c>
      <c r="C324" s="11" t="n">
        <v>46211</v>
      </c>
      <c r="D324" s="10" t="n">
        <v>1621</v>
      </c>
      <c r="E324" s="12" t="s">
        <v>286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1348651</v>
      </c>
      <c r="L324" s="10" t="n">
        <v>885206</v>
      </c>
      <c r="M324" s="12" t="s">
        <v>33</v>
      </c>
      <c r="N324" s="12" t="s">
        <v>34</v>
      </c>
      <c r="P324" s="10" t="n">
        <v>103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7929.54</v>
      </c>
      <c r="W324" s="13" t="n">
        <v>0</v>
      </c>
      <c r="X324" s="12" t="s">
        <v>505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46197</v>
      </c>
      <c r="C325" s="11" t="n">
        <v>46211</v>
      </c>
      <c r="D325" s="10" t="n">
        <v>1152</v>
      </c>
      <c r="E325" s="12" t="s">
        <v>506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1299496</v>
      </c>
      <c r="L325" s="10" t="n">
        <v>256</v>
      </c>
      <c r="M325" s="12" t="s">
        <v>33</v>
      </c>
      <c r="N325" s="12" t="s">
        <v>34</v>
      </c>
      <c r="P325" s="10" t="n">
        <v>103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1335</v>
      </c>
      <c r="W325" s="13" t="n">
        <v>0</v>
      </c>
      <c r="X325" s="12" t="s">
        <v>507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46190</v>
      </c>
      <c r="C326" s="11" t="n">
        <v>46211</v>
      </c>
      <c r="D326" s="10" t="n">
        <v>1718</v>
      </c>
      <c r="E326" s="12" t="s">
        <v>332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1265272</v>
      </c>
      <c r="L326" s="10" t="n">
        <v>674269</v>
      </c>
      <c r="M326" s="12" t="s">
        <v>33</v>
      </c>
      <c r="N326" s="12" t="s">
        <v>34</v>
      </c>
      <c r="P326" s="10" t="n">
        <v>103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555.93</v>
      </c>
      <c r="W326" s="13" t="n">
        <v>0</v>
      </c>
      <c r="X326" s="12" t="s">
        <v>508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46184</v>
      </c>
      <c r="C327" s="11" t="n">
        <v>46211</v>
      </c>
      <c r="D327" s="10" t="n">
        <v>1608</v>
      </c>
      <c r="E327" s="12" t="s">
        <v>52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1235782</v>
      </c>
      <c r="L327" s="10" t="n">
        <v>1670627</v>
      </c>
      <c r="M327" s="12" t="s">
        <v>33</v>
      </c>
      <c r="N327" s="12" t="s">
        <v>34</v>
      </c>
      <c r="P327" s="10" t="n">
        <v>103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814.47</v>
      </c>
      <c r="W327" s="13" t="n">
        <v>0</v>
      </c>
      <c r="X327" s="12" t="s">
        <v>509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46191</v>
      </c>
      <c r="C328" s="11" t="n">
        <v>46211</v>
      </c>
      <c r="D328" s="10" t="n">
        <v>1636</v>
      </c>
      <c r="E328" s="12" t="s">
        <v>290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1269369</v>
      </c>
      <c r="L328" s="10" t="n">
        <v>3203776</v>
      </c>
      <c r="M328" s="12" t="s">
        <v>33</v>
      </c>
      <c r="N328" s="12" t="s">
        <v>34</v>
      </c>
      <c r="P328" s="10" t="n">
        <v>103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208.8</v>
      </c>
      <c r="W328" s="13" t="n">
        <v>0</v>
      </c>
      <c r="X328" s="12" t="s">
        <v>510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46191</v>
      </c>
      <c r="C329" s="11" t="n">
        <v>46211</v>
      </c>
      <c r="D329" s="10" t="n">
        <v>1636</v>
      </c>
      <c r="E329" s="12" t="s">
        <v>290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1269420</v>
      </c>
      <c r="L329" s="10" t="n">
        <v>3203774</v>
      </c>
      <c r="M329" s="12" t="s">
        <v>33</v>
      </c>
      <c r="N329" s="12" t="s">
        <v>34</v>
      </c>
      <c r="P329" s="10" t="n">
        <v>103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2337.67</v>
      </c>
      <c r="W329" s="13" t="n">
        <v>0</v>
      </c>
      <c r="X329" s="12" t="s">
        <v>511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46191</v>
      </c>
      <c r="C330" s="11" t="n">
        <v>46211</v>
      </c>
      <c r="D330" s="10" t="n">
        <v>1636</v>
      </c>
      <c r="E330" s="12" t="s">
        <v>290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1269778</v>
      </c>
      <c r="L330" s="10" t="n">
        <v>3203775</v>
      </c>
      <c r="M330" s="12" t="s">
        <v>33</v>
      </c>
      <c r="N330" s="12" t="s">
        <v>34</v>
      </c>
      <c r="P330" s="10" t="n">
        <v>103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2341.88</v>
      </c>
      <c r="W330" s="13" t="n">
        <v>0</v>
      </c>
      <c r="X330" s="12" t="s">
        <v>512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46184</v>
      </c>
      <c r="C331" s="11" t="n">
        <v>46211</v>
      </c>
      <c r="D331" s="10" t="n">
        <v>1612</v>
      </c>
      <c r="E331" s="12" t="s">
        <v>248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1235909</v>
      </c>
      <c r="L331" s="10" t="n">
        <v>2291498</v>
      </c>
      <c r="M331" s="12" t="s">
        <v>40</v>
      </c>
      <c r="N331" s="12" t="s">
        <v>34</v>
      </c>
      <c r="P331" s="10" t="n">
        <v>103</v>
      </c>
      <c r="Q331" s="12" t="s">
        <v>35</v>
      </c>
      <c r="R331" s="12" t="s">
        <v>36</v>
      </c>
      <c r="S331" s="10" t="n">
        <v>1130101</v>
      </c>
      <c r="T331" s="12" t="s">
        <v>37</v>
      </c>
      <c r="U331" s="13" t="n">
        <v>786.1</v>
      </c>
      <c r="W331" s="13" t="n">
        <v>0</v>
      </c>
      <c r="X331" s="12" t="s">
        <v>513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46191</v>
      </c>
      <c r="C332" s="11" t="n">
        <v>46211</v>
      </c>
      <c r="D332" s="10" t="n">
        <v>1626</v>
      </c>
      <c r="E332" s="12" t="s">
        <v>250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1269874</v>
      </c>
      <c r="L332" s="10" t="n">
        <v>309639</v>
      </c>
      <c r="M332" s="12" t="s">
        <v>76</v>
      </c>
      <c r="N332" s="12" t="s">
        <v>34</v>
      </c>
      <c r="P332" s="10" t="n">
        <v>103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722.41</v>
      </c>
      <c r="W332" s="13" t="n">
        <v>0</v>
      </c>
      <c r="X332" s="12" t="s">
        <v>514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46182</v>
      </c>
      <c r="C333" s="11" t="n">
        <v>46211</v>
      </c>
      <c r="D333" s="10" t="n">
        <v>957</v>
      </c>
      <c r="E333" s="12" t="s">
        <v>75</v>
      </c>
      <c r="F333" s="10" t="n">
        <v>24</v>
      </c>
      <c r="G333" s="12" t="s">
        <v>31</v>
      </c>
      <c r="H333" s="10" t="n">
        <v>2110101</v>
      </c>
      <c r="I333" s="12" t="s">
        <v>32</v>
      </c>
      <c r="J333" s="10" t="n">
        <v>1227398</v>
      </c>
      <c r="L333" s="10" t="n">
        <v>20167</v>
      </c>
      <c r="M333" s="12" t="s">
        <v>40</v>
      </c>
      <c r="N333" s="12" t="s">
        <v>34</v>
      </c>
      <c r="P333" s="10" t="n">
        <v>103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4521.75</v>
      </c>
      <c r="W333" s="13" t="n">
        <v>0</v>
      </c>
      <c r="X333" s="12" t="s">
        <v>515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46188</v>
      </c>
      <c r="C334" s="11" t="n">
        <v>46211</v>
      </c>
      <c r="D334" s="10" t="n">
        <v>978</v>
      </c>
      <c r="E334" s="12" t="s">
        <v>54</v>
      </c>
      <c r="F334" s="10" t="n">
        <v>34</v>
      </c>
      <c r="G334" s="12" t="s">
        <v>49</v>
      </c>
      <c r="H334" s="10" t="n">
        <v>2110101</v>
      </c>
      <c r="I334" s="12" t="s">
        <v>32</v>
      </c>
      <c r="J334" s="10" t="n">
        <v>1260992</v>
      </c>
      <c r="L334" s="10" t="n">
        <v>280</v>
      </c>
      <c r="M334" s="12" t="s">
        <v>33</v>
      </c>
      <c r="N334" s="12" t="s">
        <v>34</v>
      </c>
      <c r="P334" s="10" t="n">
        <v>104</v>
      </c>
      <c r="Q334" s="12" t="s">
        <v>50</v>
      </c>
      <c r="R334" s="12" t="s">
        <v>36</v>
      </c>
      <c r="S334" s="10" t="n">
        <v>1130101</v>
      </c>
      <c r="T334" s="12" t="s">
        <v>37</v>
      </c>
      <c r="U334" s="13" t="n">
        <v>544</v>
      </c>
      <c r="W334" s="13" t="n">
        <v>0</v>
      </c>
      <c r="X334" s="12" t="s">
        <v>516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46211</v>
      </c>
      <c r="C335" s="11" t="n">
        <v>46211</v>
      </c>
      <c r="D335" s="10" t="n">
        <v>978</v>
      </c>
      <c r="E335" s="12" t="s">
        <v>54</v>
      </c>
      <c r="F335" s="10" t="n">
        <v>13</v>
      </c>
      <c r="G335" s="12" t="s">
        <v>55</v>
      </c>
      <c r="H335" s="10" t="n">
        <v>2110101</v>
      </c>
      <c r="I335" s="12" t="s">
        <v>32</v>
      </c>
      <c r="J335" s="10" t="n">
        <v>1370233</v>
      </c>
      <c r="L335" s="10" t="n">
        <v>351</v>
      </c>
      <c r="M335" s="12" t="s">
        <v>33</v>
      </c>
      <c r="N335" s="12" t="s">
        <v>34</v>
      </c>
      <c r="P335" s="10" t="n">
        <v>104</v>
      </c>
      <c r="Q335" s="12" t="s">
        <v>50</v>
      </c>
      <c r="R335" s="12" t="s">
        <v>36</v>
      </c>
      <c r="S335" s="10" t="n">
        <v>1130101</v>
      </c>
      <c r="T335" s="12" t="s">
        <v>37</v>
      </c>
      <c r="U335" s="13" t="n">
        <v>402</v>
      </c>
      <c r="W335" s="13" t="n">
        <v>0</v>
      </c>
      <c r="X335" s="12" t="s">
        <v>517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46198</v>
      </c>
      <c r="C336" s="11" t="n">
        <v>46211</v>
      </c>
      <c r="D336" s="10" t="n">
        <v>1815</v>
      </c>
      <c r="E336" s="12" t="s">
        <v>175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1304557</v>
      </c>
      <c r="L336" s="10" t="n">
        <v>388860</v>
      </c>
      <c r="M336" s="12" t="s">
        <v>76</v>
      </c>
      <c r="N336" s="12" t="s">
        <v>34</v>
      </c>
      <c r="P336" s="10" t="n">
        <v>103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1283.28</v>
      </c>
      <c r="W336" s="13" t="n">
        <v>0</v>
      </c>
      <c r="X336" s="12" t="s">
        <v>518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46190</v>
      </c>
      <c r="C337" s="11" t="n">
        <v>46211</v>
      </c>
      <c r="D337" s="10" t="n">
        <v>967</v>
      </c>
      <c r="E337" s="12" t="s">
        <v>261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1265083</v>
      </c>
      <c r="L337" s="10" t="n">
        <v>33133</v>
      </c>
      <c r="M337" s="12" t="s">
        <v>76</v>
      </c>
      <c r="N337" s="12" t="s">
        <v>34</v>
      </c>
      <c r="P337" s="10" t="n">
        <v>103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2120.66</v>
      </c>
      <c r="W337" s="13" t="n">
        <v>0</v>
      </c>
      <c r="X337" s="12" t="s">
        <v>519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46211</v>
      </c>
      <c r="C338" s="11" t="n">
        <v>46211</v>
      </c>
      <c r="D338" s="10" t="n">
        <v>1783</v>
      </c>
      <c r="E338" s="12" t="s">
        <v>520</v>
      </c>
      <c r="F338" s="10" t="n">
        <v>13</v>
      </c>
      <c r="G338" s="12" t="s">
        <v>55</v>
      </c>
      <c r="H338" s="10" t="n">
        <v>2110101</v>
      </c>
      <c r="I338" s="12" t="s">
        <v>32</v>
      </c>
      <c r="J338" s="10" t="n">
        <v>1370242</v>
      </c>
      <c r="L338" s="10" t="n">
        <v>514</v>
      </c>
      <c r="M338" s="12" t="s">
        <v>33</v>
      </c>
      <c r="N338" s="12" t="s">
        <v>34</v>
      </c>
      <c r="P338" s="10" t="n">
        <v>104</v>
      </c>
      <c r="Q338" s="12" t="s">
        <v>50</v>
      </c>
      <c r="R338" s="12" t="s">
        <v>36</v>
      </c>
      <c r="S338" s="10" t="n">
        <v>1130101</v>
      </c>
      <c r="T338" s="12" t="s">
        <v>37</v>
      </c>
      <c r="U338" s="13" t="n">
        <v>160.32</v>
      </c>
      <c r="W338" s="13" t="n">
        <v>0</v>
      </c>
      <c r="X338" s="12" t="s">
        <v>521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46196</v>
      </c>
      <c r="C339" s="11" t="n">
        <v>46211</v>
      </c>
      <c r="D339" s="10" t="n">
        <v>1672</v>
      </c>
      <c r="E339" s="12" t="s">
        <v>59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1293719</v>
      </c>
      <c r="L339" s="10" t="n">
        <v>1375586</v>
      </c>
      <c r="M339" s="12" t="s">
        <v>33</v>
      </c>
      <c r="N339" s="12" t="s">
        <v>34</v>
      </c>
      <c r="P339" s="10" t="n">
        <v>103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1232.85</v>
      </c>
      <c r="W339" s="13" t="n">
        <v>0</v>
      </c>
      <c r="X339" s="12" t="s">
        <v>522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46188</v>
      </c>
      <c r="C340" s="11" t="n">
        <v>46211</v>
      </c>
      <c r="D340" s="10" t="n">
        <v>1668</v>
      </c>
      <c r="E340" s="12" t="s">
        <v>263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1256293</v>
      </c>
      <c r="L340" s="10" t="n">
        <v>727418</v>
      </c>
      <c r="M340" s="12" t="s">
        <v>76</v>
      </c>
      <c r="N340" s="12" t="s">
        <v>34</v>
      </c>
      <c r="P340" s="10" t="n">
        <v>103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1177.59</v>
      </c>
      <c r="W340" s="13" t="n">
        <v>0</v>
      </c>
      <c r="X340" s="12" t="s">
        <v>523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46205</v>
      </c>
      <c r="C341" s="11" t="n">
        <v>46211</v>
      </c>
      <c r="D341" s="10" t="n">
        <v>1328</v>
      </c>
      <c r="E341" s="12" t="s">
        <v>186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1340407</v>
      </c>
      <c r="L341" s="10" t="n">
        <v>3942</v>
      </c>
      <c r="M341" s="12" t="s">
        <v>33</v>
      </c>
      <c r="N341" s="12" t="s">
        <v>34</v>
      </c>
      <c r="P341" s="10" t="n">
        <v>103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251.5</v>
      </c>
      <c r="W341" s="13" t="n">
        <v>0</v>
      </c>
      <c r="X341" s="12" t="s">
        <v>524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46184</v>
      </c>
      <c r="C342" s="11" t="n">
        <v>46211</v>
      </c>
      <c r="D342" s="10" t="n">
        <v>1107</v>
      </c>
      <c r="E342" s="12" t="s">
        <v>525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1235524</v>
      </c>
      <c r="L342" s="10" t="n">
        <v>413874</v>
      </c>
      <c r="M342" s="12" t="s">
        <v>33</v>
      </c>
      <c r="N342" s="12" t="s">
        <v>34</v>
      </c>
      <c r="P342" s="10" t="n">
        <v>103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2356.28</v>
      </c>
      <c r="W342" s="13" t="n">
        <v>0</v>
      </c>
      <c r="X342" s="12" t="s">
        <v>526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46154</v>
      </c>
      <c r="C343" s="11" t="n">
        <v>46211</v>
      </c>
      <c r="D343" s="10" t="n">
        <v>10011</v>
      </c>
      <c r="E343" s="12" t="s">
        <v>78</v>
      </c>
      <c r="F343" s="10" t="n">
        <v>24</v>
      </c>
      <c r="G343" s="12" t="s">
        <v>31</v>
      </c>
      <c r="H343" s="10" t="n">
        <v>2110101</v>
      </c>
      <c r="I343" s="12" t="s">
        <v>32</v>
      </c>
      <c r="J343" s="10" t="n">
        <v>1089077</v>
      </c>
      <c r="L343" s="10" t="n">
        <v>33621</v>
      </c>
      <c r="M343" s="12" t="s">
        <v>448</v>
      </c>
      <c r="N343" s="12" t="s">
        <v>34</v>
      </c>
      <c r="P343" s="10" t="n">
        <v>103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2792.58</v>
      </c>
      <c r="W343" s="13" t="n">
        <v>0</v>
      </c>
      <c r="X343" s="12" t="s">
        <v>527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46206</v>
      </c>
      <c r="C344" s="11" t="n">
        <v>46211</v>
      </c>
      <c r="D344" s="10" t="n">
        <v>1899</v>
      </c>
      <c r="E344" s="12" t="s">
        <v>131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1343853</v>
      </c>
      <c r="L344" s="10" t="n">
        <v>694</v>
      </c>
      <c r="M344" s="12" t="s">
        <v>33</v>
      </c>
      <c r="N344" s="12" t="s">
        <v>34</v>
      </c>
      <c r="P344" s="10" t="n">
        <v>103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980</v>
      </c>
      <c r="W344" s="13" t="n">
        <v>0</v>
      </c>
      <c r="X344" s="12" t="s">
        <v>528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46206</v>
      </c>
      <c r="C345" s="11" t="n">
        <v>46211</v>
      </c>
      <c r="D345" s="10" t="n">
        <v>1899</v>
      </c>
      <c r="E345" s="12" t="s">
        <v>131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1343872</v>
      </c>
      <c r="L345" s="10" t="n">
        <v>695</v>
      </c>
      <c r="M345" s="12" t="s">
        <v>33</v>
      </c>
      <c r="N345" s="12" t="s">
        <v>34</v>
      </c>
      <c r="P345" s="10" t="n">
        <v>103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99.9</v>
      </c>
      <c r="W345" s="13" t="n">
        <v>0</v>
      </c>
      <c r="X345" s="12" t="s">
        <v>529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46206</v>
      </c>
      <c r="C346" s="11" t="n">
        <v>46211</v>
      </c>
      <c r="D346" s="10" t="n">
        <v>1899</v>
      </c>
      <c r="E346" s="12" t="s">
        <v>131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1343884</v>
      </c>
      <c r="L346" s="10" t="n">
        <v>692</v>
      </c>
      <c r="M346" s="12" t="s">
        <v>33</v>
      </c>
      <c r="N346" s="12" t="s">
        <v>34</v>
      </c>
      <c r="P346" s="10" t="n">
        <v>103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307.2</v>
      </c>
      <c r="W346" s="13" t="n">
        <v>0</v>
      </c>
      <c r="X346" s="12" t="s">
        <v>530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46190</v>
      </c>
      <c r="C347" s="11" t="n">
        <v>46211</v>
      </c>
      <c r="D347" s="10" t="n">
        <v>10017</v>
      </c>
      <c r="E347" s="12" t="s">
        <v>271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1265872</v>
      </c>
      <c r="L347" s="10" t="n">
        <v>193491</v>
      </c>
      <c r="M347" s="12" t="s">
        <v>76</v>
      </c>
      <c r="N347" s="12" t="s">
        <v>34</v>
      </c>
      <c r="P347" s="10" t="n">
        <v>103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568.92</v>
      </c>
      <c r="W347" s="13" t="n">
        <v>0</v>
      </c>
      <c r="X347" s="12" t="s">
        <v>531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46148</v>
      </c>
      <c r="C348" s="11" t="n">
        <v>46211</v>
      </c>
      <c r="D348" s="10" t="n">
        <v>607</v>
      </c>
      <c r="E348" s="12" t="s">
        <v>81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1057743</v>
      </c>
      <c r="L348" s="10" t="n">
        <v>10336</v>
      </c>
      <c r="M348" s="12" t="s">
        <v>448</v>
      </c>
      <c r="N348" s="12" t="s">
        <v>34</v>
      </c>
      <c r="P348" s="10" t="n">
        <v>103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250.35</v>
      </c>
      <c r="W348" s="13" t="n">
        <v>0</v>
      </c>
      <c r="X348" s="12" t="s">
        <v>532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46210</v>
      </c>
      <c r="C349" s="11" t="n">
        <v>46211</v>
      </c>
      <c r="D349" s="10" t="n">
        <v>33</v>
      </c>
      <c r="E349" s="12" t="s">
        <v>64</v>
      </c>
      <c r="F349" s="10" t="n">
        <v>34</v>
      </c>
      <c r="G349" s="12" t="s">
        <v>49</v>
      </c>
      <c r="H349" s="10" t="n">
        <v>2110101</v>
      </c>
      <c r="I349" s="12" t="s">
        <v>32</v>
      </c>
      <c r="J349" s="10" t="n">
        <v>1365711</v>
      </c>
      <c r="L349" s="10" t="n">
        <v>5268</v>
      </c>
      <c r="M349" s="12" t="s">
        <v>33</v>
      </c>
      <c r="N349" s="12" t="s">
        <v>34</v>
      </c>
      <c r="P349" s="10" t="n">
        <v>104</v>
      </c>
      <c r="Q349" s="12" t="s">
        <v>50</v>
      </c>
      <c r="R349" s="12" t="s">
        <v>36</v>
      </c>
      <c r="S349" s="10" t="n">
        <v>1130101</v>
      </c>
      <c r="T349" s="12" t="s">
        <v>37</v>
      </c>
      <c r="U349" s="13" t="n">
        <v>1118</v>
      </c>
      <c r="W349" s="13" t="n">
        <v>0</v>
      </c>
      <c r="X349" s="12" t="s">
        <v>533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46210</v>
      </c>
      <c r="C350" s="11" t="n">
        <v>46211</v>
      </c>
      <c r="D350" s="10" t="n">
        <v>33</v>
      </c>
      <c r="E350" s="12" t="s">
        <v>64</v>
      </c>
      <c r="F350" s="10" t="n">
        <v>34</v>
      </c>
      <c r="G350" s="12" t="s">
        <v>49</v>
      </c>
      <c r="H350" s="10" t="n">
        <v>2110101</v>
      </c>
      <c r="I350" s="12" t="s">
        <v>32</v>
      </c>
      <c r="J350" s="10" t="n">
        <v>1366094</v>
      </c>
      <c r="L350" s="10" t="n">
        <v>563907</v>
      </c>
      <c r="M350" s="12" t="s">
        <v>33</v>
      </c>
      <c r="N350" s="12" t="s">
        <v>66</v>
      </c>
      <c r="P350" s="10" t="n">
        <v>104</v>
      </c>
      <c r="Q350" s="12" t="s">
        <v>50</v>
      </c>
      <c r="R350" s="12" t="s">
        <v>36</v>
      </c>
      <c r="S350" s="10" t="n">
        <v>1130101</v>
      </c>
      <c r="T350" s="12" t="s">
        <v>37</v>
      </c>
      <c r="U350" s="13" t="n">
        <v>70</v>
      </c>
      <c r="W350" s="13" t="n">
        <v>0</v>
      </c>
      <c r="X350" s="12" t="s">
        <v>273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46197</v>
      </c>
      <c r="C351" s="11" t="n">
        <v>46211</v>
      </c>
      <c r="D351" s="10" t="n">
        <v>1136</v>
      </c>
      <c r="E351" s="12" t="s">
        <v>534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1300387</v>
      </c>
      <c r="L351" s="10" t="n">
        <v>50625</v>
      </c>
      <c r="M351" s="12" t="s">
        <v>33</v>
      </c>
      <c r="N351" s="12" t="s">
        <v>34</v>
      </c>
      <c r="P351" s="10" t="n">
        <v>103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318.32</v>
      </c>
      <c r="W351" s="13" t="n">
        <v>0</v>
      </c>
      <c r="X351" s="12" t="s">
        <v>535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46197</v>
      </c>
      <c r="C352" s="11" t="n">
        <v>46211</v>
      </c>
      <c r="D352" s="10" t="n">
        <v>10010</v>
      </c>
      <c r="E352" s="12" t="s">
        <v>536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1300399</v>
      </c>
      <c r="L352" s="10" t="n">
        <v>41693</v>
      </c>
      <c r="M352" s="12" t="s">
        <v>33</v>
      </c>
      <c r="N352" s="12" t="s">
        <v>34</v>
      </c>
      <c r="P352" s="10" t="n">
        <v>103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405.76</v>
      </c>
      <c r="W352" s="13" t="n">
        <v>0</v>
      </c>
      <c r="X352" s="12" t="s">
        <v>537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46212</v>
      </c>
      <c r="C353" s="11" t="n">
        <v>46212</v>
      </c>
      <c r="D353" s="10" t="n">
        <v>10091</v>
      </c>
      <c r="E353" s="12" t="s">
        <v>454</v>
      </c>
      <c r="F353" s="10" t="n">
        <v>34</v>
      </c>
      <c r="G353" s="12" t="s">
        <v>49</v>
      </c>
      <c r="H353" s="10" t="n">
        <v>2110101</v>
      </c>
      <c r="I353" s="12" t="s">
        <v>32</v>
      </c>
      <c r="J353" s="10" t="n">
        <v>1373781</v>
      </c>
      <c r="L353" s="10" t="n">
        <v>384</v>
      </c>
      <c r="M353" s="12" t="s">
        <v>33</v>
      </c>
      <c r="N353" s="12" t="s">
        <v>34</v>
      </c>
      <c r="P353" s="10" t="n">
        <v>103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82.46</v>
      </c>
      <c r="W353" s="13" t="n">
        <v>0</v>
      </c>
      <c r="X353" s="12" t="s">
        <v>538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46211</v>
      </c>
      <c r="C354" s="11" t="n">
        <v>46212</v>
      </c>
      <c r="D354" s="10" t="n">
        <v>642</v>
      </c>
      <c r="E354" s="12" t="s">
        <v>145</v>
      </c>
      <c r="F354" s="10" t="n">
        <v>24</v>
      </c>
      <c r="G354" s="12" t="s">
        <v>31</v>
      </c>
      <c r="H354" s="10" t="n">
        <v>2110101</v>
      </c>
      <c r="I354" s="12" t="s">
        <v>32</v>
      </c>
      <c r="J354" s="10" t="n">
        <v>1370408</v>
      </c>
      <c r="L354" s="10" t="n">
        <v>523</v>
      </c>
      <c r="M354" s="12" t="s">
        <v>33</v>
      </c>
      <c r="N354" s="12" t="s">
        <v>34</v>
      </c>
      <c r="P354" s="10" t="n">
        <v>103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588</v>
      </c>
      <c r="W354" s="13" t="n">
        <v>0</v>
      </c>
      <c r="X354" s="12" t="s">
        <v>539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46189</v>
      </c>
      <c r="C355" s="11" t="n">
        <v>46212</v>
      </c>
      <c r="D355" s="10" t="n">
        <v>1659</v>
      </c>
      <c r="E355" s="12" t="s">
        <v>39</v>
      </c>
      <c r="F355" s="10" t="n">
        <v>24</v>
      </c>
      <c r="G355" s="12" t="s">
        <v>31</v>
      </c>
      <c r="H355" s="10" t="n">
        <v>2110101</v>
      </c>
      <c r="I355" s="12" t="s">
        <v>32</v>
      </c>
      <c r="J355" s="10" t="n">
        <v>1262158</v>
      </c>
      <c r="L355" s="10" t="n">
        <v>878848</v>
      </c>
      <c r="M355" s="12" t="s">
        <v>76</v>
      </c>
      <c r="N355" s="12" t="s">
        <v>34</v>
      </c>
      <c r="P355" s="10" t="n">
        <v>103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1402.88</v>
      </c>
      <c r="W355" s="13" t="n">
        <v>0</v>
      </c>
      <c r="X355" s="12" t="s">
        <v>540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46199</v>
      </c>
      <c r="C356" s="11" t="n">
        <v>46212</v>
      </c>
      <c r="D356" s="10" t="n">
        <v>1705</v>
      </c>
      <c r="E356" s="12" t="s">
        <v>46</v>
      </c>
      <c r="F356" s="10" t="n">
        <v>24</v>
      </c>
      <c r="G356" s="12" t="s">
        <v>31</v>
      </c>
      <c r="H356" s="10" t="n">
        <v>2110101</v>
      </c>
      <c r="I356" s="12" t="s">
        <v>32</v>
      </c>
      <c r="J356" s="10" t="n">
        <v>1309384</v>
      </c>
      <c r="L356" s="10" t="n">
        <v>1899789</v>
      </c>
      <c r="M356" s="12" t="s">
        <v>33</v>
      </c>
      <c r="N356" s="12" t="s">
        <v>34</v>
      </c>
      <c r="P356" s="10" t="n">
        <v>103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7646.07</v>
      </c>
      <c r="W356" s="13" t="n">
        <v>0</v>
      </c>
      <c r="X356" s="12" t="s">
        <v>541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46199</v>
      </c>
      <c r="C357" s="11" t="n">
        <v>46212</v>
      </c>
      <c r="D357" s="10" t="n">
        <v>1705</v>
      </c>
      <c r="E357" s="12" t="s">
        <v>46</v>
      </c>
      <c r="F357" s="10" t="n">
        <v>24</v>
      </c>
      <c r="G357" s="12" t="s">
        <v>31</v>
      </c>
      <c r="H357" s="10" t="n">
        <v>2110101</v>
      </c>
      <c r="I357" s="12" t="s">
        <v>32</v>
      </c>
      <c r="J357" s="10" t="n">
        <v>1309396</v>
      </c>
      <c r="L357" s="10" t="n">
        <v>1175957</v>
      </c>
      <c r="M357" s="12" t="s">
        <v>33</v>
      </c>
      <c r="N357" s="12" t="s">
        <v>34</v>
      </c>
      <c r="P357" s="10" t="n">
        <v>103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1219.53</v>
      </c>
      <c r="W357" s="13" t="n">
        <v>0</v>
      </c>
      <c r="X357" s="12" t="s">
        <v>542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46199</v>
      </c>
      <c r="C358" s="11" t="n">
        <v>46212</v>
      </c>
      <c r="D358" s="10" t="n">
        <v>1705</v>
      </c>
      <c r="E358" s="12" t="s">
        <v>46</v>
      </c>
      <c r="F358" s="10" t="n">
        <v>24</v>
      </c>
      <c r="G358" s="12" t="s">
        <v>31</v>
      </c>
      <c r="H358" s="10" t="n">
        <v>2110101</v>
      </c>
      <c r="I358" s="12" t="s">
        <v>32</v>
      </c>
      <c r="J358" s="10" t="n">
        <v>1309446</v>
      </c>
      <c r="L358" s="10" t="n">
        <v>1174710</v>
      </c>
      <c r="M358" s="12" t="s">
        <v>33</v>
      </c>
      <c r="N358" s="12" t="s">
        <v>34</v>
      </c>
      <c r="P358" s="10" t="n">
        <v>103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994.33</v>
      </c>
      <c r="W358" s="13" t="n">
        <v>0</v>
      </c>
      <c r="X358" s="12" t="s">
        <v>543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46209</v>
      </c>
      <c r="C359" s="11" t="n">
        <v>46212</v>
      </c>
      <c r="D359" s="10" t="n">
        <v>1614</v>
      </c>
      <c r="E359" s="12" t="s">
        <v>99</v>
      </c>
      <c r="F359" s="10" t="n">
        <v>24</v>
      </c>
      <c r="G359" s="12" t="s">
        <v>31</v>
      </c>
      <c r="H359" s="10" t="n">
        <v>2110101</v>
      </c>
      <c r="I359" s="12" t="s">
        <v>32</v>
      </c>
      <c r="J359" s="10" t="n">
        <v>1360000</v>
      </c>
      <c r="L359" s="10" t="n">
        <v>11381</v>
      </c>
      <c r="M359" s="12" t="s">
        <v>33</v>
      </c>
      <c r="N359" s="12" t="s">
        <v>34</v>
      </c>
      <c r="P359" s="10" t="n">
        <v>103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472.6</v>
      </c>
      <c r="W359" s="13" t="n">
        <v>0</v>
      </c>
      <c r="X359" s="12" t="s">
        <v>544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46191</v>
      </c>
      <c r="C360" s="11" t="n">
        <v>46212</v>
      </c>
      <c r="D360" s="10" t="n">
        <v>1608</v>
      </c>
      <c r="E360" s="12" t="s">
        <v>52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1269204</v>
      </c>
      <c r="L360" s="10" t="n">
        <v>1675757</v>
      </c>
      <c r="M360" s="12" t="s">
        <v>33</v>
      </c>
      <c r="N360" s="12" t="s">
        <v>34</v>
      </c>
      <c r="P360" s="10" t="n">
        <v>103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1279.74</v>
      </c>
      <c r="W360" s="13" t="n">
        <v>0</v>
      </c>
      <c r="X360" s="12" t="s">
        <v>545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46193</v>
      </c>
      <c r="C361" s="11" t="n">
        <v>46212</v>
      </c>
      <c r="D361" s="10" t="n">
        <v>1636</v>
      </c>
      <c r="E361" s="12" t="s">
        <v>290</v>
      </c>
      <c r="F361" s="10" t="n">
        <v>24</v>
      </c>
      <c r="G361" s="12" t="s">
        <v>31</v>
      </c>
      <c r="H361" s="10" t="n">
        <v>2110101</v>
      </c>
      <c r="I361" s="12" t="s">
        <v>32</v>
      </c>
      <c r="J361" s="10" t="n">
        <v>1280604</v>
      </c>
      <c r="L361" s="10" t="n">
        <v>3204500</v>
      </c>
      <c r="M361" s="12" t="s">
        <v>33</v>
      </c>
      <c r="N361" s="12" t="s">
        <v>34</v>
      </c>
      <c r="P361" s="10" t="n">
        <v>103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654.48</v>
      </c>
      <c r="W361" s="13" t="n">
        <v>0</v>
      </c>
      <c r="X361" s="12" t="s">
        <v>546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46189</v>
      </c>
      <c r="C362" s="11" t="n">
        <v>46212</v>
      </c>
      <c r="D362" s="10" t="n">
        <v>794</v>
      </c>
      <c r="E362" s="12" t="s">
        <v>160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1261641</v>
      </c>
      <c r="L362" s="10" t="n">
        <v>8075</v>
      </c>
      <c r="M362" s="12" t="s">
        <v>33</v>
      </c>
      <c r="N362" s="12" t="s">
        <v>34</v>
      </c>
      <c r="P362" s="10" t="n">
        <v>103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2019.09</v>
      </c>
      <c r="W362" s="13" t="n">
        <v>0</v>
      </c>
      <c r="X362" s="12" t="s">
        <v>547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46198</v>
      </c>
      <c r="C363" s="11" t="n">
        <v>46212</v>
      </c>
      <c r="D363" s="10" t="n">
        <v>1626</v>
      </c>
      <c r="E363" s="12" t="s">
        <v>250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1305846</v>
      </c>
      <c r="L363" s="10" t="n">
        <v>311084</v>
      </c>
      <c r="M363" s="12" t="s">
        <v>33</v>
      </c>
      <c r="N363" s="12" t="s">
        <v>34</v>
      </c>
      <c r="P363" s="10" t="n">
        <v>103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2048.68</v>
      </c>
      <c r="W363" s="13" t="n">
        <v>0</v>
      </c>
      <c r="X363" s="12" t="s">
        <v>548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46193</v>
      </c>
      <c r="C364" s="11" t="n">
        <v>46212</v>
      </c>
      <c r="D364" s="10" t="n">
        <v>1657</v>
      </c>
      <c r="E364" s="12" t="s">
        <v>300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1280916</v>
      </c>
      <c r="L364" s="10" t="n">
        <v>293860</v>
      </c>
      <c r="M364" s="12" t="s">
        <v>76</v>
      </c>
      <c r="N364" s="12" t="s">
        <v>34</v>
      </c>
      <c r="P364" s="10" t="n">
        <v>103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1250.11</v>
      </c>
      <c r="W364" s="13" t="n">
        <v>0</v>
      </c>
      <c r="X364" s="12" t="s">
        <v>549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46206</v>
      </c>
      <c r="C365" s="11" t="n">
        <v>46212</v>
      </c>
      <c r="D365" s="10" t="n">
        <v>1455</v>
      </c>
      <c r="E365" s="12" t="s">
        <v>550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1343917</v>
      </c>
      <c r="L365" s="10" t="n">
        <v>1037</v>
      </c>
      <c r="M365" s="12" t="s">
        <v>33</v>
      </c>
      <c r="N365" s="12" t="s">
        <v>34</v>
      </c>
      <c r="P365" s="10" t="n">
        <v>103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990</v>
      </c>
      <c r="W365" s="13" t="n">
        <v>0</v>
      </c>
      <c r="X365" s="12" t="s">
        <v>551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46206</v>
      </c>
      <c r="C366" s="11" t="n">
        <v>46212</v>
      </c>
      <c r="D366" s="10" t="n">
        <v>1363</v>
      </c>
      <c r="E366" s="12" t="s">
        <v>177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1346072</v>
      </c>
      <c r="L366" s="10" t="n">
        <v>3469</v>
      </c>
      <c r="M366" s="12" t="s">
        <v>33</v>
      </c>
      <c r="N366" s="12" t="s">
        <v>34</v>
      </c>
      <c r="P366" s="10" t="n">
        <v>103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405</v>
      </c>
      <c r="W366" s="13" t="n">
        <v>0</v>
      </c>
      <c r="X366" s="12" t="s">
        <v>552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46190</v>
      </c>
      <c r="C367" s="11" t="n">
        <v>46212</v>
      </c>
      <c r="D367" s="10" t="n">
        <v>1699</v>
      </c>
      <c r="E367" s="12" t="s">
        <v>124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1265932</v>
      </c>
      <c r="L367" s="10" t="n">
        <v>304776</v>
      </c>
      <c r="M367" s="12" t="s">
        <v>76</v>
      </c>
      <c r="N367" s="12" t="s">
        <v>34</v>
      </c>
      <c r="P367" s="10" t="n">
        <v>103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1568.1</v>
      </c>
      <c r="W367" s="13" t="n">
        <v>0</v>
      </c>
      <c r="X367" s="12" t="s">
        <v>553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46206</v>
      </c>
      <c r="C368" s="11" t="n">
        <v>46212</v>
      </c>
      <c r="D368" s="10" t="n">
        <v>581</v>
      </c>
      <c r="E368" s="12" t="s">
        <v>554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1346095</v>
      </c>
      <c r="L368" s="10" t="n">
        <v>31254</v>
      </c>
      <c r="M368" s="12" t="s">
        <v>33</v>
      </c>
      <c r="N368" s="12" t="s">
        <v>34</v>
      </c>
      <c r="P368" s="10" t="n">
        <v>103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493.5</v>
      </c>
      <c r="W368" s="13" t="n">
        <v>0</v>
      </c>
      <c r="X368" s="12" t="s">
        <v>555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46193</v>
      </c>
      <c r="C369" s="11" t="n">
        <v>46212</v>
      </c>
      <c r="D369" s="10" t="n">
        <v>1740</v>
      </c>
      <c r="E369" s="12" t="s">
        <v>312</v>
      </c>
      <c r="F369" s="10" t="n">
        <v>24</v>
      </c>
      <c r="G369" s="12" t="s">
        <v>31</v>
      </c>
      <c r="H369" s="10" t="n">
        <v>2110101</v>
      </c>
      <c r="I369" s="12" t="s">
        <v>32</v>
      </c>
      <c r="J369" s="10" t="n">
        <v>1278879</v>
      </c>
      <c r="L369" s="10" t="n">
        <v>1238549</v>
      </c>
      <c r="M369" s="12" t="s">
        <v>33</v>
      </c>
      <c r="N369" s="12" t="s">
        <v>34</v>
      </c>
      <c r="P369" s="10" t="n">
        <v>103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1113.5</v>
      </c>
      <c r="W369" s="13" t="n">
        <v>0</v>
      </c>
      <c r="X369" s="12" t="s">
        <v>556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46207</v>
      </c>
      <c r="C370" s="11" t="n">
        <v>46212</v>
      </c>
      <c r="D370" s="10" t="n">
        <v>1899</v>
      </c>
      <c r="E370" s="12" t="s">
        <v>131</v>
      </c>
      <c r="F370" s="10" t="n">
        <v>24</v>
      </c>
      <c r="G370" s="12" t="s">
        <v>31</v>
      </c>
      <c r="H370" s="10" t="n">
        <v>2110101</v>
      </c>
      <c r="I370" s="12" t="s">
        <v>32</v>
      </c>
      <c r="J370" s="10" t="n">
        <v>1348846</v>
      </c>
      <c r="L370" s="10" t="n">
        <v>697</v>
      </c>
      <c r="M370" s="12" t="s">
        <v>33</v>
      </c>
      <c r="N370" s="12" t="s">
        <v>34</v>
      </c>
      <c r="P370" s="10" t="n">
        <v>103</v>
      </c>
      <c r="Q370" s="12" t="s">
        <v>35</v>
      </c>
      <c r="R370" s="12" t="s">
        <v>36</v>
      </c>
      <c r="S370" s="10" t="n">
        <v>1130101</v>
      </c>
      <c r="T370" s="12" t="s">
        <v>37</v>
      </c>
      <c r="U370" s="13" t="n">
        <v>849.2</v>
      </c>
      <c r="W370" s="13" t="n">
        <v>0</v>
      </c>
      <c r="X370" s="12" t="s">
        <v>557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46199</v>
      </c>
      <c r="C371" s="11" t="n">
        <v>46212</v>
      </c>
      <c r="D371" s="10" t="n">
        <v>10017</v>
      </c>
      <c r="E371" s="12" t="s">
        <v>271</v>
      </c>
      <c r="F371" s="10" t="n">
        <v>24</v>
      </c>
      <c r="G371" s="12" t="s">
        <v>31</v>
      </c>
      <c r="H371" s="10" t="n">
        <v>2110101</v>
      </c>
      <c r="I371" s="12" t="s">
        <v>32</v>
      </c>
      <c r="J371" s="10" t="n">
        <v>1310224</v>
      </c>
      <c r="L371" s="10" t="n">
        <v>193797</v>
      </c>
      <c r="M371" s="12" t="s">
        <v>33</v>
      </c>
      <c r="N371" s="12" t="s">
        <v>34</v>
      </c>
      <c r="P371" s="10" t="n">
        <v>103</v>
      </c>
      <c r="Q371" s="12" t="s">
        <v>35</v>
      </c>
      <c r="R371" s="12" t="s">
        <v>36</v>
      </c>
      <c r="S371" s="10" t="n">
        <v>1130101</v>
      </c>
      <c r="T371" s="12" t="s">
        <v>37</v>
      </c>
      <c r="U371" s="13" t="n">
        <v>1024.53</v>
      </c>
      <c r="W371" s="13" t="n">
        <v>0</v>
      </c>
      <c r="X371" s="12" t="s">
        <v>558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46172</v>
      </c>
      <c r="C372" s="11" t="n">
        <v>46212</v>
      </c>
      <c r="D372" s="10" t="n">
        <v>607</v>
      </c>
      <c r="E372" s="12" t="s">
        <v>81</v>
      </c>
      <c r="F372" s="10" t="n">
        <v>24</v>
      </c>
      <c r="G372" s="12" t="s">
        <v>31</v>
      </c>
      <c r="H372" s="10" t="n">
        <v>2110101</v>
      </c>
      <c r="I372" s="12" t="s">
        <v>32</v>
      </c>
      <c r="J372" s="10" t="n">
        <v>1177308</v>
      </c>
      <c r="L372" s="10" t="n">
        <v>10643</v>
      </c>
      <c r="M372" s="12" t="s">
        <v>40</v>
      </c>
      <c r="N372" s="12" t="s">
        <v>34</v>
      </c>
      <c r="P372" s="10" t="n">
        <v>103</v>
      </c>
      <c r="Q372" s="12" t="s">
        <v>35</v>
      </c>
      <c r="R372" s="12" t="s">
        <v>36</v>
      </c>
      <c r="S372" s="10" t="n">
        <v>1130101</v>
      </c>
      <c r="T372" s="12" t="s">
        <v>37</v>
      </c>
      <c r="U372" s="13" t="n">
        <v>319.72</v>
      </c>
      <c r="W372" s="13" t="n">
        <v>0</v>
      </c>
      <c r="X372" s="12" t="s">
        <v>559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46207</v>
      </c>
      <c r="C373" s="11" t="n">
        <v>46212</v>
      </c>
      <c r="D373" s="10" t="n">
        <v>1024</v>
      </c>
      <c r="E373" s="12" t="s">
        <v>314</v>
      </c>
      <c r="F373" s="10" t="n">
        <v>24</v>
      </c>
      <c r="G373" s="12" t="s">
        <v>31</v>
      </c>
      <c r="H373" s="10" t="n">
        <v>2110101</v>
      </c>
      <c r="I373" s="12" t="s">
        <v>32</v>
      </c>
      <c r="J373" s="10" t="n">
        <v>1348502</v>
      </c>
      <c r="L373" s="10" t="n">
        <v>595147</v>
      </c>
      <c r="M373" s="12" t="s">
        <v>33</v>
      </c>
      <c r="N373" s="12" t="s">
        <v>34</v>
      </c>
      <c r="P373" s="10" t="n">
        <v>103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900.5</v>
      </c>
      <c r="W373" s="13" t="n">
        <v>0</v>
      </c>
      <c r="X373" s="12" t="s">
        <v>560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46205</v>
      </c>
      <c r="C374" s="11" t="n">
        <v>46212</v>
      </c>
      <c r="D374" s="10" t="n">
        <v>33</v>
      </c>
      <c r="E374" s="12" t="s">
        <v>64</v>
      </c>
      <c r="F374" s="10" t="n">
        <v>34</v>
      </c>
      <c r="G374" s="12" t="s">
        <v>49</v>
      </c>
      <c r="H374" s="10" t="n">
        <v>2110101</v>
      </c>
      <c r="I374" s="12" t="s">
        <v>32</v>
      </c>
      <c r="J374" s="10" t="n">
        <v>1339711</v>
      </c>
      <c r="L374" s="10" t="n">
        <v>5236</v>
      </c>
      <c r="M374" s="12" t="s">
        <v>33</v>
      </c>
      <c r="N374" s="12" t="s">
        <v>34</v>
      </c>
      <c r="P374" s="10" t="n">
        <v>103</v>
      </c>
      <c r="Q374" s="12" t="s">
        <v>35</v>
      </c>
      <c r="R374" s="12" t="s">
        <v>36</v>
      </c>
      <c r="S374" s="10" t="n">
        <v>1130101</v>
      </c>
      <c r="T374" s="12" t="s">
        <v>37</v>
      </c>
      <c r="U374" s="13" t="n">
        <v>600</v>
      </c>
      <c r="W374" s="13" t="n">
        <v>0</v>
      </c>
      <c r="X374" s="12" t="s">
        <v>561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46212</v>
      </c>
      <c r="C375" s="11" t="n">
        <v>46212</v>
      </c>
      <c r="D375" s="10" t="n">
        <v>16</v>
      </c>
      <c r="E375" s="12" t="s">
        <v>407</v>
      </c>
      <c r="F375" s="10" t="n">
        <v>34</v>
      </c>
      <c r="G375" s="12" t="s">
        <v>49</v>
      </c>
      <c r="H375" s="10" t="n">
        <v>1110202</v>
      </c>
      <c r="I375" s="12" t="s">
        <v>90</v>
      </c>
      <c r="J375" s="10" t="n">
        <v>1374354</v>
      </c>
      <c r="L375" s="10" t="n">
        <v>567235</v>
      </c>
      <c r="M375" s="12" t="s">
        <v>33</v>
      </c>
      <c r="N375" s="12" t="s">
        <v>66</v>
      </c>
      <c r="P375" s="10" t="n">
        <v>101</v>
      </c>
      <c r="Q375" s="12" t="s">
        <v>84</v>
      </c>
      <c r="R375" s="12" t="s">
        <v>91</v>
      </c>
      <c r="S375" s="10" t="n">
        <v>4220199</v>
      </c>
      <c r="T375" s="12" t="s">
        <v>92</v>
      </c>
      <c r="U375" s="13" t="n">
        <v>262.5</v>
      </c>
      <c r="W375" s="13" t="n">
        <v>0</v>
      </c>
      <c r="X375" s="12" t="s">
        <v>562</v>
      </c>
      <c r="Z375" s="1" t="str">
        <f aca="false">IF($T375="","",IFERROR(INDEX('Resumo Grupos'!$AC$3:$AC$200,MATCH($T375,'Resumo Grupos'!$AB$3:$AB$200,0)),"n/d"))</f>
        <v>Pagamentos outros não operacionais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46189</v>
      </c>
      <c r="C376" s="11" t="n">
        <v>46212</v>
      </c>
      <c r="D376" s="10" t="n">
        <v>10012</v>
      </c>
      <c r="E376" s="12" t="s">
        <v>318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1261364</v>
      </c>
      <c r="L376" s="10" t="n">
        <v>1957890</v>
      </c>
      <c r="M376" s="12" t="s">
        <v>76</v>
      </c>
      <c r="N376" s="12" t="s">
        <v>34</v>
      </c>
      <c r="P376" s="10" t="n">
        <v>103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3937.78</v>
      </c>
      <c r="W376" s="13" t="n">
        <v>0</v>
      </c>
      <c r="X376" s="12" t="s">
        <v>563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46029</v>
      </c>
      <c r="C377" s="11" t="n">
        <v>46213</v>
      </c>
      <c r="D377" s="10" t="n">
        <v>105</v>
      </c>
      <c r="E377" s="12" t="s">
        <v>564</v>
      </c>
      <c r="F377" s="10" t="n">
        <v>46</v>
      </c>
      <c r="G377" s="12" t="s">
        <v>565</v>
      </c>
      <c r="H377" s="10" t="n">
        <v>2110405</v>
      </c>
      <c r="I377" s="12" t="s">
        <v>153</v>
      </c>
      <c r="J377" s="10" t="n">
        <v>651504</v>
      </c>
      <c r="L377" s="10" t="n">
        <v>287048</v>
      </c>
      <c r="M377" s="12" t="s">
        <v>116</v>
      </c>
      <c r="N377" s="12" t="s">
        <v>66</v>
      </c>
      <c r="P377" s="10" t="n">
        <v>101</v>
      </c>
      <c r="Q377" s="12" t="s">
        <v>84</v>
      </c>
      <c r="R377" s="12" t="s">
        <v>91</v>
      </c>
      <c r="S377" s="10" t="n">
        <v>4220199</v>
      </c>
      <c r="T377" s="12" t="s">
        <v>92</v>
      </c>
      <c r="U377" s="13" t="n">
        <v>1567.08</v>
      </c>
      <c r="W377" s="13" t="n">
        <v>0</v>
      </c>
      <c r="X377" s="12" t="s">
        <v>566</v>
      </c>
      <c r="Z377" s="1" t="str">
        <f aca="false">IF($T377="","",IFERROR(INDEX('Resumo Grupos'!$AC$3:$AC$200,MATCH($T377,'Resumo Grupos'!$AB$3:$AB$200,0)),"n/d"))</f>
        <v>Pagamentos outros não operacionais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46202</v>
      </c>
      <c r="C378" s="11" t="n">
        <v>46213</v>
      </c>
      <c r="D378" s="10" t="n">
        <v>1779</v>
      </c>
      <c r="E378" s="12" t="s">
        <v>388</v>
      </c>
      <c r="F378" s="10" t="n">
        <v>37</v>
      </c>
      <c r="G378" s="12" t="s">
        <v>567</v>
      </c>
      <c r="H378" s="10" t="n">
        <v>1110205</v>
      </c>
      <c r="I378" s="12" t="s">
        <v>568</v>
      </c>
      <c r="J378" s="10" t="n">
        <v>1382108</v>
      </c>
      <c r="L378" s="10" t="n">
        <v>570394</v>
      </c>
      <c r="M378" s="12" t="s">
        <v>33</v>
      </c>
      <c r="N378" s="12" t="s">
        <v>66</v>
      </c>
      <c r="P378" s="10" t="n">
        <v>101</v>
      </c>
      <c r="Q378" s="12" t="s">
        <v>84</v>
      </c>
      <c r="R378" s="12" t="s">
        <v>569</v>
      </c>
      <c r="S378" s="10" t="n">
        <v>1140104</v>
      </c>
      <c r="T378" s="12" t="s">
        <v>570</v>
      </c>
      <c r="U378" s="13" t="n">
        <v>16.83</v>
      </c>
      <c r="W378" s="13" t="n">
        <v>0</v>
      </c>
      <c r="X378" s="12" t="s">
        <v>571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46184</v>
      </c>
      <c r="C379" s="11" t="n">
        <v>46213</v>
      </c>
      <c r="D379" s="10" t="n">
        <v>1134</v>
      </c>
      <c r="E379" s="12" t="s">
        <v>572</v>
      </c>
      <c r="F379" s="10" t="n">
        <v>46</v>
      </c>
      <c r="G379" s="12" t="s">
        <v>565</v>
      </c>
      <c r="H379" s="10" t="n">
        <v>1110202</v>
      </c>
      <c r="I379" s="12" t="s">
        <v>90</v>
      </c>
      <c r="J379" s="10" t="n">
        <v>1381951</v>
      </c>
      <c r="L379" s="10" t="n">
        <v>570356</v>
      </c>
      <c r="M379" s="12" t="s">
        <v>33</v>
      </c>
      <c r="N379" s="12" t="s">
        <v>66</v>
      </c>
      <c r="P379" s="10" t="n">
        <v>101</v>
      </c>
      <c r="Q379" s="12" t="s">
        <v>84</v>
      </c>
      <c r="R379" s="12" t="s">
        <v>94</v>
      </c>
      <c r="S379" s="10" t="n">
        <v>4210227</v>
      </c>
      <c r="T379" s="12" t="s">
        <v>573</v>
      </c>
      <c r="U379" s="13" t="n">
        <v>8.8</v>
      </c>
      <c r="W379" s="13" t="n">
        <v>0</v>
      </c>
      <c r="X379" s="12" t="s">
        <v>574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46213</v>
      </c>
      <c r="D380" s="10" t="n">
        <v>1898</v>
      </c>
      <c r="E380" s="12" t="s">
        <v>575</v>
      </c>
      <c r="F380" s="10" t="n">
        <v>46</v>
      </c>
      <c r="G380" s="12" t="s">
        <v>565</v>
      </c>
      <c r="H380" s="10" t="n">
        <v>2110405</v>
      </c>
      <c r="I380" s="12" t="s">
        <v>153</v>
      </c>
      <c r="J380" s="10" t="n">
        <v>1226797</v>
      </c>
      <c r="L380" s="10" t="n">
        <v>5536</v>
      </c>
      <c r="M380" s="12" t="s">
        <v>33</v>
      </c>
      <c r="N380" s="12" t="s">
        <v>66</v>
      </c>
      <c r="P380" s="10" t="n">
        <v>101</v>
      </c>
      <c r="Q380" s="12" t="s">
        <v>84</v>
      </c>
      <c r="R380" s="12" t="s">
        <v>94</v>
      </c>
      <c r="S380" s="10" t="n">
        <v>4210226</v>
      </c>
      <c r="T380" s="12" t="s">
        <v>576</v>
      </c>
      <c r="U380" s="13" t="n">
        <v>157.89</v>
      </c>
      <c r="W380" s="13" t="n">
        <v>0</v>
      </c>
      <c r="X380" s="12" t="s">
        <v>577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46153</v>
      </c>
      <c r="C381" s="11" t="n">
        <v>46213</v>
      </c>
      <c r="D381" s="10" t="n">
        <v>1898</v>
      </c>
      <c r="E381" s="12" t="s">
        <v>575</v>
      </c>
      <c r="F381" s="10" t="n">
        <v>46</v>
      </c>
      <c r="G381" s="12" t="s">
        <v>565</v>
      </c>
      <c r="H381" s="10" t="n">
        <v>2110405</v>
      </c>
      <c r="I381" s="12" t="s">
        <v>153</v>
      </c>
      <c r="J381" s="10" t="n">
        <v>1230688</v>
      </c>
      <c r="L381" s="10" t="n">
        <v>5484</v>
      </c>
      <c r="M381" s="12" t="s">
        <v>76</v>
      </c>
      <c r="N381" s="12" t="s">
        <v>66</v>
      </c>
      <c r="P381" s="10" t="n">
        <v>101</v>
      </c>
      <c r="Q381" s="12" t="s">
        <v>84</v>
      </c>
      <c r="R381" s="12" t="s">
        <v>94</v>
      </c>
      <c r="S381" s="10" t="n">
        <v>4210205</v>
      </c>
      <c r="T381" s="12" t="s">
        <v>380</v>
      </c>
      <c r="U381" s="13" t="n">
        <v>120.13</v>
      </c>
      <c r="W381" s="13" t="n">
        <v>0</v>
      </c>
      <c r="X381" s="12" t="s">
        <v>578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46195</v>
      </c>
      <c r="C382" s="11" t="n">
        <v>46213</v>
      </c>
      <c r="D382" s="10" t="n">
        <v>1695</v>
      </c>
      <c r="E382" s="12" t="s">
        <v>44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1289622</v>
      </c>
      <c r="L382" s="10" t="n">
        <v>18761</v>
      </c>
      <c r="M382" s="12" t="s">
        <v>40</v>
      </c>
      <c r="N382" s="12" t="s">
        <v>34</v>
      </c>
      <c r="P382" s="10" t="n">
        <v>103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467.2</v>
      </c>
      <c r="W382" s="13" t="n">
        <v>0</v>
      </c>
      <c r="X382" s="12" t="s">
        <v>579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46207</v>
      </c>
      <c r="C383" s="11" t="n">
        <v>46213</v>
      </c>
      <c r="D383" s="10" t="n">
        <v>1695</v>
      </c>
      <c r="E383" s="12" t="s">
        <v>44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1348708</v>
      </c>
      <c r="L383" s="10" t="n">
        <v>19022</v>
      </c>
      <c r="M383" s="12" t="s">
        <v>33</v>
      </c>
      <c r="N383" s="12" t="s">
        <v>34</v>
      </c>
      <c r="P383" s="10" t="n">
        <v>103</v>
      </c>
      <c r="Q383" s="12" t="s">
        <v>35</v>
      </c>
      <c r="R383" s="12" t="s">
        <v>36</v>
      </c>
      <c r="S383" s="10" t="n">
        <v>1130101</v>
      </c>
      <c r="T383" s="12" t="s">
        <v>37</v>
      </c>
      <c r="U383" s="13" t="n">
        <v>595</v>
      </c>
      <c r="W383" s="13" t="n">
        <v>0</v>
      </c>
      <c r="X383" s="12" t="s">
        <v>580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46213</v>
      </c>
      <c r="C384" s="11" t="n">
        <v>46213</v>
      </c>
      <c r="D384" s="10" t="n">
        <v>1695</v>
      </c>
      <c r="E384" s="12" t="s">
        <v>44</v>
      </c>
      <c r="F384" s="10" t="n">
        <v>34</v>
      </c>
      <c r="G384" s="12" t="s">
        <v>49</v>
      </c>
      <c r="H384" s="10" t="n">
        <v>1110202</v>
      </c>
      <c r="I384" s="12" t="s">
        <v>90</v>
      </c>
      <c r="J384" s="10" t="n">
        <v>1377444</v>
      </c>
      <c r="L384" s="10" t="n">
        <v>19193</v>
      </c>
      <c r="M384" s="12" t="s">
        <v>33</v>
      </c>
      <c r="N384" s="12" t="s">
        <v>66</v>
      </c>
      <c r="P384" s="10" t="n">
        <v>103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462</v>
      </c>
      <c r="W384" s="13" t="n">
        <v>0</v>
      </c>
      <c r="X384" s="12" t="s">
        <v>581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46207</v>
      </c>
      <c r="C385" s="11" t="n">
        <v>46213</v>
      </c>
      <c r="D385" s="10" t="n">
        <v>1642</v>
      </c>
      <c r="E385" s="12" t="s">
        <v>158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1348430</v>
      </c>
      <c r="L385" s="10" t="n">
        <v>1030056</v>
      </c>
      <c r="M385" s="12" t="s">
        <v>33</v>
      </c>
      <c r="N385" s="12" t="s">
        <v>34</v>
      </c>
      <c r="P385" s="10" t="n">
        <v>103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640.3</v>
      </c>
      <c r="W385" s="13" t="n">
        <v>0</v>
      </c>
      <c r="X385" s="12" t="s">
        <v>582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46206</v>
      </c>
      <c r="C386" s="11" t="n">
        <v>46213</v>
      </c>
      <c r="D386" s="10" t="n">
        <v>1614</v>
      </c>
      <c r="E386" s="12" t="s">
        <v>99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1346045</v>
      </c>
      <c r="L386" s="10" t="n">
        <v>11352</v>
      </c>
      <c r="M386" s="12" t="s">
        <v>76</v>
      </c>
      <c r="N386" s="12" t="s">
        <v>34</v>
      </c>
      <c r="P386" s="10" t="n">
        <v>103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406.93</v>
      </c>
      <c r="W386" s="13" t="n">
        <v>0</v>
      </c>
      <c r="X386" s="12" t="s">
        <v>583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46135</v>
      </c>
      <c r="C387" s="11" t="n">
        <v>46213</v>
      </c>
      <c r="D387" s="10" t="n">
        <v>1758</v>
      </c>
      <c r="E387" s="12" t="s">
        <v>584</v>
      </c>
      <c r="F387" s="10" t="n">
        <v>46</v>
      </c>
      <c r="G387" s="12" t="s">
        <v>565</v>
      </c>
      <c r="H387" s="10" t="n">
        <v>2110405</v>
      </c>
      <c r="I387" s="12" t="s">
        <v>153</v>
      </c>
      <c r="J387" s="10" t="n">
        <v>993744</v>
      </c>
      <c r="L387" s="10" t="n">
        <v>420093</v>
      </c>
      <c r="M387" s="12" t="s">
        <v>40</v>
      </c>
      <c r="N387" s="12" t="s">
        <v>66</v>
      </c>
      <c r="P387" s="10" t="n">
        <v>101</v>
      </c>
      <c r="Q387" s="12" t="s">
        <v>84</v>
      </c>
      <c r="R387" s="12" t="s">
        <v>91</v>
      </c>
      <c r="S387" s="10" t="n">
        <v>4220199</v>
      </c>
      <c r="T387" s="12" t="s">
        <v>92</v>
      </c>
      <c r="U387" s="13" t="n">
        <v>130</v>
      </c>
      <c r="W387" s="13" t="n">
        <v>0</v>
      </c>
      <c r="X387" s="12" t="s">
        <v>585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46182</v>
      </c>
      <c r="C388" s="11" t="n">
        <v>46213</v>
      </c>
      <c r="D388" s="10" t="n">
        <v>1758</v>
      </c>
      <c r="E388" s="12" t="s">
        <v>584</v>
      </c>
      <c r="F388" s="10" t="n">
        <v>46</v>
      </c>
      <c r="G388" s="12" t="s">
        <v>565</v>
      </c>
      <c r="H388" s="10" t="n">
        <v>2110405</v>
      </c>
      <c r="I388" s="12" t="s">
        <v>153</v>
      </c>
      <c r="J388" s="10" t="n">
        <v>1226802</v>
      </c>
      <c r="L388" s="10" t="n">
        <v>21186</v>
      </c>
      <c r="M388" s="12" t="s">
        <v>33</v>
      </c>
      <c r="N388" s="12" t="s">
        <v>66</v>
      </c>
      <c r="P388" s="10" t="n">
        <v>101</v>
      </c>
      <c r="Q388" s="12" t="s">
        <v>84</v>
      </c>
      <c r="R388" s="12" t="s">
        <v>94</v>
      </c>
      <c r="S388" s="10" t="n">
        <v>4210228</v>
      </c>
      <c r="T388" s="12" t="s">
        <v>471</v>
      </c>
      <c r="U388" s="13" t="n">
        <v>100</v>
      </c>
      <c r="W388" s="13" t="n">
        <v>0</v>
      </c>
      <c r="X388" s="12" t="s">
        <v>586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46199</v>
      </c>
      <c r="C389" s="11" t="n">
        <v>46213</v>
      </c>
      <c r="D389" s="10" t="n">
        <v>1758</v>
      </c>
      <c r="E389" s="12" t="s">
        <v>584</v>
      </c>
      <c r="F389" s="10" t="n">
        <v>46</v>
      </c>
      <c r="G389" s="12" t="s">
        <v>565</v>
      </c>
      <c r="H389" s="10" t="n">
        <v>1110202</v>
      </c>
      <c r="I389" s="12" t="s">
        <v>90</v>
      </c>
      <c r="J389" s="10" t="n">
        <v>1378055</v>
      </c>
      <c r="L389" s="10" t="n">
        <v>568065</v>
      </c>
      <c r="M389" s="12" t="s">
        <v>33</v>
      </c>
      <c r="N389" s="12" t="s">
        <v>66</v>
      </c>
      <c r="P389" s="10" t="n">
        <v>101</v>
      </c>
      <c r="Q389" s="12" t="s">
        <v>84</v>
      </c>
      <c r="R389" s="12" t="s">
        <v>94</v>
      </c>
      <c r="S389" s="10" t="n">
        <v>4210227</v>
      </c>
      <c r="T389" s="12" t="s">
        <v>573</v>
      </c>
      <c r="U389" s="13" t="n">
        <v>429.64</v>
      </c>
      <c r="W389" s="13" t="n">
        <v>0</v>
      </c>
      <c r="X389" s="12" t="s">
        <v>587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46175</v>
      </c>
      <c r="C390" s="11" t="n">
        <v>46213</v>
      </c>
      <c r="D390" s="10" t="n">
        <v>1758</v>
      </c>
      <c r="E390" s="12" t="s">
        <v>584</v>
      </c>
      <c r="F390" s="10" t="n">
        <v>46</v>
      </c>
      <c r="G390" s="12" t="s">
        <v>565</v>
      </c>
      <c r="H390" s="10" t="n">
        <v>1110202</v>
      </c>
      <c r="I390" s="12" t="s">
        <v>90</v>
      </c>
      <c r="J390" s="10" t="n">
        <v>1378338</v>
      </c>
      <c r="L390" s="10" t="n">
        <v>206</v>
      </c>
      <c r="M390" s="12" t="s">
        <v>33</v>
      </c>
      <c r="N390" s="12" t="s">
        <v>66</v>
      </c>
      <c r="P390" s="10" t="n">
        <v>101</v>
      </c>
      <c r="Q390" s="12" t="s">
        <v>84</v>
      </c>
      <c r="R390" s="12" t="s">
        <v>94</v>
      </c>
      <c r="S390" s="10" t="n">
        <v>4210212</v>
      </c>
      <c r="T390" s="12" t="s">
        <v>588</v>
      </c>
      <c r="U390" s="13" t="n">
        <v>150</v>
      </c>
      <c r="W390" s="13" t="n">
        <v>0</v>
      </c>
      <c r="X390" s="12" t="s">
        <v>589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46193</v>
      </c>
      <c r="C391" s="11" t="n">
        <v>46213</v>
      </c>
      <c r="D391" s="10" t="n">
        <v>1718</v>
      </c>
      <c r="E391" s="12" t="s">
        <v>332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1280728</v>
      </c>
      <c r="L391" s="10" t="n">
        <v>674930</v>
      </c>
      <c r="M391" s="12" t="s">
        <v>76</v>
      </c>
      <c r="N391" s="12" t="s">
        <v>34</v>
      </c>
      <c r="P391" s="10" t="n">
        <v>103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478.42</v>
      </c>
      <c r="W391" s="13" t="n">
        <v>0</v>
      </c>
      <c r="X391" s="12" t="s">
        <v>590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46199</v>
      </c>
      <c r="C392" s="11" t="n">
        <v>46213</v>
      </c>
      <c r="D392" s="10" t="n">
        <v>1608</v>
      </c>
      <c r="E392" s="12" t="s">
        <v>52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1309156</v>
      </c>
      <c r="L392" s="10" t="n">
        <v>1681442</v>
      </c>
      <c r="M392" s="12" t="s">
        <v>33</v>
      </c>
      <c r="N392" s="12" t="s">
        <v>34</v>
      </c>
      <c r="P392" s="10" t="n">
        <v>103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600</v>
      </c>
      <c r="W392" s="13" t="n">
        <v>0</v>
      </c>
      <c r="X392" s="12" t="s">
        <v>591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46202</v>
      </c>
      <c r="C393" s="11" t="n">
        <v>46213</v>
      </c>
      <c r="D393" s="10" t="n">
        <v>794</v>
      </c>
      <c r="E393" s="12" t="s">
        <v>160</v>
      </c>
      <c r="F393" s="10" t="n">
        <v>24</v>
      </c>
      <c r="G393" s="12" t="s">
        <v>31</v>
      </c>
      <c r="H393" s="10" t="n">
        <v>2110102</v>
      </c>
      <c r="I393" s="12" t="s">
        <v>197</v>
      </c>
      <c r="J393" s="10" t="n">
        <v>1322709</v>
      </c>
      <c r="L393" s="10" t="n">
        <v>8210</v>
      </c>
      <c r="M393" s="12" t="s">
        <v>33</v>
      </c>
      <c r="N393" s="12" t="s">
        <v>34</v>
      </c>
      <c r="P393" s="10" t="n">
        <v>103</v>
      </c>
      <c r="Q393" s="12" t="s">
        <v>35</v>
      </c>
      <c r="R393" s="12" t="s">
        <v>94</v>
      </c>
      <c r="S393" s="10" t="n">
        <v>4210204</v>
      </c>
      <c r="T393" s="12" t="s">
        <v>198</v>
      </c>
      <c r="U393" s="13" t="n">
        <v>550</v>
      </c>
      <c r="W393" s="13" t="n">
        <v>0</v>
      </c>
      <c r="X393" s="12" t="s">
        <v>592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46203</v>
      </c>
      <c r="C394" s="11" t="n">
        <v>46213</v>
      </c>
      <c r="D394" s="10" t="n">
        <v>794</v>
      </c>
      <c r="E394" s="12" t="s">
        <v>160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1330337</v>
      </c>
      <c r="L394" s="10" t="n">
        <v>8208</v>
      </c>
      <c r="M394" s="12" t="s">
        <v>33</v>
      </c>
      <c r="N394" s="12" t="s">
        <v>34</v>
      </c>
      <c r="P394" s="10" t="n">
        <v>103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526.89</v>
      </c>
      <c r="W394" s="13" t="n">
        <v>0</v>
      </c>
      <c r="X394" s="12" t="s">
        <v>593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46091</v>
      </c>
      <c r="C395" s="11" t="n">
        <v>46213</v>
      </c>
      <c r="D395" s="10" t="n">
        <v>14</v>
      </c>
      <c r="E395" s="12" t="s">
        <v>594</v>
      </c>
      <c r="F395" s="10" t="n">
        <v>34</v>
      </c>
      <c r="G395" s="12" t="s">
        <v>49</v>
      </c>
      <c r="H395" s="10" t="n">
        <v>2110405</v>
      </c>
      <c r="I395" s="12" t="s">
        <v>153</v>
      </c>
      <c r="J395" s="10" t="n">
        <v>1309535</v>
      </c>
      <c r="L395" s="10" t="n">
        <v>541980</v>
      </c>
      <c r="M395" s="12" t="s">
        <v>448</v>
      </c>
      <c r="N395" s="12" t="s">
        <v>66</v>
      </c>
      <c r="P395" s="10" t="n">
        <v>101</v>
      </c>
      <c r="Q395" s="12" t="s">
        <v>84</v>
      </c>
      <c r="R395" s="12" t="s">
        <v>94</v>
      </c>
      <c r="S395" s="10" t="n">
        <v>4210206</v>
      </c>
      <c r="T395" s="12" t="s">
        <v>330</v>
      </c>
      <c r="U395" s="13" t="n">
        <v>209.99</v>
      </c>
      <c r="W395" s="13" t="n">
        <v>0</v>
      </c>
      <c r="X395" s="12" t="s">
        <v>595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46213</v>
      </c>
      <c r="C396" s="11" t="n">
        <v>46213</v>
      </c>
      <c r="D396" s="10" t="n">
        <v>1037</v>
      </c>
      <c r="E396" s="12" t="s">
        <v>171</v>
      </c>
      <c r="F396" s="10" t="n">
        <v>34</v>
      </c>
      <c r="G396" s="12" t="s">
        <v>49</v>
      </c>
      <c r="H396" s="10" t="n">
        <v>1110202</v>
      </c>
      <c r="I396" s="12" t="s">
        <v>90</v>
      </c>
      <c r="J396" s="10" t="n">
        <v>1449094</v>
      </c>
      <c r="L396" s="10" t="n">
        <v>596114</v>
      </c>
      <c r="M396" s="12" t="s">
        <v>33</v>
      </c>
      <c r="N396" s="12" t="s">
        <v>66</v>
      </c>
      <c r="P396" s="10" t="n">
        <v>101</v>
      </c>
      <c r="Q396" s="12" t="s">
        <v>84</v>
      </c>
      <c r="R396" s="12" t="s">
        <v>91</v>
      </c>
      <c r="S396" s="10" t="n">
        <v>4220199</v>
      </c>
      <c r="T396" s="12" t="s">
        <v>92</v>
      </c>
      <c r="U396" s="13" t="n">
        <v>6685.5</v>
      </c>
      <c r="W396" s="13" t="n">
        <v>0</v>
      </c>
      <c r="X396" s="12" t="s">
        <v>596</v>
      </c>
      <c r="Z396" s="1" t="str">
        <f aca="false">IF($T396="","",IFERROR(INDEX('Resumo Grupos'!$AC$3:$AC$200,MATCH($T396,'Resumo Grupos'!$AB$3:$AB$200,0)),"n/d"))</f>
        <v>Pagamentos outros não operacionais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46213</v>
      </c>
      <c r="C397" s="11" t="n">
        <v>46213</v>
      </c>
      <c r="D397" s="10" t="n">
        <v>1137</v>
      </c>
      <c r="E397" s="12" t="s">
        <v>252</v>
      </c>
      <c r="F397" s="10" t="n">
        <v>34</v>
      </c>
      <c r="G397" s="12" t="s">
        <v>49</v>
      </c>
      <c r="H397" s="10" t="n">
        <v>1110202</v>
      </c>
      <c r="I397" s="12" t="s">
        <v>90</v>
      </c>
      <c r="J397" s="10" t="n">
        <v>1449200</v>
      </c>
      <c r="L397" s="10" t="n">
        <v>596154</v>
      </c>
      <c r="M397" s="12" t="s">
        <v>33</v>
      </c>
      <c r="N397" s="12" t="s">
        <v>66</v>
      </c>
      <c r="P397" s="10" t="n">
        <v>101</v>
      </c>
      <c r="Q397" s="12" t="s">
        <v>84</v>
      </c>
      <c r="R397" s="12" t="s">
        <v>121</v>
      </c>
      <c r="S397" s="10" t="n">
        <v>4210301</v>
      </c>
      <c r="T397" s="12" t="s">
        <v>122</v>
      </c>
      <c r="U397" s="13" t="n">
        <v>2400</v>
      </c>
      <c r="W397" s="13" t="n">
        <v>0</v>
      </c>
      <c r="X397" s="12" t="s">
        <v>597</v>
      </c>
      <c r="Z397" s="1" t="str">
        <f aca="false">IF($T397="","",IFERROR(INDEX('Resumo Grupos'!$AC$3:$AC$200,MATCH($T397,'Resumo Grupos'!$AB$3:$AB$200,0)),"n/d"))</f>
        <v>Salários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46199</v>
      </c>
      <c r="C398" s="11" t="n">
        <v>46213</v>
      </c>
      <c r="D398" s="10" t="n">
        <v>1242</v>
      </c>
      <c r="E398" s="12" t="s">
        <v>598</v>
      </c>
      <c r="F398" s="10" t="n">
        <v>46</v>
      </c>
      <c r="G398" s="12" t="s">
        <v>565</v>
      </c>
      <c r="H398" s="10" t="n">
        <v>2110405</v>
      </c>
      <c r="I398" s="12" t="s">
        <v>153</v>
      </c>
      <c r="J398" s="10" t="n">
        <v>1309769</v>
      </c>
      <c r="L398" s="10" t="n">
        <v>6022</v>
      </c>
      <c r="M398" s="12" t="s">
        <v>33</v>
      </c>
      <c r="N398" s="12" t="s">
        <v>66</v>
      </c>
      <c r="P398" s="10" t="n">
        <v>101</v>
      </c>
      <c r="Q398" s="12" t="s">
        <v>84</v>
      </c>
      <c r="R398" s="12" t="s">
        <v>121</v>
      </c>
      <c r="S398" s="10" t="n">
        <v>4210317</v>
      </c>
      <c r="T398" s="12" t="s">
        <v>599</v>
      </c>
      <c r="U398" s="13" t="n">
        <v>320</v>
      </c>
      <c r="W398" s="13" t="n">
        <v>0</v>
      </c>
      <c r="X398" s="12" t="s">
        <v>600</v>
      </c>
      <c r="Z398" s="1" t="str">
        <f aca="false">IF($T398="","",IFERROR(INDEX('Resumo Grupos'!$AC$3:$AC$200,MATCH($T398,'Resumo Grupos'!$AB$3:$AB$200,0)),"n/d"))</f>
        <v>Salários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46200</v>
      </c>
      <c r="C399" s="11" t="n">
        <v>46213</v>
      </c>
      <c r="D399" s="10" t="n">
        <v>1465</v>
      </c>
      <c r="E399" s="12" t="s">
        <v>601</v>
      </c>
      <c r="F399" s="10" t="n">
        <v>46</v>
      </c>
      <c r="G399" s="12" t="s">
        <v>565</v>
      </c>
      <c r="H399" s="10" t="n">
        <v>2110405</v>
      </c>
      <c r="I399" s="12" t="s">
        <v>153</v>
      </c>
      <c r="J399" s="10" t="n">
        <v>1323766</v>
      </c>
      <c r="L399" s="10" t="n">
        <v>4759</v>
      </c>
      <c r="M399" s="12" t="s">
        <v>33</v>
      </c>
      <c r="N399" s="12" t="s">
        <v>66</v>
      </c>
      <c r="P399" s="10" t="n">
        <v>101</v>
      </c>
      <c r="Q399" s="12" t="s">
        <v>84</v>
      </c>
      <c r="R399" s="12" t="s">
        <v>94</v>
      </c>
      <c r="S399" s="10" t="n">
        <v>4210228</v>
      </c>
      <c r="T399" s="12" t="s">
        <v>471</v>
      </c>
      <c r="U399" s="13" t="n">
        <v>260.29</v>
      </c>
      <c r="W399" s="13" t="n">
        <v>0</v>
      </c>
      <c r="X399" s="12" t="s">
        <v>602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46169</v>
      </c>
      <c r="C400" s="11" t="n">
        <v>46213</v>
      </c>
      <c r="D400" s="10" t="n">
        <v>546</v>
      </c>
      <c r="E400" s="12" t="s">
        <v>603</v>
      </c>
      <c r="F400" s="10" t="n">
        <v>46</v>
      </c>
      <c r="G400" s="12" t="s">
        <v>565</v>
      </c>
      <c r="H400" s="10" t="n">
        <v>2110405</v>
      </c>
      <c r="I400" s="12" t="s">
        <v>153</v>
      </c>
      <c r="J400" s="10" t="n">
        <v>1176263</v>
      </c>
      <c r="L400" s="10" t="n">
        <v>2639</v>
      </c>
      <c r="M400" s="12" t="s">
        <v>33</v>
      </c>
      <c r="N400" s="12" t="s">
        <v>66</v>
      </c>
      <c r="P400" s="10" t="n">
        <v>101</v>
      </c>
      <c r="Q400" s="12" t="s">
        <v>84</v>
      </c>
      <c r="R400" s="12" t="s">
        <v>94</v>
      </c>
      <c r="S400" s="10" t="n">
        <v>4210227</v>
      </c>
      <c r="T400" s="12" t="s">
        <v>573</v>
      </c>
      <c r="U400" s="13" t="n">
        <v>158.85</v>
      </c>
      <c r="W400" s="13" t="n">
        <v>0</v>
      </c>
      <c r="X400" s="12" t="s">
        <v>604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46169</v>
      </c>
      <c r="C401" s="11" t="n">
        <v>46213</v>
      </c>
      <c r="D401" s="10" t="n">
        <v>546</v>
      </c>
      <c r="E401" s="12" t="s">
        <v>603</v>
      </c>
      <c r="F401" s="10" t="n">
        <v>46</v>
      </c>
      <c r="G401" s="12" t="s">
        <v>565</v>
      </c>
      <c r="H401" s="10" t="n">
        <v>1110202</v>
      </c>
      <c r="I401" s="12" t="s">
        <v>90</v>
      </c>
      <c r="J401" s="10" t="n">
        <v>1381895</v>
      </c>
      <c r="L401" s="10" t="n">
        <v>570329</v>
      </c>
      <c r="M401" s="12" t="s">
        <v>33</v>
      </c>
      <c r="N401" s="12" t="s">
        <v>66</v>
      </c>
      <c r="P401" s="10" t="n">
        <v>101</v>
      </c>
      <c r="Q401" s="12" t="s">
        <v>84</v>
      </c>
      <c r="R401" s="12" t="s">
        <v>94</v>
      </c>
      <c r="S401" s="10" t="n">
        <v>4210227</v>
      </c>
      <c r="T401" s="12" t="s">
        <v>573</v>
      </c>
      <c r="U401" s="13" t="n">
        <v>208.9</v>
      </c>
      <c r="W401" s="13" t="n">
        <v>0</v>
      </c>
      <c r="X401" s="12" t="s">
        <v>605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46171</v>
      </c>
      <c r="C402" s="11" t="n">
        <v>46213</v>
      </c>
      <c r="D402" s="10" t="n">
        <v>546</v>
      </c>
      <c r="E402" s="12" t="s">
        <v>603</v>
      </c>
      <c r="F402" s="10" t="n">
        <v>46</v>
      </c>
      <c r="G402" s="12" t="s">
        <v>565</v>
      </c>
      <c r="H402" s="10" t="n">
        <v>1110202</v>
      </c>
      <c r="I402" s="12" t="s">
        <v>90</v>
      </c>
      <c r="J402" s="10" t="n">
        <v>1381978</v>
      </c>
      <c r="L402" s="10" t="n">
        <v>570365</v>
      </c>
      <c r="M402" s="12" t="s">
        <v>33</v>
      </c>
      <c r="N402" s="12" t="s">
        <v>66</v>
      </c>
      <c r="P402" s="10" t="n">
        <v>101</v>
      </c>
      <c r="Q402" s="12" t="s">
        <v>84</v>
      </c>
      <c r="R402" s="12" t="s">
        <v>94</v>
      </c>
      <c r="S402" s="10" t="n">
        <v>4210228</v>
      </c>
      <c r="T402" s="12" t="s">
        <v>471</v>
      </c>
      <c r="U402" s="13" t="n">
        <v>150</v>
      </c>
      <c r="W402" s="13" t="n">
        <v>0</v>
      </c>
      <c r="X402" s="12" t="s">
        <v>606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46213</v>
      </c>
      <c r="C403" s="11" t="n">
        <v>46213</v>
      </c>
      <c r="D403" s="10" t="n">
        <v>515</v>
      </c>
      <c r="E403" s="12" t="s">
        <v>111</v>
      </c>
      <c r="F403" s="10" t="n">
        <v>34</v>
      </c>
      <c r="G403" s="12" t="s">
        <v>49</v>
      </c>
      <c r="H403" s="10" t="n">
        <v>1110202</v>
      </c>
      <c r="I403" s="12" t="s">
        <v>90</v>
      </c>
      <c r="J403" s="10" t="n">
        <v>1449141</v>
      </c>
      <c r="L403" s="10" t="n">
        <v>596139</v>
      </c>
      <c r="M403" s="12" t="s">
        <v>33</v>
      </c>
      <c r="N403" s="12" t="s">
        <v>66</v>
      </c>
      <c r="P403" s="10" t="n">
        <v>101</v>
      </c>
      <c r="Q403" s="12" t="s">
        <v>84</v>
      </c>
      <c r="R403" s="12" t="s">
        <v>113</v>
      </c>
      <c r="S403" s="10" t="n">
        <v>4210502</v>
      </c>
      <c r="T403" s="12" t="s">
        <v>607</v>
      </c>
      <c r="U403" s="13" t="n">
        <v>2465.25</v>
      </c>
      <c r="W403" s="13" t="n">
        <v>0</v>
      </c>
      <c r="X403" s="12" t="s">
        <v>608</v>
      </c>
      <c r="Z403" s="1" t="str">
        <f aca="false">IF($T403="","",IFERROR(INDEX('Resumo Grupos'!$AC$3:$AC$200,MATCH($T403,'Resumo Grupos'!$AB$3:$AB$200,0)),"n/d"))</f>
        <v>Empréstimo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46207</v>
      </c>
      <c r="C404" s="11" t="n">
        <v>46213</v>
      </c>
      <c r="D404" s="10" t="n">
        <v>1815</v>
      </c>
      <c r="E404" s="12" t="s">
        <v>175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1348411</v>
      </c>
      <c r="L404" s="10" t="n">
        <v>390550</v>
      </c>
      <c r="M404" s="12" t="s">
        <v>33</v>
      </c>
      <c r="N404" s="12" t="s">
        <v>34</v>
      </c>
      <c r="P404" s="10" t="n">
        <v>103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2340.64</v>
      </c>
      <c r="W404" s="13" t="n">
        <v>0</v>
      </c>
      <c r="X404" s="12" t="s">
        <v>609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46213</v>
      </c>
      <c r="C405" s="11" t="n">
        <v>46213</v>
      </c>
      <c r="D405" s="10" t="n">
        <v>10035</v>
      </c>
      <c r="E405" s="12" t="s">
        <v>118</v>
      </c>
      <c r="F405" s="10" t="n">
        <v>13</v>
      </c>
      <c r="G405" s="12" t="s">
        <v>55</v>
      </c>
      <c r="H405" s="10" t="n">
        <v>2110101</v>
      </c>
      <c r="I405" s="12" t="s">
        <v>32</v>
      </c>
      <c r="J405" s="10" t="n">
        <v>1381767</v>
      </c>
      <c r="L405" s="10" t="n">
        <v>352</v>
      </c>
      <c r="M405" s="12" t="s">
        <v>33</v>
      </c>
      <c r="N405" s="12" t="s">
        <v>34</v>
      </c>
      <c r="P405" s="10" t="n">
        <v>104</v>
      </c>
      <c r="Q405" s="12" t="s">
        <v>50</v>
      </c>
      <c r="R405" s="12" t="s">
        <v>36</v>
      </c>
      <c r="S405" s="10" t="n">
        <v>1130101</v>
      </c>
      <c r="T405" s="12" t="s">
        <v>37</v>
      </c>
      <c r="U405" s="13" t="n">
        <v>450</v>
      </c>
      <c r="W405" s="13" t="n">
        <v>0</v>
      </c>
      <c r="X405" s="12" t="s">
        <v>610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46169</v>
      </c>
      <c r="C406" s="11" t="n">
        <v>46213</v>
      </c>
      <c r="D406" s="10" t="n">
        <v>1711</v>
      </c>
      <c r="E406" s="12" t="s">
        <v>346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1162093</v>
      </c>
      <c r="L406" s="10" t="n">
        <v>155121</v>
      </c>
      <c r="M406" s="12" t="s">
        <v>448</v>
      </c>
      <c r="N406" s="12" t="s">
        <v>34</v>
      </c>
      <c r="P406" s="10" t="n">
        <v>103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1118.57</v>
      </c>
      <c r="W406" s="13" t="n">
        <v>0</v>
      </c>
      <c r="X406" s="12" t="s">
        <v>611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46183</v>
      </c>
      <c r="C407" s="11" t="n">
        <v>46213</v>
      </c>
      <c r="D407" s="10" t="n">
        <v>1105</v>
      </c>
      <c r="E407" s="12" t="s">
        <v>612</v>
      </c>
      <c r="F407" s="10" t="n">
        <v>46</v>
      </c>
      <c r="G407" s="12" t="s">
        <v>565</v>
      </c>
      <c r="H407" s="10" t="n">
        <v>1110202</v>
      </c>
      <c r="I407" s="12" t="s">
        <v>90</v>
      </c>
      <c r="J407" s="10" t="n">
        <v>1381930</v>
      </c>
      <c r="L407" s="10" t="n">
        <v>570345</v>
      </c>
      <c r="M407" s="12" t="s">
        <v>33</v>
      </c>
      <c r="N407" s="12" t="s">
        <v>66</v>
      </c>
      <c r="P407" s="10" t="n">
        <v>101</v>
      </c>
      <c r="Q407" s="12" t="s">
        <v>84</v>
      </c>
      <c r="R407" s="12" t="s">
        <v>94</v>
      </c>
      <c r="S407" s="10" t="n">
        <v>4210208</v>
      </c>
      <c r="T407" s="12" t="s">
        <v>613</v>
      </c>
      <c r="U407" s="13" t="n">
        <v>25</v>
      </c>
      <c r="W407" s="13" t="n">
        <v>0</v>
      </c>
      <c r="X407" s="12" t="s">
        <v>614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46079</v>
      </c>
      <c r="C408" s="11" t="n">
        <v>46213</v>
      </c>
      <c r="D408" s="10" t="n">
        <v>1835</v>
      </c>
      <c r="E408" s="12" t="s">
        <v>615</v>
      </c>
      <c r="F408" s="10" t="n">
        <v>46</v>
      </c>
      <c r="G408" s="12" t="s">
        <v>565</v>
      </c>
      <c r="H408" s="10" t="n">
        <v>2110405</v>
      </c>
      <c r="I408" s="12" t="s">
        <v>153</v>
      </c>
      <c r="J408" s="10" t="n">
        <v>722109</v>
      </c>
      <c r="L408" s="10" t="n">
        <v>98825</v>
      </c>
      <c r="M408" s="12" t="s">
        <v>79</v>
      </c>
      <c r="N408" s="12" t="s">
        <v>66</v>
      </c>
      <c r="P408" s="10" t="n">
        <v>101</v>
      </c>
      <c r="Q408" s="12" t="s">
        <v>84</v>
      </c>
      <c r="R408" s="12" t="s">
        <v>94</v>
      </c>
      <c r="S408" s="10" t="n">
        <v>4210228</v>
      </c>
      <c r="T408" s="12" t="s">
        <v>471</v>
      </c>
      <c r="U408" s="13" t="n">
        <v>295.66</v>
      </c>
      <c r="W408" s="13" t="n">
        <v>0</v>
      </c>
      <c r="X408" s="12" t="s">
        <v>616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46094</v>
      </c>
      <c r="C409" s="11" t="n">
        <v>46213</v>
      </c>
      <c r="D409" s="10" t="n">
        <v>1835</v>
      </c>
      <c r="E409" s="12" t="s">
        <v>615</v>
      </c>
      <c r="F409" s="10" t="n">
        <v>46</v>
      </c>
      <c r="G409" s="12" t="s">
        <v>565</v>
      </c>
      <c r="H409" s="10" t="n">
        <v>2110405</v>
      </c>
      <c r="I409" s="12" t="s">
        <v>153</v>
      </c>
      <c r="J409" s="10" t="n">
        <v>794811</v>
      </c>
      <c r="L409" s="10" t="n">
        <v>343084</v>
      </c>
      <c r="M409" s="12" t="s">
        <v>79</v>
      </c>
      <c r="N409" s="12" t="s">
        <v>66</v>
      </c>
      <c r="P409" s="10" t="n">
        <v>101</v>
      </c>
      <c r="Q409" s="12" t="s">
        <v>84</v>
      </c>
      <c r="R409" s="12" t="s">
        <v>94</v>
      </c>
      <c r="S409" s="10" t="n">
        <v>4210226</v>
      </c>
      <c r="T409" s="12" t="s">
        <v>576</v>
      </c>
      <c r="U409" s="13" t="n">
        <v>192.46</v>
      </c>
      <c r="W409" s="13" t="n">
        <v>0</v>
      </c>
      <c r="X409" s="12" t="s">
        <v>617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46099</v>
      </c>
      <c r="C410" s="11" t="n">
        <v>46213</v>
      </c>
      <c r="D410" s="10" t="n">
        <v>1835</v>
      </c>
      <c r="E410" s="12" t="s">
        <v>615</v>
      </c>
      <c r="F410" s="10" t="n">
        <v>46</v>
      </c>
      <c r="G410" s="12" t="s">
        <v>565</v>
      </c>
      <c r="H410" s="10" t="n">
        <v>2110102</v>
      </c>
      <c r="I410" s="12" t="s">
        <v>197</v>
      </c>
      <c r="J410" s="10" t="n">
        <v>818388</v>
      </c>
      <c r="L410" s="10" t="n">
        <v>100241</v>
      </c>
      <c r="M410" s="12" t="s">
        <v>79</v>
      </c>
      <c r="N410" s="12" t="s">
        <v>34</v>
      </c>
      <c r="P410" s="10" t="n">
        <v>103</v>
      </c>
      <c r="Q410" s="12" t="s">
        <v>35</v>
      </c>
      <c r="R410" s="12" t="s">
        <v>94</v>
      </c>
      <c r="S410" s="10" t="n">
        <v>4210204</v>
      </c>
      <c r="T410" s="12" t="s">
        <v>198</v>
      </c>
      <c r="U410" s="13" t="n">
        <v>300.26</v>
      </c>
      <c r="W410" s="13" t="n">
        <v>0</v>
      </c>
      <c r="X410" s="12" t="s">
        <v>618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46092</v>
      </c>
      <c r="C411" s="11" t="n">
        <v>46213</v>
      </c>
      <c r="D411" s="10" t="n">
        <v>1835</v>
      </c>
      <c r="E411" s="12" t="s">
        <v>615</v>
      </c>
      <c r="F411" s="10" t="n">
        <v>46</v>
      </c>
      <c r="G411" s="12" t="s">
        <v>565</v>
      </c>
      <c r="H411" s="10" t="n">
        <v>2110405</v>
      </c>
      <c r="I411" s="12" t="s">
        <v>153</v>
      </c>
      <c r="J411" s="10" t="n">
        <v>927300</v>
      </c>
      <c r="L411" s="10" t="n">
        <v>99886</v>
      </c>
      <c r="M411" s="12" t="s">
        <v>79</v>
      </c>
      <c r="N411" s="12" t="s">
        <v>66</v>
      </c>
      <c r="P411" s="10" t="n">
        <v>101</v>
      </c>
      <c r="Q411" s="12" t="s">
        <v>84</v>
      </c>
      <c r="R411" s="12" t="s">
        <v>94</v>
      </c>
      <c r="S411" s="10" t="n">
        <v>4210228</v>
      </c>
      <c r="T411" s="12" t="s">
        <v>471</v>
      </c>
      <c r="U411" s="13" t="n">
        <v>225.14</v>
      </c>
      <c r="W411" s="13" t="n">
        <v>0</v>
      </c>
      <c r="X411" s="12" t="s">
        <v>619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46139</v>
      </c>
      <c r="C412" s="11" t="n">
        <v>46213</v>
      </c>
      <c r="D412" s="10" t="n">
        <v>1835</v>
      </c>
      <c r="E412" s="12" t="s">
        <v>615</v>
      </c>
      <c r="F412" s="10" t="n">
        <v>46</v>
      </c>
      <c r="G412" s="12" t="s">
        <v>565</v>
      </c>
      <c r="H412" s="10" t="n">
        <v>2110405</v>
      </c>
      <c r="I412" s="12" t="s">
        <v>153</v>
      </c>
      <c r="J412" s="10" t="n">
        <v>1014538</v>
      </c>
      <c r="L412" s="10" t="n">
        <v>102658</v>
      </c>
      <c r="M412" s="12" t="s">
        <v>76</v>
      </c>
      <c r="N412" s="12" t="s">
        <v>66</v>
      </c>
      <c r="P412" s="10" t="n">
        <v>101</v>
      </c>
      <c r="Q412" s="12" t="s">
        <v>84</v>
      </c>
      <c r="R412" s="12" t="s">
        <v>94</v>
      </c>
      <c r="S412" s="10" t="n">
        <v>4210227</v>
      </c>
      <c r="T412" s="12" t="s">
        <v>573</v>
      </c>
      <c r="U412" s="13" t="n">
        <v>103.11</v>
      </c>
      <c r="W412" s="13" t="n">
        <v>0</v>
      </c>
      <c r="X412" s="12" t="s">
        <v>620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46190</v>
      </c>
      <c r="C413" s="11" t="n">
        <v>46213</v>
      </c>
      <c r="D413" s="10" t="n">
        <v>1835</v>
      </c>
      <c r="E413" s="12" t="s">
        <v>615</v>
      </c>
      <c r="F413" s="10" t="n">
        <v>46</v>
      </c>
      <c r="G413" s="12" t="s">
        <v>565</v>
      </c>
      <c r="H413" s="10" t="n">
        <v>2110405</v>
      </c>
      <c r="I413" s="12" t="s">
        <v>153</v>
      </c>
      <c r="J413" s="10" t="n">
        <v>1270239</v>
      </c>
      <c r="L413" s="10" t="n">
        <v>105747</v>
      </c>
      <c r="M413" s="12" t="s">
        <v>33</v>
      </c>
      <c r="N413" s="12" t="s">
        <v>66</v>
      </c>
      <c r="P413" s="10" t="n">
        <v>101</v>
      </c>
      <c r="Q413" s="12" t="s">
        <v>84</v>
      </c>
      <c r="R413" s="12" t="s">
        <v>94</v>
      </c>
      <c r="S413" s="10" t="n">
        <v>4210227</v>
      </c>
      <c r="T413" s="12" t="s">
        <v>573</v>
      </c>
      <c r="U413" s="13" t="n">
        <v>93.32</v>
      </c>
      <c r="W413" s="13" t="n">
        <v>0</v>
      </c>
      <c r="X413" s="12" t="s">
        <v>621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46213</v>
      </c>
      <c r="C414" s="11" t="n">
        <v>46213</v>
      </c>
      <c r="D414" s="10" t="n">
        <v>1778</v>
      </c>
      <c r="E414" s="12" t="s">
        <v>622</v>
      </c>
      <c r="F414" s="10" t="n">
        <v>24</v>
      </c>
      <c r="G414" s="12" t="s">
        <v>31</v>
      </c>
      <c r="H414" s="10" t="n">
        <v>1110202</v>
      </c>
      <c r="I414" s="12" t="s">
        <v>90</v>
      </c>
      <c r="J414" s="10" t="n">
        <v>1377305</v>
      </c>
      <c r="L414" s="10" t="n">
        <v>1244</v>
      </c>
      <c r="M414" s="12" t="s">
        <v>33</v>
      </c>
      <c r="N414" s="12" t="s">
        <v>66</v>
      </c>
      <c r="P414" s="10" t="n">
        <v>101</v>
      </c>
      <c r="Q414" s="12" t="s">
        <v>84</v>
      </c>
      <c r="R414" s="12" t="s">
        <v>94</v>
      </c>
      <c r="S414" s="10" t="n">
        <v>4210207</v>
      </c>
      <c r="T414" s="12" t="s">
        <v>623</v>
      </c>
      <c r="U414" s="13" t="n">
        <v>273.13</v>
      </c>
      <c r="W414" s="13" t="n">
        <v>0</v>
      </c>
      <c r="X414" s="12" t="s">
        <v>624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46213</v>
      </c>
      <c r="C415" s="11" t="n">
        <v>46213</v>
      </c>
      <c r="D415" s="10" t="n">
        <v>1778</v>
      </c>
      <c r="E415" s="12" t="s">
        <v>622</v>
      </c>
      <c r="F415" s="10" t="n">
        <v>24</v>
      </c>
      <c r="G415" s="12" t="s">
        <v>31</v>
      </c>
      <c r="H415" s="10" t="n">
        <v>1110202</v>
      </c>
      <c r="I415" s="12" t="s">
        <v>90</v>
      </c>
      <c r="J415" s="10" t="n">
        <v>1377339</v>
      </c>
      <c r="L415" s="10" t="n">
        <v>567698</v>
      </c>
      <c r="M415" s="12" t="s">
        <v>33</v>
      </c>
      <c r="N415" s="12" t="s">
        <v>66</v>
      </c>
      <c r="P415" s="10" t="n">
        <v>101</v>
      </c>
      <c r="Q415" s="12" t="s">
        <v>84</v>
      </c>
      <c r="R415" s="12" t="s">
        <v>94</v>
      </c>
      <c r="S415" s="10" t="n">
        <v>4210207</v>
      </c>
      <c r="T415" s="12" t="s">
        <v>623</v>
      </c>
      <c r="U415" s="13" t="n">
        <v>192.47</v>
      </c>
      <c r="W415" s="13" t="n">
        <v>0</v>
      </c>
      <c r="X415" s="12" t="s">
        <v>625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46206</v>
      </c>
      <c r="C416" s="11" t="n">
        <v>46213</v>
      </c>
      <c r="D416" s="10" t="n">
        <v>1625</v>
      </c>
      <c r="E416" s="12" t="s">
        <v>62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1345941</v>
      </c>
      <c r="L416" s="10" t="n">
        <v>14614</v>
      </c>
      <c r="M416" s="12" t="s">
        <v>33</v>
      </c>
      <c r="N416" s="12" t="s">
        <v>34</v>
      </c>
      <c r="P416" s="10" t="n">
        <v>103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6374.28</v>
      </c>
      <c r="W416" s="13" t="n">
        <v>0</v>
      </c>
      <c r="X416" s="12" t="s">
        <v>626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46198</v>
      </c>
      <c r="C417" s="11" t="n">
        <v>46213</v>
      </c>
      <c r="D417" s="10" t="n">
        <v>1006</v>
      </c>
      <c r="E417" s="12" t="s">
        <v>627</v>
      </c>
      <c r="F417" s="10" t="n">
        <v>46</v>
      </c>
      <c r="G417" s="12" t="s">
        <v>565</v>
      </c>
      <c r="H417" s="10" t="n">
        <v>1110202</v>
      </c>
      <c r="I417" s="12" t="s">
        <v>90</v>
      </c>
      <c r="J417" s="10" t="n">
        <v>1381960</v>
      </c>
      <c r="L417" s="10" t="n">
        <v>570360</v>
      </c>
      <c r="M417" s="12" t="s">
        <v>33</v>
      </c>
      <c r="N417" s="12" t="s">
        <v>66</v>
      </c>
      <c r="P417" s="10" t="n">
        <v>101</v>
      </c>
      <c r="Q417" s="12" t="s">
        <v>84</v>
      </c>
      <c r="R417" s="12" t="s">
        <v>94</v>
      </c>
      <c r="S417" s="10" t="n">
        <v>4210226</v>
      </c>
      <c r="T417" s="12" t="s">
        <v>576</v>
      </c>
      <c r="U417" s="13" t="n">
        <v>10</v>
      </c>
      <c r="W417" s="13" t="n">
        <v>0</v>
      </c>
      <c r="X417" s="12" t="s">
        <v>628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46209</v>
      </c>
      <c r="C418" s="11" t="n">
        <v>46213</v>
      </c>
      <c r="D418" s="10" t="n">
        <v>10009</v>
      </c>
      <c r="E418" s="12" t="s">
        <v>181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1360393</v>
      </c>
      <c r="L418" s="10" t="n">
        <v>1424401</v>
      </c>
      <c r="M418" s="12" t="s">
        <v>33</v>
      </c>
      <c r="N418" s="12" t="s">
        <v>34</v>
      </c>
      <c r="P418" s="10" t="n">
        <v>103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895.19</v>
      </c>
      <c r="W418" s="13" t="n">
        <v>0</v>
      </c>
      <c r="X418" s="12" t="s">
        <v>629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46174</v>
      </c>
      <c r="C419" s="11" t="n">
        <v>46213</v>
      </c>
      <c r="D419" s="10" t="n">
        <v>1933</v>
      </c>
      <c r="E419" s="12" t="s">
        <v>630</v>
      </c>
      <c r="F419" s="10" t="n">
        <v>46</v>
      </c>
      <c r="G419" s="12" t="s">
        <v>565</v>
      </c>
      <c r="H419" s="10" t="n">
        <v>1110202</v>
      </c>
      <c r="I419" s="12" t="s">
        <v>90</v>
      </c>
      <c r="J419" s="10" t="n">
        <v>1382032</v>
      </c>
      <c r="L419" s="10" t="n">
        <v>570381</v>
      </c>
      <c r="M419" s="12" t="s">
        <v>33</v>
      </c>
      <c r="N419" s="12" t="s">
        <v>66</v>
      </c>
      <c r="P419" s="10" t="n">
        <v>101</v>
      </c>
      <c r="Q419" s="12" t="s">
        <v>84</v>
      </c>
      <c r="R419" s="12" t="s">
        <v>94</v>
      </c>
      <c r="S419" s="10" t="n">
        <v>4210227</v>
      </c>
      <c r="T419" s="12" t="s">
        <v>573</v>
      </c>
      <c r="U419" s="13" t="n">
        <v>600</v>
      </c>
      <c r="W419" s="13" t="n">
        <v>0</v>
      </c>
      <c r="X419" s="12" t="s">
        <v>631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46213</v>
      </c>
      <c r="C420" s="11" t="n">
        <v>46213</v>
      </c>
      <c r="D420" s="10" t="n">
        <v>17</v>
      </c>
      <c r="E420" s="12" t="s">
        <v>268</v>
      </c>
      <c r="F420" s="10" t="n">
        <v>34</v>
      </c>
      <c r="G420" s="12" t="s">
        <v>49</v>
      </c>
      <c r="H420" s="10" t="n">
        <v>1110202</v>
      </c>
      <c r="I420" s="12" t="s">
        <v>90</v>
      </c>
      <c r="J420" s="10" t="n">
        <v>1376979</v>
      </c>
      <c r="L420" s="10" t="n">
        <v>567695</v>
      </c>
      <c r="M420" s="12" t="s">
        <v>33</v>
      </c>
      <c r="N420" s="12" t="s">
        <v>66</v>
      </c>
      <c r="P420" s="10" t="n">
        <v>101</v>
      </c>
      <c r="Q420" s="12" t="s">
        <v>84</v>
      </c>
      <c r="R420" s="12" t="s">
        <v>91</v>
      </c>
      <c r="S420" s="10" t="n">
        <v>4220199</v>
      </c>
      <c r="T420" s="12" t="s">
        <v>92</v>
      </c>
      <c r="U420" s="13" t="n">
        <v>5000</v>
      </c>
      <c r="W420" s="13" t="n">
        <v>0</v>
      </c>
      <c r="X420" s="12" t="s">
        <v>632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46202</v>
      </c>
      <c r="C421" s="11" t="n">
        <v>46213</v>
      </c>
      <c r="D421" s="10" t="n">
        <v>1114</v>
      </c>
      <c r="E421" s="12" t="s">
        <v>128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1322353</v>
      </c>
      <c r="L421" s="10" t="n">
        <v>39625</v>
      </c>
      <c r="M421" s="12" t="s">
        <v>33</v>
      </c>
      <c r="N421" s="12" t="s">
        <v>34</v>
      </c>
      <c r="P421" s="10" t="n">
        <v>103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4396.37</v>
      </c>
      <c r="W421" s="13" t="n">
        <v>0</v>
      </c>
      <c r="X421" s="12" t="s">
        <v>633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46195</v>
      </c>
      <c r="C422" s="11" t="n">
        <v>46213</v>
      </c>
      <c r="D422" s="10" t="n">
        <v>1740</v>
      </c>
      <c r="E422" s="12" t="s">
        <v>312</v>
      </c>
      <c r="F422" s="10" t="n">
        <v>24</v>
      </c>
      <c r="G422" s="12" t="s">
        <v>31</v>
      </c>
      <c r="H422" s="10" t="n">
        <v>2110101</v>
      </c>
      <c r="I422" s="12" t="s">
        <v>32</v>
      </c>
      <c r="J422" s="10" t="n">
        <v>1289301</v>
      </c>
      <c r="L422" s="10" t="n">
        <v>1238958</v>
      </c>
      <c r="M422" s="12" t="s">
        <v>76</v>
      </c>
      <c r="N422" s="12" t="s">
        <v>34</v>
      </c>
      <c r="P422" s="10" t="n">
        <v>103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2272.59</v>
      </c>
      <c r="W422" s="13" t="n">
        <v>0</v>
      </c>
      <c r="X422" s="12" t="s">
        <v>634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46202</v>
      </c>
      <c r="C423" s="11" t="n">
        <v>46213</v>
      </c>
      <c r="D423" s="10" t="n">
        <v>1740</v>
      </c>
      <c r="E423" s="12" t="s">
        <v>312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1322290</v>
      </c>
      <c r="L423" s="10" t="n">
        <v>1241434</v>
      </c>
      <c r="M423" s="12" t="s">
        <v>33</v>
      </c>
      <c r="N423" s="12" t="s">
        <v>34</v>
      </c>
      <c r="P423" s="10" t="n">
        <v>103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537.72</v>
      </c>
      <c r="W423" s="13" t="n">
        <v>0</v>
      </c>
      <c r="X423" s="12" t="s">
        <v>635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46200</v>
      </c>
      <c r="C424" s="11" t="n">
        <v>46213</v>
      </c>
      <c r="D424" s="10" t="n">
        <v>1749</v>
      </c>
      <c r="E424" s="12" t="s">
        <v>188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1312870</v>
      </c>
      <c r="L424" s="10" t="n">
        <v>2033</v>
      </c>
      <c r="M424" s="12" t="s">
        <v>76</v>
      </c>
      <c r="N424" s="12" t="s">
        <v>34</v>
      </c>
      <c r="P424" s="10" t="n">
        <v>103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754.42</v>
      </c>
      <c r="W424" s="13" t="n">
        <v>0</v>
      </c>
      <c r="X424" s="12" t="s">
        <v>636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46213</v>
      </c>
      <c r="D425" s="10" t="n">
        <v>10017</v>
      </c>
      <c r="E425" s="12" t="s">
        <v>271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1256691</v>
      </c>
      <c r="L425" s="10" t="n">
        <v>193354</v>
      </c>
      <c r="M425" s="12" t="s">
        <v>40</v>
      </c>
      <c r="N425" s="12" t="s">
        <v>34</v>
      </c>
      <c r="P425" s="10" t="n">
        <v>103</v>
      </c>
      <c r="Q425" s="12" t="s">
        <v>35</v>
      </c>
      <c r="R425" s="12" t="s">
        <v>36</v>
      </c>
      <c r="S425" s="10" t="n">
        <v>1130101</v>
      </c>
      <c r="T425" s="12" t="s">
        <v>37</v>
      </c>
      <c r="U425" s="13" t="n">
        <v>372.09</v>
      </c>
      <c r="W425" s="13" t="n">
        <v>0</v>
      </c>
      <c r="X425" s="12" t="s">
        <v>637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46169</v>
      </c>
      <c r="C426" s="11" t="n">
        <v>46213</v>
      </c>
      <c r="D426" s="10" t="n">
        <v>1331</v>
      </c>
      <c r="E426" s="12" t="s">
        <v>638</v>
      </c>
      <c r="F426" s="10" t="n">
        <v>46</v>
      </c>
      <c r="G426" s="12" t="s">
        <v>565</v>
      </c>
      <c r="H426" s="10" t="n">
        <v>1110202</v>
      </c>
      <c r="I426" s="12" t="s">
        <v>90</v>
      </c>
      <c r="J426" s="10" t="n">
        <v>1381903</v>
      </c>
      <c r="L426" s="10" t="n">
        <v>570333</v>
      </c>
      <c r="M426" s="12" t="s">
        <v>33</v>
      </c>
      <c r="N426" s="12" t="s">
        <v>66</v>
      </c>
      <c r="P426" s="10" t="n">
        <v>101</v>
      </c>
      <c r="Q426" s="12" t="s">
        <v>84</v>
      </c>
      <c r="R426" s="12" t="s">
        <v>94</v>
      </c>
      <c r="S426" s="10" t="n">
        <v>4210209</v>
      </c>
      <c r="T426" s="12" t="s">
        <v>639</v>
      </c>
      <c r="U426" s="13" t="n">
        <v>80.75</v>
      </c>
      <c r="W426" s="13" t="n">
        <v>0</v>
      </c>
      <c r="X426" s="12" t="s">
        <v>640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46178</v>
      </c>
      <c r="C427" s="11" t="n">
        <v>46213</v>
      </c>
      <c r="D427" s="10" t="n">
        <v>1331</v>
      </c>
      <c r="E427" s="12" t="s">
        <v>638</v>
      </c>
      <c r="F427" s="10" t="n">
        <v>46</v>
      </c>
      <c r="G427" s="12" t="s">
        <v>565</v>
      </c>
      <c r="H427" s="10" t="n">
        <v>1110202</v>
      </c>
      <c r="I427" s="12" t="s">
        <v>90</v>
      </c>
      <c r="J427" s="10" t="n">
        <v>1381910</v>
      </c>
      <c r="L427" s="10" t="n">
        <v>570337</v>
      </c>
      <c r="M427" s="12" t="s">
        <v>33</v>
      </c>
      <c r="N427" s="12" t="s">
        <v>66</v>
      </c>
      <c r="P427" s="10" t="n">
        <v>101</v>
      </c>
      <c r="Q427" s="12" t="s">
        <v>84</v>
      </c>
      <c r="R427" s="12" t="s">
        <v>94</v>
      </c>
      <c r="S427" s="10" t="n">
        <v>4210209</v>
      </c>
      <c r="T427" s="12" t="s">
        <v>639</v>
      </c>
      <c r="U427" s="13" t="n">
        <v>100.02</v>
      </c>
      <c r="W427" s="13" t="n">
        <v>0</v>
      </c>
      <c r="X427" s="12" t="s">
        <v>640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46178</v>
      </c>
      <c r="C428" s="11" t="n">
        <v>46213</v>
      </c>
      <c r="D428" s="10" t="n">
        <v>1331</v>
      </c>
      <c r="E428" s="12" t="s">
        <v>638</v>
      </c>
      <c r="F428" s="10" t="n">
        <v>46</v>
      </c>
      <c r="G428" s="12" t="s">
        <v>565</v>
      </c>
      <c r="H428" s="10" t="n">
        <v>1110202</v>
      </c>
      <c r="I428" s="12" t="s">
        <v>90</v>
      </c>
      <c r="J428" s="10" t="n">
        <v>1381916</v>
      </c>
      <c r="L428" s="10" t="n">
        <v>570339</v>
      </c>
      <c r="M428" s="12" t="s">
        <v>33</v>
      </c>
      <c r="N428" s="12" t="s">
        <v>66</v>
      </c>
      <c r="P428" s="10" t="n">
        <v>101</v>
      </c>
      <c r="Q428" s="12" t="s">
        <v>84</v>
      </c>
      <c r="R428" s="12" t="s">
        <v>94</v>
      </c>
      <c r="S428" s="10" t="n">
        <v>4210209</v>
      </c>
      <c r="T428" s="12" t="s">
        <v>639</v>
      </c>
      <c r="U428" s="13" t="n">
        <v>74.64</v>
      </c>
      <c r="W428" s="13" t="n">
        <v>0</v>
      </c>
      <c r="X428" s="12" t="s">
        <v>640</v>
      </c>
      <c r="Z428" s="1" t="str">
        <f aca="false">IF($T428="","",IFERROR(INDEX('Resumo Grupos'!$AC$3:$AC$200,MATCH($T428,'Resumo Grupos'!$AB$3:$AB$200,0)),"n/d"))</f>
        <v>Despesa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46185</v>
      </c>
      <c r="C429" s="11" t="n">
        <v>46213</v>
      </c>
      <c r="D429" s="10" t="n">
        <v>1331</v>
      </c>
      <c r="E429" s="12" t="s">
        <v>638</v>
      </c>
      <c r="F429" s="10" t="n">
        <v>46</v>
      </c>
      <c r="G429" s="12" t="s">
        <v>565</v>
      </c>
      <c r="H429" s="10" t="n">
        <v>1110202</v>
      </c>
      <c r="I429" s="12" t="s">
        <v>90</v>
      </c>
      <c r="J429" s="10" t="n">
        <v>1381953</v>
      </c>
      <c r="L429" s="10" t="n">
        <v>570357</v>
      </c>
      <c r="M429" s="12" t="s">
        <v>33</v>
      </c>
      <c r="N429" s="12" t="s">
        <v>66</v>
      </c>
      <c r="P429" s="10" t="n">
        <v>101</v>
      </c>
      <c r="Q429" s="12" t="s">
        <v>84</v>
      </c>
      <c r="R429" s="12" t="s">
        <v>94</v>
      </c>
      <c r="S429" s="10" t="n">
        <v>4210209</v>
      </c>
      <c r="T429" s="12" t="s">
        <v>639</v>
      </c>
      <c r="U429" s="13" t="n">
        <v>70.22</v>
      </c>
      <c r="W429" s="13" t="n">
        <v>0</v>
      </c>
      <c r="X429" s="12" t="s">
        <v>640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46192</v>
      </c>
      <c r="C430" s="11" t="n">
        <v>46213</v>
      </c>
      <c r="D430" s="10" t="n">
        <v>1331</v>
      </c>
      <c r="E430" s="12" t="s">
        <v>638</v>
      </c>
      <c r="F430" s="10" t="n">
        <v>46</v>
      </c>
      <c r="G430" s="12" t="s">
        <v>565</v>
      </c>
      <c r="H430" s="10" t="n">
        <v>1110202</v>
      </c>
      <c r="I430" s="12" t="s">
        <v>90</v>
      </c>
      <c r="J430" s="10" t="n">
        <v>1381954</v>
      </c>
      <c r="L430" s="10" t="n">
        <v>570358</v>
      </c>
      <c r="M430" s="12" t="s">
        <v>33</v>
      </c>
      <c r="N430" s="12" t="s">
        <v>66</v>
      </c>
      <c r="P430" s="10" t="n">
        <v>101</v>
      </c>
      <c r="Q430" s="12" t="s">
        <v>84</v>
      </c>
      <c r="R430" s="12" t="s">
        <v>94</v>
      </c>
      <c r="S430" s="10" t="n">
        <v>4210209</v>
      </c>
      <c r="T430" s="12" t="s">
        <v>639</v>
      </c>
      <c r="U430" s="13" t="n">
        <v>74.48</v>
      </c>
      <c r="W430" s="13" t="n">
        <v>0</v>
      </c>
      <c r="X430" s="12" t="s">
        <v>640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46199</v>
      </c>
      <c r="C431" s="11" t="n">
        <v>46213</v>
      </c>
      <c r="D431" s="10" t="n">
        <v>1331</v>
      </c>
      <c r="E431" s="12" t="s">
        <v>638</v>
      </c>
      <c r="F431" s="10" t="n">
        <v>46</v>
      </c>
      <c r="G431" s="12" t="s">
        <v>565</v>
      </c>
      <c r="H431" s="10" t="n">
        <v>1110202</v>
      </c>
      <c r="I431" s="12" t="s">
        <v>90</v>
      </c>
      <c r="J431" s="10" t="n">
        <v>1381964</v>
      </c>
      <c r="L431" s="10" t="n">
        <v>570363</v>
      </c>
      <c r="M431" s="12" t="s">
        <v>33</v>
      </c>
      <c r="N431" s="12" t="s">
        <v>66</v>
      </c>
      <c r="P431" s="10" t="n">
        <v>101</v>
      </c>
      <c r="Q431" s="12" t="s">
        <v>84</v>
      </c>
      <c r="R431" s="12" t="s">
        <v>94</v>
      </c>
      <c r="S431" s="10" t="n">
        <v>4210209</v>
      </c>
      <c r="T431" s="12" t="s">
        <v>639</v>
      </c>
      <c r="U431" s="13" t="n">
        <v>66.14</v>
      </c>
      <c r="W431" s="13" t="n">
        <v>0</v>
      </c>
      <c r="X431" s="12" t="s">
        <v>640</v>
      </c>
      <c r="Z431" s="1" t="str">
        <f aca="false">IF($T431="","",IFERROR(INDEX('Resumo Grupos'!$AC$3:$AC$200,MATCH($T431,'Resumo Grupos'!$AB$3:$AB$200,0)),"n/d"))</f>
        <v>Despesa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46170</v>
      </c>
      <c r="C432" s="11" t="n">
        <v>46213</v>
      </c>
      <c r="D432" s="10" t="n">
        <v>1471</v>
      </c>
      <c r="E432" s="12" t="s">
        <v>641</v>
      </c>
      <c r="F432" s="10" t="n">
        <v>46</v>
      </c>
      <c r="G432" s="12" t="s">
        <v>565</v>
      </c>
      <c r="H432" s="10" t="n">
        <v>2110405</v>
      </c>
      <c r="I432" s="12" t="s">
        <v>153</v>
      </c>
      <c r="J432" s="10" t="n">
        <v>1176247</v>
      </c>
      <c r="L432" s="10" t="n">
        <v>490015</v>
      </c>
      <c r="M432" s="12" t="s">
        <v>33</v>
      </c>
      <c r="N432" s="12" t="s">
        <v>66</v>
      </c>
      <c r="P432" s="10" t="n">
        <v>101</v>
      </c>
      <c r="Q432" s="12" t="s">
        <v>84</v>
      </c>
      <c r="R432" s="12" t="s">
        <v>94</v>
      </c>
      <c r="S432" s="10" t="n">
        <v>4210221</v>
      </c>
      <c r="T432" s="12" t="s">
        <v>642</v>
      </c>
      <c r="U432" s="13" t="n">
        <v>280</v>
      </c>
      <c r="W432" s="13" t="n">
        <v>0</v>
      </c>
      <c r="X432" s="12" t="s">
        <v>643</v>
      </c>
      <c r="Z432" s="1" t="str">
        <f aca="false">IF($T432="","",IFERROR(INDEX('Resumo Grupos'!$AC$3:$AC$200,MATCH($T432,'Resumo Grupos'!$AB$3:$AB$200,0)),"n/d"))</f>
        <v>Despesa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46183</v>
      </c>
      <c r="C433" s="11" t="n">
        <v>46213</v>
      </c>
      <c r="D433" s="10" t="n">
        <v>1832</v>
      </c>
      <c r="E433" s="12" t="s">
        <v>644</v>
      </c>
      <c r="F433" s="10" t="n">
        <v>46</v>
      </c>
      <c r="G433" s="12" t="s">
        <v>565</v>
      </c>
      <c r="H433" s="10" t="n">
        <v>1110202</v>
      </c>
      <c r="I433" s="12" t="s">
        <v>90</v>
      </c>
      <c r="J433" s="10" t="n">
        <v>1381942</v>
      </c>
      <c r="L433" s="10" t="n">
        <v>570354</v>
      </c>
      <c r="M433" s="12" t="s">
        <v>33</v>
      </c>
      <c r="N433" s="12" t="s">
        <v>66</v>
      </c>
      <c r="P433" s="10" t="n">
        <v>101</v>
      </c>
      <c r="Q433" s="12" t="s">
        <v>84</v>
      </c>
      <c r="R433" s="12" t="s">
        <v>94</v>
      </c>
      <c r="S433" s="10" t="n">
        <v>4210228</v>
      </c>
      <c r="T433" s="12" t="s">
        <v>471</v>
      </c>
      <c r="U433" s="13" t="n">
        <v>8</v>
      </c>
      <c r="W433" s="13" t="n">
        <v>0</v>
      </c>
      <c r="X433" s="12" t="s">
        <v>645</v>
      </c>
      <c r="Z433" s="1" t="str">
        <f aca="false">IF($T433="","",IFERROR(INDEX('Resumo Grupos'!$AC$3:$AC$200,MATCH($T433,'Resumo Grupos'!$AB$3:$AB$200,0)),"n/d"))</f>
        <v>Despesa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46213</v>
      </c>
      <c r="C434" s="11" t="n">
        <v>46213</v>
      </c>
      <c r="D434" s="10" t="n">
        <v>33</v>
      </c>
      <c r="E434" s="12" t="s">
        <v>64</v>
      </c>
      <c r="F434" s="10" t="n">
        <v>34</v>
      </c>
      <c r="G434" s="12" t="s">
        <v>49</v>
      </c>
      <c r="H434" s="10" t="n">
        <v>2110101</v>
      </c>
      <c r="I434" s="12" t="s">
        <v>32</v>
      </c>
      <c r="J434" s="10" t="n">
        <v>1377401</v>
      </c>
      <c r="L434" s="10" t="n">
        <v>5288</v>
      </c>
      <c r="M434" s="12" t="s">
        <v>33</v>
      </c>
      <c r="N434" s="12" t="s">
        <v>34</v>
      </c>
      <c r="P434" s="10" t="n">
        <v>104</v>
      </c>
      <c r="Q434" s="12" t="s">
        <v>50</v>
      </c>
      <c r="R434" s="12" t="s">
        <v>36</v>
      </c>
      <c r="S434" s="10" t="n">
        <v>1130101</v>
      </c>
      <c r="T434" s="12" t="s">
        <v>37</v>
      </c>
      <c r="U434" s="13" t="n">
        <v>3482.02</v>
      </c>
      <c r="W434" s="13" t="n">
        <v>0</v>
      </c>
      <c r="X434" s="12" t="s">
        <v>364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46183</v>
      </c>
      <c r="C435" s="11" t="n">
        <v>46213</v>
      </c>
      <c r="D435" s="10" t="n">
        <v>16</v>
      </c>
      <c r="E435" s="12" t="s">
        <v>407</v>
      </c>
      <c r="F435" s="10" t="n">
        <v>46</v>
      </c>
      <c r="G435" s="12" t="s">
        <v>565</v>
      </c>
      <c r="H435" s="10" t="n">
        <v>1110202</v>
      </c>
      <c r="I435" s="12" t="s">
        <v>90</v>
      </c>
      <c r="J435" s="10" t="n">
        <v>1378230</v>
      </c>
      <c r="L435" s="10" t="n">
        <v>568166</v>
      </c>
      <c r="M435" s="12" t="s">
        <v>76</v>
      </c>
      <c r="N435" s="12" t="s">
        <v>66</v>
      </c>
      <c r="P435" s="10" t="n">
        <v>101</v>
      </c>
      <c r="Q435" s="12" t="s">
        <v>84</v>
      </c>
      <c r="R435" s="12" t="s">
        <v>91</v>
      </c>
      <c r="S435" s="10" t="n">
        <v>4220199</v>
      </c>
      <c r="T435" s="12" t="s">
        <v>92</v>
      </c>
      <c r="U435" s="13" t="n">
        <v>331.61</v>
      </c>
      <c r="W435" s="13" t="n">
        <v>0</v>
      </c>
      <c r="X435" s="12" t="s">
        <v>646</v>
      </c>
      <c r="Z435" s="1" t="str">
        <f aca="false">IF($T435="","",IFERROR(INDEX('Resumo Grupos'!$AC$3:$AC$200,MATCH($T435,'Resumo Grupos'!$AB$3:$AB$200,0)),"n/d"))</f>
        <v>Pagamentos outros não operacionais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46080</v>
      </c>
      <c r="C436" s="11" t="n">
        <v>46213</v>
      </c>
      <c r="D436" s="10" t="n">
        <v>10006</v>
      </c>
      <c r="E436" s="12" t="s">
        <v>385</v>
      </c>
      <c r="F436" s="10" t="n">
        <v>46</v>
      </c>
      <c r="G436" s="12" t="s">
        <v>565</v>
      </c>
      <c r="H436" s="10" t="n">
        <v>2110405</v>
      </c>
      <c r="I436" s="12" t="s">
        <v>153</v>
      </c>
      <c r="J436" s="10" t="n">
        <v>927114</v>
      </c>
      <c r="L436" s="10" t="n">
        <v>394484</v>
      </c>
      <c r="M436" s="12" t="s">
        <v>79</v>
      </c>
      <c r="N436" s="12" t="s">
        <v>66</v>
      </c>
      <c r="P436" s="10" t="n">
        <v>101</v>
      </c>
      <c r="Q436" s="12" t="s">
        <v>84</v>
      </c>
      <c r="R436" s="12" t="s">
        <v>94</v>
      </c>
      <c r="S436" s="10" t="n">
        <v>4210232</v>
      </c>
      <c r="T436" s="12" t="s">
        <v>647</v>
      </c>
      <c r="U436" s="13" t="n">
        <v>332</v>
      </c>
      <c r="W436" s="13" t="n">
        <v>0</v>
      </c>
      <c r="X436" s="12" t="s">
        <v>648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46112</v>
      </c>
      <c r="C437" s="11" t="n">
        <v>46213</v>
      </c>
      <c r="D437" s="10" t="n">
        <v>10006</v>
      </c>
      <c r="E437" s="12" t="s">
        <v>385</v>
      </c>
      <c r="F437" s="10" t="n">
        <v>46</v>
      </c>
      <c r="G437" s="12" t="s">
        <v>565</v>
      </c>
      <c r="H437" s="10" t="n">
        <v>2110405</v>
      </c>
      <c r="I437" s="12" t="s">
        <v>153</v>
      </c>
      <c r="J437" s="10" t="n">
        <v>1085756</v>
      </c>
      <c r="L437" s="10" t="n">
        <v>455404</v>
      </c>
      <c r="M437" s="12" t="s">
        <v>40</v>
      </c>
      <c r="N437" s="12" t="s">
        <v>66</v>
      </c>
      <c r="P437" s="10" t="n">
        <v>101</v>
      </c>
      <c r="Q437" s="12" t="s">
        <v>84</v>
      </c>
      <c r="R437" s="12" t="s">
        <v>94</v>
      </c>
      <c r="S437" s="10" t="n">
        <v>4210232</v>
      </c>
      <c r="T437" s="12" t="s">
        <v>647</v>
      </c>
      <c r="U437" s="13" t="n">
        <v>375</v>
      </c>
      <c r="W437" s="13" t="n">
        <v>0</v>
      </c>
      <c r="X437" s="12" t="s">
        <v>649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46192</v>
      </c>
      <c r="C438" s="11" t="n">
        <v>46213</v>
      </c>
      <c r="D438" s="10" t="n">
        <v>1739</v>
      </c>
      <c r="E438" s="12" t="s">
        <v>650</v>
      </c>
      <c r="F438" s="10" t="n">
        <v>24</v>
      </c>
      <c r="G438" s="12" t="s">
        <v>31</v>
      </c>
      <c r="H438" s="10" t="n">
        <v>2110101</v>
      </c>
      <c r="I438" s="12" t="s">
        <v>32</v>
      </c>
      <c r="J438" s="10" t="n">
        <v>1273162</v>
      </c>
      <c r="L438" s="10" t="n">
        <v>250257</v>
      </c>
      <c r="M438" s="12" t="s">
        <v>33</v>
      </c>
      <c r="N438" s="12" t="s">
        <v>34</v>
      </c>
      <c r="P438" s="10" t="n">
        <v>103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477.39</v>
      </c>
      <c r="W438" s="13" t="n">
        <v>0</v>
      </c>
      <c r="X438" s="12" t="s">
        <v>651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46213</v>
      </c>
      <c r="C439" s="11" t="n">
        <v>46213</v>
      </c>
      <c r="D439" s="10" t="n">
        <v>514</v>
      </c>
      <c r="E439" s="12" t="s">
        <v>652</v>
      </c>
      <c r="F439" s="10" t="n">
        <v>45</v>
      </c>
      <c r="G439" s="12" t="s">
        <v>653</v>
      </c>
      <c r="H439" s="10" t="n">
        <v>1110202</v>
      </c>
      <c r="I439" s="12" t="s">
        <v>90</v>
      </c>
      <c r="J439" s="10" t="n">
        <v>1449118</v>
      </c>
      <c r="L439" s="10" t="n">
        <v>596131</v>
      </c>
      <c r="M439" s="12" t="s">
        <v>33</v>
      </c>
      <c r="N439" s="12" t="s">
        <v>66</v>
      </c>
      <c r="P439" s="10" t="n">
        <v>101</v>
      </c>
      <c r="Q439" s="12" t="s">
        <v>84</v>
      </c>
      <c r="R439" s="12" t="s">
        <v>91</v>
      </c>
      <c r="S439" s="10" t="n">
        <v>4220199</v>
      </c>
      <c r="T439" s="12" t="s">
        <v>92</v>
      </c>
      <c r="U439" s="13" t="n">
        <v>381.22</v>
      </c>
      <c r="W439" s="13" t="n">
        <v>0</v>
      </c>
      <c r="X439" s="12" t="s">
        <v>654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46213</v>
      </c>
      <c r="C440" s="11" t="n">
        <v>46213</v>
      </c>
      <c r="D440" s="10" t="n">
        <v>514</v>
      </c>
      <c r="E440" s="12" t="s">
        <v>652</v>
      </c>
      <c r="F440" s="10" t="n">
        <v>34</v>
      </c>
      <c r="G440" s="12" t="s">
        <v>49</v>
      </c>
      <c r="H440" s="10" t="n">
        <v>1110202</v>
      </c>
      <c r="I440" s="12" t="s">
        <v>90</v>
      </c>
      <c r="J440" s="10" t="n">
        <v>1449151</v>
      </c>
      <c r="L440" s="10" t="n">
        <v>596141</v>
      </c>
      <c r="M440" s="12" t="s">
        <v>33</v>
      </c>
      <c r="N440" s="12" t="s">
        <v>66</v>
      </c>
      <c r="P440" s="10" t="n">
        <v>101</v>
      </c>
      <c r="Q440" s="12" t="s">
        <v>84</v>
      </c>
      <c r="R440" s="12" t="s">
        <v>91</v>
      </c>
      <c r="S440" s="10" t="n">
        <v>4220199</v>
      </c>
      <c r="T440" s="12" t="s">
        <v>92</v>
      </c>
      <c r="U440" s="13" t="n">
        <v>9170</v>
      </c>
      <c r="W440" s="13" t="n">
        <v>0</v>
      </c>
      <c r="X440" s="12" t="s">
        <v>655</v>
      </c>
      <c r="Z440" s="1" t="str">
        <f aca="false">IF($T440="","",IFERROR(INDEX('Resumo Grupos'!$AC$3:$AC$200,MATCH($T440,'Resumo Grupos'!$AB$3:$AB$200,0)),"n/d"))</f>
        <v>Pagamentos outros não operacionais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46200</v>
      </c>
      <c r="C441" s="11" t="n">
        <v>46213</v>
      </c>
      <c r="D441" s="10" t="n">
        <v>1666</v>
      </c>
      <c r="E441" s="12" t="s">
        <v>139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1312788</v>
      </c>
      <c r="L441" s="10" t="n">
        <v>565012</v>
      </c>
      <c r="M441" s="12" t="s">
        <v>76</v>
      </c>
      <c r="N441" s="12" t="s">
        <v>34</v>
      </c>
      <c r="P441" s="10" t="n">
        <v>103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5229.61</v>
      </c>
      <c r="W441" s="13" t="n">
        <v>0</v>
      </c>
      <c r="X441" s="12" t="s">
        <v>656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46183</v>
      </c>
      <c r="C442" s="11" t="n">
        <v>46213</v>
      </c>
      <c r="D442" s="10" t="n">
        <v>1747</v>
      </c>
      <c r="E442" s="12" t="s">
        <v>657</v>
      </c>
      <c r="F442" s="10" t="n">
        <v>46</v>
      </c>
      <c r="G442" s="12" t="s">
        <v>565</v>
      </c>
      <c r="H442" s="10" t="n">
        <v>2110405</v>
      </c>
      <c r="I442" s="12" t="s">
        <v>153</v>
      </c>
      <c r="J442" s="10" t="n">
        <v>1231737</v>
      </c>
      <c r="L442" s="10" t="n">
        <v>1529878</v>
      </c>
      <c r="M442" s="12" t="s">
        <v>33</v>
      </c>
      <c r="N442" s="12" t="s">
        <v>66</v>
      </c>
      <c r="P442" s="10" t="n">
        <v>101</v>
      </c>
      <c r="Q442" s="12" t="s">
        <v>84</v>
      </c>
      <c r="R442" s="12" t="s">
        <v>121</v>
      </c>
      <c r="S442" s="10" t="n">
        <v>4210317</v>
      </c>
      <c r="T442" s="12" t="s">
        <v>599</v>
      </c>
      <c r="U442" s="13" t="n">
        <v>116.07</v>
      </c>
      <c r="W442" s="13" t="n">
        <v>0</v>
      </c>
      <c r="X442" s="12" t="s">
        <v>658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46192</v>
      </c>
      <c r="C443" s="11" t="n">
        <v>46213</v>
      </c>
      <c r="D443" s="10" t="n">
        <v>10026</v>
      </c>
      <c r="E443" s="12" t="s">
        <v>659</v>
      </c>
      <c r="F443" s="10" t="n">
        <v>24</v>
      </c>
      <c r="G443" s="12" t="s">
        <v>31</v>
      </c>
      <c r="H443" s="10" t="n">
        <v>2110405</v>
      </c>
      <c r="I443" s="12" t="s">
        <v>153</v>
      </c>
      <c r="J443" s="10" t="n">
        <v>1273703</v>
      </c>
      <c r="L443" s="10" t="n">
        <v>528630</v>
      </c>
      <c r="M443" s="12" t="s">
        <v>76</v>
      </c>
      <c r="N443" s="12" t="s">
        <v>66</v>
      </c>
      <c r="P443" s="10" t="n">
        <v>101</v>
      </c>
      <c r="Q443" s="12" t="s">
        <v>84</v>
      </c>
      <c r="R443" s="12" t="s">
        <v>240</v>
      </c>
      <c r="S443" s="10" t="n">
        <v>1240203</v>
      </c>
      <c r="T443" s="12" t="s">
        <v>241</v>
      </c>
      <c r="U443" s="13" t="n">
        <v>666.67</v>
      </c>
      <c r="W443" s="13" t="n">
        <v>0</v>
      </c>
      <c r="X443" s="12" t="s">
        <v>660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46192</v>
      </c>
      <c r="C444" s="11" t="n">
        <v>46213</v>
      </c>
      <c r="D444" s="10" t="n">
        <v>10026</v>
      </c>
      <c r="E444" s="12" t="s">
        <v>659</v>
      </c>
      <c r="F444" s="10" t="n">
        <v>24</v>
      </c>
      <c r="G444" s="12" t="s">
        <v>31</v>
      </c>
      <c r="H444" s="10" t="n">
        <v>2110405</v>
      </c>
      <c r="I444" s="12" t="s">
        <v>153</v>
      </c>
      <c r="J444" s="10" t="n">
        <v>1273723</v>
      </c>
      <c r="L444" s="10" t="n">
        <v>528632</v>
      </c>
      <c r="M444" s="12" t="s">
        <v>76</v>
      </c>
      <c r="N444" s="12" t="s">
        <v>66</v>
      </c>
      <c r="P444" s="10" t="n">
        <v>101</v>
      </c>
      <c r="Q444" s="12" t="s">
        <v>84</v>
      </c>
      <c r="R444" s="12" t="s">
        <v>91</v>
      </c>
      <c r="S444" s="10" t="n">
        <v>4220199</v>
      </c>
      <c r="T444" s="12" t="s">
        <v>92</v>
      </c>
      <c r="U444" s="13" t="n">
        <v>2000</v>
      </c>
      <c r="W444" s="13" t="n">
        <v>0</v>
      </c>
      <c r="X444" s="12" t="s">
        <v>661</v>
      </c>
      <c r="Z444" s="1" t="str">
        <f aca="false">IF($T444="","",IFERROR(INDEX('Resumo Grupos'!$AC$3:$AC$200,MATCH($T444,'Resumo Grupos'!$AB$3:$AB$200,0)),"n/d"))</f>
        <v>Pagamentos outros não operacionais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46207</v>
      </c>
      <c r="C445" s="11" t="n">
        <v>46213</v>
      </c>
      <c r="D445" s="10" t="n">
        <v>1286</v>
      </c>
      <c r="E445" s="12" t="s">
        <v>216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1348417</v>
      </c>
      <c r="L445" s="10" t="n">
        <v>10235</v>
      </c>
      <c r="M445" s="12" t="s">
        <v>33</v>
      </c>
      <c r="N445" s="12" t="s">
        <v>34</v>
      </c>
      <c r="P445" s="10" t="n">
        <v>103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918</v>
      </c>
      <c r="W445" s="13" t="n">
        <v>0</v>
      </c>
      <c r="X445" s="12" t="s">
        <v>662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46184</v>
      </c>
      <c r="C446" s="11" t="n">
        <v>46214</v>
      </c>
      <c r="D446" s="10" t="n">
        <v>1659</v>
      </c>
      <c r="E446" s="12" t="s">
        <v>39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1236106</v>
      </c>
      <c r="L446" s="10" t="n">
        <v>877772</v>
      </c>
      <c r="M446" s="12" t="s">
        <v>40</v>
      </c>
      <c r="N446" s="12" t="s">
        <v>34</v>
      </c>
      <c r="P446" s="10" t="n">
        <v>103</v>
      </c>
      <c r="Q446" s="12" t="s">
        <v>35</v>
      </c>
      <c r="R446" s="12" t="s">
        <v>36</v>
      </c>
      <c r="S446" s="10" t="n">
        <v>1130101</v>
      </c>
      <c r="T446" s="12" t="s">
        <v>37</v>
      </c>
      <c r="U446" s="13" t="n">
        <v>376.07</v>
      </c>
      <c r="W446" s="13" t="n">
        <v>0</v>
      </c>
      <c r="X446" s="12" t="s">
        <v>663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46210</v>
      </c>
      <c r="C447" s="11" t="n">
        <v>46214</v>
      </c>
      <c r="D447" s="10" t="n">
        <v>10090</v>
      </c>
      <c r="E447" s="12" t="s">
        <v>664</v>
      </c>
      <c r="F447" s="10" t="n">
        <v>24</v>
      </c>
      <c r="G447" s="12" t="s">
        <v>31</v>
      </c>
      <c r="H447" s="10" t="n">
        <v>2110101</v>
      </c>
      <c r="I447" s="12" t="s">
        <v>32</v>
      </c>
      <c r="J447" s="10" t="n">
        <v>1366201</v>
      </c>
      <c r="L447" s="10" t="n">
        <v>264</v>
      </c>
      <c r="M447" s="12" t="s">
        <v>33</v>
      </c>
      <c r="N447" s="12" t="s">
        <v>34</v>
      </c>
      <c r="P447" s="10" t="n">
        <v>103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2812.19</v>
      </c>
      <c r="W447" s="13" t="n">
        <v>0</v>
      </c>
      <c r="X447" s="12" t="s">
        <v>665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46204</v>
      </c>
      <c r="C448" s="11" t="n">
        <v>46214</v>
      </c>
      <c r="D448" s="10" t="n">
        <v>1705</v>
      </c>
      <c r="E448" s="12" t="s">
        <v>46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1334185</v>
      </c>
      <c r="L448" s="10" t="n">
        <v>1179702</v>
      </c>
      <c r="M448" s="12" t="s">
        <v>33</v>
      </c>
      <c r="N448" s="12" t="s">
        <v>34</v>
      </c>
      <c r="P448" s="10" t="n">
        <v>103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2217.35</v>
      </c>
      <c r="W448" s="13" t="n">
        <v>0</v>
      </c>
      <c r="X448" s="12" t="s">
        <v>666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46204</v>
      </c>
      <c r="C449" s="11" t="n">
        <v>46214</v>
      </c>
      <c r="D449" s="10" t="n">
        <v>1705</v>
      </c>
      <c r="E449" s="12" t="s">
        <v>46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1334190</v>
      </c>
      <c r="L449" s="10" t="n">
        <v>1905191</v>
      </c>
      <c r="M449" s="12" t="s">
        <v>33</v>
      </c>
      <c r="N449" s="12" t="s">
        <v>34</v>
      </c>
      <c r="P449" s="10" t="n">
        <v>103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2834.04</v>
      </c>
      <c r="W449" s="13" t="n">
        <v>0</v>
      </c>
      <c r="X449" s="12" t="s">
        <v>667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46204</v>
      </c>
      <c r="C450" s="11" t="n">
        <v>46214</v>
      </c>
      <c r="D450" s="10" t="n">
        <v>1723</v>
      </c>
      <c r="E450" s="12" t="s">
        <v>378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1335893</v>
      </c>
      <c r="L450" s="10" t="n">
        <v>172452</v>
      </c>
      <c r="M450" s="12" t="s">
        <v>33</v>
      </c>
      <c r="N450" s="12" t="s">
        <v>34</v>
      </c>
      <c r="P450" s="10" t="n">
        <v>103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5250</v>
      </c>
      <c r="W450" s="13" t="n">
        <v>0</v>
      </c>
      <c r="X450" s="12" t="s">
        <v>668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46213</v>
      </c>
      <c r="C451" s="11" t="n">
        <v>46214</v>
      </c>
      <c r="D451" s="10" t="n">
        <v>1615</v>
      </c>
      <c r="E451" s="12" t="s">
        <v>48</v>
      </c>
      <c r="F451" s="10" t="n">
        <v>34</v>
      </c>
      <c r="G451" s="12" t="s">
        <v>49</v>
      </c>
      <c r="H451" s="10" t="n">
        <v>2110101</v>
      </c>
      <c r="I451" s="12" t="s">
        <v>32</v>
      </c>
      <c r="J451" s="10" t="n">
        <v>1377301</v>
      </c>
      <c r="L451" s="10" t="n">
        <v>14834</v>
      </c>
      <c r="M451" s="12" t="s">
        <v>33</v>
      </c>
      <c r="N451" s="12" t="s">
        <v>34</v>
      </c>
      <c r="P451" s="10" t="n">
        <v>104</v>
      </c>
      <c r="Q451" s="12" t="s">
        <v>50</v>
      </c>
      <c r="R451" s="12" t="s">
        <v>36</v>
      </c>
      <c r="S451" s="10" t="n">
        <v>1130101</v>
      </c>
      <c r="T451" s="12" t="s">
        <v>37</v>
      </c>
      <c r="U451" s="13" t="n">
        <v>1120</v>
      </c>
      <c r="W451" s="13" t="n">
        <v>0</v>
      </c>
      <c r="X451" s="12" t="s">
        <v>669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46214</v>
      </c>
      <c r="C452" s="11" t="n">
        <v>46214</v>
      </c>
      <c r="D452" s="10" t="n">
        <v>978</v>
      </c>
      <c r="E452" s="12" t="s">
        <v>54</v>
      </c>
      <c r="F452" s="10" t="n">
        <v>13</v>
      </c>
      <c r="G452" s="12" t="s">
        <v>55</v>
      </c>
      <c r="H452" s="10" t="n">
        <v>2110101</v>
      </c>
      <c r="I452" s="12" t="s">
        <v>32</v>
      </c>
      <c r="J452" s="10" t="n">
        <v>1396627</v>
      </c>
      <c r="L452" s="10" t="n">
        <v>361</v>
      </c>
      <c r="M452" s="12" t="s">
        <v>33</v>
      </c>
      <c r="N452" s="12" t="s">
        <v>34</v>
      </c>
      <c r="P452" s="10" t="n">
        <v>104</v>
      </c>
      <c r="Q452" s="12" t="s">
        <v>50</v>
      </c>
      <c r="R452" s="12" t="s">
        <v>36</v>
      </c>
      <c r="S452" s="10" t="n">
        <v>1130101</v>
      </c>
      <c r="T452" s="12" t="s">
        <v>37</v>
      </c>
      <c r="U452" s="13" t="n">
        <v>405.5</v>
      </c>
      <c r="W452" s="13" t="n">
        <v>0</v>
      </c>
      <c r="X452" s="12" t="s">
        <v>670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46196</v>
      </c>
      <c r="C453" s="11" t="n">
        <v>46214</v>
      </c>
      <c r="D453" s="10" t="n">
        <v>1711</v>
      </c>
      <c r="E453" s="12" t="s">
        <v>346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1293794</v>
      </c>
      <c r="L453" s="10" t="n">
        <v>156818</v>
      </c>
      <c r="M453" s="12" t="s">
        <v>33</v>
      </c>
      <c r="N453" s="12" t="s">
        <v>34</v>
      </c>
      <c r="P453" s="10" t="n">
        <v>103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875.56</v>
      </c>
      <c r="W453" s="13" t="n">
        <v>0</v>
      </c>
      <c r="X453" s="12" t="s">
        <v>671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46209</v>
      </c>
      <c r="C454" s="11" t="n">
        <v>46214</v>
      </c>
      <c r="D454" s="10" t="n">
        <v>1625</v>
      </c>
      <c r="E454" s="12" t="s">
        <v>62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1361386</v>
      </c>
      <c r="L454" s="10" t="n">
        <v>14625</v>
      </c>
      <c r="M454" s="12" t="s">
        <v>33</v>
      </c>
      <c r="N454" s="12" t="s">
        <v>34</v>
      </c>
      <c r="P454" s="10" t="n">
        <v>103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5611.52</v>
      </c>
      <c r="W454" s="13" t="n">
        <v>0</v>
      </c>
      <c r="X454" s="12" t="s">
        <v>672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46213</v>
      </c>
      <c r="C455" s="11" t="n">
        <v>46214</v>
      </c>
      <c r="D455" s="10" t="n">
        <v>630</v>
      </c>
      <c r="E455" s="12" t="s">
        <v>673</v>
      </c>
      <c r="F455" s="10" t="n">
        <v>24</v>
      </c>
      <c r="G455" s="12" t="s">
        <v>31</v>
      </c>
      <c r="H455" s="10" t="n">
        <v>1110202</v>
      </c>
      <c r="I455" s="12" t="s">
        <v>90</v>
      </c>
      <c r="J455" s="10" t="n">
        <v>1377335</v>
      </c>
      <c r="L455" s="10" t="n">
        <v>567697</v>
      </c>
      <c r="M455" s="12" t="s">
        <v>33</v>
      </c>
      <c r="N455" s="12" t="s">
        <v>66</v>
      </c>
      <c r="P455" s="10" t="n">
        <v>101</v>
      </c>
      <c r="Q455" s="12" t="s">
        <v>84</v>
      </c>
      <c r="R455" s="12" t="s">
        <v>121</v>
      </c>
      <c r="S455" s="10" t="n">
        <v>4210311</v>
      </c>
      <c r="T455" s="12" t="s">
        <v>405</v>
      </c>
      <c r="U455" s="13" t="n">
        <v>126.03</v>
      </c>
      <c r="W455" s="13" t="n">
        <v>0</v>
      </c>
      <c r="X455" s="12" t="s">
        <v>674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46210</v>
      </c>
      <c r="C456" s="11" t="n">
        <v>46214</v>
      </c>
      <c r="D456" s="10" t="n">
        <v>1276</v>
      </c>
      <c r="E456" s="12" t="s">
        <v>675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1364155</v>
      </c>
      <c r="L456" s="10" t="n">
        <v>3003</v>
      </c>
      <c r="M456" s="12" t="s">
        <v>33</v>
      </c>
      <c r="N456" s="12" t="s">
        <v>34</v>
      </c>
      <c r="P456" s="10" t="n">
        <v>103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1328.5</v>
      </c>
      <c r="W456" s="13" t="n">
        <v>0</v>
      </c>
      <c r="X456" s="12" t="s">
        <v>676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46213</v>
      </c>
      <c r="C457" s="11" t="n">
        <v>46214</v>
      </c>
      <c r="D457" s="10" t="n">
        <v>33</v>
      </c>
      <c r="E457" s="12" t="s">
        <v>64</v>
      </c>
      <c r="F457" s="10" t="n">
        <v>34</v>
      </c>
      <c r="G457" s="12" t="s">
        <v>49</v>
      </c>
      <c r="H457" s="10" t="n">
        <v>2110101</v>
      </c>
      <c r="I457" s="12" t="s">
        <v>32</v>
      </c>
      <c r="J457" s="10" t="n">
        <v>1377251</v>
      </c>
      <c r="L457" s="10" t="n">
        <v>5287</v>
      </c>
      <c r="M457" s="12" t="s">
        <v>33</v>
      </c>
      <c r="N457" s="12" t="s">
        <v>34</v>
      </c>
      <c r="P457" s="10" t="n">
        <v>104</v>
      </c>
      <c r="Q457" s="12" t="s">
        <v>50</v>
      </c>
      <c r="R457" s="12" t="s">
        <v>36</v>
      </c>
      <c r="S457" s="10" t="n">
        <v>1130101</v>
      </c>
      <c r="T457" s="12" t="s">
        <v>37</v>
      </c>
      <c r="U457" s="13" t="n">
        <v>2719</v>
      </c>
      <c r="W457" s="13" t="n">
        <v>0</v>
      </c>
      <c r="X457" s="12" t="s">
        <v>677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46213</v>
      </c>
      <c r="C458" s="11" t="n">
        <v>46214</v>
      </c>
      <c r="D458" s="10" t="n">
        <v>33</v>
      </c>
      <c r="E458" s="12" t="s">
        <v>64</v>
      </c>
      <c r="F458" s="10" t="n">
        <v>34</v>
      </c>
      <c r="G458" s="12" t="s">
        <v>49</v>
      </c>
      <c r="H458" s="10" t="n">
        <v>2110101</v>
      </c>
      <c r="I458" s="12" t="s">
        <v>32</v>
      </c>
      <c r="J458" s="10" t="n">
        <v>1377309</v>
      </c>
      <c r="L458" s="10" t="n">
        <v>567696</v>
      </c>
      <c r="M458" s="12" t="s">
        <v>33</v>
      </c>
      <c r="N458" s="12" t="s">
        <v>66</v>
      </c>
      <c r="P458" s="10" t="n">
        <v>104</v>
      </c>
      <c r="Q458" s="12" t="s">
        <v>50</v>
      </c>
      <c r="R458" s="12" t="s">
        <v>36</v>
      </c>
      <c r="S458" s="10" t="n">
        <v>1130101</v>
      </c>
      <c r="T458" s="12" t="s">
        <v>37</v>
      </c>
      <c r="U458" s="13" t="n">
        <v>70</v>
      </c>
      <c r="W458" s="13" t="n">
        <v>0</v>
      </c>
      <c r="X458" s="12" t="s">
        <v>273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46210</v>
      </c>
      <c r="C459" s="11" t="n">
        <v>46214</v>
      </c>
      <c r="D459" s="10" t="n">
        <v>1292</v>
      </c>
      <c r="E459" s="12" t="s">
        <v>369</v>
      </c>
      <c r="F459" s="10" t="n">
        <v>24</v>
      </c>
      <c r="G459" s="12" t="s">
        <v>31</v>
      </c>
      <c r="H459" s="10" t="n">
        <v>2110102</v>
      </c>
      <c r="I459" s="12" t="s">
        <v>197</v>
      </c>
      <c r="J459" s="10" t="n">
        <v>1364180</v>
      </c>
      <c r="L459" s="10" t="n">
        <v>3553</v>
      </c>
      <c r="M459" s="12" t="s">
        <v>33</v>
      </c>
      <c r="N459" s="12" t="s">
        <v>34</v>
      </c>
      <c r="P459" s="10" t="n">
        <v>103</v>
      </c>
      <c r="Q459" s="12" t="s">
        <v>35</v>
      </c>
      <c r="R459" s="12" t="s">
        <v>94</v>
      </c>
      <c r="S459" s="10" t="n">
        <v>4210204</v>
      </c>
      <c r="T459" s="12" t="s">
        <v>198</v>
      </c>
      <c r="U459" s="13" t="n">
        <v>448.5</v>
      </c>
      <c r="W459" s="13" t="n">
        <v>0</v>
      </c>
      <c r="X459" s="12" t="s">
        <v>678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46206</v>
      </c>
      <c r="C460" s="11" t="n">
        <v>46215</v>
      </c>
      <c r="D460" s="10" t="n">
        <v>1723</v>
      </c>
      <c r="E460" s="12" t="s">
        <v>378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1345749</v>
      </c>
      <c r="L460" s="10" t="n">
        <v>172527</v>
      </c>
      <c r="M460" s="12" t="s">
        <v>33</v>
      </c>
      <c r="N460" s="12" t="s">
        <v>34</v>
      </c>
      <c r="P460" s="10" t="n">
        <v>103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5723.8</v>
      </c>
      <c r="W460" s="13" t="n">
        <v>0</v>
      </c>
      <c r="X460" s="12" t="s">
        <v>679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46195</v>
      </c>
      <c r="C461" s="11" t="n">
        <v>46215</v>
      </c>
      <c r="D461" s="10" t="n">
        <v>10011</v>
      </c>
      <c r="E461" s="12" t="s">
        <v>78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1291292</v>
      </c>
      <c r="L461" s="10" t="n">
        <v>34212</v>
      </c>
      <c r="M461" s="12" t="s">
        <v>33</v>
      </c>
      <c r="N461" s="12" t="s">
        <v>34</v>
      </c>
      <c r="P461" s="10" t="n">
        <v>103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1975</v>
      </c>
      <c r="W461" s="13" t="n">
        <v>0</v>
      </c>
      <c r="X461" s="12" t="s">
        <v>680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46193</v>
      </c>
      <c r="C462" s="11" t="n">
        <v>46215</v>
      </c>
      <c r="D462" s="10" t="n">
        <v>1671</v>
      </c>
      <c r="E462" s="12" t="s">
        <v>83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1279710</v>
      </c>
      <c r="L462" s="10" t="n">
        <v>575595</v>
      </c>
      <c r="M462" s="12" t="s">
        <v>33</v>
      </c>
      <c r="N462" s="12" t="s">
        <v>34</v>
      </c>
      <c r="P462" s="10" t="n">
        <v>103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628.56</v>
      </c>
      <c r="W462" s="13" t="n">
        <v>0</v>
      </c>
      <c r="X462" s="12" t="s">
        <v>681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46196</v>
      </c>
      <c r="C463" s="11" t="n">
        <v>46215</v>
      </c>
      <c r="D463" s="10" t="n">
        <v>1196</v>
      </c>
      <c r="E463" s="12" t="s">
        <v>143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1293749</v>
      </c>
      <c r="L463" s="10" t="n">
        <v>11908</v>
      </c>
      <c r="M463" s="12" t="s">
        <v>76</v>
      </c>
      <c r="N463" s="12" t="s">
        <v>34</v>
      </c>
      <c r="P463" s="10" t="n">
        <v>103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495.44</v>
      </c>
      <c r="W463" s="13" t="n">
        <v>0</v>
      </c>
      <c r="X463" s="12" t="s">
        <v>682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46202</v>
      </c>
      <c r="C464" s="11" t="n">
        <v>46216</v>
      </c>
      <c r="D464" s="10" t="n">
        <v>1659</v>
      </c>
      <c r="E464" s="12" t="s">
        <v>39</v>
      </c>
      <c r="F464" s="10" t="n">
        <v>24</v>
      </c>
      <c r="G464" s="12" t="s">
        <v>31</v>
      </c>
      <c r="H464" s="10" t="n">
        <v>2110101</v>
      </c>
      <c r="I464" s="12" t="s">
        <v>32</v>
      </c>
      <c r="J464" s="10" t="n">
        <v>1323112</v>
      </c>
      <c r="L464" s="10" t="n">
        <v>882141</v>
      </c>
      <c r="M464" s="12" t="s">
        <v>33</v>
      </c>
      <c r="N464" s="12" t="s">
        <v>34</v>
      </c>
      <c r="P464" s="10" t="n">
        <v>103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1326.94</v>
      </c>
      <c r="W464" s="13" t="n">
        <v>0</v>
      </c>
      <c r="X464" s="12" t="s">
        <v>683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46212</v>
      </c>
      <c r="C465" s="11" t="n">
        <v>46216</v>
      </c>
      <c r="D465" s="10" t="n">
        <v>10018</v>
      </c>
      <c r="E465" s="12" t="s">
        <v>147</v>
      </c>
      <c r="F465" s="10" t="n">
        <v>34</v>
      </c>
      <c r="G465" s="12" t="s">
        <v>49</v>
      </c>
      <c r="H465" s="10" t="n">
        <v>2110101</v>
      </c>
      <c r="I465" s="12" t="s">
        <v>32</v>
      </c>
      <c r="J465" s="10" t="n">
        <v>1373800</v>
      </c>
      <c r="L465" s="10" t="n">
        <v>330</v>
      </c>
      <c r="M465" s="12" t="s">
        <v>33</v>
      </c>
      <c r="N465" s="12" t="s">
        <v>34</v>
      </c>
      <c r="P465" s="10" t="n">
        <v>103</v>
      </c>
      <c r="Q465" s="12" t="s">
        <v>35</v>
      </c>
      <c r="R465" s="12" t="s">
        <v>36</v>
      </c>
      <c r="S465" s="10" t="n">
        <v>1130101</v>
      </c>
      <c r="T465" s="12" t="s">
        <v>37</v>
      </c>
      <c r="U465" s="13" t="n">
        <v>2745</v>
      </c>
      <c r="W465" s="13" t="n">
        <v>0</v>
      </c>
      <c r="X465" s="12" t="s">
        <v>684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46213</v>
      </c>
      <c r="C466" s="11" t="n">
        <v>46216</v>
      </c>
      <c r="D466" s="10" t="n">
        <v>1789</v>
      </c>
      <c r="E466" s="12" t="s">
        <v>685</v>
      </c>
      <c r="F466" s="10" t="n">
        <v>24</v>
      </c>
      <c r="G466" s="12" t="s">
        <v>31</v>
      </c>
      <c r="H466" s="10" t="n">
        <v>1110202</v>
      </c>
      <c r="I466" s="12" t="s">
        <v>90</v>
      </c>
      <c r="J466" s="10" t="n">
        <v>1377366</v>
      </c>
      <c r="L466" s="10" t="n">
        <v>626</v>
      </c>
      <c r="M466" s="12" t="s">
        <v>33</v>
      </c>
      <c r="N466" s="12" t="s">
        <v>66</v>
      </c>
      <c r="P466" s="10" t="n">
        <v>101</v>
      </c>
      <c r="Q466" s="12" t="s">
        <v>84</v>
      </c>
      <c r="R466" s="12" t="s">
        <v>401</v>
      </c>
      <c r="S466" s="10" t="n">
        <v>4210112</v>
      </c>
      <c r="T466" s="12" t="s">
        <v>686</v>
      </c>
      <c r="U466" s="13" t="n">
        <v>21248.79</v>
      </c>
      <c r="W466" s="13" t="n">
        <v>0</v>
      </c>
      <c r="X466" s="12" t="s">
        <v>687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46216</v>
      </c>
      <c r="C467" s="11" t="n">
        <v>46216</v>
      </c>
      <c r="D467" s="10" t="n">
        <v>690</v>
      </c>
      <c r="E467" s="12" t="s">
        <v>688</v>
      </c>
      <c r="F467" s="10" t="n">
        <v>34</v>
      </c>
      <c r="G467" s="12" t="s">
        <v>49</v>
      </c>
      <c r="H467" s="10" t="n">
        <v>1110202</v>
      </c>
      <c r="I467" s="12" t="s">
        <v>90</v>
      </c>
      <c r="J467" s="10" t="n">
        <v>1394132</v>
      </c>
      <c r="L467" s="10" t="n">
        <v>128773</v>
      </c>
      <c r="M467" s="12" t="s">
        <v>33</v>
      </c>
      <c r="N467" s="12" t="s">
        <v>66</v>
      </c>
      <c r="P467" s="10" t="n">
        <v>103</v>
      </c>
      <c r="Q467" s="12" t="s">
        <v>35</v>
      </c>
      <c r="R467" s="12" t="s">
        <v>36</v>
      </c>
      <c r="S467" s="10" t="n">
        <v>1130101</v>
      </c>
      <c r="T467" s="12" t="s">
        <v>37</v>
      </c>
      <c r="U467" s="13" t="n">
        <v>1033.13</v>
      </c>
      <c r="W467" s="13" t="n">
        <v>0</v>
      </c>
      <c r="X467" s="12" t="s">
        <v>689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46195</v>
      </c>
      <c r="C468" s="11" t="n">
        <v>46216</v>
      </c>
      <c r="D468" s="10" t="n">
        <v>1637</v>
      </c>
      <c r="E468" s="12" t="s">
        <v>97</v>
      </c>
      <c r="F468" s="10" t="n">
        <v>24</v>
      </c>
      <c r="G468" s="12" t="s">
        <v>31</v>
      </c>
      <c r="H468" s="10" t="n">
        <v>2110101</v>
      </c>
      <c r="I468" s="12" t="s">
        <v>32</v>
      </c>
      <c r="J468" s="10" t="n">
        <v>1291426</v>
      </c>
      <c r="L468" s="10" t="n">
        <v>1894397</v>
      </c>
      <c r="M468" s="12" t="s">
        <v>33</v>
      </c>
      <c r="N468" s="12" t="s">
        <v>34</v>
      </c>
      <c r="P468" s="10" t="n">
        <v>103</v>
      </c>
      <c r="Q468" s="12" t="s">
        <v>35</v>
      </c>
      <c r="R468" s="12" t="s">
        <v>36</v>
      </c>
      <c r="S468" s="10" t="n">
        <v>1130101</v>
      </c>
      <c r="T468" s="12" t="s">
        <v>37</v>
      </c>
      <c r="U468" s="13" t="n">
        <v>1035</v>
      </c>
      <c r="W468" s="13" t="n">
        <v>0</v>
      </c>
      <c r="X468" s="12" t="s">
        <v>690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46105</v>
      </c>
      <c r="C469" s="11" t="n">
        <v>46216</v>
      </c>
      <c r="D469" s="10" t="n">
        <v>10056</v>
      </c>
      <c r="E469" s="12" t="s">
        <v>691</v>
      </c>
      <c r="F469" s="10" t="n">
        <v>42</v>
      </c>
      <c r="G469" s="12" t="s">
        <v>692</v>
      </c>
      <c r="H469" s="10" t="n">
        <v>2110405</v>
      </c>
      <c r="I469" s="12" t="s">
        <v>153</v>
      </c>
      <c r="J469" s="10" t="n">
        <v>848843</v>
      </c>
      <c r="L469" s="10" t="n">
        <v>363960</v>
      </c>
      <c r="M469" s="12" t="s">
        <v>79</v>
      </c>
      <c r="N469" s="12" t="s">
        <v>66</v>
      </c>
      <c r="P469" s="10" t="n">
        <v>101</v>
      </c>
      <c r="Q469" s="12" t="s">
        <v>84</v>
      </c>
      <c r="R469" s="12" t="s">
        <v>91</v>
      </c>
      <c r="S469" s="10" t="n">
        <v>4220199</v>
      </c>
      <c r="T469" s="12" t="s">
        <v>92</v>
      </c>
      <c r="U469" s="13" t="n">
        <v>333.33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Pagamentos outros não operacionais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46213</v>
      </c>
      <c r="C470" s="11" t="n">
        <v>46216</v>
      </c>
      <c r="D470" s="10" t="n">
        <v>1695</v>
      </c>
      <c r="E470" s="12" t="s">
        <v>44</v>
      </c>
      <c r="F470" s="10" t="n">
        <v>34</v>
      </c>
      <c r="G470" s="12" t="s">
        <v>49</v>
      </c>
      <c r="H470" s="10" t="n">
        <v>1110202</v>
      </c>
      <c r="I470" s="12" t="s">
        <v>90</v>
      </c>
      <c r="J470" s="10" t="n">
        <v>1377371</v>
      </c>
      <c r="L470" s="10" t="n">
        <v>53655</v>
      </c>
      <c r="M470" s="12" t="s">
        <v>33</v>
      </c>
      <c r="N470" s="12" t="s">
        <v>66</v>
      </c>
      <c r="P470" s="10" t="n">
        <v>103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952.56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46209</v>
      </c>
      <c r="C471" s="11" t="n">
        <v>46216</v>
      </c>
      <c r="D471" s="10" t="n">
        <v>1614</v>
      </c>
      <c r="E471" s="12" t="s">
        <v>99</v>
      </c>
      <c r="F471" s="10" t="n">
        <v>24</v>
      </c>
      <c r="G471" s="12" t="s">
        <v>31</v>
      </c>
      <c r="H471" s="10" t="n">
        <v>2110101</v>
      </c>
      <c r="I471" s="12" t="s">
        <v>32</v>
      </c>
      <c r="J471" s="10" t="n">
        <v>1360000</v>
      </c>
      <c r="L471" s="10" t="n">
        <v>11381</v>
      </c>
      <c r="M471" s="12" t="s">
        <v>76</v>
      </c>
      <c r="N471" s="12" t="s">
        <v>34</v>
      </c>
      <c r="P471" s="10" t="n">
        <v>103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472.6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46213</v>
      </c>
      <c r="C472" s="11" t="n">
        <v>46216</v>
      </c>
      <c r="D472" s="10" t="n">
        <v>1614</v>
      </c>
      <c r="E472" s="12" t="s">
        <v>99</v>
      </c>
      <c r="F472" s="10" t="n">
        <v>24</v>
      </c>
      <c r="G472" s="12" t="s">
        <v>31</v>
      </c>
      <c r="H472" s="10" t="n">
        <v>1110202</v>
      </c>
      <c r="I472" s="12" t="s">
        <v>90</v>
      </c>
      <c r="J472" s="10" t="n">
        <v>1376903</v>
      </c>
      <c r="L472" s="10" t="n">
        <v>11400</v>
      </c>
      <c r="M472" s="12" t="s">
        <v>33</v>
      </c>
      <c r="N472" s="12" t="s">
        <v>66</v>
      </c>
      <c r="P472" s="10" t="n">
        <v>103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259.39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46199</v>
      </c>
      <c r="C473" s="11" t="n">
        <v>46216</v>
      </c>
      <c r="D473" s="10" t="n">
        <v>1621</v>
      </c>
      <c r="E473" s="12" t="s">
        <v>286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1309766</v>
      </c>
      <c r="L473" s="10" t="n">
        <v>875364</v>
      </c>
      <c r="M473" s="12" t="s">
        <v>33</v>
      </c>
      <c r="N473" s="12" t="s">
        <v>34</v>
      </c>
      <c r="P473" s="10" t="n">
        <v>103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169.18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46199</v>
      </c>
      <c r="C474" s="11" t="n">
        <v>46216</v>
      </c>
      <c r="D474" s="10" t="n">
        <v>1621</v>
      </c>
      <c r="E474" s="12" t="s">
        <v>286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1309771</v>
      </c>
      <c r="L474" s="10" t="n">
        <v>875363</v>
      </c>
      <c r="M474" s="12" t="s">
        <v>33</v>
      </c>
      <c r="N474" s="12" t="s">
        <v>34</v>
      </c>
      <c r="P474" s="10" t="n">
        <v>103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325.67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46204</v>
      </c>
      <c r="C475" s="11" t="n">
        <v>46216</v>
      </c>
      <c r="D475" s="10" t="n">
        <v>1357</v>
      </c>
      <c r="E475" s="12" t="s">
        <v>432</v>
      </c>
      <c r="F475" s="10" t="n">
        <v>24</v>
      </c>
      <c r="G475" s="12" t="s">
        <v>31</v>
      </c>
      <c r="H475" s="10" t="n">
        <v>2110102</v>
      </c>
      <c r="I475" s="12" t="s">
        <v>197</v>
      </c>
      <c r="J475" s="10" t="n">
        <v>1334239</v>
      </c>
      <c r="L475" s="10" t="n">
        <v>280092</v>
      </c>
      <c r="M475" s="12" t="s">
        <v>76</v>
      </c>
      <c r="N475" s="12" t="s">
        <v>34</v>
      </c>
      <c r="P475" s="10" t="n">
        <v>103</v>
      </c>
      <c r="Q475" s="12" t="s">
        <v>35</v>
      </c>
      <c r="R475" s="12" t="s">
        <v>94</v>
      </c>
      <c r="S475" s="10" t="n">
        <v>4210204</v>
      </c>
      <c r="T475" s="12" t="s">
        <v>198</v>
      </c>
      <c r="U475" s="13" t="n">
        <v>288.85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46188</v>
      </c>
      <c r="C476" s="11" t="n">
        <v>46216</v>
      </c>
      <c r="D476" s="10" t="n">
        <v>1608</v>
      </c>
      <c r="E476" s="12" t="s">
        <v>52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1256599</v>
      </c>
      <c r="L476" s="10" t="n">
        <v>1672665</v>
      </c>
      <c r="M476" s="12" t="s">
        <v>33</v>
      </c>
      <c r="N476" s="12" t="s">
        <v>34</v>
      </c>
      <c r="P476" s="10" t="n">
        <v>103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1878.71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46193</v>
      </c>
      <c r="C477" s="11" t="n">
        <v>46216</v>
      </c>
      <c r="D477" s="10" t="n">
        <v>1608</v>
      </c>
      <c r="E477" s="12" t="s">
        <v>52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1279794</v>
      </c>
      <c r="L477" s="10" t="n">
        <v>1677170</v>
      </c>
      <c r="M477" s="12" t="s">
        <v>33</v>
      </c>
      <c r="N477" s="12" t="s">
        <v>34</v>
      </c>
      <c r="P477" s="10" t="n">
        <v>103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1680.21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46196</v>
      </c>
      <c r="C478" s="11" t="n">
        <v>46216</v>
      </c>
      <c r="D478" s="10" t="n">
        <v>1616</v>
      </c>
      <c r="E478" s="12" t="s">
        <v>434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1296431</v>
      </c>
      <c r="L478" s="10" t="n">
        <v>646739</v>
      </c>
      <c r="M478" s="12" t="s">
        <v>33</v>
      </c>
      <c r="N478" s="12" t="s">
        <v>34</v>
      </c>
      <c r="P478" s="10" t="n">
        <v>103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924.18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46203</v>
      </c>
      <c r="C479" s="11" t="n">
        <v>46216</v>
      </c>
      <c r="D479" s="10" t="n">
        <v>10037</v>
      </c>
      <c r="E479" s="12" t="s">
        <v>340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1329937</v>
      </c>
      <c r="L479" s="10" t="n">
        <v>2524</v>
      </c>
      <c r="M479" s="12" t="s">
        <v>33</v>
      </c>
      <c r="N479" s="12" t="s">
        <v>34</v>
      </c>
      <c r="P479" s="10" t="n">
        <v>103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663.81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46192</v>
      </c>
      <c r="C480" s="11" t="n">
        <v>46216</v>
      </c>
      <c r="D480" s="10" t="n">
        <v>957</v>
      </c>
      <c r="E480" s="12" t="s">
        <v>75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1273051</v>
      </c>
      <c r="L480" s="10" t="n">
        <v>20498</v>
      </c>
      <c r="M480" s="12" t="s">
        <v>33</v>
      </c>
      <c r="N480" s="12" t="s">
        <v>34</v>
      </c>
      <c r="P480" s="10" t="n">
        <v>103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8427.06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46216</v>
      </c>
      <c r="C481" s="11" t="n">
        <v>46216</v>
      </c>
      <c r="D481" s="10" t="n">
        <v>681</v>
      </c>
      <c r="E481" s="12" t="s">
        <v>705</v>
      </c>
      <c r="F481" s="10" t="n">
        <v>24</v>
      </c>
      <c r="G481" s="12" t="s">
        <v>31</v>
      </c>
      <c r="H481" s="10" t="n">
        <v>1110202</v>
      </c>
      <c r="I481" s="12" t="s">
        <v>90</v>
      </c>
      <c r="J481" s="10" t="n">
        <v>1449410</v>
      </c>
      <c r="L481" s="10" t="n">
        <v>596221</v>
      </c>
      <c r="M481" s="12" t="s">
        <v>33</v>
      </c>
      <c r="N481" s="12" t="s">
        <v>66</v>
      </c>
      <c r="P481" s="10" t="n">
        <v>101</v>
      </c>
      <c r="Q481" s="12" t="s">
        <v>84</v>
      </c>
      <c r="R481" s="12" t="s">
        <v>36</v>
      </c>
      <c r="S481" s="10" t="n">
        <v>1130101</v>
      </c>
      <c r="T481" s="12" t="s">
        <v>37</v>
      </c>
      <c r="U481" s="13" t="n">
        <v>4.2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46219</v>
      </c>
      <c r="C482" s="11" t="n">
        <v>46216</v>
      </c>
      <c r="D482" s="10" t="n">
        <v>887</v>
      </c>
      <c r="E482" s="12" t="s">
        <v>707</v>
      </c>
      <c r="F482" s="10" t="n">
        <v>24</v>
      </c>
      <c r="G482" s="12" t="s">
        <v>31</v>
      </c>
      <c r="H482" s="10" t="n">
        <v>2110405</v>
      </c>
      <c r="I482" s="12" t="s">
        <v>153</v>
      </c>
      <c r="J482" s="10" t="n">
        <v>310123</v>
      </c>
      <c r="L482" s="10" t="n">
        <v>1212</v>
      </c>
      <c r="M482" s="12" t="s">
        <v>40</v>
      </c>
      <c r="N482" s="12" t="s">
        <v>66</v>
      </c>
      <c r="P482" s="10" t="n">
        <v>102</v>
      </c>
      <c r="Q482" s="12" t="s">
        <v>112</v>
      </c>
      <c r="R482" s="12" t="s">
        <v>121</v>
      </c>
      <c r="S482" s="10" t="n">
        <v>4210315</v>
      </c>
      <c r="T482" s="12" t="s">
        <v>708</v>
      </c>
      <c r="U482" s="13" t="n">
        <v>199.8</v>
      </c>
      <c r="W482" s="13" t="n">
        <v>0</v>
      </c>
      <c r="X482" s="12" t="s">
        <v>709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46164</v>
      </c>
      <c r="C483" s="11" t="n">
        <v>46216</v>
      </c>
      <c r="D483" s="10" t="n">
        <v>515</v>
      </c>
      <c r="E483" s="12" t="s">
        <v>111</v>
      </c>
      <c r="F483" s="10" t="n">
        <v>34</v>
      </c>
      <c r="G483" s="12" t="s">
        <v>49</v>
      </c>
      <c r="H483" s="10" t="n">
        <v>2110405</v>
      </c>
      <c r="I483" s="12" t="s">
        <v>153</v>
      </c>
      <c r="J483" s="10" t="n">
        <v>1137849</v>
      </c>
      <c r="L483" s="10" t="n">
        <v>474941</v>
      </c>
      <c r="M483" s="12" t="s">
        <v>76</v>
      </c>
      <c r="N483" s="12" t="s">
        <v>66</v>
      </c>
      <c r="P483" s="10" t="n">
        <v>101</v>
      </c>
      <c r="Q483" s="12" t="s">
        <v>84</v>
      </c>
      <c r="R483" s="12" t="s">
        <v>280</v>
      </c>
      <c r="S483" s="10" t="n">
        <v>2110901</v>
      </c>
      <c r="T483" s="12" t="s">
        <v>281</v>
      </c>
      <c r="U483" s="13" t="n">
        <v>15770.14</v>
      </c>
      <c r="W483" s="13" t="n">
        <v>0</v>
      </c>
      <c r="X483" s="12" t="s">
        <v>710</v>
      </c>
      <c r="Z483" s="1" t="str">
        <f aca="false">IF($T483="","",IFERROR(INDEX('Resumo Grupos'!$AC$3:$AC$200,MATCH($T483,'Resumo Grupos'!$AB$3:$AB$200,0)),"n/d"))</f>
        <v>Empréstimo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46213</v>
      </c>
      <c r="C484" s="11" t="n">
        <v>46216</v>
      </c>
      <c r="D484" s="10" t="n">
        <v>515</v>
      </c>
      <c r="E484" s="12" t="s">
        <v>111</v>
      </c>
      <c r="F484" s="10" t="n">
        <v>42</v>
      </c>
      <c r="G484" s="12" t="s">
        <v>692</v>
      </c>
      <c r="H484" s="10" t="n">
        <v>1110202</v>
      </c>
      <c r="I484" s="12" t="s">
        <v>90</v>
      </c>
      <c r="J484" s="10" t="n">
        <v>1377362</v>
      </c>
      <c r="L484" s="10" t="n">
        <v>567700</v>
      </c>
      <c r="M484" s="12" t="s">
        <v>33</v>
      </c>
      <c r="N484" s="12" t="s">
        <v>66</v>
      </c>
      <c r="P484" s="10" t="n">
        <v>101</v>
      </c>
      <c r="Q484" s="12" t="s">
        <v>84</v>
      </c>
      <c r="R484" s="12" t="s">
        <v>91</v>
      </c>
      <c r="S484" s="10" t="n">
        <v>4220199</v>
      </c>
      <c r="T484" s="12" t="s">
        <v>92</v>
      </c>
      <c r="U484" s="13" t="n">
        <v>233.35</v>
      </c>
      <c r="W484" s="13" t="n">
        <v>0</v>
      </c>
      <c r="X484" s="12" t="s">
        <v>711</v>
      </c>
      <c r="Z484" s="1" t="str">
        <f aca="false">IF($T484="","",IFERROR(INDEX('Resumo Grupos'!$AC$3:$AC$200,MATCH($T484,'Resumo Grupos'!$AB$3:$AB$200,0)),"n/d"))</f>
        <v>Pagamentos outros não operacionais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46216</v>
      </c>
      <c r="C485" s="11" t="n">
        <v>46216</v>
      </c>
      <c r="D485" s="10" t="n">
        <v>515</v>
      </c>
      <c r="E485" s="12" t="s">
        <v>111</v>
      </c>
      <c r="F485" s="10" t="n">
        <v>42</v>
      </c>
      <c r="G485" s="12" t="s">
        <v>692</v>
      </c>
      <c r="H485" s="10" t="n">
        <v>1110202</v>
      </c>
      <c r="I485" s="12" t="s">
        <v>90</v>
      </c>
      <c r="J485" s="10" t="n">
        <v>1407866</v>
      </c>
      <c r="L485" s="10" t="n">
        <v>580252</v>
      </c>
      <c r="M485" s="12" t="s">
        <v>33</v>
      </c>
      <c r="N485" s="12" t="s">
        <v>66</v>
      </c>
      <c r="P485" s="10" t="n">
        <v>102</v>
      </c>
      <c r="Q485" s="12" t="s">
        <v>112</v>
      </c>
      <c r="R485" s="12" t="s">
        <v>569</v>
      </c>
      <c r="S485" s="10" t="n">
        <v>1140104</v>
      </c>
      <c r="T485" s="12" t="s">
        <v>570</v>
      </c>
      <c r="U485" s="13" t="n">
        <v>18.75</v>
      </c>
      <c r="W485" s="13" t="n">
        <v>0</v>
      </c>
      <c r="X485" s="12" t="s">
        <v>712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46216</v>
      </c>
      <c r="C486" s="11" t="n">
        <v>46216</v>
      </c>
      <c r="D486" s="10" t="n">
        <v>515</v>
      </c>
      <c r="E486" s="12" t="s">
        <v>111</v>
      </c>
      <c r="F486" s="10" t="n">
        <v>34</v>
      </c>
      <c r="G486" s="12" t="s">
        <v>49</v>
      </c>
      <c r="H486" s="10" t="n">
        <v>1110202</v>
      </c>
      <c r="I486" s="12" t="s">
        <v>90</v>
      </c>
      <c r="J486" s="10" t="n">
        <v>1449441</v>
      </c>
      <c r="L486" s="10" t="n">
        <v>596228</v>
      </c>
      <c r="M486" s="12" t="s">
        <v>33</v>
      </c>
      <c r="N486" s="12" t="s">
        <v>66</v>
      </c>
      <c r="P486" s="10" t="n">
        <v>101</v>
      </c>
      <c r="Q486" s="12" t="s">
        <v>84</v>
      </c>
      <c r="R486" s="12" t="s">
        <v>91</v>
      </c>
      <c r="S486" s="10" t="n">
        <v>4220199</v>
      </c>
      <c r="T486" s="12" t="s">
        <v>92</v>
      </c>
      <c r="U486" s="13" t="n">
        <v>252.1</v>
      </c>
      <c r="W486" s="13" t="n">
        <v>0</v>
      </c>
      <c r="X486" s="12" t="s">
        <v>713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46210</v>
      </c>
      <c r="C487" s="11" t="n">
        <v>46216</v>
      </c>
      <c r="D487" s="10" t="n">
        <v>1625</v>
      </c>
      <c r="E487" s="12" t="s">
        <v>62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1364552</v>
      </c>
      <c r="L487" s="10" t="n">
        <v>14636</v>
      </c>
      <c r="M487" s="12" t="s">
        <v>33</v>
      </c>
      <c r="N487" s="12" t="s">
        <v>34</v>
      </c>
      <c r="P487" s="10" t="n">
        <v>103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1767.88</v>
      </c>
      <c r="W487" s="13" t="n">
        <v>0</v>
      </c>
      <c r="X487" s="12" t="s">
        <v>714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46196</v>
      </c>
      <c r="C488" s="11" t="n">
        <v>46216</v>
      </c>
      <c r="D488" s="10" t="n">
        <v>1107</v>
      </c>
      <c r="E488" s="12" t="s">
        <v>525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1294118</v>
      </c>
      <c r="L488" s="10" t="n">
        <v>419583</v>
      </c>
      <c r="M488" s="12" t="s">
        <v>33</v>
      </c>
      <c r="N488" s="12" t="s">
        <v>34</v>
      </c>
      <c r="P488" s="10" t="n">
        <v>103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1350.99</v>
      </c>
      <c r="W488" s="13" t="n">
        <v>0</v>
      </c>
      <c r="X488" s="12" t="s">
        <v>715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46214</v>
      </c>
      <c r="C489" s="11" t="n">
        <v>46216</v>
      </c>
      <c r="D489" s="10" t="n">
        <v>306</v>
      </c>
      <c r="E489" s="12" t="s">
        <v>484</v>
      </c>
      <c r="F489" s="10" t="n">
        <v>34</v>
      </c>
      <c r="G489" s="12" t="s">
        <v>49</v>
      </c>
      <c r="H489" s="10" t="n">
        <v>1110202</v>
      </c>
      <c r="I489" s="12" t="s">
        <v>90</v>
      </c>
      <c r="J489" s="10" t="n">
        <v>1381734</v>
      </c>
      <c r="L489" s="10" t="n">
        <v>375</v>
      </c>
      <c r="M489" s="12" t="s">
        <v>33</v>
      </c>
      <c r="N489" s="12" t="s">
        <v>66</v>
      </c>
      <c r="P489" s="10" t="n">
        <v>103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460</v>
      </c>
      <c r="W489" s="13" t="n">
        <v>0</v>
      </c>
      <c r="X489" s="12" t="s">
        <v>716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46210</v>
      </c>
      <c r="C490" s="11" t="n">
        <v>46216</v>
      </c>
      <c r="D490" s="10" t="n">
        <v>1899</v>
      </c>
      <c r="E490" s="12" t="s">
        <v>131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1364144</v>
      </c>
      <c r="L490" s="10" t="n">
        <v>700</v>
      </c>
      <c r="M490" s="12" t="s">
        <v>33</v>
      </c>
      <c r="N490" s="12" t="s">
        <v>34</v>
      </c>
      <c r="P490" s="10" t="n">
        <v>103</v>
      </c>
      <c r="Q490" s="12" t="s">
        <v>35</v>
      </c>
      <c r="R490" s="12" t="s">
        <v>36</v>
      </c>
      <c r="S490" s="10" t="n">
        <v>1130101</v>
      </c>
      <c r="T490" s="12" t="s">
        <v>37</v>
      </c>
      <c r="U490" s="13" t="n">
        <v>700</v>
      </c>
      <c r="W490" s="13" t="n">
        <v>0</v>
      </c>
      <c r="X490" s="12" t="s">
        <v>717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46210</v>
      </c>
      <c r="C491" s="11" t="n">
        <v>46216</v>
      </c>
      <c r="D491" s="10" t="n">
        <v>1899</v>
      </c>
      <c r="E491" s="12" t="s">
        <v>131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1364147</v>
      </c>
      <c r="L491" s="10" t="n">
        <v>699</v>
      </c>
      <c r="M491" s="12" t="s">
        <v>33</v>
      </c>
      <c r="N491" s="12" t="s">
        <v>34</v>
      </c>
      <c r="P491" s="10" t="n">
        <v>103</v>
      </c>
      <c r="Q491" s="12" t="s">
        <v>35</v>
      </c>
      <c r="R491" s="12" t="s">
        <v>36</v>
      </c>
      <c r="S491" s="10" t="n">
        <v>1130101</v>
      </c>
      <c r="T491" s="12" t="s">
        <v>37</v>
      </c>
      <c r="U491" s="13" t="n">
        <v>284.7</v>
      </c>
      <c r="W491" s="13" t="n">
        <v>0</v>
      </c>
      <c r="X491" s="12" t="s">
        <v>718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46212</v>
      </c>
      <c r="C492" s="11" t="n">
        <v>46216</v>
      </c>
      <c r="D492" s="10" t="n">
        <v>1899</v>
      </c>
      <c r="E492" s="12" t="s">
        <v>131</v>
      </c>
      <c r="F492" s="10" t="n">
        <v>24</v>
      </c>
      <c r="G492" s="12" t="s">
        <v>31</v>
      </c>
      <c r="H492" s="10" t="n">
        <v>1110202</v>
      </c>
      <c r="I492" s="12" t="s">
        <v>90</v>
      </c>
      <c r="J492" s="10" t="n">
        <v>1374214</v>
      </c>
      <c r="L492" s="10" t="n">
        <v>706</v>
      </c>
      <c r="M492" s="12" t="s">
        <v>33</v>
      </c>
      <c r="N492" s="12" t="s">
        <v>66</v>
      </c>
      <c r="P492" s="10" t="n">
        <v>103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697.1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46214</v>
      </c>
      <c r="C493" s="11" t="n">
        <v>46216</v>
      </c>
      <c r="D493" s="10" t="n">
        <v>1899</v>
      </c>
      <c r="E493" s="12" t="s">
        <v>131</v>
      </c>
      <c r="F493" s="10" t="n">
        <v>24</v>
      </c>
      <c r="G493" s="12" t="s">
        <v>31</v>
      </c>
      <c r="H493" s="10" t="n">
        <v>1110202</v>
      </c>
      <c r="I493" s="12" t="s">
        <v>90</v>
      </c>
      <c r="J493" s="10" t="n">
        <v>1381924</v>
      </c>
      <c r="L493" s="10" t="n">
        <v>709</v>
      </c>
      <c r="M493" s="12" t="s">
        <v>33</v>
      </c>
      <c r="N493" s="12" t="s">
        <v>66</v>
      </c>
      <c r="P493" s="10" t="n">
        <v>103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1120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46211</v>
      </c>
      <c r="C494" s="11" t="n">
        <v>46216</v>
      </c>
      <c r="D494" s="10" t="n">
        <v>1899</v>
      </c>
      <c r="E494" s="12" t="s">
        <v>131</v>
      </c>
      <c r="F494" s="10" t="n">
        <v>24</v>
      </c>
      <c r="G494" s="12" t="s">
        <v>31</v>
      </c>
      <c r="H494" s="10" t="n">
        <v>2110101</v>
      </c>
      <c r="I494" s="12" t="s">
        <v>32</v>
      </c>
      <c r="J494" s="10" t="n">
        <v>1368782</v>
      </c>
      <c r="L494" s="10" t="n">
        <v>703</v>
      </c>
      <c r="M494" s="12" t="s">
        <v>33</v>
      </c>
      <c r="N494" s="12" t="s">
        <v>34</v>
      </c>
      <c r="P494" s="10" t="n">
        <v>103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372.25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46211</v>
      </c>
      <c r="C495" s="11" t="n">
        <v>46216</v>
      </c>
      <c r="D495" s="10" t="n">
        <v>33</v>
      </c>
      <c r="E495" s="12" t="s">
        <v>64</v>
      </c>
      <c r="F495" s="10" t="n">
        <v>34</v>
      </c>
      <c r="G495" s="12" t="s">
        <v>49</v>
      </c>
      <c r="H495" s="10" t="n">
        <v>2110101</v>
      </c>
      <c r="I495" s="12" t="s">
        <v>32</v>
      </c>
      <c r="J495" s="10" t="n">
        <v>1370221</v>
      </c>
      <c r="L495" s="10" t="n">
        <v>5276</v>
      </c>
      <c r="M495" s="12" t="s">
        <v>33</v>
      </c>
      <c r="N495" s="12" t="s">
        <v>34</v>
      </c>
      <c r="P495" s="10" t="n">
        <v>103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1295</v>
      </c>
      <c r="W495" s="13" t="n">
        <v>0</v>
      </c>
      <c r="X495" s="12" t="s">
        <v>722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46216</v>
      </c>
      <c r="C496" s="11" t="n">
        <v>46216</v>
      </c>
      <c r="D496" s="10" t="n">
        <v>514</v>
      </c>
      <c r="E496" s="12" t="s">
        <v>652</v>
      </c>
      <c r="F496" s="10" t="n">
        <v>34</v>
      </c>
      <c r="G496" s="12" t="s">
        <v>49</v>
      </c>
      <c r="H496" s="10" t="n">
        <v>1110202</v>
      </c>
      <c r="I496" s="12" t="s">
        <v>90</v>
      </c>
      <c r="J496" s="10" t="n">
        <v>1397866</v>
      </c>
      <c r="L496" s="10" t="n">
        <v>576431</v>
      </c>
      <c r="M496" s="12" t="s">
        <v>33</v>
      </c>
      <c r="N496" s="12" t="s">
        <v>66</v>
      </c>
      <c r="P496" s="10" t="n">
        <v>102</v>
      </c>
      <c r="Q496" s="12" t="s">
        <v>112</v>
      </c>
      <c r="R496" s="12" t="s">
        <v>113</v>
      </c>
      <c r="S496" s="10" t="n">
        <v>4210504</v>
      </c>
      <c r="T496" s="12" t="s">
        <v>114</v>
      </c>
      <c r="U496" s="13" t="n">
        <v>16</v>
      </c>
      <c r="W496" s="13" t="n">
        <v>0</v>
      </c>
      <c r="X496" s="12" t="s">
        <v>723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46216</v>
      </c>
      <c r="C497" s="11" t="n">
        <v>46216</v>
      </c>
      <c r="D497" s="10" t="n">
        <v>514</v>
      </c>
      <c r="E497" s="12" t="s">
        <v>652</v>
      </c>
      <c r="F497" s="10" t="n">
        <v>34</v>
      </c>
      <c r="G497" s="12" t="s">
        <v>49</v>
      </c>
      <c r="H497" s="10" t="n">
        <v>1110202</v>
      </c>
      <c r="I497" s="12" t="s">
        <v>90</v>
      </c>
      <c r="J497" s="10" t="n">
        <v>1397879</v>
      </c>
      <c r="L497" s="10" t="n">
        <v>576436</v>
      </c>
      <c r="M497" s="12" t="s">
        <v>33</v>
      </c>
      <c r="N497" s="12" t="s">
        <v>66</v>
      </c>
      <c r="P497" s="10" t="n">
        <v>102</v>
      </c>
      <c r="Q497" s="12" t="s">
        <v>112</v>
      </c>
      <c r="R497" s="12" t="s">
        <v>113</v>
      </c>
      <c r="S497" s="10" t="n">
        <v>4210504</v>
      </c>
      <c r="T497" s="12" t="s">
        <v>114</v>
      </c>
      <c r="U497" s="13" t="n">
        <v>422</v>
      </c>
      <c r="W497" s="13" t="n">
        <v>0</v>
      </c>
      <c r="X497" s="12" t="s">
        <v>724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46210</v>
      </c>
      <c r="C498" s="11" t="n">
        <v>46216</v>
      </c>
      <c r="D498" s="10" t="n">
        <v>1292</v>
      </c>
      <c r="E498" s="12" t="s">
        <v>369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1364168</v>
      </c>
      <c r="L498" s="10" t="n">
        <v>3552</v>
      </c>
      <c r="M498" s="12" t="s">
        <v>33</v>
      </c>
      <c r="N498" s="12" t="s">
        <v>34</v>
      </c>
      <c r="P498" s="10" t="n">
        <v>103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1584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46209</v>
      </c>
      <c r="C499" s="11" t="n">
        <v>46216</v>
      </c>
      <c r="D499" s="10" t="n">
        <v>1631</v>
      </c>
      <c r="E499" s="12" t="s">
        <v>141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1362011</v>
      </c>
      <c r="L499" s="10" t="n">
        <v>15107</v>
      </c>
      <c r="M499" s="12" t="s">
        <v>33</v>
      </c>
      <c r="N499" s="12" t="s">
        <v>34</v>
      </c>
      <c r="P499" s="10" t="n">
        <v>103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627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46204</v>
      </c>
      <c r="C500" s="11" t="n">
        <v>46216</v>
      </c>
      <c r="D500" s="10" t="n">
        <v>1196</v>
      </c>
      <c r="E500" s="12" t="s">
        <v>143</v>
      </c>
      <c r="F500" s="10" t="n">
        <v>24</v>
      </c>
      <c r="G500" s="12" t="s">
        <v>31</v>
      </c>
      <c r="H500" s="10" t="n">
        <v>2110101</v>
      </c>
      <c r="I500" s="12" t="s">
        <v>32</v>
      </c>
      <c r="J500" s="10" t="n">
        <v>1334569</v>
      </c>
      <c r="L500" s="10" t="n">
        <v>12051</v>
      </c>
      <c r="M500" s="12" t="s">
        <v>33</v>
      </c>
      <c r="N500" s="12" t="s">
        <v>34</v>
      </c>
      <c r="P500" s="10" t="n">
        <v>103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1393.33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46210</v>
      </c>
      <c r="C501" s="11" t="n">
        <v>46216</v>
      </c>
      <c r="D501" s="10" t="n">
        <v>1286</v>
      </c>
      <c r="E501" s="12" t="s">
        <v>216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1366378</v>
      </c>
      <c r="L501" s="10" t="n">
        <v>10259</v>
      </c>
      <c r="M501" s="12" t="s">
        <v>33</v>
      </c>
      <c r="N501" s="12" t="s">
        <v>34</v>
      </c>
      <c r="P501" s="10" t="n">
        <v>103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540</v>
      </c>
      <c r="W501" s="13" t="n">
        <v>0</v>
      </c>
      <c r="X501" s="12" t="s">
        <v>728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46214</v>
      </c>
      <c r="C502" s="11" t="n">
        <v>46217</v>
      </c>
      <c r="D502" s="10" t="n">
        <v>642</v>
      </c>
      <c r="E502" s="12" t="s">
        <v>145</v>
      </c>
      <c r="F502" s="10" t="n">
        <v>24</v>
      </c>
      <c r="G502" s="12" t="s">
        <v>31</v>
      </c>
      <c r="H502" s="10" t="n">
        <v>1110202</v>
      </c>
      <c r="I502" s="12" t="s">
        <v>90</v>
      </c>
      <c r="J502" s="10" t="n">
        <v>1381977</v>
      </c>
      <c r="L502" s="10" t="n">
        <v>526</v>
      </c>
      <c r="M502" s="12" t="s">
        <v>33</v>
      </c>
      <c r="N502" s="12" t="s">
        <v>66</v>
      </c>
      <c r="P502" s="10" t="n">
        <v>103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840</v>
      </c>
      <c r="W502" s="13" t="n">
        <v>0</v>
      </c>
      <c r="X502" s="12" t="s">
        <v>729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46217</v>
      </c>
      <c r="C503" s="11" t="n">
        <v>46217</v>
      </c>
      <c r="D503" s="10" t="n">
        <v>1779</v>
      </c>
      <c r="E503" s="12" t="s">
        <v>388</v>
      </c>
      <c r="F503" s="10" t="n">
        <v>34</v>
      </c>
      <c r="G503" s="12" t="s">
        <v>49</v>
      </c>
      <c r="H503" s="10" t="n">
        <v>1110202</v>
      </c>
      <c r="I503" s="12" t="s">
        <v>90</v>
      </c>
      <c r="J503" s="10" t="n">
        <v>1397925</v>
      </c>
      <c r="L503" s="10" t="n">
        <v>576445</v>
      </c>
      <c r="M503" s="12" t="s">
        <v>33</v>
      </c>
      <c r="N503" s="12" t="s">
        <v>66</v>
      </c>
      <c r="P503" s="10" t="n">
        <v>102</v>
      </c>
      <c r="Q503" s="12" t="s">
        <v>112</v>
      </c>
      <c r="R503" s="12" t="s">
        <v>91</v>
      </c>
      <c r="S503" s="10" t="n">
        <v>4220199</v>
      </c>
      <c r="T503" s="12" t="s">
        <v>92</v>
      </c>
      <c r="U503" s="13" t="n">
        <v>1370</v>
      </c>
      <c r="W503" s="13" t="n">
        <v>0</v>
      </c>
      <c r="X503" s="12" t="s">
        <v>730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46189</v>
      </c>
      <c r="C504" s="11" t="n">
        <v>46217</v>
      </c>
      <c r="D504" s="10" t="n">
        <v>1921</v>
      </c>
      <c r="E504" s="12" t="s">
        <v>731</v>
      </c>
      <c r="F504" s="10" t="n">
        <v>24</v>
      </c>
      <c r="G504" s="12" t="s">
        <v>31</v>
      </c>
      <c r="H504" s="10" t="n">
        <v>2110101</v>
      </c>
      <c r="I504" s="12" t="s">
        <v>32</v>
      </c>
      <c r="J504" s="10" t="n">
        <v>1261759</v>
      </c>
      <c r="L504" s="10" t="n">
        <v>20900</v>
      </c>
      <c r="M504" s="12" t="s">
        <v>33</v>
      </c>
      <c r="N504" s="12" t="s">
        <v>34</v>
      </c>
      <c r="P504" s="10" t="n">
        <v>103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2301.99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46210</v>
      </c>
      <c r="C505" s="11" t="n">
        <v>46217</v>
      </c>
      <c r="D505" s="10" t="n">
        <v>1642</v>
      </c>
      <c r="E505" s="12" t="s">
        <v>158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1366342</v>
      </c>
      <c r="L505" s="10" t="n">
        <v>1030665</v>
      </c>
      <c r="M505" s="12" t="s">
        <v>33</v>
      </c>
      <c r="N505" s="12" t="s">
        <v>34</v>
      </c>
      <c r="P505" s="10" t="n">
        <v>103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509.45</v>
      </c>
      <c r="W505" s="13" t="n">
        <v>0</v>
      </c>
      <c r="X505" s="12" t="s">
        <v>733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46209</v>
      </c>
      <c r="C506" s="11" t="n">
        <v>46217</v>
      </c>
      <c r="D506" s="10" t="n">
        <v>1723</v>
      </c>
      <c r="E506" s="12" t="s">
        <v>378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1361249</v>
      </c>
      <c r="L506" s="10" t="n">
        <v>172658</v>
      </c>
      <c r="M506" s="12" t="s">
        <v>33</v>
      </c>
      <c r="N506" s="12" t="s">
        <v>34</v>
      </c>
      <c r="P506" s="10" t="n">
        <v>103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5387.4</v>
      </c>
      <c r="W506" s="13" t="n">
        <v>0</v>
      </c>
      <c r="X506" s="12" t="s">
        <v>734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46217</v>
      </c>
      <c r="C507" s="11" t="n">
        <v>46217</v>
      </c>
      <c r="D507" s="10" t="n">
        <v>1037</v>
      </c>
      <c r="E507" s="12" t="s">
        <v>171</v>
      </c>
      <c r="F507" s="10" t="n">
        <v>34</v>
      </c>
      <c r="G507" s="12" t="s">
        <v>49</v>
      </c>
      <c r="H507" s="10" t="n">
        <v>1110202</v>
      </c>
      <c r="I507" s="12" t="s">
        <v>90</v>
      </c>
      <c r="J507" s="10" t="n">
        <v>1445364</v>
      </c>
      <c r="L507" s="10" t="n">
        <v>594545</v>
      </c>
      <c r="M507" s="12" t="s">
        <v>33</v>
      </c>
      <c r="N507" s="12" t="s">
        <v>66</v>
      </c>
      <c r="P507" s="10" t="n">
        <v>102</v>
      </c>
      <c r="Q507" s="12" t="s">
        <v>112</v>
      </c>
      <c r="R507" s="12" t="s">
        <v>91</v>
      </c>
      <c r="S507" s="10" t="n">
        <v>4220199</v>
      </c>
      <c r="T507" s="12" t="s">
        <v>92</v>
      </c>
      <c r="U507" s="13" t="n">
        <v>2900</v>
      </c>
      <c r="W507" s="13" t="n">
        <v>0</v>
      </c>
      <c r="X507" s="12" t="s">
        <v>735</v>
      </c>
      <c r="Z507" s="1" t="str">
        <f aca="false">IF($T507="","",IFERROR(INDEX('Resumo Grupos'!$AC$3:$AC$200,MATCH($T507,'Resumo Grupos'!$AB$3:$AB$200,0)),"n/d"))</f>
        <v>Pagamentos outros não operacionais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46217</v>
      </c>
      <c r="C508" s="11" t="n">
        <v>46217</v>
      </c>
      <c r="D508" s="10" t="n">
        <v>1037</v>
      </c>
      <c r="E508" s="12" t="s">
        <v>171</v>
      </c>
      <c r="F508" s="10" t="n">
        <v>13</v>
      </c>
      <c r="G508" s="12" t="s">
        <v>55</v>
      </c>
      <c r="H508" s="10" t="n">
        <v>1110101</v>
      </c>
      <c r="I508" s="12" t="s">
        <v>736</v>
      </c>
      <c r="J508" s="10" t="n">
        <v>1445372</v>
      </c>
      <c r="L508" s="10" t="n">
        <v>594548</v>
      </c>
      <c r="M508" s="12" t="s">
        <v>33</v>
      </c>
      <c r="N508" s="12" t="s">
        <v>66</v>
      </c>
      <c r="P508" s="10" t="n">
        <v>102</v>
      </c>
      <c r="Q508" s="12" t="s">
        <v>112</v>
      </c>
      <c r="R508" s="12" t="s">
        <v>91</v>
      </c>
      <c r="S508" s="10" t="n">
        <v>4220199</v>
      </c>
      <c r="T508" s="12" t="s">
        <v>92</v>
      </c>
      <c r="U508" s="13" t="n">
        <v>4816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Pagamentos outros não operacionais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46212</v>
      </c>
      <c r="C509" s="11" t="n">
        <v>46217</v>
      </c>
      <c r="D509" s="10" t="n">
        <v>1658</v>
      </c>
      <c r="E509" s="12" t="s">
        <v>738</v>
      </c>
      <c r="F509" s="10" t="n">
        <v>24</v>
      </c>
      <c r="G509" s="12" t="s">
        <v>31</v>
      </c>
      <c r="H509" s="10" t="n">
        <v>1110202</v>
      </c>
      <c r="I509" s="12" t="s">
        <v>90</v>
      </c>
      <c r="J509" s="10" t="n">
        <v>1374651</v>
      </c>
      <c r="L509" s="10" t="n">
        <v>143091</v>
      </c>
      <c r="M509" s="12" t="s">
        <v>33</v>
      </c>
      <c r="N509" s="12" t="s">
        <v>66</v>
      </c>
      <c r="P509" s="10" t="n">
        <v>103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770</v>
      </c>
      <c r="W509" s="13" t="n">
        <v>0</v>
      </c>
      <c r="X509" s="12" t="s">
        <v>739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46211</v>
      </c>
      <c r="C510" s="11" t="n">
        <v>46217</v>
      </c>
      <c r="D510" s="10" t="n">
        <v>1650</v>
      </c>
      <c r="E510" s="12" t="s">
        <v>108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1368814</v>
      </c>
      <c r="L510" s="10" t="n">
        <v>225390</v>
      </c>
      <c r="M510" s="12" t="s">
        <v>33</v>
      </c>
      <c r="N510" s="12" t="s">
        <v>34</v>
      </c>
      <c r="P510" s="10" t="n">
        <v>103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943.83</v>
      </c>
      <c r="W510" s="13" t="n">
        <v>0</v>
      </c>
      <c r="X510" s="12" t="s">
        <v>740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46211</v>
      </c>
      <c r="C511" s="11" t="n">
        <v>46217</v>
      </c>
      <c r="D511" s="10" t="n">
        <v>1650</v>
      </c>
      <c r="E511" s="12" t="s">
        <v>108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1368818</v>
      </c>
      <c r="L511" s="10" t="n">
        <v>225391</v>
      </c>
      <c r="M511" s="12" t="s">
        <v>33</v>
      </c>
      <c r="N511" s="12" t="s">
        <v>34</v>
      </c>
      <c r="P511" s="10" t="n">
        <v>103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178.4</v>
      </c>
      <c r="W511" s="13" t="n">
        <v>0</v>
      </c>
      <c r="X511" s="12" t="s">
        <v>741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46217</v>
      </c>
      <c r="C512" s="11" t="n">
        <v>46217</v>
      </c>
      <c r="D512" s="10" t="n">
        <v>978</v>
      </c>
      <c r="E512" s="12" t="s">
        <v>54</v>
      </c>
      <c r="F512" s="10" t="n">
        <v>13</v>
      </c>
      <c r="G512" s="12" t="s">
        <v>55</v>
      </c>
      <c r="H512" s="10" t="n">
        <v>2110101</v>
      </c>
      <c r="I512" s="12" t="s">
        <v>32</v>
      </c>
      <c r="J512" s="10" t="n">
        <v>1435607</v>
      </c>
      <c r="L512" s="10" t="n">
        <v>368</v>
      </c>
      <c r="M512" s="12" t="s">
        <v>33</v>
      </c>
      <c r="N512" s="12" t="s">
        <v>34</v>
      </c>
      <c r="P512" s="10" t="n">
        <v>104</v>
      </c>
      <c r="Q512" s="12" t="s">
        <v>50</v>
      </c>
      <c r="R512" s="12" t="s">
        <v>36</v>
      </c>
      <c r="S512" s="10" t="n">
        <v>1130101</v>
      </c>
      <c r="T512" s="12" t="s">
        <v>37</v>
      </c>
      <c r="U512" s="13" t="n">
        <v>394</v>
      </c>
      <c r="W512" s="13" t="n">
        <v>0</v>
      </c>
      <c r="X512" s="12" t="s">
        <v>742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46210</v>
      </c>
      <c r="C513" s="11" t="n">
        <v>46217</v>
      </c>
      <c r="D513" s="10" t="n">
        <v>1363</v>
      </c>
      <c r="E513" s="12" t="s">
        <v>177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1366370</v>
      </c>
      <c r="L513" s="10" t="n">
        <v>3502</v>
      </c>
      <c r="M513" s="12" t="s">
        <v>33</v>
      </c>
      <c r="N513" s="12" t="s">
        <v>34</v>
      </c>
      <c r="P513" s="10" t="n">
        <v>103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353</v>
      </c>
      <c r="W513" s="13" t="n">
        <v>0</v>
      </c>
      <c r="X513" s="12" t="s">
        <v>743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46210</v>
      </c>
      <c r="C514" s="11" t="n">
        <v>46217</v>
      </c>
      <c r="D514" s="10" t="n">
        <v>1625</v>
      </c>
      <c r="E514" s="12" t="s">
        <v>62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1365606</v>
      </c>
      <c r="L514" s="10" t="n">
        <v>14643</v>
      </c>
      <c r="M514" s="12" t="s">
        <v>33</v>
      </c>
      <c r="N514" s="12" t="s">
        <v>34</v>
      </c>
      <c r="P514" s="10" t="n">
        <v>103</v>
      </c>
      <c r="Q514" s="12" t="s">
        <v>35</v>
      </c>
      <c r="R514" s="12" t="s">
        <v>36</v>
      </c>
      <c r="S514" s="10" t="n">
        <v>1130101</v>
      </c>
      <c r="T514" s="12" t="s">
        <v>37</v>
      </c>
      <c r="U514" s="13" t="n">
        <v>1595.65</v>
      </c>
      <c r="W514" s="13" t="n">
        <v>0</v>
      </c>
      <c r="X514" s="12" t="s">
        <v>744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46199</v>
      </c>
      <c r="C515" s="11" t="n">
        <v>46217</v>
      </c>
      <c r="D515" s="10" t="n">
        <v>1668</v>
      </c>
      <c r="E515" s="12" t="s">
        <v>263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1310257</v>
      </c>
      <c r="L515" s="10" t="n">
        <v>731754</v>
      </c>
      <c r="M515" s="12" t="s">
        <v>33</v>
      </c>
      <c r="N515" s="12" t="s">
        <v>34</v>
      </c>
      <c r="P515" s="10" t="n">
        <v>103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206.31</v>
      </c>
      <c r="W515" s="13" t="n">
        <v>0</v>
      </c>
      <c r="X515" s="12" t="s">
        <v>745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46205</v>
      </c>
      <c r="C516" s="11" t="n">
        <v>46217</v>
      </c>
      <c r="D516" s="10" t="n">
        <v>10009</v>
      </c>
      <c r="E516" s="12" t="s">
        <v>181</v>
      </c>
      <c r="F516" s="10" t="n">
        <v>24</v>
      </c>
      <c r="G516" s="12" t="s">
        <v>31</v>
      </c>
      <c r="H516" s="10" t="n">
        <v>2110101</v>
      </c>
      <c r="I516" s="12" t="s">
        <v>32</v>
      </c>
      <c r="J516" s="10" t="n">
        <v>1340751</v>
      </c>
      <c r="L516" s="10" t="n">
        <v>1423353</v>
      </c>
      <c r="M516" s="12" t="s">
        <v>33</v>
      </c>
      <c r="N516" s="12" t="s">
        <v>34</v>
      </c>
      <c r="P516" s="10" t="n">
        <v>103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494.27</v>
      </c>
      <c r="W516" s="13" t="n">
        <v>0</v>
      </c>
      <c r="X516" s="12" t="s">
        <v>746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46205</v>
      </c>
      <c r="C517" s="11" t="n">
        <v>46217</v>
      </c>
      <c r="D517" s="10" t="n">
        <v>703</v>
      </c>
      <c r="E517" s="12" t="s">
        <v>747</v>
      </c>
      <c r="F517" s="10" t="n">
        <v>24</v>
      </c>
      <c r="G517" s="12" t="s">
        <v>31</v>
      </c>
      <c r="H517" s="10" t="n">
        <v>2110101</v>
      </c>
      <c r="I517" s="12" t="s">
        <v>32</v>
      </c>
      <c r="J517" s="10" t="n">
        <v>1340626</v>
      </c>
      <c r="L517" s="10" t="n">
        <v>101974</v>
      </c>
      <c r="M517" s="12" t="s">
        <v>33</v>
      </c>
      <c r="N517" s="12" t="s">
        <v>34</v>
      </c>
      <c r="P517" s="10" t="n">
        <v>103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584.73</v>
      </c>
      <c r="W517" s="13" t="n">
        <v>0</v>
      </c>
      <c r="X517" s="12" t="s">
        <v>748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46212</v>
      </c>
      <c r="C518" s="11" t="n">
        <v>46217</v>
      </c>
      <c r="D518" s="10" t="n">
        <v>1328</v>
      </c>
      <c r="E518" s="12" t="s">
        <v>186</v>
      </c>
      <c r="F518" s="10" t="n">
        <v>24</v>
      </c>
      <c r="G518" s="12" t="s">
        <v>31</v>
      </c>
      <c r="H518" s="10" t="n">
        <v>1110202</v>
      </c>
      <c r="I518" s="12" t="s">
        <v>90</v>
      </c>
      <c r="J518" s="10" t="n">
        <v>1374263</v>
      </c>
      <c r="L518" s="10" t="n">
        <v>3999</v>
      </c>
      <c r="M518" s="12" t="s">
        <v>33</v>
      </c>
      <c r="N518" s="12" t="s">
        <v>66</v>
      </c>
      <c r="P518" s="10" t="n">
        <v>103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241.6</v>
      </c>
      <c r="W518" s="13" t="n">
        <v>0</v>
      </c>
      <c r="X518" s="12" t="s">
        <v>749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46210</v>
      </c>
      <c r="C519" s="11" t="n">
        <v>46217</v>
      </c>
      <c r="D519" s="10" t="n">
        <v>666</v>
      </c>
      <c r="E519" s="12" t="s">
        <v>126</v>
      </c>
      <c r="F519" s="10" t="n">
        <v>24</v>
      </c>
      <c r="G519" s="12" t="s">
        <v>31</v>
      </c>
      <c r="H519" s="10" t="n">
        <v>2110101</v>
      </c>
      <c r="I519" s="12" t="s">
        <v>32</v>
      </c>
      <c r="J519" s="10" t="n">
        <v>1366430</v>
      </c>
      <c r="L519" s="10" t="n">
        <v>7876</v>
      </c>
      <c r="M519" s="12" t="s">
        <v>33</v>
      </c>
      <c r="N519" s="12" t="s">
        <v>34</v>
      </c>
      <c r="P519" s="10" t="n">
        <v>103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287.8</v>
      </c>
      <c r="W519" s="13" t="n">
        <v>0</v>
      </c>
      <c r="X519" s="12" t="s">
        <v>750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46204</v>
      </c>
      <c r="C520" s="11" t="n">
        <v>46217</v>
      </c>
      <c r="D520" s="10" t="n">
        <v>1114</v>
      </c>
      <c r="E520" s="12" t="s">
        <v>128</v>
      </c>
      <c r="F520" s="10" t="n">
        <v>24</v>
      </c>
      <c r="G520" s="12" t="s">
        <v>31</v>
      </c>
      <c r="H520" s="10" t="n">
        <v>2110101</v>
      </c>
      <c r="I520" s="12" t="s">
        <v>32</v>
      </c>
      <c r="J520" s="10" t="n">
        <v>1333931</v>
      </c>
      <c r="L520" s="10" t="n">
        <v>39854</v>
      </c>
      <c r="M520" s="12" t="s">
        <v>33</v>
      </c>
      <c r="N520" s="12" t="s">
        <v>34</v>
      </c>
      <c r="P520" s="10" t="n">
        <v>103</v>
      </c>
      <c r="Q520" s="12" t="s">
        <v>35</v>
      </c>
      <c r="R520" s="12" t="s">
        <v>36</v>
      </c>
      <c r="S520" s="10" t="n">
        <v>1130101</v>
      </c>
      <c r="T520" s="12" t="s">
        <v>37</v>
      </c>
      <c r="U520" s="13" t="n">
        <v>4298.22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46204</v>
      </c>
      <c r="C521" s="11" t="n">
        <v>46217</v>
      </c>
      <c r="D521" s="10" t="n">
        <v>1107</v>
      </c>
      <c r="E521" s="12" t="s">
        <v>525</v>
      </c>
      <c r="F521" s="10" t="n">
        <v>24</v>
      </c>
      <c r="G521" s="12" t="s">
        <v>31</v>
      </c>
      <c r="H521" s="10" t="n">
        <v>2110101</v>
      </c>
      <c r="I521" s="12" t="s">
        <v>32</v>
      </c>
      <c r="J521" s="10" t="n">
        <v>1335361</v>
      </c>
      <c r="L521" s="10" t="n">
        <v>423615</v>
      </c>
      <c r="M521" s="12" t="s">
        <v>33</v>
      </c>
      <c r="N521" s="12" t="s">
        <v>34</v>
      </c>
      <c r="P521" s="10" t="n">
        <v>103</v>
      </c>
      <c r="Q521" s="12" t="s">
        <v>35</v>
      </c>
      <c r="R521" s="12" t="s">
        <v>36</v>
      </c>
      <c r="S521" s="10" t="n">
        <v>1130101</v>
      </c>
      <c r="T521" s="12" t="s">
        <v>37</v>
      </c>
      <c r="U521" s="13" t="n">
        <v>1120.61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46172</v>
      </c>
      <c r="C522" s="11" t="n">
        <v>46217</v>
      </c>
      <c r="D522" s="10" t="n">
        <v>607</v>
      </c>
      <c r="E522" s="12" t="s">
        <v>81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1177249</v>
      </c>
      <c r="L522" s="10" t="n">
        <v>10589</v>
      </c>
      <c r="M522" s="12" t="s">
        <v>79</v>
      </c>
      <c r="N522" s="12" t="s">
        <v>34</v>
      </c>
      <c r="P522" s="10" t="n">
        <v>103</v>
      </c>
      <c r="Q522" s="12" t="s">
        <v>35</v>
      </c>
      <c r="R522" s="12" t="s">
        <v>36</v>
      </c>
      <c r="S522" s="10" t="n">
        <v>1130101</v>
      </c>
      <c r="T522" s="12" t="s">
        <v>37</v>
      </c>
      <c r="U522" s="13" t="n">
        <v>1060.9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46211</v>
      </c>
      <c r="C523" s="11" t="n">
        <v>46217</v>
      </c>
      <c r="D523" s="10" t="n">
        <v>33</v>
      </c>
      <c r="E523" s="12" t="s">
        <v>64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1369426</v>
      </c>
      <c r="L523" s="10" t="n">
        <v>5275</v>
      </c>
      <c r="M523" s="12" t="s">
        <v>33</v>
      </c>
      <c r="N523" s="12" t="s">
        <v>34</v>
      </c>
      <c r="P523" s="10" t="n">
        <v>103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290</v>
      </c>
      <c r="W523" s="13" t="n">
        <v>0</v>
      </c>
      <c r="X523" s="12" t="s">
        <v>754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46217</v>
      </c>
      <c r="C524" s="11" t="n">
        <v>46217</v>
      </c>
      <c r="D524" s="10" t="n">
        <v>33</v>
      </c>
      <c r="E524" s="12" t="s">
        <v>64</v>
      </c>
      <c r="F524" s="10" t="n">
        <v>13</v>
      </c>
      <c r="G524" s="12" t="s">
        <v>55</v>
      </c>
      <c r="H524" s="10" t="n">
        <v>2110101</v>
      </c>
      <c r="I524" s="12" t="s">
        <v>32</v>
      </c>
      <c r="J524" s="10" t="n">
        <v>1397824</v>
      </c>
      <c r="L524" s="10" t="n">
        <v>5296</v>
      </c>
      <c r="M524" s="12" t="s">
        <v>33</v>
      </c>
      <c r="N524" s="12" t="s">
        <v>34</v>
      </c>
      <c r="P524" s="10" t="n">
        <v>104</v>
      </c>
      <c r="Q524" s="12" t="s">
        <v>50</v>
      </c>
      <c r="R524" s="12" t="s">
        <v>36</v>
      </c>
      <c r="S524" s="10" t="n">
        <v>1130101</v>
      </c>
      <c r="T524" s="12" t="s">
        <v>37</v>
      </c>
      <c r="U524" s="13" t="n">
        <v>280</v>
      </c>
      <c r="W524" s="13" t="n">
        <v>280</v>
      </c>
      <c r="X524" s="12" t="s">
        <v>195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46217</v>
      </c>
      <c r="C525" s="11" t="n">
        <v>46217</v>
      </c>
      <c r="D525" s="10" t="n">
        <v>33</v>
      </c>
      <c r="E525" s="12" t="s">
        <v>64</v>
      </c>
      <c r="F525" s="10" t="n">
        <v>13</v>
      </c>
      <c r="G525" s="12" t="s">
        <v>55</v>
      </c>
      <c r="H525" s="10" t="n">
        <v>2110101</v>
      </c>
      <c r="I525" s="12" t="s">
        <v>32</v>
      </c>
      <c r="J525" s="10" t="n">
        <v>1397913</v>
      </c>
      <c r="L525" s="10" t="n">
        <v>5297</v>
      </c>
      <c r="M525" s="12" t="s">
        <v>33</v>
      </c>
      <c r="N525" s="12" t="s">
        <v>34</v>
      </c>
      <c r="P525" s="10" t="n">
        <v>104</v>
      </c>
      <c r="Q525" s="12" t="s">
        <v>50</v>
      </c>
      <c r="R525" s="12" t="s">
        <v>36</v>
      </c>
      <c r="S525" s="10" t="n">
        <v>1130101</v>
      </c>
      <c r="T525" s="12" t="s">
        <v>37</v>
      </c>
      <c r="U525" s="13" t="n">
        <v>280</v>
      </c>
      <c r="W525" s="13" t="n">
        <v>280</v>
      </c>
      <c r="X525" s="12" t="s">
        <v>195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46217</v>
      </c>
      <c r="C526" s="11" t="n">
        <v>46217</v>
      </c>
      <c r="D526" s="10" t="n">
        <v>33</v>
      </c>
      <c r="E526" s="12" t="s">
        <v>64</v>
      </c>
      <c r="F526" s="10" t="n">
        <v>34</v>
      </c>
      <c r="G526" s="12" t="s">
        <v>49</v>
      </c>
      <c r="H526" s="10" t="n">
        <v>2110101</v>
      </c>
      <c r="I526" s="12" t="s">
        <v>32</v>
      </c>
      <c r="J526" s="10" t="n">
        <v>1398159</v>
      </c>
      <c r="L526" s="10" t="n">
        <v>5302</v>
      </c>
      <c r="M526" s="12" t="s">
        <v>33</v>
      </c>
      <c r="N526" s="12" t="s">
        <v>34</v>
      </c>
      <c r="P526" s="10" t="n">
        <v>104</v>
      </c>
      <c r="Q526" s="12" t="s">
        <v>50</v>
      </c>
      <c r="R526" s="12" t="s">
        <v>36</v>
      </c>
      <c r="S526" s="10" t="n">
        <v>1130101</v>
      </c>
      <c r="T526" s="12" t="s">
        <v>37</v>
      </c>
      <c r="U526" s="13" t="n">
        <v>3395.95</v>
      </c>
      <c r="W526" s="13" t="n">
        <v>0</v>
      </c>
      <c r="X526" s="12" t="s">
        <v>364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46217</v>
      </c>
      <c r="C527" s="11" t="n">
        <v>46217</v>
      </c>
      <c r="D527" s="10" t="n">
        <v>514</v>
      </c>
      <c r="E527" s="12" t="s">
        <v>652</v>
      </c>
      <c r="F527" s="10" t="n">
        <v>34</v>
      </c>
      <c r="G527" s="12" t="s">
        <v>49</v>
      </c>
      <c r="H527" s="10" t="n">
        <v>1110202</v>
      </c>
      <c r="I527" s="12" t="s">
        <v>90</v>
      </c>
      <c r="J527" s="10" t="n">
        <v>1397889</v>
      </c>
      <c r="L527" s="10" t="n">
        <v>576438</v>
      </c>
      <c r="M527" s="12" t="s">
        <v>33</v>
      </c>
      <c r="N527" s="12" t="s">
        <v>66</v>
      </c>
      <c r="P527" s="10" t="n">
        <v>102</v>
      </c>
      <c r="Q527" s="12" t="s">
        <v>112</v>
      </c>
      <c r="R527" s="12" t="s">
        <v>91</v>
      </c>
      <c r="S527" s="10" t="n">
        <v>4220199</v>
      </c>
      <c r="T527" s="12" t="s">
        <v>92</v>
      </c>
      <c r="U527" s="13" t="n">
        <v>450</v>
      </c>
      <c r="W527" s="13" t="n">
        <v>0</v>
      </c>
      <c r="X527" s="12" t="s">
        <v>755</v>
      </c>
      <c r="Z527" s="1" t="str">
        <f aca="false">IF($T527="","",IFERROR(INDEX('Resumo Grupos'!$AC$3:$AC$200,MATCH($T527,'Resumo Grupos'!$AB$3:$AB$200,0)),"n/d"))</f>
        <v>Pagamentos outros não operacionais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46211</v>
      </c>
      <c r="C528" s="11" t="n">
        <v>46217</v>
      </c>
      <c r="D528" s="10" t="n">
        <v>754</v>
      </c>
      <c r="E528" s="12" t="s">
        <v>68</v>
      </c>
      <c r="F528" s="10" t="n">
        <v>24</v>
      </c>
      <c r="G528" s="12" t="s">
        <v>31</v>
      </c>
      <c r="H528" s="10" t="n">
        <v>2110101</v>
      </c>
      <c r="I528" s="12" t="s">
        <v>32</v>
      </c>
      <c r="J528" s="10" t="n">
        <v>1369311</v>
      </c>
      <c r="L528" s="10" t="n">
        <v>31659</v>
      </c>
      <c r="M528" s="12" t="s">
        <v>33</v>
      </c>
      <c r="N528" s="12" t="s">
        <v>34</v>
      </c>
      <c r="P528" s="10" t="n">
        <v>103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2880</v>
      </c>
      <c r="W528" s="13" t="n">
        <v>0</v>
      </c>
      <c r="X528" s="12" t="s">
        <v>756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46184</v>
      </c>
      <c r="C529" s="11" t="n">
        <v>46217</v>
      </c>
      <c r="D529" s="10" t="n">
        <v>1390</v>
      </c>
      <c r="E529" s="12" t="s">
        <v>757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1235862</v>
      </c>
      <c r="L529" s="10" t="n">
        <v>6597</v>
      </c>
      <c r="M529" s="12" t="s">
        <v>33</v>
      </c>
      <c r="N529" s="12" t="s">
        <v>34</v>
      </c>
      <c r="P529" s="10" t="n">
        <v>103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525.07</v>
      </c>
      <c r="W529" s="13" t="n">
        <v>0</v>
      </c>
      <c r="X529" s="12" t="s">
        <v>758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46199</v>
      </c>
      <c r="C530" s="11" t="n">
        <v>46217</v>
      </c>
      <c r="D530" s="10" t="n">
        <v>1745</v>
      </c>
      <c r="E530" s="12" t="s">
        <v>212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1310155</v>
      </c>
      <c r="L530" s="10" t="n">
        <v>348726</v>
      </c>
      <c r="M530" s="12" t="s">
        <v>33</v>
      </c>
      <c r="N530" s="12" t="s">
        <v>34</v>
      </c>
      <c r="P530" s="10" t="n">
        <v>103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901.94</v>
      </c>
      <c r="W530" s="13" t="n">
        <v>0</v>
      </c>
      <c r="X530" s="12" t="s">
        <v>759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46202</v>
      </c>
      <c r="C531" s="11" t="n">
        <v>46217</v>
      </c>
      <c r="D531" s="10" t="n">
        <v>1402</v>
      </c>
      <c r="E531" s="12" t="s">
        <v>214</v>
      </c>
      <c r="F531" s="10" t="n">
        <v>24</v>
      </c>
      <c r="G531" s="12" t="s">
        <v>31</v>
      </c>
      <c r="H531" s="10" t="n">
        <v>2110102</v>
      </c>
      <c r="I531" s="12" t="s">
        <v>197</v>
      </c>
      <c r="J531" s="10" t="n">
        <v>1323014</v>
      </c>
      <c r="L531" s="10" t="n">
        <v>3370</v>
      </c>
      <c r="M531" s="12" t="s">
        <v>33</v>
      </c>
      <c r="N531" s="12" t="s">
        <v>34</v>
      </c>
      <c r="P531" s="10" t="n">
        <v>103</v>
      </c>
      <c r="Q531" s="12" t="s">
        <v>35</v>
      </c>
      <c r="R531" s="12" t="s">
        <v>94</v>
      </c>
      <c r="S531" s="10" t="n">
        <v>4210204</v>
      </c>
      <c r="T531" s="12" t="s">
        <v>198</v>
      </c>
      <c r="U531" s="13" t="n">
        <v>1580.8</v>
      </c>
      <c r="W531" s="13" t="n">
        <v>0</v>
      </c>
      <c r="X531" s="12" t="s">
        <v>760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46196</v>
      </c>
      <c r="C532" s="11" t="n">
        <v>46218</v>
      </c>
      <c r="D532" s="10" t="n">
        <v>1637</v>
      </c>
      <c r="E532" s="12" t="s">
        <v>97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1295752</v>
      </c>
      <c r="L532" s="10" t="n">
        <v>1892632</v>
      </c>
      <c r="M532" s="12" t="s">
        <v>33</v>
      </c>
      <c r="N532" s="12" t="s">
        <v>34</v>
      </c>
      <c r="P532" s="10" t="n">
        <v>103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757</v>
      </c>
      <c r="W532" s="13" t="n">
        <v>0</v>
      </c>
      <c r="X532" s="12" t="s">
        <v>761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46198</v>
      </c>
      <c r="C533" s="11" t="n">
        <v>46218</v>
      </c>
      <c r="D533" s="10" t="n">
        <v>1637</v>
      </c>
      <c r="E533" s="12" t="s">
        <v>97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1305288</v>
      </c>
      <c r="L533" s="10" t="n">
        <v>1895762</v>
      </c>
      <c r="M533" s="12" t="s">
        <v>33</v>
      </c>
      <c r="N533" s="12" t="s">
        <v>34</v>
      </c>
      <c r="P533" s="10" t="n">
        <v>103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1686.85</v>
      </c>
      <c r="W533" s="13" t="n">
        <v>0</v>
      </c>
      <c r="X533" s="12" t="s">
        <v>762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46198</v>
      </c>
      <c r="C534" s="11" t="n">
        <v>46218</v>
      </c>
      <c r="D534" s="10" t="n">
        <v>1637</v>
      </c>
      <c r="E534" s="12" t="s">
        <v>97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1305735</v>
      </c>
      <c r="L534" s="10" t="n">
        <v>1895809</v>
      </c>
      <c r="M534" s="12" t="s">
        <v>33</v>
      </c>
      <c r="N534" s="12" t="s">
        <v>34</v>
      </c>
      <c r="P534" s="10" t="n">
        <v>103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519.51</v>
      </c>
      <c r="W534" s="13" t="n">
        <v>0</v>
      </c>
      <c r="X534" s="12" t="s">
        <v>763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46199</v>
      </c>
      <c r="C535" s="11" t="n">
        <v>46218</v>
      </c>
      <c r="D535" s="10" t="n">
        <v>1613</v>
      </c>
      <c r="E535" s="12" t="s">
        <v>71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1309293</v>
      </c>
      <c r="L535" s="10" t="n">
        <v>1600670</v>
      </c>
      <c r="M535" s="12" t="s">
        <v>76</v>
      </c>
      <c r="N535" s="12" t="s">
        <v>34</v>
      </c>
      <c r="P535" s="10" t="n">
        <v>103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6714.04</v>
      </c>
      <c r="W535" s="13" t="n">
        <v>0</v>
      </c>
      <c r="X535" s="12" t="s">
        <v>764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46207</v>
      </c>
      <c r="C536" s="11" t="n">
        <v>46218</v>
      </c>
      <c r="D536" s="10" t="n">
        <v>1613</v>
      </c>
      <c r="E536" s="12" t="s">
        <v>71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1348480</v>
      </c>
      <c r="L536" s="10" t="n">
        <v>1603506</v>
      </c>
      <c r="M536" s="12" t="s">
        <v>33</v>
      </c>
      <c r="N536" s="12" t="s">
        <v>34</v>
      </c>
      <c r="P536" s="10" t="n">
        <v>103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2368.52</v>
      </c>
      <c r="W536" s="13" t="n">
        <v>0</v>
      </c>
      <c r="X536" s="12" t="s">
        <v>765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46191</v>
      </c>
      <c r="C537" s="11" t="n">
        <v>46218</v>
      </c>
      <c r="D537" s="10" t="n">
        <v>1601</v>
      </c>
      <c r="E537" s="12" t="s">
        <v>243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1268785</v>
      </c>
      <c r="L537" s="10" t="n">
        <v>844855</v>
      </c>
      <c r="M537" s="12" t="s">
        <v>40</v>
      </c>
      <c r="N537" s="12" t="s">
        <v>34</v>
      </c>
      <c r="P537" s="10" t="n">
        <v>103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985.3</v>
      </c>
      <c r="W537" s="13" t="n">
        <v>0</v>
      </c>
      <c r="X537" s="12" t="s">
        <v>766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46217</v>
      </c>
      <c r="C538" s="11" t="n">
        <v>46218</v>
      </c>
      <c r="D538" s="10" t="n">
        <v>1615</v>
      </c>
      <c r="E538" s="12" t="s">
        <v>48</v>
      </c>
      <c r="F538" s="10" t="n">
        <v>34</v>
      </c>
      <c r="G538" s="12" t="s">
        <v>49</v>
      </c>
      <c r="H538" s="10" t="n">
        <v>2110101</v>
      </c>
      <c r="I538" s="12" t="s">
        <v>32</v>
      </c>
      <c r="J538" s="10" t="n">
        <v>1397792</v>
      </c>
      <c r="L538" s="10" t="n">
        <v>14862</v>
      </c>
      <c r="M538" s="12" t="s">
        <v>33</v>
      </c>
      <c r="N538" s="12" t="s">
        <v>34</v>
      </c>
      <c r="P538" s="10" t="n">
        <v>104</v>
      </c>
      <c r="Q538" s="12" t="s">
        <v>50</v>
      </c>
      <c r="R538" s="12" t="s">
        <v>36</v>
      </c>
      <c r="S538" s="10" t="n">
        <v>1130101</v>
      </c>
      <c r="T538" s="12" t="s">
        <v>37</v>
      </c>
      <c r="U538" s="13" t="n">
        <v>340</v>
      </c>
      <c r="W538" s="13" t="n">
        <v>0</v>
      </c>
      <c r="X538" s="12" t="s">
        <v>767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46197</v>
      </c>
      <c r="C539" s="11" t="n">
        <v>46218</v>
      </c>
      <c r="D539" s="10" t="n">
        <v>1608</v>
      </c>
      <c r="E539" s="12" t="s">
        <v>52</v>
      </c>
      <c r="F539" s="10" t="n">
        <v>24</v>
      </c>
      <c r="G539" s="12" t="s">
        <v>31</v>
      </c>
      <c r="H539" s="10" t="n">
        <v>2110101</v>
      </c>
      <c r="I539" s="12" t="s">
        <v>32</v>
      </c>
      <c r="J539" s="10" t="n">
        <v>1299186</v>
      </c>
      <c r="L539" s="10" t="n">
        <v>1679265</v>
      </c>
      <c r="M539" s="12" t="s">
        <v>33</v>
      </c>
      <c r="N539" s="12" t="s">
        <v>34</v>
      </c>
      <c r="P539" s="10" t="n">
        <v>103</v>
      </c>
      <c r="Q539" s="12" t="s">
        <v>35</v>
      </c>
      <c r="R539" s="12" t="s">
        <v>36</v>
      </c>
      <c r="S539" s="10" t="n">
        <v>1130101</v>
      </c>
      <c r="T539" s="12" t="s">
        <v>37</v>
      </c>
      <c r="U539" s="13" t="n">
        <v>1065.06</v>
      </c>
      <c r="W539" s="13" t="n">
        <v>0</v>
      </c>
      <c r="X539" s="12" t="s">
        <v>768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46197</v>
      </c>
      <c r="C540" s="11" t="n">
        <v>46218</v>
      </c>
      <c r="D540" s="10" t="n">
        <v>1608</v>
      </c>
      <c r="E540" s="12" t="s">
        <v>52</v>
      </c>
      <c r="F540" s="10" t="n">
        <v>24</v>
      </c>
      <c r="G540" s="12" t="s">
        <v>31</v>
      </c>
      <c r="H540" s="10" t="n">
        <v>2110101</v>
      </c>
      <c r="I540" s="12" t="s">
        <v>32</v>
      </c>
      <c r="J540" s="10" t="n">
        <v>1300337</v>
      </c>
      <c r="L540" s="10" t="n">
        <v>1679646</v>
      </c>
      <c r="M540" s="12" t="s">
        <v>33</v>
      </c>
      <c r="N540" s="12" t="s">
        <v>34</v>
      </c>
      <c r="P540" s="10" t="n">
        <v>103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1271.27</v>
      </c>
      <c r="W540" s="13" t="n">
        <v>0</v>
      </c>
      <c r="X540" s="12" t="s">
        <v>769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46211</v>
      </c>
      <c r="C541" s="11" t="n">
        <v>46218</v>
      </c>
      <c r="D541" s="10" t="n">
        <v>1683</v>
      </c>
      <c r="E541" s="12" t="s">
        <v>162</v>
      </c>
      <c r="F541" s="10" t="n">
        <v>34</v>
      </c>
      <c r="G541" s="12" t="s">
        <v>49</v>
      </c>
      <c r="H541" s="10" t="n">
        <v>2110101</v>
      </c>
      <c r="I541" s="12" t="s">
        <v>32</v>
      </c>
      <c r="J541" s="10" t="n">
        <v>1398444</v>
      </c>
      <c r="L541" s="10" t="n">
        <v>1644513</v>
      </c>
      <c r="M541" s="12" t="s">
        <v>33</v>
      </c>
      <c r="N541" s="12" t="s">
        <v>34</v>
      </c>
      <c r="P541" s="10" t="n">
        <v>104</v>
      </c>
      <c r="Q541" s="12" t="s">
        <v>50</v>
      </c>
      <c r="R541" s="12" t="s">
        <v>36</v>
      </c>
      <c r="S541" s="10" t="n">
        <v>1130101</v>
      </c>
      <c r="T541" s="12" t="s">
        <v>37</v>
      </c>
      <c r="U541" s="13" t="n">
        <v>261</v>
      </c>
      <c r="W541" s="13" t="n">
        <v>0</v>
      </c>
      <c r="X541" s="12" t="s">
        <v>770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46211</v>
      </c>
      <c r="C542" s="11" t="n">
        <v>46218</v>
      </c>
      <c r="D542" s="10" t="n">
        <v>1683</v>
      </c>
      <c r="E542" s="12" t="s">
        <v>162</v>
      </c>
      <c r="F542" s="10" t="n">
        <v>34</v>
      </c>
      <c r="G542" s="12" t="s">
        <v>49</v>
      </c>
      <c r="H542" s="10" t="n">
        <v>2110101</v>
      </c>
      <c r="I542" s="12" t="s">
        <v>32</v>
      </c>
      <c r="J542" s="10" t="n">
        <v>1398464</v>
      </c>
      <c r="L542" s="10" t="n">
        <v>1644532</v>
      </c>
      <c r="M542" s="12" t="s">
        <v>33</v>
      </c>
      <c r="N542" s="12" t="s">
        <v>34</v>
      </c>
      <c r="P542" s="10" t="n">
        <v>104</v>
      </c>
      <c r="Q542" s="12" t="s">
        <v>50</v>
      </c>
      <c r="R542" s="12" t="s">
        <v>36</v>
      </c>
      <c r="S542" s="10" t="n">
        <v>1130101</v>
      </c>
      <c r="T542" s="12" t="s">
        <v>37</v>
      </c>
      <c r="U542" s="13" t="n">
        <v>315</v>
      </c>
      <c r="W542" s="13" t="n">
        <v>0</v>
      </c>
      <c r="X542" s="12" t="s">
        <v>771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46211</v>
      </c>
      <c r="C543" s="11" t="n">
        <v>46218</v>
      </c>
      <c r="D543" s="10" t="n">
        <v>1683</v>
      </c>
      <c r="E543" s="12" t="s">
        <v>162</v>
      </c>
      <c r="F543" s="10" t="n">
        <v>34</v>
      </c>
      <c r="G543" s="12" t="s">
        <v>49</v>
      </c>
      <c r="H543" s="10" t="n">
        <v>2110101</v>
      </c>
      <c r="I543" s="12" t="s">
        <v>32</v>
      </c>
      <c r="J543" s="10" t="n">
        <v>1398528</v>
      </c>
      <c r="L543" s="10" t="n">
        <v>1644528</v>
      </c>
      <c r="M543" s="12" t="s">
        <v>33</v>
      </c>
      <c r="N543" s="12" t="s">
        <v>34</v>
      </c>
      <c r="P543" s="10" t="n">
        <v>104</v>
      </c>
      <c r="Q543" s="12" t="s">
        <v>50</v>
      </c>
      <c r="R543" s="12" t="s">
        <v>36</v>
      </c>
      <c r="S543" s="10" t="n">
        <v>1130101</v>
      </c>
      <c r="T543" s="12" t="s">
        <v>37</v>
      </c>
      <c r="U543" s="13" t="n">
        <v>210</v>
      </c>
      <c r="W543" s="13" t="n">
        <v>0</v>
      </c>
      <c r="X543" s="12" t="s">
        <v>772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46211</v>
      </c>
      <c r="C544" s="11" t="n">
        <v>46218</v>
      </c>
      <c r="D544" s="10" t="n">
        <v>1683</v>
      </c>
      <c r="E544" s="12" t="s">
        <v>162</v>
      </c>
      <c r="F544" s="10" t="n">
        <v>34</v>
      </c>
      <c r="G544" s="12" t="s">
        <v>49</v>
      </c>
      <c r="H544" s="10" t="n">
        <v>2110101</v>
      </c>
      <c r="I544" s="12" t="s">
        <v>32</v>
      </c>
      <c r="J544" s="10" t="n">
        <v>1398549</v>
      </c>
      <c r="L544" s="10" t="n">
        <v>1644535</v>
      </c>
      <c r="M544" s="12" t="s">
        <v>33</v>
      </c>
      <c r="N544" s="12" t="s">
        <v>34</v>
      </c>
      <c r="P544" s="10" t="n">
        <v>104</v>
      </c>
      <c r="Q544" s="12" t="s">
        <v>50</v>
      </c>
      <c r="R544" s="12" t="s">
        <v>36</v>
      </c>
      <c r="S544" s="10" t="n">
        <v>1130101</v>
      </c>
      <c r="T544" s="12" t="s">
        <v>37</v>
      </c>
      <c r="U544" s="13" t="n">
        <v>210</v>
      </c>
      <c r="W544" s="13" t="n">
        <v>0</v>
      </c>
      <c r="X544" s="12" t="s">
        <v>773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46211</v>
      </c>
      <c r="C545" s="11" t="n">
        <v>46218</v>
      </c>
      <c r="D545" s="10" t="n">
        <v>1683</v>
      </c>
      <c r="E545" s="12" t="s">
        <v>162</v>
      </c>
      <c r="F545" s="10" t="n">
        <v>34</v>
      </c>
      <c r="G545" s="12" t="s">
        <v>49</v>
      </c>
      <c r="H545" s="10" t="n">
        <v>2110101</v>
      </c>
      <c r="I545" s="12" t="s">
        <v>32</v>
      </c>
      <c r="J545" s="10" t="n">
        <v>1401380</v>
      </c>
      <c r="L545" s="10" t="n">
        <v>1644538</v>
      </c>
      <c r="M545" s="12" t="s">
        <v>33</v>
      </c>
      <c r="N545" s="12" t="s">
        <v>34</v>
      </c>
      <c r="P545" s="10" t="n">
        <v>104</v>
      </c>
      <c r="Q545" s="12" t="s">
        <v>50</v>
      </c>
      <c r="R545" s="12" t="s">
        <v>36</v>
      </c>
      <c r="S545" s="10" t="n">
        <v>1130101</v>
      </c>
      <c r="T545" s="12" t="s">
        <v>37</v>
      </c>
      <c r="U545" s="13" t="n">
        <v>246</v>
      </c>
      <c r="W545" s="13" t="n">
        <v>0</v>
      </c>
      <c r="X545" s="12" t="s">
        <v>774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46213</v>
      </c>
      <c r="C546" s="11" t="n">
        <v>46218</v>
      </c>
      <c r="D546" s="10" t="n">
        <v>1683</v>
      </c>
      <c r="E546" s="12" t="s">
        <v>162</v>
      </c>
      <c r="F546" s="10" t="n">
        <v>34</v>
      </c>
      <c r="G546" s="12" t="s">
        <v>49</v>
      </c>
      <c r="H546" s="10" t="n">
        <v>2110101</v>
      </c>
      <c r="I546" s="12" t="s">
        <v>32</v>
      </c>
      <c r="J546" s="10" t="n">
        <v>1401410</v>
      </c>
      <c r="L546" s="10" t="n">
        <v>1645598</v>
      </c>
      <c r="M546" s="12" t="s">
        <v>33</v>
      </c>
      <c r="N546" s="12" t="s">
        <v>34</v>
      </c>
      <c r="P546" s="10" t="n">
        <v>104</v>
      </c>
      <c r="Q546" s="12" t="s">
        <v>50</v>
      </c>
      <c r="R546" s="12" t="s">
        <v>36</v>
      </c>
      <c r="S546" s="10" t="n">
        <v>1130101</v>
      </c>
      <c r="T546" s="12" t="s">
        <v>37</v>
      </c>
      <c r="U546" s="13" t="n">
        <v>90</v>
      </c>
      <c r="W546" s="13" t="n">
        <v>0</v>
      </c>
      <c r="X546" s="12" t="s">
        <v>775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46217</v>
      </c>
      <c r="C547" s="11" t="n">
        <v>46218</v>
      </c>
      <c r="D547" s="10" t="n">
        <v>1683</v>
      </c>
      <c r="E547" s="12" t="s">
        <v>162</v>
      </c>
      <c r="F547" s="10" t="n">
        <v>34</v>
      </c>
      <c r="G547" s="12" t="s">
        <v>49</v>
      </c>
      <c r="H547" s="10" t="n">
        <v>2110101</v>
      </c>
      <c r="I547" s="12" t="s">
        <v>32</v>
      </c>
      <c r="J547" s="10" t="n">
        <v>1401472</v>
      </c>
      <c r="L547" s="10" t="n">
        <v>1647045</v>
      </c>
      <c r="M547" s="12" t="s">
        <v>33</v>
      </c>
      <c r="N547" s="12" t="s">
        <v>34</v>
      </c>
      <c r="P547" s="10" t="n">
        <v>104</v>
      </c>
      <c r="Q547" s="12" t="s">
        <v>50</v>
      </c>
      <c r="R547" s="12" t="s">
        <v>36</v>
      </c>
      <c r="S547" s="10" t="n">
        <v>1130101</v>
      </c>
      <c r="T547" s="12" t="s">
        <v>37</v>
      </c>
      <c r="U547" s="13" t="n">
        <v>261</v>
      </c>
      <c r="W547" s="13" t="n">
        <v>0</v>
      </c>
      <c r="X547" s="12" t="s">
        <v>776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46217</v>
      </c>
      <c r="C548" s="11" t="n">
        <v>46218</v>
      </c>
      <c r="D548" s="10" t="n">
        <v>1683</v>
      </c>
      <c r="E548" s="12" t="s">
        <v>162</v>
      </c>
      <c r="F548" s="10" t="n">
        <v>34</v>
      </c>
      <c r="G548" s="12" t="s">
        <v>49</v>
      </c>
      <c r="H548" s="10" t="n">
        <v>2110101</v>
      </c>
      <c r="I548" s="12" t="s">
        <v>32</v>
      </c>
      <c r="J548" s="10" t="n">
        <v>1401502</v>
      </c>
      <c r="L548" s="10" t="n">
        <v>1647051</v>
      </c>
      <c r="M548" s="12" t="s">
        <v>33</v>
      </c>
      <c r="N548" s="12" t="s">
        <v>34</v>
      </c>
      <c r="P548" s="10" t="n">
        <v>104</v>
      </c>
      <c r="Q548" s="12" t="s">
        <v>50</v>
      </c>
      <c r="R548" s="12" t="s">
        <v>36</v>
      </c>
      <c r="S548" s="10" t="n">
        <v>1130101</v>
      </c>
      <c r="T548" s="12" t="s">
        <v>37</v>
      </c>
      <c r="U548" s="13" t="n">
        <v>210</v>
      </c>
      <c r="W548" s="13" t="n">
        <v>0</v>
      </c>
      <c r="X548" s="12" t="s">
        <v>777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46218</v>
      </c>
      <c r="C549" s="11" t="n">
        <v>46218</v>
      </c>
      <c r="D549" s="10" t="n">
        <v>1683</v>
      </c>
      <c r="E549" s="12" t="s">
        <v>162</v>
      </c>
      <c r="F549" s="10" t="n">
        <v>34</v>
      </c>
      <c r="G549" s="12" t="s">
        <v>49</v>
      </c>
      <c r="H549" s="10" t="n">
        <v>2110101</v>
      </c>
      <c r="I549" s="12" t="s">
        <v>32</v>
      </c>
      <c r="J549" s="10" t="n">
        <v>1406042</v>
      </c>
      <c r="L549" s="10" t="n">
        <v>1647750</v>
      </c>
      <c r="M549" s="12" t="s">
        <v>33</v>
      </c>
      <c r="N549" s="12" t="s">
        <v>34</v>
      </c>
      <c r="P549" s="10" t="n">
        <v>104</v>
      </c>
      <c r="Q549" s="12" t="s">
        <v>50</v>
      </c>
      <c r="R549" s="12" t="s">
        <v>36</v>
      </c>
      <c r="S549" s="10" t="n">
        <v>1130101</v>
      </c>
      <c r="T549" s="12" t="s">
        <v>37</v>
      </c>
      <c r="U549" s="13" t="n">
        <v>225</v>
      </c>
      <c r="W549" s="13" t="n">
        <v>0</v>
      </c>
      <c r="X549" s="12" t="s">
        <v>778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46218</v>
      </c>
      <c r="C550" s="11" t="n">
        <v>46218</v>
      </c>
      <c r="D550" s="10" t="n">
        <v>1061</v>
      </c>
      <c r="E550" s="12" t="s">
        <v>393</v>
      </c>
      <c r="F550" s="10" t="n">
        <v>34</v>
      </c>
      <c r="G550" s="12" t="s">
        <v>49</v>
      </c>
      <c r="H550" s="10" t="n">
        <v>1110202</v>
      </c>
      <c r="I550" s="12" t="s">
        <v>90</v>
      </c>
      <c r="J550" s="10" t="n">
        <v>1449315</v>
      </c>
      <c r="L550" s="10" t="n">
        <v>596195</v>
      </c>
      <c r="M550" s="12" t="s">
        <v>33</v>
      </c>
      <c r="N550" s="12" t="s">
        <v>66</v>
      </c>
      <c r="P550" s="10" t="n">
        <v>102</v>
      </c>
      <c r="Q550" s="12" t="s">
        <v>112</v>
      </c>
      <c r="R550" s="12" t="s">
        <v>91</v>
      </c>
      <c r="S550" s="10" t="n">
        <v>4220199</v>
      </c>
      <c r="T550" s="12" t="s">
        <v>92</v>
      </c>
      <c r="U550" s="13" t="n">
        <v>810</v>
      </c>
      <c r="W550" s="13" t="n">
        <v>0</v>
      </c>
      <c r="X550" s="12" t="s">
        <v>779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46218</v>
      </c>
      <c r="D551" s="10" t="n">
        <v>911</v>
      </c>
      <c r="E551" s="12" t="s">
        <v>334</v>
      </c>
      <c r="F551" s="10" t="n">
        <v>24</v>
      </c>
      <c r="G551" s="12" t="s">
        <v>31</v>
      </c>
      <c r="H551" s="10" t="n">
        <v>2110101</v>
      </c>
      <c r="I551" s="12" t="s">
        <v>32</v>
      </c>
      <c r="J551" s="10" t="n">
        <v>1265903</v>
      </c>
      <c r="L551" s="10" t="n">
        <v>51879</v>
      </c>
      <c r="M551" s="12" t="s">
        <v>33</v>
      </c>
      <c r="N551" s="12" t="s">
        <v>34</v>
      </c>
      <c r="P551" s="10" t="n">
        <v>103</v>
      </c>
      <c r="Q551" s="12" t="s">
        <v>35</v>
      </c>
      <c r="R551" s="12" t="s">
        <v>36</v>
      </c>
      <c r="S551" s="10" t="n">
        <v>1130101</v>
      </c>
      <c r="T551" s="12" t="s">
        <v>37</v>
      </c>
      <c r="U551" s="13" t="n">
        <v>636.67</v>
      </c>
      <c r="W551" s="13" t="n">
        <v>0</v>
      </c>
      <c r="X551" s="12" t="s">
        <v>780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46218</v>
      </c>
      <c r="C552" s="11" t="n">
        <v>46218</v>
      </c>
      <c r="D552" s="10" t="n">
        <v>1137</v>
      </c>
      <c r="E552" s="12" t="s">
        <v>252</v>
      </c>
      <c r="F552" s="10" t="n">
        <v>34</v>
      </c>
      <c r="G552" s="12" t="s">
        <v>49</v>
      </c>
      <c r="H552" s="10" t="n">
        <v>1110202</v>
      </c>
      <c r="I552" s="12" t="s">
        <v>90</v>
      </c>
      <c r="J552" s="10" t="n">
        <v>1406880</v>
      </c>
      <c r="L552" s="10" t="n">
        <v>579953</v>
      </c>
      <c r="M552" s="12" t="s">
        <v>33</v>
      </c>
      <c r="N552" s="12" t="s">
        <v>66</v>
      </c>
      <c r="P552" s="10" t="n">
        <v>101</v>
      </c>
      <c r="Q552" s="12" t="s">
        <v>84</v>
      </c>
      <c r="R552" s="12" t="s">
        <v>121</v>
      </c>
      <c r="S552" s="10" t="n">
        <v>4210301</v>
      </c>
      <c r="T552" s="12" t="s">
        <v>122</v>
      </c>
      <c r="U552" s="13" t="n">
        <v>5500</v>
      </c>
      <c r="W552" s="13" t="n">
        <v>0</v>
      </c>
      <c r="X552" s="12" t="s">
        <v>781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46228</v>
      </c>
      <c r="C553" s="11" t="n">
        <v>46218</v>
      </c>
      <c r="D553" s="10" t="n">
        <v>1137</v>
      </c>
      <c r="E553" s="12" t="s">
        <v>252</v>
      </c>
      <c r="F553" s="10" t="n">
        <v>34</v>
      </c>
      <c r="G553" s="12" t="s">
        <v>49</v>
      </c>
      <c r="H553" s="10" t="n">
        <v>1110202</v>
      </c>
      <c r="I553" s="12" t="s">
        <v>90</v>
      </c>
      <c r="J553" s="10" t="n">
        <v>1207186</v>
      </c>
      <c r="L553" s="10" t="n">
        <v>502160</v>
      </c>
      <c r="M553" s="12" t="s">
        <v>76</v>
      </c>
      <c r="N553" s="12" t="s">
        <v>66</v>
      </c>
      <c r="P553" s="10" t="n">
        <v>102</v>
      </c>
      <c r="Q553" s="12" t="s">
        <v>112</v>
      </c>
      <c r="R553" s="12" t="s">
        <v>121</v>
      </c>
      <c r="S553" s="10" t="n">
        <v>4210309</v>
      </c>
      <c r="T553" s="12" t="s">
        <v>253</v>
      </c>
      <c r="U553" s="13" t="n">
        <v>260</v>
      </c>
      <c r="W553" s="13" t="n">
        <v>0</v>
      </c>
      <c r="X553" s="12" t="s">
        <v>782</v>
      </c>
      <c r="Z553" s="1" t="str">
        <f aca="false">IF($T553="","",IFERROR(INDEX('Resumo Grupos'!$AC$3:$AC$200,MATCH($T553,'Resumo Grupos'!$AB$3:$AB$200,0)),"n/d"))</f>
        <v>Salários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46198</v>
      </c>
      <c r="C554" s="11" t="n">
        <v>46218</v>
      </c>
      <c r="D554" s="10" t="n">
        <v>1815</v>
      </c>
      <c r="E554" s="12" t="s">
        <v>175</v>
      </c>
      <c r="F554" s="10" t="n">
        <v>24</v>
      </c>
      <c r="G554" s="12" t="s">
        <v>31</v>
      </c>
      <c r="H554" s="10" t="n">
        <v>2110101</v>
      </c>
      <c r="I554" s="12" t="s">
        <v>32</v>
      </c>
      <c r="J554" s="10" t="n">
        <v>1304557</v>
      </c>
      <c r="L554" s="10" t="n">
        <v>388860</v>
      </c>
      <c r="M554" s="12" t="s">
        <v>40</v>
      </c>
      <c r="N554" s="12" t="s">
        <v>34</v>
      </c>
      <c r="P554" s="10" t="n">
        <v>103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1283.27</v>
      </c>
      <c r="W554" s="13" t="n">
        <v>0</v>
      </c>
      <c r="X554" s="12" t="s">
        <v>783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46204</v>
      </c>
      <c r="C555" s="11" t="n">
        <v>46218</v>
      </c>
      <c r="D555" s="10" t="n">
        <v>1699</v>
      </c>
      <c r="E555" s="12" t="s">
        <v>124</v>
      </c>
      <c r="F555" s="10" t="n">
        <v>24</v>
      </c>
      <c r="G555" s="12" t="s">
        <v>31</v>
      </c>
      <c r="H555" s="10" t="n">
        <v>2110101</v>
      </c>
      <c r="I555" s="12" t="s">
        <v>32</v>
      </c>
      <c r="J555" s="10" t="n">
        <v>1334706</v>
      </c>
      <c r="L555" s="10" t="n">
        <v>306058</v>
      </c>
      <c r="M555" s="12" t="s">
        <v>33</v>
      </c>
      <c r="N555" s="12" t="s">
        <v>34</v>
      </c>
      <c r="P555" s="10" t="n">
        <v>103</v>
      </c>
      <c r="Q555" s="12" t="s">
        <v>35</v>
      </c>
      <c r="R555" s="12" t="s">
        <v>36</v>
      </c>
      <c r="S555" s="10" t="n">
        <v>1130101</v>
      </c>
      <c r="T555" s="12" t="s">
        <v>37</v>
      </c>
      <c r="U555" s="13" t="n">
        <v>1613.93</v>
      </c>
      <c r="W555" s="13" t="n">
        <v>0</v>
      </c>
      <c r="X555" s="12" t="s">
        <v>784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46202</v>
      </c>
      <c r="C556" s="11" t="n">
        <v>46218</v>
      </c>
      <c r="D556" s="10" t="n">
        <v>10009</v>
      </c>
      <c r="E556" s="12" t="s">
        <v>181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1324513</v>
      </c>
      <c r="L556" s="10" t="n">
        <v>1420457</v>
      </c>
      <c r="M556" s="12" t="s">
        <v>33</v>
      </c>
      <c r="N556" s="12" t="s">
        <v>34</v>
      </c>
      <c r="P556" s="10" t="n">
        <v>103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1345.38</v>
      </c>
      <c r="W556" s="13" t="n">
        <v>0</v>
      </c>
      <c r="X556" s="12" t="s">
        <v>785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46214</v>
      </c>
      <c r="C557" s="11" t="n">
        <v>46218</v>
      </c>
      <c r="D557" s="10" t="n">
        <v>10009</v>
      </c>
      <c r="E557" s="12" t="s">
        <v>181</v>
      </c>
      <c r="F557" s="10" t="n">
        <v>24</v>
      </c>
      <c r="G557" s="12" t="s">
        <v>31</v>
      </c>
      <c r="H557" s="10" t="n">
        <v>1110202</v>
      </c>
      <c r="I557" s="12" t="s">
        <v>90</v>
      </c>
      <c r="J557" s="10" t="n">
        <v>1381864</v>
      </c>
      <c r="L557" s="10" t="n">
        <v>1425692</v>
      </c>
      <c r="M557" s="12" t="s">
        <v>33</v>
      </c>
      <c r="N557" s="12" t="s">
        <v>66</v>
      </c>
      <c r="P557" s="10" t="n">
        <v>103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1083.11</v>
      </c>
      <c r="W557" s="13" t="n">
        <v>0</v>
      </c>
      <c r="X557" s="12" t="s">
        <v>786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46213</v>
      </c>
      <c r="C558" s="11" t="n">
        <v>46218</v>
      </c>
      <c r="D558" s="10" t="n">
        <v>513</v>
      </c>
      <c r="E558" s="12" t="s">
        <v>787</v>
      </c>
      <c r="F558" s="10" t="n">
        <v>24</v>
      </c>
      <c r="G558" s="12" t="s">
        <v>31</v>
      </c>
      <c r="H558" s="10" t="n">
        <v>1110202</v>
      </c>
      <c r="I558" s="12" t="s">
        <v>90</v>
      </c>
      <c r="J558" s="10" t="n">
        <v>1377363</v>
      </c>
      <c r="L558" s="10" t="n">
        <v>567701</v>
      </c>
      <c r="M558" s="12" t="s">
        <v>33</v>
      </c>
      <c r="N558" s="12" t="s">
        <v>66</v>
      </c>
      <c r="P558" s="10" t="n">
        <v>101</v>
      </c>
      <c r="Q558" s="12" t="s">
        <v>84</v>
      </c>
      <c r="R558" s="12" t="s">
        <v>121</v>
      </c>
      <c r="S558" s="10" t="n">
        <v>4210315</v>
      </c>
      <c r="T558" s="12" t="s">
        <v>708</v>
      </c>
      <c r="U558" s="13" t="n">
        <v>167.03</v>
      </c>
      <c r="W558" s="13" t="n">
        <v>0</v>
      </c>
      <c r="X558" s="12" t="s">
        <v>788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46097</v>
      </c>
      <c r="C559" s="11" t="n">
        <v>46218</v>
      </c>
      <c r="D559" s="10" t="n">
        <v>17</v>
      </c>
      <c r="E559" s="12" t="s">
        <v>268</v>
      </c>
      <c r="F559" s="10" t="n">
        <v>24</v>
      </c>
      <c r="G559" s="12" t="s">
        <v>31</v>
      </c>
      <c r="H559" s="10" t="n">
        <v>2110405</v>
      </c>
      <c r="I559" s="12" t="s">
        <v>153</v>
      </c>
      <c r="J559" s="10" t="n">
        <v>809413</v>
      </c>
      <c r="L559" s="10" t="n">
        <v>2115476</v>
      </c>
      <c r="M559" s="12" t="s">
        <v>448</v>
      </c>
      <c r="N559" s="12" t="s">
        <v>66</v>
      </c>
      <c r="P559" s="10" t="n">
        <v>101</v>
      </c>
      <c r="Q559" s="12" t="s">
        <v>84</v>
      </c>
      <c r="R559" s="12" t="s">
        <v>91</v>
      </c>
      <c r="S559" s="10" t="n">
        <v>4220199</v>
      </c>
      <c r="T559" s="12" t="s">
        <v>92</v>
      </c>
      <c r="U559" s="13" t="n">
        <v>102.14</v>
      </c>
      <c r="W559" s="13" t="n">
        <v>0</v>
      </c>
      <c r="X559" s="12" t="s">
        <v>789</v>
      </c>
      <c r="Z559" s="1" t="str">
        <f aca="false">IF($T559="","",IFERROR(INDEX('Resumo Grupos'!$AC$3:$AC$200,MATCH($T559,'Resumo Grupos'!$AB$3:$AB$200,0)),"n/d"))</f>
        <v>Pagamentos outros não operacionais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46218</v>
      </c>
      <c r="D560" s="10" t="n">
        <v>10017</v>
      </c>
      <c r="E560" s="12" t="s">
        <v>271</v>
      </c>
      <c r="F560" s="10" t="n">
        <v>24</v>
      </c>
      <c r="G560" s="12" t="s">
        <v>31</v>
      </c>
      <c r="H560" s="10" t="n">
        <v>2110101</v>
      </c>
      <c r="I560" s="12" t="s">
        <v>32</v>
      </c>
      <c r="J560" s="10" t="n">
        <v>1265872</v>
      </c>
      <c r="L560" s="10" t="n">
        <v>193491</v>
      </c>
      <c r="M560" s="12" t="s">
        <v>40</v>
      </c>
      <c r="N560" s="12" t="s">
        <v>34</v>
      </c>
      <c r="P560" s="10" t="n">
        <v>103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568.92</v>
      </c>
      <c r="W560" s="13" t="n">
        <v>0</v>
      </c>
      <c r="X560" s="12" t="s">
        <v>790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46097</v>
      </c>
      <c r="C561" s="11" t="n">
        <v>46218</v>
      </c>
      <c r="D561" s="10" t="n">
        <v>1867</v>
      </c>
      <c r="E561" s="12" t="s">
        <v>791</v>
      </c>
      <c r="F561" s="10" t="n">
        <v>24</v>
      </c>
      <c r="G561" s="12" t="s">
        <v>31</v>
      </c>
      <c r="H561" s="10" t="n">
        <v>2110405</v>
      </c>
      <c r="I561" s="12" t="s">
        <v>153</v>
      </c>
      <c r="J561" s="10" t="n">
        <v>809298</v>
      </c>
      <c r="L561" s="10" t="n">
        <v>100914</v>
      </c>
      <c r="M561" s="12" t="s">
        <v>448</v>
      </c>
      <c r="N561" s="12" t="s">
        <v>66</v>
      </c>
      <c r="P561" s="10" t="n">
        <v>101</v>
      </c>
      <c r="Q561" s="12" t="s">
        <v>84</v>
      </c>
      <c r="R561" s="12" t="s">
        <v>792</v>
      </c>
      <c r="S561" s="10" t="n">
        <v>4210401</v>
      </c>
      <c r="T561" s="12" t="s">
        <v>793</v>
      </c>
      <c r="U561" s="13" t="n">
        <v>134.55</v>
      </c>
      <c r="W561" s="13" t="n">
        <v>0</v>
      </c>
      <c r="X561" s="12" t="s">
        <v>794</v>
      </c>
      <c r="Z561" s="1" t="str">
        <f aca="false">IF($T561="","",IFERROR(INDEX('Resumo Grupos'!$AC$3:$AC$200,MATCH($T561,'Resumo Grupos'!$AB$3:$AB$200,0)),"n/d"))</f>
        <v>Impostos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46097</v>
      </c>
      <c r="C562" s="11" t="n">
        <v>46218</v>
      </c>
      <c r="D562" s="10" t="n">
        <v>1867</v>
      </c>
      <c r="E562" s="12" t="s">
        <v>791</v>
      </c>
      <c r="F562" s="10" t="n">
        <v>24</v>
      </c>
      <c r="G562" s="12" t="s">
        <v>31</v>
      </c>
      <c r="H562" s="10" t="n">
        <v>2110405</v>
      </c>
      <c r="I562" s="12" t="s">
        <v>153</v>
      </c>
      <c r="J562" s="10" t="n">
        <v>809315</v>
      </c>
      <c r="L562" s="10" t="n">
        <v>100910</v>
      </c>
      <c r="M562" s="12" t="s">
        <v>448</v>
      </c>
      <c r="N562" s="12" t="s">
        <v>66</v>
      </c>
      <c r="P562" s="10" t="n">
        <v>101</v>
      </c>
      <c r="Q562" s="12" t="s">
        <v>84</v>
      </c>
      <c r="R562" s="12" t="s">
        <v>792</v>
      </c>
      <c r="S562" s="10" t="n">
        <v>4210401</v>
      </c>
      <c r="T562" s="12" t="s">
        <v>793</v>
      </c>
      <c r="U562" s="13" t="n">
        <v>185.89</v>
      </c>
      <c r="W562" s="13" t="n">
        <v>0</v>
      </c>
      <c r="X562" s="12" t="s">
        <v>795</v>
      </c>
      <c r="Z562" s="1" t="str">
        <f aca="false">IF($T562="","",IFERROR(INDEX('Resumo Grupos'!$AC$3:$AC$200,MATCH($T562,'Resumo Grupos'!$AB$3:$AB$200,0)),"n/d"))</f>
        <v>Impostos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46217</v>
      </c>
      <c r="C563" s="11" t="n">
        <v>46218</v>
      </c>
      <c r="D563" s="10" t="n">
        <v>33</v>
      </c>
      <c r="E563" s="12" t="s">
        <v>64</v>
      </c>
      <c r="F563" s="10" t="n">
        <v>34</v>
      </c>
      <c r="G563" s="12" t="s">
        <v>49</v>
      </c>
      <c r="H563" s="10" t="n">
        <v>2110101</v>
      </c>
      <c r="I563" s="12" t="s">
        <v>32</v>
      </c>
      <c r="J563" s="10" t="n">
        <v>1397765</v>
      </c>
      <c r="L563" s="10" t="n">
        <v>5295</v>
      </c>
      <c r="M563" s="12" t="s">
        <v>33</v>
      </c>
      <c r="N563" s="12" t="s">
        <v>34</v>
      </c>
      <c r="P563" s="10" t="n">
        <v>104</v>
      </c>
      <c r="Q563" s="12" t="s">
        <v>50</v>
      </c>
      <c r="R563" s="12" t="s">
        <v>36</v>
      </c>
      <c r="S563" s="10" t="n">
        <v>1130101</v>
      </c>
      <c r="T563" s="12" t="s">
        <v>37</v>
      </c>
      <c r="U563" s="13" t="n">
        <v>1592</v>
      </c>
      <c r="W563" s="13" t="n">
        <v>0</v>
      </c>
      <c r="X563" s="12" t="s">
        <v>796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46198</v>
      </c>
      <c r="C564" s="11" t="n">
        <v>46218</v>
      </c>
      <c r="D564" s="10" t="n">
        <v>1671</v>
      </c>
      <c r="E564" s="12" t="s">
        <v>83</v>
      </c>
      <c r="F564" s="10" t="n">
        <v>24</v>
      </c>
      <c r="G564" s="12" t="s">
        <v>31</v>
      </c>
      <c r="H564" s="10" t="n">
        <v>2110101</v>
      </c>
      <c r="I564" s="12" t="s">
        <v>32</v>
      </c>
      <c r="J564" s="10" t="n">
        <v>1304959</v>
      </c>
      <c r="L564" s="10" t="n">
        <v>576439</v>
      </c>
      <c r="M564" s="12" t="s">
        <v>33</v>
      </c>
      <c r="N564" s="12" t="s">
        <v>34</v>
      </c>
      <c r="P564" s="10" t="n">
        <v>103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1497.41</v>
      </c>
      <c r="W564" s="13" t="n">
        <v>0</v>
      </c>
      <c r="X564" s="12" t="s">
        <v>797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46217</v>
      </c>
      <c r="C565" s="11" t="n">
        <v>46219</v>
      </c>
      <c r="D565" s="10" t="n">
        <v>642</v>
      </c>
      <c r="E565" s="12" t="s">
        <v>145</v>
      </c>
      <c r="F565" s="10" t="n">
        <v>24</v>
      </c>
      <c r="G565" s="12" t="s">
        <v>31</v>
      </c>
      <c r="H565" s="10" t="n">
        <v>1110202</v>
      </c>
      <c r="I565" s="12" t="s">
        <v>90</v>
      </c>
      <c r="J565" s="10" t="n">
        <v>1398367</v>
      </c>
      <c r="L565" s="10" t="n">
        <v>531</v>
      </c>
      <c r="M565" s="12" t="s">
        <v>33</v>
      </c>
      <c r="N565" s="12" t="s">
        <v>66</v>
      </c>
      <c r="P565" s="10" t="n">
        <v>103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840</v>
      </c>
      <c r="W565" s="13" t="n">
        <v>0</v>
      </c>
      <c r="X565" s="12" t="s">
        <v>798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46189</v>
      </c>
      <c r="C566" s="11" t="n">
        <v>46219</v>
      </c>
      <c r="D566" s="10" t="n">
        <v>1659</v>
      </c>
      <c r="E566" s="12" t="s">
        <v>39</v>
      </c>
      <c r="F566" s="10" t="n">
        <v>24</v>
      </c>
      <c r="G566" s="12" t="s">
        <v>31</v>
      </c>
      <c r="H566" s="10" t="n">
        <v>2110101</v>
      </c>
      <c r="I566" s="12" t="s">
        <v>32</v>
      </c>
      <c r="J566" s="10" t="n">
        <v>1262158</v>
      </c>
      <c r="L566" s="10" t="n">
        <v>878848</v>
      </c>
      <c r="M566" s="12" t="s">
        <v>40</v>
      </c>
      <c r="N566" s="12" t="s">
        <v>34</v>
      </c>
      <c r="P566" s="10" t="n">
        <v>103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1402.88</v>
      </c>
      <c r="W566" s="13" t="n">
        <v>0</v>
      </c>
      <c r="X566" s="12" t="s">
        <v>799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46219</v>
      </c>
      <c r="C567" s="11" t="n">
        <v>46219</v>
      </c>
      <c r="D567" s="10" t="n">
        <v>1695</v>
      </c>
      <c r="E567" s="12" t="s">
        <v>44</v>
      </c>
      <c r="F567" s="10" t="n">
        <v>34</v>
      </c>
      <c r="G567" s="12" t="s">
        <v>49</v>
      </c>
      <c r="H567" s="10" t="n">
        <v>1110202</v>
      </c>
      <c r="I567" s="12" t="s">
        <v>90</v>
      </c>
      <c r="J567" s="10" t="n">
        <v>1434803</v>
      </c>
      <c r="L567" s="10" t="n">
        <v>590716</v>
      </c>
      <c r="M567" s="12" t="s">
        <v>33</v>
      </c>
      <c r="N567" s="12" t="s">
        <v>66</v>
      </c>
      <c r="P567" s="10" t="n">
        <v>102</v>
      </c>
      <c r="Q567" s="12" t="s">
        <v>112</v>
      </c>
      <c r="R567" s="12" t="s">
        <v>36</v>
      </c>
      <c r="S567" s="10" t="n">
        <v>1130101</v>
      </c>
      <c r="T567" s="12" t="s">
        <v>37</v>
      </c>
      <c r="U567" s="13" t="n">
        <v>118.45</v>
      </c>
      <c r="W567" s="13" t="n">
        <v>0</v>
      </c>
      <c r="X567" s="12" t="s">
        <v>800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46207</v>
      </c>
      <c r="C568" s="11" t="n">
        <v>46219</v>
      </c>
      <c r="D568" s="10" t="n">
        <v>1705</v>
      </c>
      <c r="E568" s="12" t="s">
        <v>46</v>
      </c>
      <c r="F568" s="10" t="n">
        <v>24</v>
      </c>
      <c r="G568" s="12" t="s">
        <v>31</v>
      </c>
      <c r="H568" s="10" t="n">
        <v>2110101</v>
      </c>
      <c r="I568" s="12" t="s">
        <v>32</v>
      </c>
      <c r="J568" s="10" t="n">
        <v>1348536</v>
      </c>
      <c r="L568" s="10" t="n">
        <v>1910367</v>
      </c>
      <c r="M568" s="12" t="s">
        <v>33</v>
      </c>
      <c r="N568" s="12" t="s">
        <v>34</v>
      </c>
      <c r="P568" s="10" t="n">
        <v>103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56.96</v>
      </c>
      <c r="W568" s="13" t="n">
        <v>0</v>
      </c>
      <c r="X568" s="12" t="s">
        <v>801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46207</v>
      </c>
      <c r="C569" s="11" t="n">
        <v>46219</v>
      </c>
      <c r="D569" s="10" t="n">
        <v>1705</v>
      </c>
      <c r="E569" s="12" t="s">
        <v>46</v>
      </c>
      <c r="F569" s="10" t="n">
        <v>24</v>
      </c>
      <c r="G569" s="12" t="s">
        <v>31</v>
      </c>
      <c r="H569" s="10" t="n">
        <v>2110101</v>
      </c>
      <c r="I569" s="12" t="s">
        <v>32</v>
      </c>
      <c r="J569" s="10" t="n">
        <v>1348564</v>
      </c>
      <c r="L569" s="10" t="n">
        <v>1182811</v>
      </c>
      <c r="M569" s="12" t="s">
        <v>33</v>
      </c>
      <c r="N569" s="12" t="s">
        <v>34</v>
      </c>
      <c r="P569" s="10" t="n">
        <v>103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335.01</v>
      </c>
      <c r="W569" s="13" t="n">
        <v>0</v>
      </c>
      <c r="X569" s="12" t="s">
        <v>802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46207</v>
      </c>
      <c r="C570" s="11" t="n">
        <v>46219</v>
      </c>
      <c r="D570" s="10" t="n">
        <v>1705</v>
      </c>
      <c r="E570" s="12" t="s">
        <v>46</v>
      </c>
      <c r="F570" s="10" t="n">
        <v>24</v>
      </c>
      <c r="G570" s="12" t="s">
        <v>31</v>
      </c>
      <c r="H570" s="10" t="n">
        <v>2110101</v>
      </c>
      <c r="I570" s="12" t="s">
        <v>32</v>
      </c>
      <c r="J570" s="10" t="n">
        <v>1348586</v>
      </c>
      <c r="L570" s="10" t="n">
        <v>1184135</v>
      </c>
      <c r="M570" s="12" t="s">
        <v>33</v>
      </c>
      <c r="N570" s="12" t="s">
        <v>34</v>
      </c>
      <c r="P570" s="10" t="n">
        <v>103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3237</v>
      </c>
      <c r="W570" s="13" t="n">
        <v>0</v>
      </c>
      <c r="X570" s="12" t="s">
        <v>803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46207</v>
      </c>
      <c r="C571" s="11" t="n">
        <v>46219</v>
      </c>
      <c r="D571" s="10" t="n">
        <v>1705</v>
      </c>
      <c r="E571" s="12" t="s">
        <v>46</v>
      </c>
      <c r="F571" s="10" t="n">
        <v>24</v>
      </c>
      <c r="G571" s="12" t="s">
        <v>31</v>
      </c>
      <c r="H571" s="10" t="n">
        <v>2110101</v>
      </c>
      <c r="I571" s="12" t="s">
        <v>32</v>
      </c>
      <c r="J571" s="10" t="n">
        <v>1348607</v>
      </c>
      <c r="L571" s="10" t="n">
        <v>1910815</v>
      </c>
      <c r="M571" s="12" t="s">
        <v>33</v>
      </c>
      <c r="N571" s="12" t="s">
        <v>34</v>
      </c>
      <c r="P571" s="10" t="n">
        <v>103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6181.16</v>
      </c>
      <c r="W571" s="13" t="n">
        <v>0</v>
      </c>
      <c r="X571" s="12" t="s">
        <v>804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46213</v>
      </c>
      <c r="C572" s="11" t="n">
        <v>46219</v>
      </c>
      <c r="D572" s="10" t="n">
        <v>1614</v>
      </c>
      <c r="E572" s="12" t="s">
        <v>99</v>
      </c>
      <c r="F572" s="10" t="n">
        <v>24</v>
      </c>
      <c r="G572" s="12" t="s">
        <v>31</v>
      </c>
      <c r="H572" s="10" t="n">
        <v>1110202</v>
      </c>
      <c r="I572" s="12" t="s">
        <v>90</v>
      </c>
      <c r="J572" s="10" t="n">
        <v>1376903</v>
      </c>
      <c r="L572" s="10" t="n">
        <v>11400</v>
      </c>
      <c r="M572" s="12" t="s">
        <v>76</v>
      </c>
      <c r="N572" s="12" t="s">
        <v>66</v>
      </c>
      <c r="P572" s="10" t="n">
        <v>103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259.39</v>
      </c>
      <c r="W572" s="13" t="n">
        <v>0</v>
      </c>
      <c r="X572" s="12" t="s">
        <v>805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46216</v>
      </c>
      <c r="C573" s="11" t="n">
        <v>46219</v>
      </c>
      <c r="D573" s="10" t="n">
        <v>1614</v>
      </c>
      <c r="E573" s="12" t="s">
        <v>99</v>
      </c>
      <c r="F573" s="10" t="n">
        <v>24</v>
      </c>
      <c r="G573" s="12" t="s">
        <v>31</v>
      </c>
      <c r="H573" s="10" t="n">
        <v>1110202</v>
      </c>
      <c r="I573" s="12" t="s">
        <v>90</v>
      </c>
      <c r="J573" s="10" t="n">
        <v>1393772</v>
      </c>
      <c r="L573" s="10" t="n">
        <v>11415</v>
      </c>
      <c r="M573" s="12" t="s">
        <v>33</v>
      </c>
      <c r="N573" s="12" t="s">
        <v>66</v>
      </c>
      <c r="P573" s="10" t="n">
        <v>103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378.43</v>
      </c>
      <c r="W573" s="13" t="n">
        <v>0</v>
      </c>
      <c r="X573" s="12" t="s">
        <v>806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46213</v>
      </c>
      <c r="C574" s="11" t="n">
        <v>46219</v>
      </c>
      <c r="D574" s="10" t="n">
        <v>901</v>
      </c>
      <c r="E574" s="12" t="s">
        <v>807</v>
      </c>
      <c r="F574" s="10" t="n">
        <v>24</v>
      </c>
      <c r="G574" s="12" t="s">
        <v>31</v>
      </c>
      <c r="H574" s="10" t="n">
        <v>1110202</v>
      </c>
      <c r="I574" s="12" t="s">
        <v>90</v>
      </c>
      <c r="J574" s="10" t="n">
        <v>1376959</v>
      </c>
      <c r="L574" s="10" t="n">
        <v>464</v>
      </c>
      <c r="M574" s="12" t="s">
        <v>33</v>
      </c>
      <c r="N574" s="12" t="s">
        <v>66</v>
      </c>
      <c r="P574" s="10" t="n">
        <v>103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465</v>
      </c>
      <c r="W574" s="13" t="n">
        <v>0</v>
      </c>
      <c r="X574" s="12" t="s">
        <v>808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46191</v>
      </c>
      <c r="C575" s="11" t="n">
        <v>46219</v>
      </c>
      <c r="D575" s="10" t="n">
        <v>1608</v>
      </c>
      <c r="E575" s="12" t="s">
        <v>52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1269204</v>
      </c>
      <c r="L575" s="10" t="n">
        <v>1675757</v>
      </c>
      <c r="M575" s="12" t="s">
        <v>76</v>
      </c>
      <c r="N575" s="12" t="s">
        <v>34</v>
      </c>
      <c r="P575" s="10" t="n">
        <v>103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1279.76</v>
      </c>
      <c r="W575" s="13" t="n">
        <v>0</v>
      </c>
      <c r="X575" s="12" t="s">
        <v>809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46197</v>
      </c>
      <c r="C576" s="11" t="n">
        <v>46219</v>
      </c>
      <c r="D576" s="10" t="n">
        <v>1608</v>
      </c>
      <c r="E576" s="12" t="s">
        <v>52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1299280</v>
      </c>
      <c r="L576" s="10" t="n">
        <v>1680082</v>
      </c>
      <c r="M576" s="12" t="s">
        <v>33</v>
      </c>
      <c r="N576" s="12" t="s">
        <v>34</v>
      </c>
      <c r="P576" s="10" t="n">
        <v>103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1310.03</v>
      </c>
      <c r="W576" s="13" t="n">
        <v>0</v>
      </c>
      <c r="X576" s="12" t="s">
        <v>810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46198</v>
      </c>
      <c r="C577" s="11" t="n">
        <v>46219</v>
      </c>
      <c r="D577" s="10" t="n">
        <v>1626</v>
      </c>
      <c r="E577" s="12" t="s">
        <v>250</v>
      </c>
      <c r="F577" s="10" t="n">
        <v>24</v>
      </c>
      <c r="G577" s="12" t="s">
        <v>31</v>
      </c>
      <c r="H577" s="10" t="n">
        <v>2110101</v>
      </c>
      <c r="I577" s="12" t="s">
        <v>32</v>
      </c>
      <c r="J577" s="10" t="n">
        <v>1305846</v>
      </c>
      <c r="L577" s="10" t="n">
        <v>311084</v>
      </c>
      <c r="M577" s="12" t="s">
        <v>76</v>
      </c>
      <c r="N577" s="12" t="s">
        <v>34</v>
      </c>
      <c r="P577" s="10" t="n">
        <v>103</v>
      </c>
      <c r="Q577" s="12" t="s">
        <v>35</v>
      </c>
      <c r="R577" s="12" t="s">
        <v>36</v>
      </c>
      <c r="S577" s="10" t="n">
        <v>1130101</v>
      </c>
      <c r="T577" s="12" t="s">
        <v>37</v>
      </c>
      <c r="U577" s="13" t="n">
        <v>2048.68</v>
      </c>
      <c r="W577" s="13" t="n">
        <v>0</v>
      </c>
      <c r="X577" s="12" t="s">
        <v>811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46219</v>
      </c>
      <c r="C578" s="11" t="n">
        <v>46219</v>
      </c>
      <c r="D578" s="10" t="n">
        <v>1137</v>
      </c>
      <c r="E578" s="12" t="s">
        <v>252</v>
      </c>
      <c r="F578" s="10" t="n">
        <v>34</v>
      </c>
      <c r="G578" s="12" t="s">
        <v>49</v>
      </c>
      <c r="H578" s="10" t="n">
        <v>1110202</v>
      </c>
      <c r="I578" s="12" t="s">
        <v>90</v>
      </c>
      <c r="J578" s="10" t="n">
        <v>1406866</v>
      </c>
      <c r="L578" s="10" t="n">
        <v>579950</v>
      </c>
      <c r="M578" s="12" t="s">
        <v>33</v>
      </c>
      <c r="N578" s="12" t="s">
        <v>66</v>
      </c>
      <c r="P578" s="10" t="n">
        <v>101</v>
      </c>
      <c r="Q578" s="12" t="s">
        <v>84</v>
      </c>
      <c r="R578" s="12" t="s">
        <v>121</v>
      </c>
      <c r="S578" s="10" t="n">
        <v>4210301</v>
      </c>
      <c r="T578" s="12" t="s">
        <v>122</v>
      </c>
      <c r="U578" s="13" t="n">
        <v>3500</v>
      </c>
      <c r="W578" s="13" t="n">
        <v>0</v>
      </c>
      <c r="X578" s="12" t="s">
        <v>812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46192</v>
      </c>
      <c r="C579" s="11" t="n">
        <v>46219</v>
      </c>
      <c r="D579" s="10" t="n">
        <v>957</v>
      </c>
      <c r="E579" s="12" t="s">
        <v>75</v>
      </c>
      <c r="F579" s="10" t="n">
        <v>24</v>
      </c>
      <c r="G579" s="12" t="s">
        <v>31</v>
      </c>
      <c r="H579" s="10" t="n">
        <v>2110101</v>
      </c>
      <c r="I579" s="12" t="s">
        <v>32</v>
      </c>
      <c r="J579" s="10" t="n">
        <v>1272947</v>
      </c>
      <c r="L579" s="10" t="n">
        <v>20352</v>
      </c>
      <c r="M579" s="12" t="s">
        <v>76</v>
      </c>
      <c r="N579" s="12" t="s">
        <v>34</v>
      </c>
      <c r="P579" s="10" t="n">
        <v>103</v>
      </c>
      <c r="Q579" s="12" t="s">
        <v>35</v>
      </c>
      <c r="R579" s="12" t="s">
        <v>36</v>
      </c>
      <c r="S579" s="10" t="n">
        <v>1130101</v>
      </c>
      <c r="T579" s="12" t="s">
        <v>37</v>
      </c>
      <c r="U579" s="13" t="n">
        <v>1263.3</v>
      </c>
      <c r="W579" s="13" t="n">
        <v>0</v>
      </c>
      <c r="X579" s="12" t="s">
        <v>813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46193</v>
      </c>
      <c r="C580" s="11" t="n">
        <v>46219</v>
      </c>
      <c r="D580" s="10" t="n">
        <v>1657</v>
      </c>
      <c r="E580" s="12" t="s">
        <v>300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1280916</v>
      </c>
      <c r="L580" s="10" t="n">
        <v>293860</v>
      </c>
      <c r="M580" s="12" t="s">
        <v>40</v>
      </c>
      <c r="N580" s="12" t="s">
        <v>34</v>
      </c>
      <c r="P580" s="10" t="n">
        <v>103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1250.11</v>
      </c>
      <c r="W580" s="13" t="n">
        <v>0</v>
      </c>
      <c r="X580" s="12" t="s">
        <v>814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46219</v>
      </c>
      <c r="D581" s="10" t="n">
        <v>1699</v>
      </c>
      <c r="E581" s="12" t="s">
        <v>124</v>
      </c>
      <c r="F581" s="10" t="n">
        <v>24</v>
      </c>
      <c r="G581" s="12" t="s">
        <v>31</v>
      </c>
      <c r="H581" s="10" t="n">
        <v>2110101</v>
      </c>
      <c r="I581" s="12" t="s">
        <v>32</v>
      </c>
      <c r="J581" s="10" t="n">
        <v>1265932</v>
      </c>
      <c r="L581" s="10" t="n">
        <v>304776</v>
      </c>
      <c r="M581" s="12" t="s">
        <v>40</v>
      </c>
      <c r="N581" s="12" t="s">
        <v>34</v>
      </c>
      <c r="P581" s="10" t="n">
        <v>103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1568.1</v>
      </c>
      <c r="W581" s="13" t="n">
        <v>0</v>
      </c>
      <c r="X581" s="12" t="s">
        <v>815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46216</v>
      </c>
      <c r="C582" s="11" t="n">
        <v>46219</v>
      </c>
      <c r="D582" s="10" t="n">
        <v>581</v>
      </c>
      <c r="E582" s="12" t="s">
        <v>554</v>
      </c>
      <c r="F582" s="10" t="n">
        <v>24</v>
      </c>
      <c r="G582" s="12" t="s">
        <v>31</v>
      </c>
      <c r="H582" s="10" t="n">
        <v>1110202</v>
      </c>
      <c r="I582" s="12" t="s">
        <v>90</v>
      </c>
      <c r="J582" s="10" t="n">
        <v>1392932</v>
      </c>
      <c r="L582" s="10" t="n">
        <v>31367</v>
      </c>
      <c r="M582" s="12" t="s">
        <v>33</v>
      </c>
      <c r="N582" s="12" t="s">
        <v>66</v>
      </c>
      <c r="P582" s="10" t="n">
        <v>103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363.5</v>
      </c>
      <c r="W582" s="13" t="n">
        <v>0</v>
      </c>
      <c r="X582" s="12" t="s">
        <v>816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46205</v>
      </c>
      <c r="C583" s="11" t="n">
        <v>46219</v>
      </c>
      <c r="D583" s="10" t="n">
        <v>1675</v>
      </c>
      <c r="E583" s="12" t="s">
        <v>817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1341229</v>
      </c>
      <c r="L583" s="10" t="n">
        <v>496957</v>
      </c>
      <c r="M583" s="12" t="s">
        <v>33</v>
      </c>
      <c r="N583" s="12" t="s">
        <v>34</v>
      </c>
      <c r="P583" s="10" t="n">
        <v>103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1012.57</v>
      </c>
      <c r="W583" s="13" t="n">
        <v>0</v>
      </c>
      <c r="X583" s="12" t="s">
        <v>818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46202</v>
      </c>
      <c r="C584" s="11" t="n">
        <v>46219</v>
      </c>
      <c r="D584" s="10" t="n">
        <v>10009</v>
      </c>
      <c r="E584" s="12" t="s">
        <v>181</v>
      </c>
      <c r="F584" s="10" t="n">
        <v>24</v>
      </c>
      <c r="G584" s="12" t="s">
        <v>31</v>
      </c>
      <c r="H584" s="10" t="n">
        <v>2110101</v>
      </c>
      <c r="I584" s="12" t="s">
        <v>32</v>
      </c>
      <c r="J584" s="10" t="n">
        <v>1324820</v>
      </c>
      <c r="L584" s="10" t="n">
        <v>1420957</v>
      </c>
      <c r="M584" s="12" t="s">
        <v>33</v>
      </c>
      <c r="N584" s="12" t="s">
        <v>34</v>
      </c>
      <c r="P584" s="10" t="n">
        <v>103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1493.87</v>
      </c>
      <c r="W584" s="13" t="n">
        <v>0</v>
      </c>
      <c r="X584" s="12" t="s">
        <v>819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46202</v>
      </c>
      <c r="C585" s="11" t="n">
        <v>46219</v>
      </c>
      <c r="D585" s="10" t="n">
        <v>1740</v>
      </c>
      <c r="E585" s="12" t="s">
        <v>312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1325622</v>
      </c>
      <c r="L585" s="10" t="n">
        <v>1240896</v>
      </c>
      <c r="M585" s="12" t="s">
        <v>33</v>
      </c>
      <c r="N585" s="12" t="s">
        <v>34</v>
      </c>
      <c r="P585" s="10" t="n">
        <v>103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983.77</v>
      </c>
      <c r="W585" s="13" t="n">
        <v>0</v>
      </c>
      <c r="X585" s="12" t="s">
        <v>820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46216</v>
      </c>
      <c r="C586" s="11" t="n">
        <v>46219</v>
      </c>
      <c r="D586" s="10" t="n">
        <v>1899</v>
      </c>
      <c r="E586" s="12" t="s">
        <v>131</v>
      </c>
      <c r="F586" s="10" t="n">
        <v>24</v>
      </c>
      <c r="G586" s="12" t="s">
        <v>31</v>
      </c>
      <c r="H586" s="10" t="n">
        <v>1110202</v>
      </c>
      <c r="I586" s="12" t="s">
        <v>90</v>
      </c>
      <c r="J586" s="10" t="n">
        <v>1393619</v>
      </c>
      <c r="L586" s="10" t="n">
        <v>710</v>
      </c>
      <c r="M586" s="12" t="s">
        <v>33</v>
      </c>
      <c r="N586" s="12" t="s">
        <v>66</v>
      </c>
      <c r="P586" s="10" t="n">
        <v>103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664.48</v>
      </c>
      <c r="W586" s="13" t="n">
        <v>0</v>
      </c>
      <c r="X586" s="12" t="s">
        <v>821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46199</v>
      </c>
      <c r="C587" s="11" t="n">
        <v>46219</v>
      </c>
      <c r="D587" s="10" t="n">
        <v>10017</v>
      </c>
      <c r="E587" s="12" t="s">
        <v>271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1310224</v>
      </c>
      <c r="L587" s="10" t="n">
        <v>193797</v>
      </c>
      <c r="M587" s="12" t="s">
        <v>76</v>
      </c>
      <c r="N587" s="12" t="s">
        <v>34</v>
      </c>
      <c r="P587" s="10" t="n">
        <v>103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1024.54</v>
      </c>
      <c r="W587" s="13" t="n">
        <v>0</v>
      </c>
      <c r="X587" s="12" t="s">
        <v>822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46142</v>
      </c>
      <c r="C588" s="11" t="n">
        <v>46219</v>
      </c>
      <c r="D588" s="10" t="n">
        <v>607</v>
      </c>
      <c r="E588" s="12" t="s">
        <v>81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1028242</v>
      </c>
      <c r="L588" s="10" t="n">
        <v>10262</v>
      </c>
      <c r="M588" s="12" t="s">
        <v>116</v>
      </c>
      <c r="N588" s="12" t="s">
        <v>34</v>
      </c>
      <c r="P588" s="10" t="n">
        <v>103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1488.3</v>
      </c>
      <c r="W588" s="13" t="n">
        <v>0</v>
      </c>
      <c r="X588" s="12" t="s">
        <v>823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46219</v>
      </c>
      <c r="C589" s="11" t="n">
        <v>46219</v>
      </c>
      <c r="D589" s="10" t="n">
        <v>1955</v>
      </c>
      <c r="E589" s="12" t="s">
        <v>824</v>
      </c>
      <c r="F589" s="10" t="n">
        <v>24</v>
      </c>
      <c r="G589" s="12" t="s">
        <v>31</v>
      </c>
      <c r="H589" s="10" t="n">
        <v>1110202</v>
      </c>
      <c r="I589" s="12" t="s">
        <v>90</v>
      </c>
      <c r="J589" s="10" t="n">
        <v>1405668</v>
      </c>
      <c r="L589" s="10" t="n">
        <v>579610</v>
      </c>
      <c r="M589" s="12" t="s">
        <v>33</v>
      </c>
      <c r="N589" s="12" t="s">
        <v>66</v>
      </c>
      <c r="P589" s="10" t="n">
        <v>102</v>
      </c>
      <c r="Q589" s="12" t="s">
        <v>112</v>
      </c>
      <c r="R589" s="12" t="s">
        <v>36</v>
      </c>
      <c r="S589" s="10" t="n">
        <v>1130101</v>
      </c>
      <c r="T589" s="12" t="s">
        <v>37</v>
      </c>
      <c r="U589" s="13" t="n">
        <v>36.15</v>
      </c>
      <c r="W589" s="13" t="n">
        <v>0</v>
      </c>
      <c r="X589" s="12" t="s">
        <v>825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46219</v>
      </c>
      <c r="C590" s="11" t="n">
        <v>46219</v>
      </c>
      <c r="D590" s="10" t="n">
        <v>514</v>
      </c>
      <c r="E590" s="12" t="s">
        <v>652</v>
      </c>
      <c r="F590" s="10" t="n">
        <v>34</v>
      </c>
      <c r="G590" s="12" t="s">
        <v>49</v>
      </c>
      <c r="H590" s="10" t="n">
        <v>1110202</v>
      </c>
      <c r="I590" s="12" t="s">
        <v>90</v>
      </c>
      <c r="J590" s="10" t="n">
        <v>1406993</v>
      </c>
      <c r="L590" s="10" t="n">
        <v>579980</v>
      </c>
      <c r="M590" s="12" t="s">
        <v>33</v>
      </c>
      <c r="N590" s="12" t="s">
        <v>66</v>
      </c>
      <c r="P590" s="10" t="n">
        <v>102</v>
      </c>
      <c r="Q590" s="12" t="s">
        <v>112</v>
      </c>
      <c r="R590" s="12" t="s">
        <v>94</v>
      </c>
      <c r="S590" s="10" t="n">
        <v>4210210</v>
      </c>
      <c r="T590" s="12" t="s">
        <v>826</v>
      </c>
      <c r="U590" s="13" t="n">
        <v>709.67</v>
      </c>
      <c r="W590" s="13" t="n">
        <v>0</v>
      </c>
      <c r="X590" s="12" t="s">
        <v>827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46219</v>
      </c>
      <c r="C591" s="11" t="n">
        <v>46219</v>
      </c>
      <c r="D591" s="10" t="n">
        <v>514</v>
      </c>
      <c r="E591" s="12" t="s">
        <v>652</v>
      </c>
      <c r="F591" s="10" t="n">
        <v>34</v>
      </c>
      <c r="G591" s="12" t="s">
        <v>49</v>
      </c>
      <c r="H591" s="10" t="n">
        <v>1110202</v>
      </c>
      <c r="I591" s="12" t="s">
        <v>90</v>
      </c>
      <c r="J591" s="10" t="n">
        <v>1406999</v>
      </c>
      <c r="L591" s="10" t="n">
        <v>579982</v>
      </c>
      <c r="M591" s="12" t="s">
        <v>33</v>
      </c>
      <c r="N591" s="12" t="s">
        <v>66</v>
      </c>
      <c r="P591" s="10" t="n">
        <v>102</v>
      </c>
      <c r="Q591" s="12" t="s">
        <v>112</v>
      </c>
      <c r="R591" s="12" t="s">
        <v>91</v>
      </c>
      <c r="S591" s="10" t="n">
        <v>4220199</v>
      </c>
      <c r="T591" s="12" t="s">
        <v>92</v>
      </c>
      <c r="U591" s="13" t="n">
        <v>710</v>
      </c>
      <c r="W591" s="13" t="n">
        <v>0</v>
      </c>
      <c r="X591" s="12" t="s">
        <v>755</v>
      </c>
      <c r="Z591" s="1" t="str">
        <f aca="false">IF($T591="","",IFERROR(INDEX('Resumo Grupos'!$AC$3:$AC$200,MATCH($T591,'Resumo Grupos'!$AB$3:$AB$200,0)),"n/d"))</f>
        <v>Pagamentos outros não operacionais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46219</v>
      </c>
      <c r="D592" s="10" t="n">
        <v>10012</v>
      </c>
      <c r="E592" s="12" t="s">
        <v>318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1261364</v>
      </c>
      <c r="L592" s="10" t="n">
        <v>1957890</v>
      </c>
      <c r="M592" s="12" t="s">
        <v>40</v>
      </c>
      <c r="N592" s="12" t="s">
        <v>34</v>
      </c>
      <c r="P592" s="10" t="n">
        <v>103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3937.78</v>
      </c>
      <c r="W592" s="13" t="n">
        <v>0</v>
      </c>
      <c r="X592" s="12" t="s">
        <v>828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46212</v>
      </c>
      <c r="C593" s="11" t="n">
        <v>46219</v>
      </c>
      <c r="D593" s="10" t="n">
        <v>754</v>
      </c>
      <c r="E593" s="12" t="s">
        <v>68</v>
      </c>
      <c r="F593" s="10" t="n">
        <v>24</v>
      </c>
      <c r="G593" s="12" t="s">
        <v>31</v>
      </c>
      <c r="H593" s="10" t="n">
        <v>1110202</v>
      </c>
      <c r="I593" s="12" t="s">
        <v>90</v>
      </c>
      <c r="J593" s="10" t="n">
        <v>1374885</v>
      </c>
      <c r="L593" s="10" t="n">
        <v>31702</v>
      </c>
      <c r="M593" s="12" t="s">
        <v>33</v>
      </c>
      <c r="N593" s="12" t="s">
        <v>66</v>
      </c>
      <c r="P593" s="10" t="n">
        <v>103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3130</v>
      </c>
      <c r="W593" s="13" t="n">
        <v>0</v>
      </c>
      <c r="X593" s="12" t="s">
        <v>829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46213</v>
      </c>
      <c r="C594" s="11" t="n">
        <v>46219</v>
      </c>
      <c r="D594" s="10" t="n">
        <v>1666</v>
      </c>
      <c r="E594" s="12" t="s">
        <v>139</v>
      </c>
      <c r="F594" s="10" t="n">
        <v>24</v>
      </c>
      <c r="G594" s="12" t="s">
        <v>31</v>
      </c>
      <c r="H594" s="10" t="n">
        <v>1110202</v>
      </c>
      <c r="I594" s="12" t="s">
        <v>90</v>
      </c>
      <c r="J594" s="10" t="n">
        <v>1376753</v>
      </c>
      <c r="L594" s="10" t="n">
        <v>566298</v>
      </c>
      <c r="M594" s="12" t="s">
        <v>33</v>
      </c>
      <c r="N594" s="12" t="s">
        <v>66</v>
      </c>
      <c r="P594" s="10" t="n">
        <v>103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5877.89</v>
      </c>
      <c r="W594" s="13" t="n">
        <v>0</v>
      </c>
      <c r="X594" s="12" t="s">
        <v>830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46206</v>
      </c>
      <c r="C595" s="11" t="n">
        <v>46219</v>
      </c>
      <c r="D595" s="10" t="n">
        <v>1643</v>
      </c>
      <c r="E595" s="12" t="s">
        <v>320</v>
      </c>
      <c r="F595" s="10" t="n">
        <v>24</v>
      </c>
      <c r="G595" s="12" t="s">
        <v>31</v>
      </c>
      <c r="H595" s="10" t="n">
        <v>2110101</v>
      </c>
      <c r="I595" s="12" t="s">
        <v>32</v>
      </c>
      <c r="J595" s="10" t="n">
        <v>1343984</v>
      </c>
      <c r="L595" s="10" t="n">
        <v>10653</v>
      </c>
      <c r="M595" s="12" t="s">
        <v>33</v>
      </c>
      <c r="N595" s="12" t="s">
        <v>34</v>
      </c>
      <c r="P595" s="10" t="n">
        <v>103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228</v>
      </c>
      <c r="W595" s="13" t="n">
        <v>0</v>
      </c>
      <c r="X595" s="12" t="s">
        <v>831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46207</v>
      </c>
      <c r="C596" s="11" t="n">
        <v>46220</v>
      </c>
      <c r="D596" s="10" t="n">
        <v>1695</v>
      </c>
      <c r="E596" s="12" t="s">
        <v>44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1348708</v>
      </c>
      <c r="L596" s="10" t="n">
        <v>19022</v>
      </c>
      <c r="M596" s="12" t="s">
        <v>76</v>
      </c>
      <c r="N596" s="12" t="s">
        <v>34</v>
      </c>
      <c r="P596" s="10" t="n">
        <v>103</v>
      </c>
      <c r="Q596" s="12" t="s">
        <v>35</v>
      </c>
      <c r="R596" s="12" t="s">
        <v>36</v>
      </c>
      <c r="S596" s="10" t="n">
        <v>1130101</v>
      </c>
      <c r="T596" s="12" t="s">
        <v>37</v>
      </c>
      <c r="U596" s="13" t="n">
        <v>595</v>
      </c>
      <c r="W596" s="13" t="n">
        <v>0</v>
      </c>
      <c r="X596" s="12" t="s">
        <v>832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46213</v>
      </c>
      <c r="C597" s="11" t="n">
        <v>46220</v>
      </c>
      <c r="D597" s="10" t="n">
        <v>1642</v>
      </c>
      <c r="E597" s="12" t="s">
        <v>158</v>
      </c>
      <c r="F597" s="10" t="n">
        <v>24</v>
      </c>
      <c r="G597" s="12" t="s">
        <v>31</v>
      </c>
      <c r="H597" s="10" t="n">
        <v>1110202</v>
      </c>
      <c r="I597" s="12" t="s">
        <v>90</v>
      </c>
      <c r="J597" s="10" t="n">
        <v>1376504</v>
      </c>
      <c r="L597" s="10" t="n">
        <v>1031245</v>
      </c>
      <c r="M597" s="12" t="s">
        <v>33</v>
      </c>
      <c r="N597" s="12" t="s">
        <v>66</v>
      </c>
      <c r="P597" s="10" t="n">
        <v>103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756.45</v>
      </c>
      <c r="W597" s="13" t="n">
        <v>0</v>
      </c>
      <c r="X597" s="12" t="s">
        <v>833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46220</v>
      </c>
      <c r="C598" s="11" t="n">
        <v>46220</v>
      </c>
      <c r="D598" s="10" t="n">
        <v>1615</v>
      </c>
      <c r="E598" s="12" t="s">
        <v>48</v>
      </c>
      <c r="F598" s="10" t="n">
        <v>34</v>
      </c>
      <c r="G598" s="12" t="s">
        <v>49</v>
      </c>
      <c r="H598" s="10" t="n">
        <v>2110101</v>
      </c>
      <c r="I598" s="12" t="s">
        <v>32</v>
      </c>
      <c r="J598" s="10" t="n">
        <v>1411307</v>
      </c>
      <c r="L598" s="10" t="n">
        <v>14888</v>
      </c>
      <c r="M598" s="12" t="s">
        <v>33</v>
      </c>
      <c r="N598" s="12" t="s">
        <v>34</v>
      </c>
      <c r="P598" s="10" t="n">
        <v>104</v>
      </c>
      <c r="Q598" s="12" t="s">
        <v>50</v>
      </c>
      <c r="R598" s="12" t="s">
        <v>36</v>
      </c>
      <c r="S598" s="10" t="n">
        <v>1130101</v>
      </c>
      <c r="T598" s="12" t="s">
        <v>37</v>
      </c>
      <c r="U598" s="13" t="n">
        <v>990</v>
      </c>
      <c r="W598" s="13" t="n">
        <v>0</v>
      </c>
      <c r="X598" s="12" t="s">
        <v>834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46216</v>
      </c>
      <c r="C599" s="11" t="n">
        <v>46220</v>
      </c>
      <c r="D599" s="10" t="n">
        <v>1621</v>
      </c>
      <c r="E599" s="12" t="s">
        <v>286</v>
      </c>
      <c r="F599" s="10" t="n">
        <v>24</v>
      </c>
      <c r="G599" s="12" t="s">
        <v>31</v>
      </c>
      <c r="H599" s="10" t="n">
        <v>1110202</v>
      </c>
      <c r="I599" s="12" t="s">
        <v>90</v>
      </c>
      <c r="J599" s="10" t="n">
        <v>1392454</v>
      </c>
      <c r="L599" s="10" t="n">
        <v>900346</v>
      </c>
      <c r="M599" s="12" t="s">
        <v>33</v>
      </c>
      <c r="N599" s="12" t="s">
        <v>66</v>
      </c>
      <c r="P599" s="10" t="n">
        <v>103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552.36</v>
      </c>
      <c r="W599" s="13" t="n">
        <v>0</v>
      </c>
      <c r="X599" s="12" t="s">
        <v>835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46216</v>
      </c>
      <c r="C600" s="11" t="n">
        <v>46220</v>
      </c>
      <c r="D600" s="10" t="n">
        <v>1621</v>
      </c>
      <c r="E600" s="12" t="s">
        <v>286</v>
      </c>
      <c r="F600" s="10" t="n">
        <v>24</v>
      </c>
      <c r="G600" s="12" t="s">
        <v>31</v>
      </c>
      <c r="H600" s="10" t="n">
        <v>1110202</v>
      </c>
      <c r="I600" s="12" t="s">
        <v>90</v>
      </c>
      <c r="J600" s="10" t="n">
        <v>1392495</v>
      </c>
      <c r="L600" s="10" t="n">
        <v>900347</v>
      </c>
      <c r="M600" s="12" t="s">
        <v>33</v>
      </c>
      <c r="N600" s="12" t="s">
        <v>66</v>
      </c>
      <c r="P600" s="10" t="n">
        <v>103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1321.58</v>
      </c>
      <c r="W600" s="13" t="n">
        <v>0</v>
      </c>
      <c r="X600" s="12" t="s">
        <v>836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46193</v>
      </c>
      <c r="C601" s="11" t="n">
        <v>46220</v>
      </c>
      <c r="D601" s="10" t="n">
        <v>1718</v>
      </c>
      <c r="E601" s="12" t="s">
        <v>332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1280728</v>
      </c>
      <c r="L601" s="10" t="n">
        <v>674930</v>
      </c>
      <c r="M601" s="12" t="s">
        <v>40</v>
      </c>
      <c r="N601" s="12" t="s">
        <v>34</v>
      </c>
      <c r="P601" s="10" t="n">
        <v>103</v>
      </c>
      <c r="Q601" s="12" t="s">
        <v>35</v>
      </c>
      <c r="R601" s="12" t="s">
        <v>36</v>
      </c>
      <c r="S601" s="10" t="n">
        <v>1130101</v>
      </c>
      <c r="T601" s="12" t="s">
        <v>37</v>
      </c>
      <c r="U601" s="13" t="n">
        <v>478.43</v>
      </c>
      <c r="W601" s="13" t="n">
        <v>0</v>
      </c>
      <c r="X601" s="12" t="s">
        <v>837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46203</v>
      </c>
      <c r="C602" s="11" t="n">
        <v>46220</v>
      </c>
      <c r="D602" s="10" t="n">
        <v>794</v>
      </c>
      <c r="E602" s="12" t="s">
        <v>160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1330337</v>
      </c>
      <c r="L602" s="10" t="n">
        <v>8208</v>
      </c>
      <c r="M602" s="12" t="s">
        <v>76</v>
      </c>
      <c r="N602" s="12" t="s">
        <v>34</v>
      </c>
      <c r="P602" s="10" t="n">
        <v>103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526.89</v>
      </c>
      <c r="W602" s="13" t="n">
        <v>0</v>
      </c>
      <c r="X602" s="12" t="s">
        <v>838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46199</v>
      </c>
      <c r="C603" s="11" t="n">
        <v>46220</v>
      </c>
      <c r="D603" s="10" t="n">
        <v>1612</v>
      </c>
      <c r="E603" s="12" t="s">
        <v>248</v>
      </c>
      <c r="F603" s="10" t="n">
        <v>24</v>
      </c>
      <c r="G603" s="12" t="s">
        <v>31</v>
      </c>
      <c r="H603" s="10" t="n">
        <v>2110101</v>
      </c>
      <c r="I603" s="12" t="s">
        <v>32</v>
      </c>
      <c r="J603" s="10" t="n">
        <v>1309121</v>
      </c>
      <c r="L603" s="10" t="n">
        <v>2295786</v>
      </c>
      <c r="M603" s="12" t="s">
        <v>33</v>
      </c>
      <c r="N603" s="12" t="s">
        <v>34</v>
      </c>
      <c r="P603" s="10" t="n">
        <v>103</v>
      </c>
      <c r="Q603" s="12" t="s">
        <v>35</v>
      </c>
      <c r="R603" s="12" t="s">
        <v>36</v>
      </c>
      <c r="S603" s="10" t="n">
        <v>1130101</v>
      </c>
      <c r="T603" s="12" t="s">
        <v>37</v>
      </c>
      <c r="U603" s="13" t="n">
        <v>1646.34</v>
      </c>
      <c r="W603" s="13" t="n">
        <v>0</v>
      </c>
      <c r="X603" s="12" t="s">
        <v>839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46220</v>
      </c>
      <c r="C604" s="11" t="n">
        <v>46220</v>
      </c>
      <c r="D604" s="10" t="n">
        <v>1037</v>
      </c>
      <c r="E604" s="12" t="s">
        <v>171</v>
      </c>
      <c r="F604" s="10" t="n">
        <v>34</v>
      </c>
      <c r="G604" s="12" t="s">
        <v>49</v>
      </c>
      <c r="H604" s="10" t="n">
        <v>1110202</v>
      </c>
      <c r="I604" s="12" t="s">
        <v>90</v>
      </c>
      <c r="J604" s="10" t="n">
        <v>1411594</v>
      </c>
      <c r="L604" s="10" t="n">
        <v>581772</v>
      </c>
      <c r="M604" s="12" t="s">
        <v>33</v>
      </c>
      <c r="N604" s="12" t="s">
        <v>66</v>
      </c>
      <c r="P604" s="10" t="n">
        <v>101</v>
      </c>
      <c r="Q604" s="12" t="s">
        <v>84</v>
      </c>
      <c r="R604" s="12" t="s">
        <v>91</v>
      </c>
      <c r="S604" s="10" t="n">
        <v>4220199</v>
      </c>
      <c r="T604" s="12" t="s">
        <v>92</v>
      </c>
      <c r="U604" s="13" t="n">
        <v>2624</v>
      </c>
      <c r="W604" s="13" t="n">
        <v>0</v>
      </c>
      <c r="X604" s="12" t="s">
        <v>840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46220</v>
      </c>
      <c r="C605" s="11" t="n">
        <v>46220</v>
      </c>
      <c r="D605" s="10" t="n">
        <v>1137</v>
      </c>
      <c r="E605" s="12" t="s">
        <v>252</v>
      </c>
      <c r="F605" s="10" t="n">
        <v>34</v>
      </c>
      <c r="G605" s="12" t="s">
        <v>49</v>
      </c>
      <c r="H605" s="10" t="n">
        <v>1110202</v>
      </c>
      <c r="I605" s="12" t="s">
        <v>90</v>
      </c>
      <c r="J605" s="10" t="n">
        <v>1412497</v>
      </c>
      <c r="L605" s="10" t="n">
        <v>582124</v>
      </c>
      <c r="M605" s="12" t="s">
        <v>33</v>
      </c>
      <c r="N605" s="12" t="s">
        <v>66</v>
      </c>
      <c r="P605" s="10" t="n">
        <v>101</v>
      </c>
      <c r="Q605" s="12" t="s">
        <v>84</v>
      </c>
      <c r="R605" s="12" t="s">
        <v>121</v>
      </c>
      <c r="S605" s="10" t="n">
        <v>4210301</v>
      </c>
      <c r="T605" s="12" t="s">
        <v>122</v>
      </c>
      <c r="U605" s="13" t="n">
        <v>100</v>
      </c>
      <c r="W605" s="13" t="n">
        <v>0</v>
      </c>
      <c r="X605" s="12" t="s">
        <v>841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46214</v>
      </c>
      <c r="C606" s="11" t="n">
        <v>46220</v>
      </c>
      <c r="D606" s="10" t="n">
        <v>1650</v>
      </c>
      <c r="E606" s="12" t="s">
        <v>108</v>
      </c>
      <c r="F606" s="10" t="n">
        <v>24</v>
      </c>
      <c r="G606" s="12" t="s">
        <v>31</v>
      </c>
      <c r="H606" s="10" t="n">
        <v>1110202</v>
      </c>
      <c r="I606" s="12" t="s">
        <v>90</v>
      </c>
      <c r="J606" s="10" t="n">
        <v>1382317</v>
      </c>
      <c r="L606" s="10" t="n">
        <v>225770</v>
      </c>
      <c r="M606" s="12" t="s">
        <v>33</v>
      </c>
      <c r="N606" s="12" t="s">
        <v>66</v>
      </c>
      <c r="P606" s="10" t="n">
        <v>103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460.18</v>
      </c>
      <c r="W606" s="13" t="n">
        <v>0</v>
      </c>
      <c r="X606" s="12" t="s">
        <v>842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46220</v>
      </c>
      <c r="C607" s="11" t="n">
        <v>46220</v>
      </c>
      <c r="D607" s="10" t="n">
        <v>978</v>
      </c>
      <c r="E607" s="12" t="s">
        <v>54</v>
      </c>
      <c r="F607" s="10" t="n">
        <v>13</v>
      </c>
      <c r="G607" s="12" t="s">
        <v>55</v>
      </c>
      <c r="H607" s="10" t="n">
        <v>2110101</v>
      </c>
      <c r="I607" s="12" t="s">
        <v>32</v>
      </c>
      <c r="J607" s="10" t="n">
        <v>1425085</v>
      </c>
      <c r="L607" s="10" t="n">
        <v>375</v>
      </c>
      <c r="M607" s="12" t="s">
        <v>33</v>
      </c>
      <c r="N607" s="12" t="s">
        <v>34</v>
      </c>
      <c r="P607" s="10" t="n">
        <v>104</v>
      </c>
      <c r="Q607" s="12" t="s">
        <v>50</v>
      </c>
      <c r="R607" s="12" t="s">
        <v>36</v>
      </c>
      <c r="S607" s="10" t="n">
        <v>1130101</v>
      </c>
      <c r="T607" s="12" t="s">
        <v>37</v>
      </c>
      <c r="U607" s="13" t="n">
        <v>416.5</v>
      </c>
      <c r="W607" s="13" t="n">
        <v>0</v>
      </c>
      <c r="X607" s="12" t="s">
        <v>843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46220</v>
      </c>
      <c r="C608" s="11" t="n">
        <v>46220</v>
      </c>
      <c r="D608" s="10" t="n">
        <v>10096</v>
      </c>
      <c r="E608" s="12" t="s">
        <v>844</v>
      </c>
      <c r="F608" s="10" t="n">
        <v>13</v>
      </c>
      <c r="G608" s="12" t="s">
        <v>55</v>
      </c>
      <c r="H608" s="10" t="n">
        <v>2110101</v>
      </c>
      <c r="I608" s="12" t="s">
        <v>32</v>
      </c>
      <c r="J608" s="10" t="n">
        <v>1460043</v>
      </c>
      <c r="L608" s="10" t="n">
        <v>26</v>
      </c>
      <c r="M608" s="12" t="s">
        <v>33</v>
      </c>
      <c r="N608" s="12" t="s">
        <v>34</v>
      </c>
      <c r="P608" s="10" t="n">
        <v>104</v>
      </c>
      <c r="Q608" s="12" t="s">
        <v>50</v>
      </c>
      <c r="R608" s="12" t="s">
        <v>36</v>
      </c>
      <c r="S608" s="10" t="n">
        <v>1130101</v>
      </c>
      <c r="T608" s="12" t="s">
        <v>37</v>
      </c>
      <c r="U608" s="13" t="n">
        <v>560</v>
      </c>
      <c r="W608" s="13" t="n">
        <v>560</v>
      </c>
      <c r="X608" s="12" t="s">
        <v>845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46220</v>
      </c>
      <c r="C609" s="11" t="n">
        <v>46220</v>
      </c>
      <c r="D609" s="10" t="n">
        <v>10096</v>
      </c>
      <c r="E609" s="12" t="s">
        <v>844</v>
      </c>
      <c r="F609" s="10" t="n">
        <v>13</v>
      </c>
      <c r="G609" s="12" t="s">
        <v>55</v>
      </c>
      <c r="H609" s="10" t="n">
        <v>2110101</v>
      </c>
      <c r="I609" s="12" t="s">
        <v>32</v>
      </c>
      <c r="J609" s="10" t="n">
        <v>1425418</v>
      </c>
      <c r="L609" s="10" t="n">
        <v>33</v>
      </c>
      <c r="M609" s="12" t="s">
        <v>33</v>
      </c>
      <c r="N609" s="12" t="s">
        <v>34</v>
      </c>
      <c r="P609" s="10" t="n">
        <v>104</v>
      </c>
      <c r="Q609" s="12" t="s">
        <v>50</v>
      </c>
      <c r="R609" s="12" t="s">
        <v>36</v>
      </c>
      <c r="S609" s="10" t="n">
        <v>1130101</v>
      </c>
      <c r="T609" s="12" t="s">
        <v>37</v>
      </c>
      <c r="U609" s="13" t="n">
        <v>480</v>
      </c>
      <c r="W609" s="13" t="n">
        <v>0</v>
      </c>
      <c r="X609" s="12" t="s">
        <v>846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46220</v>
      </c>
      <c r="C610" s="11" t="n">
        <v>46220</v>
      </c>
      <c r="D610" s="10" t="n">
        <v>10096</v>
      </c>
      <c r="E610" s="12" t="s">
        <v>844</v>
      </c>
      <c r="F610" s="10" t="n">
        <v>13</v>
      </c>
      <c r="G610" s="12" t="s">
        <v>55</v>
      </c>
      <c r="H610" s="10" t="n">
        <v>2110101</v>
      </c>
      <c r="I610" s="12" t="s">
        <v>32</v>
      </c>
      <c r="J610" s="10" t="n">
        <v>1460091</v>
      </c>
      <c r="L610" s="10" t="n">
        <v>25</v>
      </c>
      <c r="M610" s="12" t="s">
        <v>33</v>
      </c>
      <c r="N610" s="12" t="s">
        <v>34</v>
      </c>
      <c r="P610" s="10" t="n">
        <v>104</v>
      </c>
      <c r="Q610" s="12" t="s">
        <v>50</v>
      </c>
      <c r="R610" s="12" t="s">
        <v>36</v>
      </c>
      <c r="S610" s="10" t="n">
        <v>1130101</v>
      </c>
      <c r="T610" s="12" t="s">
        <v>37</v>
      </c>
      <c r="U610" s="13" t="n">
        <v>440</v>
      </c>
      <c r="W610" s="13" t="n">
        <v>440</v>
      </c>
      <c r="X610" s="12" t="s">
        <v>847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46220</v>
      </c>
      <c r="C611" s="11" t="n">
        <v>46220</v>
      </c>
      <c r="D611" s="10" t="n">
        <v>10096</v>
      </c>
      <c r="E611" s="12" t="s">
        <v>844</v>
      </c>
      <c r="F611" s="10" t="n">
        <v>13</v>
      </c>
      <c r="G611" s="12" t="s">
        <v>55</v>
      </c>
      <c r="H611" s="10" t="n">
        <v>2110101</v>
      </c>
      <c r="I611" s="12" t="s">
        <v>32</v>
      </c>
      <c r="J611" s="10" t="n">
        <v>1460196</v>
      </c>
      <c r="L611" s="10" t="n">
        <v>32</v>
      </c>
      <c r="M611" s="12" t="s">
        <v>33</v>
      </c>
      <c r="N611" s="12" t="s">
        <v>34</v>
      </c>
      <c r="P611" s="10" t="n">
        <v>104</v>
      </c>
      <c r="Q611" s="12" t="s">
        <v>50</v>
      </c>
      <c r="R611" s="12" t="s">
        <v>36</v>
      </c>
      <c r="S611" s="10" t="n">
        <v>1130101</v>
      </c>
      <c r="T611" s="12" t="s">
        <v>37</v>
      </c>
      <c r="U611" s="13" t="n">
        <v>300</v>
      </c>
      <c r="W611" s="13" t="n">
        <v>300</v>
      </c>
      <c r="X611" s="12" t="s">
        <v>848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46220</v>
      </c>
      <c r="C612" s="11" t="n">
        <v>46220</v>
      </c>
      <c r="D612" s="10" t="n">
        <v>10096</v>
      </c>
      <c r="E612" s="12" t="s">
        <v>844</v>
      </c>
      <c r="F612" s="10" t="n">
        <v>13</v>
      </c>
      <c r="G612" s="12" t="s">
        <v>55</v>
      </c>
      <c r="H612" s="10" t="n">
        <v>2110101</v>
      </c>
      <c r="I612" s="12" t="s">
        <v>32</v>
      </c>
      <c r="J612" s="10" t="n">
        <v>1460251</v>
      </c>
      <c r="L612" s="10" t="n">
        <v>31</v>
      </c>
      <c r="M612" s="12" t="s">
        <v>33</v>
      </c>
      <c r="N612" s="12" t="s">
        <v>34</v>
      </c>
      <c r="P612" s="10" t="n">
        <v>104</v>
      </c>
      <c r="Q612" s="12" t="s">
        <v>50</v>
      </c>
      <c r="R612" s="12" t="s">
        <v>36</v>
      </c>
      <c r="S612" s="10" t="n">
        <v>1130101</v>
      </c>
      <c r="T612" s="12" t="s">
        <v>37</v>
      </c>
      <c r="U612" s="13" t="n">
        <v>420</v>
      </c>
      <c r="W612" s="13" t="n">
        <v>420</v>
      </c>
      <c r="X612" s="12" t="s">
        <v>849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46220</v>
      </c>
      <c r="C613" s="11" t="n">
        <v>46220</v>
      </c>
      <c r="D613" s="10" t="n">
        <v>10096</v>
      </c>
      <c r="E613" s="12" t="s">
        <v>844</v>
      </c>
      <c r="F613" s="10" t="n">
        <v>13</v>
      </c>
      <c r="G613" s="12" t="s">
        <v>55</v>
      </c>
      <c r="H613" s="10" t="n">
        <v>2110101</v>
      </c>
      <c r="I613" s="12" t="s">
        <v>32</v>
      </c>
      <c r="J613" s="10" t="n">
        <v>1460314</v>
      </c>
      <c r="L613" s="10" t="n">
        <v>29</v>
      </c>
      <c r="M613" s="12" t="s">
        <v>33</v>
      </c>
      <c r="N613" s="12" t="s">
        <v>34</v>
      </c>
      <c r="P613" s="10" t="n">
        <v>104</v>
      </c>
      <c r="Q613" s="12" t="s">
        <v>50</v>
      </c>
      <c r="R613" s="12" t="s">
        <v>36</v>
      </c>
      <c r="S613" s="10" t="n">
        <v>1130101</v>
      </c>
      <c r="T613" s="12" t="s">
        <v>37</v>
      </c>
      <c r="U613" s="13" t="n">
        <v>480</v>
      </c>
      <c r="W613" s="13" t="n">
        <v>480</v>
      </c>
      <c r="X613" s="12" t="s">
        <v>850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46220</v>
      </c>
      <c r="C614" s="11" t="n">
        <v>46220</v>
      </c>
      <c r="D614" s="10" t="n">
        <v>10096</v>
      </c>
      <c r="E614" s="12" t="s">
        <v>844</v>
      </c>
      <c r="F614" s="10" t="n">
        <v>13</v>
      </c>
      <c r="G614" s="12" t="s">
        <v>55</v>
      </c>
      <c r="H614" s="10" t="n">
        <v>2110101</v>
      </c>
      <c r="I614" s="12" t="s">
        <v>32</v>
      </c>
      <c r="J614" s="10" t="n">
        <v>1462689</v>
      </c>
      <c r="L614" s="10" t="n">
        <v>28</v>
      </c>
      <c r="M614" s="12" t="s">
        <v>33</v>
      </c>
      <c r="N614" s="12" t="s">
        <v>34</v>
      </c>
      <c r="P614" s="10" t="n">
        <v>104</v>
      </c>
      <c r="Q614" s="12" t="s">
        <v>50</v>
      </c>
      <c r="R614" s="12" t="s">
        <v>36</v>
      </c>
      <c r="S614" s="10" t="n">
        <v>1130101</v>
      </c>
      <c r="T614" s="12" t="s">
        <v>37</v>
      </c>
      <c r="U614" s="13" t="n">
        <v>400</v>
      </c>
      <c r="W614" s="13" t="n">
        <v>400</v>
      </c>
      <c r="X614" s="12" t="s">
        <v>851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46220</v>
      </c>
      <c r="C615" s="11" t="n">
        <v>46220</v>
      </c>
      <c r="D615" s="10" t="n">
        <v>10096</v>
      </c>
      <c r="E615" s="12" t="s">
        <v>844</v>
      </c>
      <c r="F615" s="10" t="n">
        <v>13</v>
      </c>
      <c r="G615" s="12" t="s">
        <v>55</v>
      </c>
      <c r="H615" s="10" t="n">
        <v>2110101</v>
      </c>
      <c r="I615" s="12" t="s">
        <v>32</v>
      </c>
      <c r="J615" s="10" t="n">
        <v>1462933</v>
      </c>
      <c r="L615" s="10" t="n">
        <v>30</v>
      </c>
      <c r="M615" s="12" t="s">
        <v>33</v>
      </c>
      <c r="N615" s="12" t="s">
        <v>34</v>
      </c>
      <c r="P615" s="10" t="n">
        <v>104</v>
      </c>
      <c r="Q615" s="12" t="s">
        <v>50</v>
      </c>
      <c r="R615" s="12" t="s">
        <v>36</v>
      </c>
      <c r="S615" s="10" t="n">
        <v>1130101</v>
      </c>
      <c r="T615" s="12" t="s">
        <v>37</v>
      </c>
      <c r="U615" s="13" t="n">
        <v>440</v>
      </c>
      <c r="W615" s="13" t="n">
        <v>440</v>
      </c>
      <c r="X615" s="12" t="s">
        <v>852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46220</v>
      </c>
      <c r="C616" s="11" t="n">
        <v>46220</v>
      </c>
      <c r="D616" s="10" t="n">
        <v>10096</v>
      </c>
      <c r="E616" s="12" t="s">
        <v>844</v>
      </c>
      <c r="F616" s="10" t="n">
        <v>13</v>
      </c>
      <c r="G616" s="12" t="s">
        <v>55</v>
      </c>
      <c r="H616" s="10" t="n">
        <v>2110101</v>
      </c>
      <c r="I616" s="12" t="s">
        <v>32</v>
      </c>
      <c r="J616" s="10" t="n">
        <v>1463047</v>
      </c>
      <c r="L616" s="10" t="n">
        <v>27</v>
      </c>
      <c r="M616" s="12" t="s">
        <v>33</v>
      </c>
      <c r="N616" s="12" t="s">
        <v>34</v>
      </c>
      <c r="P616" s="10" t="n">
        <v>104</v>
      </c>
      <c r="Q616" s="12" t="s">
        <v>50</v>
      </c>
      <c r="R616" s="12" t="s">
        <v>36</v>
      </c>
      <c r="S616" s="10" t="n">
        <v>1130101</v>
      </c>
      <c r="T616" s="12" t="s">
        <v>37</v>
      </c>
      <c r="U616" s="13" t="n">
        <v>240</v>
      </c>
      <c r="W616" s="13" t="n">
        <v>240</v>
      </c>
      <c r="X616" s="12" t="s">
        <v>853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46220</v>
      </c>
      <c r="C617" s="11" t="n">
        <v>46220</v>
      </c>
      <c r="D617" s="10" t="n">
        <v>10096</v>
      </c>
      <c r="E617" s="12" t="s">
        <v>844</v>
      </c>
      <c r="F617" s="10" t="n">
        <v>13</v>
      </c>
      <c r="G617" s="12" t="s">
        <v>55</v>
      </c>
      <c r="H617" s="10" t="n">
        <v>2110101</v>
      </c>
      <c r="I617" s="12" t="s">
        <v>32</v>
      </c>
      <c r="J617" s="10" t="n">
        <v>1463081</v>
      </c>
      <c r="L617" s="10" t="n">
        <v>1</v>
      </c>
      <c r="M617" s="12" t="s">
        <v>33</v>
      </c>
      <c r="N617" s="12" t="s">
        <v>34</v>
      </c>
      <c r="P617" s="10" t="n">
        <v>104</v>
      </c>
      <c r="Q617" s="12" t="s">
        <v>50</v>
      </c>
      <c r="R617" s="12" t="s">
        <v>36</v>
      </c>
      <c r="S617" s="10" t="n">
        <v>1130101</v>
      </c>
      <c r="T617" s="12" t="s">
        <v>37</v>
      </c>
      <c r="U617" s="13" t="n">
        <v>560</v>
      </c>
      <c r="W617" s="13" t="n">
        <v>560</v>
      </c>
      <c r="X617" s="12" t="s">
        <v>854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46220</v>
      </c>
      <c r="C618" s="11" t="n">
        <v>46220</v>
      </c>
      <c r="D618" s="10" t="n">
        <v>10096</v>
      </c>
      <c r="E618" s="12" t="s">
        <v>844</v>
      </c>
      <c r="F618" s="10" t="n">
        <v>13</v>
      </c>
      <c r="G618" s="12" t="s">
        <v>55</v>
      </c>
      <c r="H618" s="10" t="n">
        <v>2110101</v>
      </c>
      <c r="I618" s="12" t="s">
        <v>32</v>
      </c>
      <c r="J618" s="10" t="n">
        <v>1463156</v>
      </c>
      <c r="L618" s="10" t="n">
        <v>24</v>
      </c>
      <c r="M618" s="12" t="s">
        <v>33</v>
      </c>
      <c r="N618" s="12" t="s">
        <v>34</v>
      </c>
      <c r="P618" s="10" t="n">
        <v>104</v>
      </c>
      <c r="Q618" s="12" t="s">
        <v>50</v>
      </c>
      <c r="R618" s="12" t="s">
        <v>36</v>
      </c>
      <c r="S618" s="10" t="n">
        <v>1130101</v>
      </c>
      <c r="T618" s="12" t="s">
        <v>37</v>
      </c>
      <c r="U618" s="13" t="n">
        <v>240</v>
      </c>
      <c r="W618" s="13" t="n">
        <v>240</v>
      </c>
      <c r="X618" s="12" t="s">
        <v>855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46207</v>
      </c>
      <c r="C619" s="11" t="n">
        <v>46220</v>
      </c>
      <c r="D619" s="10" t="n">
        <v>1815</v>
      </c>
      <c r="E619" s="12" t="s">
        <v>175</v>
      </c>
      <c r="F619" s="10" t="n">
        <v>24</v>
      </c>
      <c r="G619" s="12" t="s">
        <v>31</v>
      </c>
      <c r="H619" s="10" t="n">
        <v>2110101</v>
      </c>
      <c r="I619" s="12" t="s">
        <v>32</v>
      </c>
      <c r="J619" s="10" t="n">
        <v>1348411</v>
      </c>
      <c r="L619" s="10" t="n">
        <v>390550</v>
      </c>
      <c r="M619" s="12" t="s">
        <v>76</v>
      </c>
      <c r="N619" s="12" t="s">
        <v>34</v>
      </c>
      <c r="P619" s="10" t="n">
        <v>103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2340.64</v>
      </c>
      <c r="W619" s="13" t="n">
        <v>0</v>
      </c>
      <c r="X619" s="12" t="s">
        <v>856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46214</v>
      </c>
      <c r="C620" s="11" t="n">
        <v>46220</v>
      </c>
      <c r="D620" s="10" t="n">
        <v>1815</v>
      </c>
      <c r="E620" s="12" t="s">
        <v>175</v>
      </c>
      <c r="F620" s="10" t="n">
        <v>24</v>
      </c>
      <c r="G620" s="12" t="s">
        <v>31</v>
      </c>
      <c r="H620" s="10" t="n">
        <v>1110202</v>
      </c>
      <c r="I620" s="12" t="s">
        <v>90</v>
      </c>
      <c r="J620" s="10" t="n">
        <v>1382433</v>
      </c>
      <c r="L620" s="10" t="n">
        <v>391785</v>
      </c>
      <c r="M620" s="12" t="s">
        <v>33</v>
      </c>
      <c r="N620" s="12" t="s">
        <v>66</v>
      </c>
      <c r="P620" s="10" t="n">
        <v>103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785.66</v>
      </c>
      <c r="W620" s="13" t="n">
        <v>0</v>
      </c>
      <c r="X620" s="12" t="s">
        <v>857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46220</v>
      </c>
      <c r="C621" s="11" t="n">
        <v>46220</v>
      </c>
      <c r="D621" s="10" t="n">
        <v>10035</v>
      </c>
      <c r="E621" s="12" t="s">
        <v>118</v>
      </c>
      <c r="F621" s="10" t="n">
        <v>13</v>
      </c>
      <c r="G621" s="12" t="s">
        <v>55</v>
      </c>
      <c r="H621" s="10" t="n">
        <v>2110101</v>
      </c>
      <c r="I621" s="12" t="s">
        <v>32</v>
      </c>
      <c r="J621" s="10" t="n">
        <v>1425318</v>
      </c>
      <c r="L621" s="10" t="n">
        <v>363</v>
      </c>
      <c r="M621" s="12" t="s">
        <v>33</v>
      </c>
      <c r="N621" s="12" t="s">
        <v>34</v>
      </c>
      <c r="P621" s="10" t="n">
        <v>104</v>
      </c>
      <c r="Q621" s="12" t="s">
        <v>50</v>
      </c>
      <c r="R621" s="12" t="s">
        <v>36</v>
      </c>
      <c r="S621" s="10" t="n">
        <v>1130101</v>
      </c>
      <c r="T621" s="12" t="s">
        <v>37</v>
      </c>
      <c r="U621" s="13" t="n">
        <v>270</v>
      </c>
      <c r="W621" s="13" t="n">
        <v>0</v>
      </c>
      <c r="X621" s="12" t="s">
        <v>858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46211</v>
      </c>
      <c r="C622" s="11" t="n">
        <v>46220</v>
      </c>
      <c r="D622" s="10" t="n">
        <v>1270</v>
      </c>
      <c r="E622" s="12" t="s">
        <v>348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1369484</v>
      </c>
      <c r="L622" s="10" t="n">
        <v>2602</v>
      </c>
      <c r="M622" s="12" t="s">
        <v>33</v>
      </c>
      <c r="N622" s="12" t="s">
        <v>34</v>
      </c>
      <c r="P622" s="10" t="n">
        <v>103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580.5</v>
      </c>
      <c r="W622" s="13" t="n">
        <v>0</v>
      </c>
      <c r="X622" s="12" t="s">
        <v>859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46209</v>
      </c>
      <c r="C623" s="11" t="n">
        <v>46220</v>
      </c>
      <c r="D623" s="10" t="n">
        <v>10009</v>
      </c>
      <c r="E623" s="12" t="s">
        <v>181</v>
      </c>
      <c r="F623" s="10" t="n">
        <v>24</v>
      </c>
      <c r="G623" s="12" t="s">
        <v>31</v>
      </c>
      <c r="H623" s="10" t="n">
        <v>2110101</v>
      </c>
      <c r="I623" s="12" t="s">
        <v>32</v>
      </c>
      <c r="J623" s="10" t="n">
        <v>1360393</v>
      </c>
      <c r="L623" s="10" t="n">
        <v>1424401</v>
      </c>
      <c r="M623" s="12" t="s">
        <v>76</v>
      </c>
      <c r="N623" s="12" t="s">
        <v>34</v>
      </c>
      <c r="P623" s="10" t="n">
        <v>103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868.86</v>
      </c>
      <c r="W623" s="13" t="n">
        <v>0</v>
      </c>
      <c r="X623" s="12" t="s">
        <v>860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46214</v>
      </c>
      <c r="C624" s="11" t="n">
        <v>46220</v>
      </c>
      <c r="D624" s="10" t="n">
        <v>513</v>
      </c>
      <c r="E624" s="12" t="s">
        <v>787</v>
      </c>
      <c r="F624" s="10" t="n">
        <v>24</v>
      </c>
      <c r="G624" s="12" t="s">
        <v>31</v>
      </c>
      <c r="H624" s="10" t="n">
        <v>1110202</v>
      </c>
      <c r="I624" s="12" t="s">
        <v>90</v>
      </c>
      <c r="J624" s="10" t="n">
        <v>1382112</v>
      </c>
      <c r="L624" s="10" t="n">
        <v>570410</v>
      </c>
      <c r="M624" s="12" t="s">
        <v>33</v>
      </c>
      <c r="N624" s="12" t="s">
        <v>66</v>
      </c>
      <c r="P624" s="10" t="n">
        <v>101</v>
      </c>
      <c r="Q624" s="12" t="s">
        <v>84</v>
      </c>
      <c r="R624" s="12" t="s">
        <v>94</v>
      </c>
      <c r="S624" s="10" t="n">
        <v>4210206</v>
      </c>
      <c r="T624" s="12" t="s">
        <v>330</v>
      </c>
      <c r="U624" s="13" t="n">
        <v>28.9</v>
      </c>
      <c r="W624" s="13" t="n">
        <v>0</v>
      </c>
      <c r="X624" s="12" t="s">
        <v>861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46214</v>
      </c>
      <c r="C625" s="11" t="n">
        <v>46220</v>
      </c>
      <c r="D625" s="10" t="n">
        <v>1123</v>
      </c>
      <c r="E625" s="12" t="s">
        <v>309</v>
      </c>
      <c r="F625" s="10" t="n">
        <v>24</v>
      </c>
      <c r="G625" s="12" t="s">
        <v>31</v>
      </c>
      <c r="H625" s="10" t="n">
        <v>1110202</v>
      </c>
      <c r="I625" s="12" t="s">
        <v>90</v>
      </c>
      <c r="J625" s="10" t="n">
        <v>1382295</v>
      </c>
      <c r="L625" s="10" t="n">
        <v>43438</v>
      </c>
      <c r="M625" s="12" t="s">
        <v>33</v>
      </c>
      <c r="N625" s="12" t="s">
        <v>66</v>
      </c>
      <c r="P625" s="10" t="n">
        <v>103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1380</v>
      </c>
      <c r="W625" s="13" t="n">
        <v>0</v>
      </c>
      <c r="X625" s="12" t="s">
        <v>862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46207</v>
      </c>
      <c r="C626" s="11" t="n">
        <v>46220</v>
      </c>
      <c r="D626" s="10" t="n">
        <v>1114</v>
      </c>
      <c r="E626" s="12" t="s">
        <v>128</v>
      </c>
      <c r="F626" s="10" t="n">
        <v>24</v>
      </c>
      <c r="G626" s="12" t="s">
        <v>31</v>
      </c>
      <c r="H626" s="10" t="n">
        <v>2110101</v>
      </c>
      <c r="I626" s="12" t="s">
        <v>32</v>
      </c>
      <c r="J626" s="10" t="n">
        <v>1348443</v>
      </c>
      <c r="L626" s="10" t="n">
        <v>40130</v>
      </c>
      <c r="M626" s="12" t="s">
        <v>33</v>
      </c>
      <c r="N626" s="12" t="s">
        <v>34</v>
      </c>
      <c r="P626" s="10" t="n">
        <v>103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5344.86</v>
      </c>
      <c r="W626" s="13" t="n">
        <v>0</v>
      </c>
      <c r="X626" s="12" t="s">
        <v>863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46220</v>
      </c>
      <c r="D627" s="10" t="n">
        <v>1740</v>
      </c>
      <c r="E627" s="12" t="s">
        <v>312</v>
      </c>
      <c r="F627" s="10" t="n">
        <v>24</v>
      </c>
      <c r="G627" s="12" t="s">
        <v>31</v>
      </c>
      <c r="H627" s="10" t="n">
        <v>2110101</v>
      </c>
      <c r="I627" s="12" t="s">
        <v>32</v>
      </c>
      <c r="J627" s="10" t="n">
        <v>1289301</v>
      </c>
      <c r="L627" s="10" t="n">
        <v>1238958</v>
      </c>
      <c r="M627" s="12" t="s">
        <v>40</v>
      </c>
      <c r="N627" s="12" t="s">
        <v>34</v>
      </c>
      <c r="P627" s="10" t="n">
        <v>103</v>
      </c>
      <c r="Q627" s="12" t="s">
        <v>35</v>
      </c>
      <c r="R627" s="12" t="s">
        <v>36</v>
      </c>
      <c r="S627" s="10" t="n">
        <v>1130101</v>
      </c>
      <c r="T627" s="12" t="s">
        <v>37</v>
      </c>
      <c r="U627" s="13" t="n">
        <v>2272.59</v>
      </c>
      <c r="W627" s="13" t="n">
        <v>0</v>
      </c>
      <c r="X627" s="12" t="s">
        <v>864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46202</v>
      </c>
      <c r="C628" s="11" t="n">
        <v>46220</v>
      </c>
      <c r="D628" s="10" t="n">
        <v>1740</v>
      </c>
      <c r="E628" s="12" t="s">
        <v>312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1322290</v>
      </c>
      <c r="L628" s="10" t="n">
        <v>1241434</v>
      </c>
      <c r="M628" s="12" t="s">
        <v>76</v>
      </c>
      <c r="N628" s="12" t="s">
        <v>34</v>
      </c>
      <c r="P628" s="10" t="n">
        <v>103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537.72</v>
      </c>
      <c r="W628" s="13" t="n">
        <v>0</v>
      </c>
      <c r="X628" s="12" t="s">
        <v>865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46200</v>
      </c>
      <c r="C629" s="11" t="n">
        <v>46220</v>
      </c>
      <c r="D629" s="10" t="n">
        <v>1749</v>
      </c>
      <c r="E629" s="12" t="s">
        <v>188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1312870</v>
      </c>
      <c r="L629" s="10" t="n">
        <v>2033</v>
      </c>
      <c r="M629" s="12" t="s">
        <v>40</v>
      </c>
      <c r="N629" s="12" t="s">
        <v>34</v>
      </c>
      <c r="P629" s="10" t="n">
        <v>103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754.66</v>
      </c>
      <c r="W629" s="13" t="n">
        <v>0</v>
      </c>
      <c r="X629" s="12" t="s">
        <v>866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46217</v>
      </c>
      <c r="C630" s="11" t="n">
        <v>46220</v>
      </c>
      <c r="D630" s="10" t="n">
        <v>1899</v>
      </c>
      <c r="E630" s="12" t="s">
        <v>131</v>
      </c>
      <c r="F630" s="10" t="n">
        <v>24</v>
      </c>
      <c r="G630" s="12" t="s">
        <v>31</v>
      </c>
      <c r="H630" s="10" t="n">
        <v>1110202</v>
      </c>
      <c r="I630" s="12" t="s">
        <v>90</v>
      </c>
      <c r="J630" s="10" t="n">
        <v>1397123</v>
      </c>
      <c r="L630" s="10" t="n">
        <v>713</v>
      </c>
      <c r="M630" s="12" t="s">
        <v>33</v>
      </c>
      <c r="N630" s="12" t="s">
        <v>66</v>
      </c>
      <c r="P630" s="10" t="n">
        <v>103</v>
      </c>
      <c r="Q630" s="12" t="s">
        <v>35</v>
      </c>
      <c r="R630" s="12" t="s">
        <v>36</v>
      </c>
      <c r="S630" s="10" t="n">
        <v>1130101</v>
      </c>
      <c r="T630" s="12" t="s">
        <v>37</v>
      </c>
      <c r="U630" s="13" t="n">
        <v>374.7</v>
      </c>
      <c r="W630" s="13" t="n">
        <v>0</v>
      </c>
      <c r="X630" s="12" t="s">
        <v>867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46217</v>
      </c>
      <c r="C631" s="11" t="n">
        <v>46220</v>
      </c>
      <c r="D631" s="10" t="n">
        <v>1899</v>
      </c>
      <c r="E631" s="12" t="s">
        <v>131</v>
      </c>
      <c r="F631" s="10" t="n">
        <v>24</v>
      </c>
      <c r="G631" s="12" t="s">
        <v>31</v>
      </c>
      <c r="H631" s="10" t="n">
        <v>1110202</v>
      </c>
      <c r="I631" s="12" t="s">
        <v>90</v>
      </c>
      <c r="J631" s="10" t="n">
        <v>1397354</v>
      </c>
      <c r="L631" s="10" t="n">
        <v>715</v>
      </c>
      <c r="M631" s="12" t="s">
        <v>33</v>
      </c>
      <c r="N631" s="12" t="s">
        <v>66</v>
      </c>
      <c r="P631" s="10" t="n">
        <v>103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1120</v>
      </c>
      <c r="W631" s="13" t="n">
        <v>0</v>
      </c>
      <c r="X631" s="12" t="s">
        <v>868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46213</v>
      </c>
      <c r="C632" s="11" t="n">
        <v>46220</v>
      </c>
      <c r="D632" s="10" t="n">
        <v>33</v>
      </c>
      <c r="E632" s="12" t="s">
        <v>64</v>
      </c>
      <c r="F632" s="10" t="n">
        <v>34</v>
      </c>
      <c r="G632" s="12" t="s">
        <v>49</v>
      </c>
      <c r="H632" s="10" t="n">
        <v>2110101</v>
      </c>
      <c r="I632" s="12" t="s">
        <v>32</v>
      </c>
      <c r="J632" s="10" t="n">
        <v>1377147</v>
      </c>
      <c r="L632" s="10" t="n">
        <v>5286</v>
      </c>
      <c r="M632" s="12" t="s">
        <v>33</v>
      </c>
      <c r="N632" s="12" t="s">
        <v>34</v>
      </c>
      <c r="P632" s="10" t="n">
        <v>103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1395</v>
      </c>
      <c r="W632" s="13" t="n">
        <v>0</v>
      </c>
      <c r="X632" s="12" t="s">
        <v>869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46220</v>
      </c>
      <c r="C633" s="11" t="n">
        <v>46220</v>
      </c>
      <c r="D633" s="10" t="n">
        <v>33</v>
      </c>
      <c r="E633" s="12" t="s">
        <v>64</v>
      </c>
      <c r="F633" s="10" t="n">
        <v>34</v>
      </c>
      <c r="G633" s="12" t="s">
        <v>49</v>
      </c>
      <c r="H633" s="10" t="n">
        <v>2110101</v>
      </c>
      <c r="I633" s="12" t="s">
        <v>32</v>
      </c>
      <c r="J633" s="10" t="n">
        <v>1411286</v>
      </c>
      <c r="L633" s="10" t="n">
        <v>5309</v>
      </c>
      <c r="M633" s="12" t="s">
        <v>33</v>
      </c>
      <c r="N633" s="12" t="s">
        <v>34</v>
      </c>
      <c r="P633" s="10" t="n">
        <v>104</v>
      </c>
      <c r="Q633" s="12" t="s">
        <v>50</v>
      </c>
      <c r="R633" s="12" t="s">
        <v>36</v>
      </c>
      <c r="S633" s="10" t="n">
        <v>1130101</v>
      </c>
      <c r="T633" s="12" t="s">
        <v>37</v>
      </c>
      <c r="U633" s="13" t="n">
        <v>2682</v>
      </c>
      <c r="W633" s="13" t="n">
        <v>0</v>
      </c>
      <c r="X633" s="12" t="s">
        <v>65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46220</v>
      </c>
      <c r="C634" s="11" t="n">
        <v>46220</v>
      </c>
      <c r="D634" s="10" t="n">
        <v>33</v>
      </c>
      <c r="E634" s="12" t="s">
        <v>64</v>
      </c>
      <c r="F634" s="10" t="n">
        <v>34</v>
      </c>
      <c r="G634" s="12" t="s">
        <v>49</v>
      </c>
      <c r="H634" s="10" t="n">
        <v>2110101</v>
      </c>
      <c r="I634" s="12" t="s">
        <v>32</v>
      </c>
      <c r="J634" s="10" t="n">
        <v>1411296</v>
      </c>
      <c r="L634" s="10" t="n">
        <v>581698</v>
      </c>
      <c r="M634" s="12" t="s">
        <v>33</v>
      </c>
      <c r="N634" s="12" t="s">
        <v>66</v>
      </c>
      <c r="P634" s="10" t="n">
        <v>104</v>
      </c>
      <c r="Q634" s="12" t="s">
        <v>50</v>
      </c>
      <c r="R634" s="12" t="s">
        <v>36</v>
      </c>
      <c r="S634" s="10" t="n">
        <v>1130101</v>
      </c>
      <c r="T634" s="12" t="s">
        <v>37</v>
      </c>
      <c r="U634" s="13" t="n">
        <v>160</v>
      </c>
      <c r="W634" s="13" t="n">
        <v>0</v>
      </c>
      <c r="X634" s="12" t="s">
        <v>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46220</v>
      </c>
      <c r="C635" s="11" t="n">
        <v>46220</v>
      </c>
      <c r="D635" s="10" t="n">
        <v>33</v>
      </c>
      <c r="E635" s="12" t="s">
        <v>64</v>
      </c>
      <c r="F635" s="10" t="n">
        <v>34</v>
      </c>
      <c r="G635" s="12" t="s">
        <v>49</v>
      </c>
      <c r="H635" s="10" t="n">
        <v>2110101</v>
      </c>
      <c r="I635" s="12" t="s">
        <v>32</v>
      </c>
      <c r="J635" s="10" t="n">
        <v>1411783</v>
      </c>
      <c r="L635" s="10" t="n">
        <v>5310</v>
      </c>
      <c r="M635" s="12" t="s">
        <v>33</v>
      </c>
      <c r="N635" s="12" t="s">
        <v>34</v>
      </c>
      <c r="P635" s="10" t="n">
        <v>104</v>
      </c>
      <c r="Q635" s="12" t="s">
        <v>50</v>
      </c>
      <c r="R635" s="12" t="s">
        <v>36</v>
      </c>
      <c r="S635" s="10" t="n">
        <v>1130101</v>
      </c>
      <c r="T635" s="12" t="s">
        <v>37</v>
      </c>
      <c r="U635" s="13" t="n">
        <v>3110</v>
      </c>
      <c r="W635" s="13" t="n">
        <v>0</v>
      </c>
      <c r="X635" s="12" t="s">
        <v>364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46160</v>
      </c>
      <c r="C636" s="11" t="n">
        <v>46220</v>
      </c>
      <c r="D636" s="10" t="n">
        <v>815</v>
      </c>
      <c r="E636" s="12" t="s">
        <v>136</v>
      </c>
      <c r="F636" s="10" t="n">
        <v>34</v>
      </c>
      <c r="G636" s="12" t="s">
        <v>49</v>
      </c>
      <c r="H636" s="10" t="n">
        <v>2110405</v>
      </c>
      <c r="I636" s="12" t="s">
        <v>153</v>
      </c>
      <c r="J636" s="10" t="n">
        <v>1117358</v>
      </c>
      <c r="L636" s="10" t="n">
        <v>467458</v>
      </c>
      <c r="M636" s="12" t="s">
        <v>76</v>
      </c>
      <c r="N636" s="12" t="s">
        <v>66</v>
      </c>
      <c r="P636" s="10" t="n">
        <v>101</v>
      </c>
      <c r="Q636" s="12" t="s">
        <v>84</v>
      </c>
      <c r="R636" s="12" t="s">
        <v>280</v>
      </c>
      <c r="S636" s="10" t="n">
        <v>2110901</v>
      </c>
      <c r="T636" s="12" t="s">
        <v>281</v>
      </c>
      <c r="U636" s="13" t="n">
        <v>6000</v>
      </c>
      <c r="W636" s="13" t="n">
        <v>0</v>
      </c>
      <c r="X636" s="12" t="s">
        <v>870</v>
      </c>
      <c r="Z636" s="1" t="str">
        <f aca="false">IF($T636="","",IFERROR(INDEX('Resumo Grupos'!$AC$3:$AC$200,MATCH($T636,'Resumo Grupos'!$AB$3:$AB$200,0)),"n/d"))</f>
        <v>Empréstimo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46192</v>
      </c>
      <c r="C637" s="11" t="n">
        <v>46220</v>
      </c>
      <c r="D637" s="10" t="n">
        <v>1739</v>
      </c>
      <c r="E637" s="12" t="s">
        <v>650</v>
      </c>
      <c r="F637" s="10" t="n">
        <v>24</v>
      </c>
      <c r="G637" s="12" t="s">
        <v>31</v>
      </c>
      <c r="H637" s="10" t="n">
        <v>2110101</v>
      </c>
      <c r="I637" s="12" t="s">
        <v>32</v>
      </c>
      <c r="J637" s="10" t="n">
        <v>1273162</v>
      </c>
      <c r="L637" s="10" t="n">
        <v>250257</v>
      </c>
      <c r="M637" s="12" t="s">
        <v>76</v>
      </c>
      <c r="N637" s="12" t="s">
        <v>34</v>
      </c>
      <c r="P637" s="10" t="n">
        <v>103</v>
      </c>
      <c r="Q637" s="12" t="s">
        <v>35</v>
      </c>
      <c r="R637" s="12" t="s">
        <v>36</v>
      </c>
      <c r="S637" s="10" t="n">
        <v>1130101</v>
      </c>
      <c r="T637" s="12" t="s">
        <v>37</v>
      </c>
      <c r="U637" s="13" t="n">
        <v>477.39</v>
      </c>
      <c r="W637" s="13" t="n">
        <v>0</v>
      </c>
      <c r="X637" s="12" t="s">
        <v>871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46213</v>
      </c>
      <c r="C638" s="11" t="n">
        <v>46220</v>
      </c>
      <c r="D638" s="10" t="n">
        <v>1666</v>
      </c>
      <c r="E638" s="12" t="s">
        <v>139</v>
      </c>
      <c r="F638" s="10" t="n">
        <v>24</v>
      </c>
      <c r="G638" s="12" t="s">
        <v>31</v>
      </c>
      <c r="H638" s="10" t="n">
        <v>1110202</v>
      </c>
      <c r="I638" s="12" t="s">
        <v>90</v>
      </c>
      <c r="J638" s="10" t="n">
        <v>1376881</v>
      </c>
      <c r="L638" s="10" t="n">
        <v>566543</v>
      </c>
      <c r="M638" s="12" t="s">
        <v>33</v>
      </c>
      <c r="N638" s="12" t="s">
        <v>66</v>
      </c>
      <c r="P638" s="10" t="n">
        <v>103</v>
      </c>
      <c r="Q638" s="12" t="s">
        <v>35</v>
      </c>
      <c r="R638" s="12" t="s">
        <v>36</v>
      </c>
      <c r="S638" s="10" t="n">
        <v>1130101</v>
      </c>
      <c r="T638" s="12" t="s">
        <v>37</v>
      </c>
      <c r="U638" s="13" t="n">
        <v>282.34</v>
      </c>
      <c r="W638" s="13" t="n">
        <v>0</v>
      </c>
      <c r="X638" s="12" t="s">
        <v>872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46213</v>
      </c>
      <c r="C639" s="11" t="n">
        <v>46220</v>
      </c>
      <c r="D639" s="10" t="n">
        <v>1286</v>
      </c>
      <c r="E639" s="12" t="s">
        <v>216</v>
      </c>
      <c r="F639" s="10" t="n">
        <v>24</v>
      </c>
      <c r="G639" s="12" t="s">
        <v>31</v>
      </c>
      <c r="H639" s="10" t="n">
        <v>1110202</v>
      </c>
      <c r="I639" s="12" t="s">
        <v>90</v>
      </c>
      <c r="J639" s="10" t="n">
        <v>1377326</v>
      </c>
      <c r="L639" s="10" t="n">
        <v>10280</v>
      </c>
      <c r="M639" s="12" t="s">
        <v>33</v>
      </c>
      <c r="N639" s="12" t="s">
        <v>66</v>
      </c>
      <c r="P639" s="10" t="n">
        <v>103</v>
      </c>
      <c r="Q639" s="12" t="s">
        <v>35</v>
      </c>
      <c r="R639" s="12" t="s">
        <v>36</v>
      </c>
      <c r="S639" s="10" t="n">
        <v>1130101</v>
      </c>
      <c r="T639" s="12" t="s">
        <v>37</v>
      </c>
      <c r="U639" s="13" t="n">
        <v>540</v>
      </c>
      <c r="W639" s="13" t="n">
        <v>0</v>
      </c>
      <c r="X639" s="12" t="s">
        <v>873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46210</v>
      </c>
      <c r="C640" s="11" t="n">
        <v>46221</v>
      </c>
      <c r="D640" s="10" t="n">
        <v>10090</v>
      </c>
      <c r="E640" s="12" t="s">
        <v>664</v>
      </c>
      <c r="F640" s="10" t="n">
        <v>24</v>
      </c>
      <c r="G640" s="12" t="s">
        <v>31</v>
      </c>
      <c r="H640" s="10" t="n">
        <v>2110101</v>
      </c>
      <c r="I640" s="12" t="s">
        <v>32</v>
      </c>
      <c r="J640" s="10" t="n">
        <v>1366201</v>
      </c>
      <c r="L640" s="10" t="n">
        <v>264</v>
      </c>
      <c r="M640" s="12" t="s">
        <v>76</v>
      </c>
      <c r="N640" s="12" t="s">
        <v>34</v>
      </c>
      <c r="P640" s="10" t="n">
        <v>103</v>
      </c>
      <c r="Q640" s="12" t="s">
        <v>35</v>
      </c>
      <c r="R640" s="12" t="s">
        <v>36</v>
      </c>
      <c r="S640" s="10" t="n">
        <v>1130101</v>
      </c>
      <c r="T640" s="12" t="s">
        <v>37</v>
      </c>
      <c r="U640" s="13" t="n">
        <v>2812.18</v>
      </c>
      <c r="W640" s="13" t="n">
        <v>0</v>
      </c>
      <c r="X640" s="12" t="s">
        <v>874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46213</v>
      </c>
      <c r="C641" s="11" t="n">
        <v>46221</v>
      </c>
      <c r="D641" s="10" t="n">
        <v>10090</v>
      </c>
      <c r="E641" s="12" t="s">
        <v>664</v>
      </c>
      <c r="F641" s="10" t="n">
        <v>24</v>
      </c>
      <c r="G641" s="12" t="s">
        <v>31</v>
      </c>
      <c r="H641" s="10" t="n">
        <v>1110202</v>
      </c>
      <c r="I641" s="12" t="s">
        <v>90</v>
      </c>
      <c r="J641" s="10" t="n">
        <v>1377385</v>
      </c>
      <c r="L641" s="10" t="n">
        <v>271</v>
      </c>
      <c r="M641" s="12" t="s">
        <v>33</v>
      </c>
      <c r="N641" s="12" t="s">
        <v>66</v>
      </c>
      <c r="P641" s="10" t="n">
        <v>103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1646.64</v>
      </c>
      <c r="W641" s="13" t="n">
        <v>0</v>
      </c>
      <c r="X641" s="12" t="s">
        <v>875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46211</v>
      </c>
      <c r="C642" s="11" t="n">
        <v>46221</v>
      </c>
      <c r="D642" s="10" t="n">
        <v>1723</v>
      </c>
      <c r="E642" s="12" t="s">
        <v>378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1370529</v>
      </c>
      <c r="L642" s="10" t="n">
        <v>172856</v>
      </c>
      <c r="M642" s="12" t="s">
        <v>33</v>
      </c>
      <c r="N642" s="12" t="s">
        <v>34</v>
      </c>
      <c r="P642" s="10" t="n">
        <v>103</v>
      </c>
      <c r="Q642" s="12" t="s">
        <v>35</v>
      </c>
      <c r="R642" s="12" t="s">
        <v>36</v>
      </c>
      <c r="S642" s="10" t="n">
        <v>1130101</v>
      </c>
      <c r="T642" s="12" t="s">
        <v>37</v>
      </c>
      <c r="U642" s="13" t="n">
        <v>6394.2</v>
      </c>
      <c r="W642" s="13" t="n">
        <v>0</v>
      </c>
      <c r="X642" s="12" t="s">
        <v>876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46217</v>
      </c>
      <c r="C643" s="11" t="n">
        <v>46221</v>
      </c>
      <c r="D643" s="10" t="n">
        <v>1269</v>
      </c>
      <c r="E643" s="12" t="s">
        <v>877</v>
      </c>
      <c r="F643" s="10" t="n">
        <v>24</v>
      </c>
      <c r="G643" s="12" t="s">
        <v>31</v>
      </c>
      <c r="H643" s="10" t="n">
        <v>1110202</v>
      </c>
      <c r="I643" s="12" t="s">
        <v>90</v>
      </c>
      <c r="J643" s="10" t="n">
        <v>1397166</v>
      </c>
      <c r="L643" s="10" t="n">
        <v>742</v>
      </c>
      <c r="M643" s="12" t="s">
        <v>33</v>
      </c>
      <c r="N643" s="12" t="s">
        <v>66</v>
      </c>
      <c r="P643" s="10" t="n">
        <v>103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607.5</v>
      </c>
      <c r="W643" s="13" t="n">
        <v>0</v>
      </c>
      <c r="X643" s="12" t="s">
        <v>878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46192</v>
      </c>
      <c r="C644" s="11" t="n">
        <v>46221</v>
      </c>
      <c r="D644" s="10" t="n">
        <v>10037</v>
      </c>
      <c r="E644" s="12" t="s">
        <v>340</v>
      </c>
      <c r="F644" s="10" t="n">
        <v>24</v>
      </c>
      <c r="G644" s="12" t="s">
        <v>31</v>
      </c>
      <c r="H644" s="10" t="n">
        <v>2110101</v>
      </c>
      <c r="I644" s="12" t="s">
        <v>32</v>
      </c>
      <c r="J644" s="10" t="n">
        <v>1273218</v>
      </c>
      <c r="L644" s="10" t="n">
        <v>2494</v>
      </c>
      <c r="M644" s="12" t="s">
        <v>33</v>
      </c>
      <c r="N644" s="12" t="s">
        <v>34</v>
      </c>
      <c r="P644" s="10" t="n">
        <v>103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1098.8</v>
      </c>
      <c r="W644" s="13" t="n">
        <v>0</v>
      </c>
      <c r="X644" s="12" t="s">
        <v>879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46182</v>
      </c>
      <c r="C645" s="11" t="n">
        <v>46221</v>
      </c>
      <c r="D645" s="10" t="n">
        <v>957</v>
      </c>
      <c r="E645" s="12" t="s">
        <v>75</v>
      </c>
      <c r="F645" s="10" t="n">
        <v>24</v>
      </c>
      <c r="G645" s="12" t="s">
        <v>31</v>
      </c>
      <c r="H645" s="10" t="n">
        <v>2110101</v>
      </c>
      <c r="I645" s="12" t="s">
        <v>32</v>
      </c>
      <c r="J645" s="10" t="n">
        <v>1227398</v>
      </c>
      <c r="L645" s="10" t="n">
        <v>20167</v>
      </c>
      <c r="M645" s="12" t="s">
        <v>79</v>
      </c>
      <c r="N645" s="12" t="s">
        <v>34</v>
      </c>
      <c r="P645" s="10" t="n">
        <v>103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4521.75</v>
      </c>
      <c r="W645" s="13" t="n">
        <v>0</v>
      </c>
      <c r="X645" s="12" t="s">
        <v>880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46221</v>
      </c>
      <c r="C646" s="11" t="n">
        <v>46221</v>
      </c>
      <c r="D646" s="10" t="n">
        <v>10096</v>
      </c>
      <c r="E646" s="12" t="s">
        <v>844</v>
      </c>
      <c r="F646" s="10" t="n">
        <v>13</v>
      </c>
      <c r="G646" s="12" t="s">
        <v>55</v>
      </c>
      <c r="H646" s="10" t="n">
        <v>2110101</v>
      </c>
      <c r="I646" s="12" t="s">
        <v>32</v>
      </c>
      <c r="J646" s="10" t="n">
        <v>1425390</v>
      </c>
      <c r="L646" s="10" t="n">
        <v>34</v>
      </c>
      <c r="M646" s="12" t="s">
        <v>33</v>
      </c>
      <c r="N646" s="12" t="s">
        <v>34</v>
      </c>
      <c r="P646" s="10" t="n">
        <v>104</v>
      </c>
      <c r="Q646" s="12" t="s">
        <v>50</v>
      </c>
      <c r="R646" s="12" t="s">
        <v>36</v>
      </c>
      <c r="S646" s="10" t="n">
        <v>1130101</v>
      </c>
      <c r="T646" s="12" t="s">
        <v>37</v>
      </c>
      <c r="U646" s="13" t="n">
        <v>560</v>
      </c>
      <c r="W646" s="13" t="n">
        <v>0</v>
      </c>
      <c r="X646" s="12" t="s">
        <v>881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46216</v>
      </c>
      <c r="C647" s="11" t="n">
        <v>46221</v>
      </c>
      <c r="D647" s="10" t="n">
        <v>1625</v>
      </c>
      <c r="E647" s="12" t="s">
        <v>62</v>
      </c>
      <c r="F647" s="10" t="n">
        <v>24</v>
      </c>
      <c r="G647" s="12" t="s">
        <v>31</v>
      </c>
      <c r="H647" s="10" t="n">
        <v>1110202</v>
      </c>
      <c r="I647" s="12" t="s">
        <v>90</v>
      </c>
      <c r="J647" s="10" t="n">
        <v>1392828</v>
      </c>
      <c r="L647" s="10" t="n">
        <v>14684</v>
      </c>
      <c r="M647" s="12" t="s">
        <v>33</v>
      </c>
      <c r="N647" s="12" t="s">
        <v>66</v>
      </c>
      <c r="P647" s="10" t="n">
        <v>103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8622.58</v>
      </c>
      <c r="W647" s="13" t="n">
        <v>0</v>
      </c>
      <c r="X647" s="12" t="s">
        <v>882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46202</v>
      </c>
      <c r="C648" s="11" t="n">
        <v>46221</v>
      </c>
      <c r="D648" s="10" t="n">
        <v>1749</v>
      </c>
      <c r="E648" s="12" t="s">
        <v>188</v>
      </c>
      <c r="F648" s="10" t="n">
        <v>24</v>
      </c>
      <c r="G648" s="12" t="s">
        <v>31</v>
      </c>
      <c r="H648" s="10" t="n">
        <v>2110101</v>
      </c>
      <c r="I648" s="12" t="s">
        <v>32</v>
      </c>
      <c r="J648" s="10" t="n">
        <v>1323701</v>
      </c>
      <c r="L648" s="10" t="n">
        <v>2053</v>
      </c>
      <c r="M648" s="12" t="s">
        <v>33</v>
      </c>
      <c r="N648" s="12" t="s">
        <v>34</v>
      </c>
      <c r="P648" s="10" t="n">
        <v>103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689.5</v>
      </c>
      <c r="W648" s="13" t="n">
        <v>0</v>
      </c>
      <c r="X648" s="12" t="s">
        <v>883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46206</v>
      </c>
      <c r="C649" s="11" t="n">
        <v>46221</v>
      </c>
      <c r="D649" s="10" t="n">
        <v>804</v>
      </c>
      <c r="E649" s="12" t="s">
        <v>360</v>
      </c>
      <c r="F649" s="10" t="n">
        <v>34</v>
      </c>
      <c r="G649" s="12" t="s">
        <v>49</v>
      </c>
      <c r="H649" s="10" t="n">
        <v>1110202</v>
      </c>
      <c r="I649" s="12" t="s">
        <v>90</v>
      </c>
      <c r="J649" s="10" t="n">
        <v>1345479</v>
      </c>
      <c r="L649" s="10" t="n">
        <v>555726</v>
      </c>
      <c r="M649" s="12" t="s">
        <v>33</v>
      </c>
      <c r="N649" s="12" t="s">
        <v>66</v>
      </c>
      <c r="P649" s="10" t="n">
        <v>101</v>
      </c>
      <c r="Q649" s="12" t="s">
        <v>84</v>
      </c>
      <c r="R649" s="12" t="s">
        <v>94</v>
      </c>
      <c r="S649" s="10" t="n">
        <v>4210203</v>
      </c>
      <c r="T649" s="12" t="s">
        <v>362</v>
      </c>
      <c r="U649" s="13" t="n">
        <v>836.78</v>
      </c>
      <c r="W649" s="13" t="n">
        <v>0</v>
      </c>
      <c r="X649" s="12" t="s">
        <v>884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46206</v>
      </c>
      <c r="C650" s="11" t="n">
        <v>46221</v>
      </c>
      <c r="D650" s="10" t="n">
        <v>804</v>
      </c>
      <c r="E650" s="12" t="s">
        <v>360</v>
      </c>
      <c r="F650" s="10" t="n">
        <v>34</v>
      </c>
      <c r="G650" s="12" t="s">
        <v>49</v>
      </c>
      <c r="H650" s="10" t="n">
        <v>1110202</v>
      </c>
      <c r="I650" s="12" t="s">
        <v>90</v>
      </c>
      <c r="J650" s="10" t="n">
        <v>1345494</v>
      </c>
      <c r="L650" s="10" t="n">
        <v>555731</v>
      </c>
      <c r="M650" s="12" t="s">
        <v>33</v>
      </c>
      <c r="N650" s="12" t="s">
        <v>66</v>
      </c>
      <c r="P650" s="10" t="n">
        <v>101</v>
      </c>
      <c r="Q650" s="12" t="s">
        <v>84</v>
      </c>
      <c r="R650" s="12" t="s">
        <v>91</v>
      </c>
      <c r="S650" s="10" t="n">
        <v>4220199</v>
      </c>
      <c r="T650" s="12" t="s">
        <v>92</v>
      </c>
      <c r="U650" s="13" t="n">
        <v>1621</v>
      </c>
      <c r="W650" s="13" t="n">
        <v>0</v>
      </c>
      <c r="X650" s="12" t="s">
        <v>885</v>
      </c>
      <c r="Z650" s="1" t="str">
        <f aca="false">IF($T650="","",IFERROR(INDEX('Resumo Grupos'!$AC$3:$AC$200,MATCH($T650,'Resumo Grupos'!$AB$3:$AB$200,0)),"n/d"))</f>
        <v>Pagamentos outros não operacionais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46148</v>
      </c>
      <c r="C651" s="11" t="n">
        <v>46221</v>
      </c>
      <c r="D651" s="10" t="n">
        <v>607</v>
      </c>
      <c r="E651" s="12" t="s">
        <v>81</v>
      </c>
      <c r="F651" s="10" t="n">
        <v>24</v>
      </c>
      <c r="G651" s="12" t="s">
        <v>31</v>
      </c>
      <c r="H651" s="10" t="n">
        <v>2110101</v>
      </c>
      <c r="I651" s="12" t="s">
        <v>32</v>
      </c>
      <c r="J651" s="10" t="n">
        <v>1057743</v>
      </c>
      <c r="L651" s="10" t="n">
        <v>10336</v>
      </c>
      <c r="M651" s="12" t="s">
        <v>116</v>
      </c>
      <c r="N651" s="12" t="s">
        <v>34</v>
      </c>
      <c r="P651" s="10" t="n">
        <v>103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250.35</v>
      </c>
      <c r="W651" s="13" t="n">
        <v>0</v>
      </c>
      <c r="X651" s="12" t="s">
        <v>886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46219</v>
      </c>
      <c r="C652" s="11" t="n">
        <v>46222</v>
      </c>
      <c r="D652" s="10" t="n">
        <v>821</v>
      </c>
      <c r="E652" s="12" t="s">
        <v>887</v>
      </c>
      <c r="F652" s="10" t="n">
        <v>24</v>
      </c>
      <c r="G652" s="12" t="s">
        <v>31</v>
      </c>
      <c r="H652" s="10" t="n">
        <v>1110202</v>
      </c>
      <c r="I652" s="12" t="s">
        <v>90</v>
      </c>
      <c r="J652" s="10" t="n">
        <v>1405504</v>
      </c>
      <c r="L652" s="10" t="n">
        <v>473149</v>
      </c>
      <c r="M652" s="12" t="s">
        <v>33</v>
      </c>
      <c r="N652" s="12" t="s">
        <v>66</v>
      </c>
      <c r="P652" s="10" t="n">
        <v>103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374</v>
      </c>
      <c r="W652" s="13" t="n">
        <v>0</v>
      </c>
      <c r="X652" s="12" t="s">
        <v>888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46216</v>
      </c>
      <c r="C653" s="11" t="n">
        <v>46222</v>
      </c>
      <c r="D653" s="10" t="n">
        <v>1628</v>
      </c>
      <c r="E653" s="12" t="s">
        <v>889</v>
      </c>
      <c r="F653" s="10" t="n">
        <v>24</v>
      </c>
      <c r="G653" s="12" t="s">
        <v>31</v>
      </c>
      <c r="H653" s="10" t="n">
        <v>1110202</v>
      </c>
      <c r="I653" s="12" t="s">
        <v>90</v>
      </c>
      <c r="J653" s="10" t="n">
        <v>1393744</v>
      </c>
      <c r="L653" s="10" t="n">
        <v>89871</v>
      </c>
      <c r="M653" s="12" t="s">
        <v>33</v>
      </c>
      <c r="N653" s="12" t="s">
        <v>66</v>
      </c>
      <c r="P653" s="10" t="n">
        <v>103</v>
      </c>
      <c r="Q653" s="12" t="s">
        <v>35</v>
      </c>
      <c r="R653" s="12" t="s">
        <v>36</v>
      </c>
      <c r="S653" s="10" t="n">
        <v>1130101</v>
      </c>
      <c r="T653" s="12" t="s">
        <v>37</v>
      </c>
      <c r="U653" s="13" t="n">
        <v>436.29</v>
      </c>
      <c r="W653" s="13" t="n">
        <v>0</v>
      </c>
      <c r="X653" s="12" t="s">
        <v>890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46211</v>
      </c>
      <c r="C654" s="11" t="n">
        <v>46222</v>
      </c>
      <c r="D654" s="10" t="n">
        <v>1613</v>
      </c>
      <c r="E654" s="12" t="s">
        <v>71</v>
      </c>
      <c r="F654" s="10" t="n">
        <v>24</v>
      </c>
      <c r="G654" s="12" t="s">
        <v>31</v>
      </c>
      <c r="H654" s="10" t="n">
        <v>2110101</v>
      </c>
      <c r="I654" s="12" t="s">
        <v>32</v>
      </c>
      <c r="J654" s="10" t="n">
        <v>1368798</v>
      </c>
      <c r="L654" s="10" t="n">
        <v>1604302</v>
      </c>
      <c r="M654" s="12" t="s">
        <v>33</v>
      </c>
      <c r="N654" s="12" t="s">
        <v>34</v>
      </c>
      <c r="P654" s="10" t="n">
        <v>103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650.23</v>
      </c>
      <c r="W654" s="13" t="n">
        <v>0</v>
      </c>
      <c r="X654" s="12" t="s">
        <v>891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46209</v>
      </c>
      <c r="C655" s="11" t="n">
        <v>46222</v>
      </c>
      <c r="D655" s="10" t="n">
        <v>10020</v>
      </c>
      <c r="E655" s="12" t="s">
        <v>293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1360452</v>
      </c>
      <c r="L655" s="10" t="n">
        <v>707</v>
      </c>
      <c r="M655" s="12" t="s">
        <v>33</v>
      </c>
      <c r="N655" s="12" t="s">
        <v>34</v>
      </c>
      <c r="P655" s="10" t="n">
        <v>103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410.72</v>
      </c>
      <c r="W655" s="13" t="n">
        <v>0</v>
      </c>
      <c r="X655" s="12" t="s">
        <v>892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46172</v>
      </c>
      <c r="C656" s="11" t="n">
        <v>46222</v>
      </c>
      <c r="D656" s="10" t="n">
        <v>607</v>
      </c>
      <c r="E656" s="12" t="s">
        <v>81</v>
      </c>
      <c r="F656" s="10" t="n">
        <v>24</v>
      </c>
      <c r="G656" s="12" t="s">
        <v>31</v>
      </c>
      <c r="H656" s="10" t="n">
        <v>2110101</v>
      </c>
      <c r="I656" s="12" t="s">
        <v>32</v>
      </c>
      <c r="J656" s="10" t="n">
        <v>1177308</v>
      </c>
      <c r="L656" s="10" t="n">
        <v>10643</v>
      </c>
      <c r="M656" s="12" t="s">
        <v>79</v>
      </c>
      <c r="N656" s="12" t="s">
        <v>34</v>
      </c>
      <c r="P656" s="10" t="n">
        <v>103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319.72</v>
      </c>
      <c r="W656" s="13" t="n">
        <v>0</v>
      </c>
      <c r="X656" s="12" t="s">
        <v>893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46223</v>
      </c>
      <c r="C657" s="11" t="n">
        <v>46223</v>
      </c>
      <c r="D657" s="10" t="n">
        <v>10098</v>
      </c>
      <c r="E657" s="12" t="s">
        <v>454</v>
      </c>
      <c r="F657" s="10" t="n">
        <v>13</v>
      </c>
      <c r="G657" s="12" t="s">
        <v>55</v>
      </c>
      <c r="H657" s="10" t="n">
        <v>2110101</v>
      </c>
      <c r="I657" s="12" t="s">
        <v>32</v>
      </c>
      <c r="J657" s="10" t="n">
        <v>1463352</v>
      </c>
      <c r="L657" s="10" t="n">
        <v>1140</v>
      </c>
      <c r="M657" s="12" t="s">
        <v>33</v>
      </c>
      <c r="N657" s="12" t="s">
        <v>34</v>
      </c>
      <c r="P657" s="10" t="n">
        <v>104</v>
      </c>
      <c r="Q657" s="12" t="s">
        <v>50</v>
      </c>
      <c r="R657" s="12" t="s">
        <v>36</v>
      </c>
      <c r="S657" s="10" t="n">
        <v>1130101</v>
      </c>
      <c r="T657" s="12" t="s">
        <v>37</v>
      </c>
      <c r="U657" s="13" t="n">
        <v>302.5</v>
      </c>
      <c r="W657" s="13" t="n">
        <v>302.5</v>
      </c>
      <c r="X657" s="12" t="s">
        <v>894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46202</v>
      </c>
      <c r="C658" s="11" t="n">
        <v>46223</v>
      </c>
      <c r="D658" s="10" t="n">
        <v>1659</v>
      </c>
      <c r="E658" s="12" t="s">
        <v>39</v>
      </c>
      <c r="F658" s="10" t="n">
        <v>24</v>
      </c>
      <c r="G658" s="12" t="s">
        <v>31</v>
      </c>
      <c r="H658" s="10" t="n">
        <v>2110101</v>
      </c>
      <c r="I658" s="12" t="s">
        <v>32</v>
      </c>
      <c r="J658" s="10" t="n">
        <v>1323112</v>
      </c>
      <c r="L658" s="10" t="n">
        <v>882141</v>
      </c>
      <c r="M658" s="12" t="s">
        <v>76</v>
      </c>
      <c r="N658" s="12" t="s">
        <v>34</v>
      </c>
      <c r="P658" s="10" t="n">
        <v>103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1326.93</v>
      </c>
      <c r="W658" s="13" t="n">
        <v>0</v>
      </c>
      <c r="X658" s="12" t="s">
        <v>895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46196</v>
      </c>
      <c r="C659" s="11" t="n">
        <v>46223</v>
      </c>
      <c r="D659" s="10" t="n">
        <v>1637</v>
      </c>
      <c r="E659" s="12" t="s">
        <v>97</v>
      </c>
      <c r="F659" s="10" t="n">
        <v>24</v>
      </c>
      <c r="G659" s="12" t="s">
        <v>31</v>
      </c>
      <c r="H659" s="10" t="n">
        <v>2110101</v>
      </c>
      <c r="I659" s="12" t="s">
        <v>32</v>
      </c>
      <c r="J659" s="10" t="n">
        <v>1296353</v>
      </c>
      <c r="L659" s="10" t="n">
        <v>1894398</v>
      </c>
      <c r="M659" s="12" t="s">
        <v>33</v>
      </c>
      <c r="N659" s="12" t="s">
        <v>34</v>
      </c>
      <c r="P659" s="10" t="n">
        <v>103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977.5</v>
      </c>
      <c r="W659" s="13" t="n">
        <v>0</v>
      </c>
      <c r="X659" s="12" t="s">
        <v>896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46204</v>
      </c>
      <c r="C660" s="11" t="n">
        <v>46223</v>
      </c>
      <c r="D660" s="10" t="n">
        <v>1637</v>
      </c>
      <c r="E660" s="12" t="s">
        <v>97</v>
      </c>
      <c r="F660" s="10" t="n">
        <v>24</v>
      </c>
      <c r="G660" s="12" t="s">
        <v>31</v>
      </c>
      <c r="H660" s="10" t="n">
        <v>2110101</v>
      </c>
      <c r="I660" s="12" t="s">
        <v>32</v>
      </c>
      <c r="J660" s="10" t="n">
        <v>1334033</v>
      </c>
      <c r="L660" s="10" t="n">
        <v>1897392</v>
      </c>
      <c r="M660" s="12" t="s">
        <v>33</v>
      </c>
      <c r="N660" s="12" t="s">
        <v>34</v>
      </c>
      <c r="P660" s="10" t="n">
        <v>103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499.5</v>
      </c>
      <c r="W660" s="13" t="n">
        <v>0</v>
      </c>
      <c r="X660" s="12" t="s">
        <v>897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46216</v>
      </c>
      <c r="C661" s="11" t="n">
        <v>46223</v>
      </c>
      <c r="D661" s="10" t="n">
        <v>1614</v>
      </c>
      <c r="E661" s="12" t="s">
        <v>99</v>
      </c>
      <c r="F661" s="10" t="n">
        <v>24</v>
      </c>
      <c r="G661" s="12" t="s">
        <v>31</v>
      </c>
      <c r="H661" s="10" t="n">
        <v>1110202</v>
      </c>
      <c r="I661" s="12" t="s">
        <v>90</v>
      </c>
      <c r="J661" s="10" t="n">
        <v>1393772</v>
      </c>
      <c r="L661" s="10" t="n">
        <v>11415</v>
      </c>
      <c r="M661" s="12" t="s">
        <v>76</v>
      </c>
      <c r="N661" s="12" t="s">
        <v>66</v>
      </c>
      <c r="P661" s="10" t="n">
        <v>103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378.43</v>
      </c>
      <c r="W661" s="13" t="n">
        <v>0</v>
      </c>
      <c r="X661" s="12" t="s">
        <v>898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46219</v>
      </c>
      <c r="C662" s="11" t="n">
        <v>46223</v>
      </c>
      <c r="D662" s="10" t="n">
        <v>1614</v>
      </c>
      <c r="E662" s="12" t="s">
        <v>99</v>
      </c>
      <c r="F662" s="10" t="n">
        <v>24</v>
      </c>
      <c r="G662" s="12" t="s">
        <v>31</v>
      </c>
      <c r="H662" s="10" t="n">
        <v>1110202</v>
      </c>
      <c r="I662" s="12" t="s">
        <v>90</v>
      </c>
      <c r="J662" s="10" t="n">
        <v>1407883</v>
      </c>
      <c r="L662" s="10" t="n">
        <v>11430</v>
      </c>
      <c r="M662" s="12" t="s">
        <v>33</v>
      </c>
      <c r="N662" s="12" t="s">
        <v>66</v>
      </c>
      <c r="P662" s="10" t="n">
        <v>103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417.42</v>
      </c>
      <c r="W662" s="13" t="n">
        <v>0</v>
      </c>
      <c r="X662" s="12" t="s">
        <v>899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46172</v>
      </c>
      <c r="C663" s="11" t="n">
        <v>46223</v>
      </c>
      <c r="D663" s="10" t="n">
        <v>659</v>
      </c>
      <c r="E663" s="12" t="s">
        <v>900</v>
      </c>
      <c r="F663" s="10" t="n">
        <v>24</v>
      </c>
      <c r="G663" s="12" t="s">
        <v>31</v>
      </c>
      <c r="H663" s="10" t="n">
        <v>2110405</v>
      </c>
      <c r="I663" s="12" t="s">
        <v>153</v>
      </c>
      <c r="J663" s="10" t="n">
        <v>1176202</v>
      </c>
      <c r="L663" s="10" t="n">
        <v>489997</v>
      </c>
      <c r="M663" s="12" t="s">
        <v>33</v>
      </c>
      <c r="N663" s="12" t="s">
        <v>66</v>
      </c>
      <c r="P663" s="10" t="n">
        <v>101</v>
      </c>
      <c r="Q663" s="12" t="s">
        <v>84</v>
      </c>
      <c r="R663" s="12" t="s">
        <v>121</v>
      </c>
      <c r="S663" s="10" t="n">
        <v>4210311</v>
      </c>
      <c r="T663" s="12" t="s">
        <v>405</v>
      </c>
      <c r="U663" s="13" t="n">
        <v>6193.08</v>
      </c>
      <c r="W663" s="13" t="n">
        <v>0</v>
      </c>
      <c r="X663" s="12" t="s">
        <v>901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46213</v>
      </c>
      <c r="C664" s="11" t="n">
        <v>46223</v>
      </c>
      <c r="D664" s="10" t="n">
        <v>659</v>
      </c>
      <c r="E664" s="12" t="s">
        <v>900</v>
      </c>
      <c r="F664" s="10" t="n">
        <v>24</v>
      </c>
      <c r="G664" s="12" t="s">
        <v>31</v>
      </c>
      <c r="H664" s="10" t="n">
        <v>1110202</v>
      </c>
      <c r="I664" s="12" t="s">
        <v>90</v>
      </c>
      <c r="J664" s="10" t="n">
        <v>1377357</v>
      </c>
      <c r="L664" s="10" t="n">
        <v>567699</v>
      </c>
      <c r="M664" s="12" t="s">
        <v>33</v>
      </c>
      <c r="N664" s="12" t="s">
        <v>66</v>
      </c>
      <c r="P664" s="10" t="n">
        <v>101</v>
      </c>
      <c r="Q664" s="12" t="s">
        <v>84</v>
      </c>
      <c r="R664" s="12" t="s">
        <v>121</v>
      </c>
      <c r="S664" s="10" t="n">
        <v>4210311</v>
      </c>
      <c r="T664" s="12" t="s">
        <v>405</v>
      </c>
      <c r="U664" s="13" t="n">
        <v>6193.08</v>
      </c>
      <c r="W664" s="13" t="n">
        <v>0</v>
      </c>
      <c r="X664" s="12" t="s">
        <v>902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46223</v>
      </c>
      <c r="C665" s="11" t="n">
        <v>46223</v>
      </c>
      <c r="D665" s="10" t="n">
        <v>1000001</v>
      </c>
      <c r="E665" s="12" t="s">
        <v>102</v>
      </c>
      <c r="F665" s="10" t="n">
        <v>24</v>
      </c>
      <c r="G665" s="12" t="s">
        <v>31</v>
      </c>
      <c r="H665" s="10" t="n">
        <v>1110202</v>
      </c>
      <c r="I665" s="12" t="s">
        <v>90</v>
      </c>
      <c r="J665" s="10" t="n">
        <v>1436328</v>
      </c>
      <c r="L665" s="10" t="n">
        <v>591112</v>
      </c>
      <c r="M665" s="12" t="s">
        <v>33</v>
      </c>
      <c r="N665" s="12" t="s">
        <v>66</v>
      </c>
      <c r="P665" s="10" t="n">
        <v>102</v>
      </c>
      <c r="Q665" s="12" t="s">
        <v>112</v>
      </c>
      <c r="R665" s="12" t="s">
        <v>91</v>
      </c>
      <c r="S665" s="10" t="n">
        <v>4220199</v>
      </c>
      <c r="T665" s="12" t="s">
        <v>92</v>
      </c>
      <c r="U665" s="13" t="n">
        <v>142.9</v>
      </c>
      <c r="W665" s="13" t="n">
        <v>0</v>
      </c>
      <c r="X665" s="12" t="s">
        <v>903</v>
      </c>
      <c r="Z665" s="1" t="str">
        <f aca="false">IF($T665="","",IFERROR(INDEX('Resumo Grupos'!$AC$3:$AC$200,MATCH($T665,'Resumo Grupos'!$AB$3:$AB$200,0)),"n/d"))</f>
        <v>Pagamentos outros não operacionais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46223</v>
      </c>
      <c r="C666" s="11" t="n">
        <v>46223</v>
      </c>
      <c r="D666" s="10" t="n">
        <v>1000001</v>
      </c>
      <c r="E666" s="12" t="s">
        <v>102</v>
      </c>
      <c r="F666" s="10" t="n">
        <v>24</v>
      </c>
      <c r="G666" s="12" t="s">
        <v>31</v>
      </c>
      <c r="H666" s="10" t="n">
        <v>1110202</v>
      </c>
      <c r="I666" s="12" t="s">
        <v>90</v>
      </c>
      <c r="J666" s="10" t="n">
        <v>1436359</v>
      </c>
      <c r="L666" s="10" t="n">
        <v>591135</v>
      </c>
      <c r="M666" s="12" t="s">
        <v>33</v>
      </c>
      <c r="N666" s="12" t="s">
        <v>66</v>
      </c>
      <c r="P666" s="10" t="n">
        <v>102</v>
      </c>
      <c r="Q666" s="12" t="s">
        <v>112</v>
      </c>
      <c r="R666" s="12" t="s">
        <v>91</v>
      </c>
      <c r="S666" s="10" t="n">
        <v>4220199</v>
      </c>
      <c r="T666" s="12" t="s">
        <v>92</v>
      </c>
      <c r="U666" s="13" t="n">
        <v>589.29</v>
      </c>
      <c r="W666" s="13" t="n">
        <v>0</v>
      </c>
      <c r="X666" s="12" t="s">
        <v>904</v>
      </c>
      <c r="Z666" s="1" t="str">
        <f aca="false">IF($T666="","",IFERROR(INDEX('Resumo Grupos'!$AC$3:$AC$200,MATCH($T666,'Resumo Grupos'!$AB$3:$AB$200,0)),"n/d"))</f>
        <v>Pagamentos outros não operacionais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46223</v>
      </c>
      <c r="C667" s="11" t="n">
        <v>46223</v>
      </c>
      <c r="D667" s="10" t="n">
        <v>1000001</v>
      </c>
      <c r="E667" s="12" t="s">
        <v>102</v>
      </c>
      <c r="F667" s="10" t="n">
        <v>24</v>
      </c>
      <c r="G667" s="12" t="s">
        <v>31</v>
      </c>
      <c r="H667" s="10" t="n">
        <v>1110202</v>
      </c>
      <c r="I667" s="12" t="s">
        <v>90</v>
      </c>
      <c r="J667" s="10" t="n">
        <v>1436378</v>
      </c>
      <c r="L667" s="10" t="n">
        <v>591151</v>
      </c>
      <c r="M667" s="12" t="s">
        <v>33</v>
      </c>
      <c r="N667" s="12" t="s">
        <v>66</v>
      </c>
      <c r="P667" s="10" t="n">
        <v>102</v>
      </c>
      <c r="Q667" s="12" t="s">
        <v>112</v>
      </c>
      <c r="R667" s="12" t="s">
        <v>91</v>
      </c>
      <c r="S667" s="10" t="n">
        <v>4220199</v>
      </c>
      <c r="T667" s="12" t="s">
        <v>92</v>
      </c>
      <c r="U667" s="13" t="n">
        <v>1342.68</v>
      </c>
      <c r="W667" s="13" t="n">
        <v>0</v>
      </c>
      <c r="X667" s="12" t="s">
        <v>904</v>
      </c>
      <c r="Z667" s="1" t="str">
        <f aca="false">IF($T667="","",IFERROR(INDEX('Resumo Grupos'!$AC$3:$AC$200,MATCH($T667,'Resumo Grupos'!$AB$3:$AB$200,0)),"n/d"))</f>
        <v>Pagamentos outros não operacionais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46193</v>
      </c>
      <c r="C668" s="11" t="n">
        <v>46223</v>
      </c>
      <c r="D668" s="10" t="n">
        <v>1608</v>
      </c>
      <c r="E668" s="12" t="s">
        <v>52</v>
      </c>
      <c r="F668" s="10" t="n">
        <v>24</v>
      </c>
      <c r="G668" s="12" t="s">
        <v>31</v>
      </c>
      <c r="H668" s="10" t="n">
        <v>2110101</v>
      </c>
      <c r="I668" s="12" t="s">
        <v>32</v>
      </c>
      <c r="J668" s="10" t="n">
        <v>1279794</v>
      </c>
      <c r="L668" s="10" t="n">
        <v>1677170</v>
      </c>
      <c r="M668" s="12" t="s">
        <v>76</v>
      </c>
      <c r="N668" s="12" t="s">
        <v>34</v>
      </c>
      <c r="P668" s="10" t="n">
        <v>103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1680.21</v>
      </c>
      <c r="W668" s="13" t="n">
        <v>0</v>
      </c>
      <c r="X668" s="12" t="s">
        <v>905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46217</v>
      </c>
      <c r="C669" s="11" t="n">
        <v>46223</v>
      </c>
      <c r="D669" s="10" t="n">
        <v>1947</v>
      </c>
      <c r="E669" s="12" t="s">
        <v>906</v>
      </c>
      <c r="F669" s="10" t="n">
        <v>34</v>
      </c>
      <c r="G669" s="12" t="s">
        <v>49</v>
      </c>
      <c r="H669" s="10" t="n">
        <v>2110405</v>
      </c>
      <c r="I669" s="12" t="s">
        <v>153</v>
      </c>
      <c r="J669" s="10" t="n">
        <v>1397793</v>
      </c>
      <c r="L669" s="10" t="n">
        <v>576413</v>
      </c>
      <c r="M669" s="12" t="s">
        <v>33</v>
      </c>
      <c r="N669" s="12" t="s">
        <v>66</v>
      </c>
      <c r="P669" s="10" t="n">
        <v>101</v>
      </c>
      <c r="Q669" s="12" t="s">
        <v>84</v>
      </c>
      <c r="R669" s="12" t="s">
        <v>121</v>
      </c>
      <c r="S669" s="10" t="n">
        <v>4210302</v>
      </c>
      <c r="T669" s="12" t="s">
        <v>907</v>
      </c>
      <c r="U669" s="13" t="n">
        <v>7169.13</v>
      </c>
      <c r="W669" s="13" t="n">
        <v>0</v>
      </c>
      <c r="X669" s="12" t="s">
        <v>908</v>
      </c>
      <c r="Z669" s="1" t="str">
        <f aca="false">IF($T669="","",IFERROR(INDEX('Resumo Grupos'!$AC$3:$AC$200,MATCH($T669,'Resumo Grupos'!$AB$3:$AB$200,0)),"n/d"))</f>
        <v>Impostos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46217</v>
      </c>
      <c r="C670" s="11" t="n">
        <v>46223</v>
      </c>
      <c r="D670" s="10" t="n">
        <v>1947</v>
      </c>
      <c r="E670" s="12" t="s">
        <v>906</v>
      </c>
      <c r="F670" s="10" t="n">
        <v>34</v>
      </c>
      <c r="G670" s="12" t="s">
        <v>49</v>
      </c>
      <c r="H670" s="10" t="n">
        <v>1110202</v>
      </c>
      <c r="I670" s="12" t="s">
        <v>90</v>
      </c>
      <c r="J670" s="10" t="n">
        <v>1397870</v>
      </c>
      <c r="L670" s="10" t="n">
        <v>576435</v>
      </c>
      <c r="M670" s="12" t="s">
        <v>33</v>
      </c>
      <c r="N670" s="12" t="s">
        <v>66</v>
      </c>
      <c r="P670" s="10" t="n">
        <v>101</v>
      </c>
      <c r="Q670" s="12" t="s">
        <v>84</v>
      </c>
      <c r="R670" s="12" t="s">
        <v>121</v>
      </c>
      <c r="S670" s="10" t="n">
        <v>4210303</v>
      </c>
      <c r="T670" s="12" t="s">
        <v>909</v>
      </c>
      <c r="U670" s="13" t="n">
        <v>3462.39</v>
      </c>
      <c r="W670" s="13" t="n">
        <v>0</v>
      </c>
      <c r="X670" s="12" t="s">
        <v>910</v>
      </c>
      <c r="Z670" s="1" t="str">
        <f aca="false">IF($T670="","",IFERROR(INDEX('Resumo Grupos'!$AC$3:$AC$200,MATCH($T670,'Resumo Grupos'!$AB$3:$AB$200,0)),"n/d"))</f>
        <v>Impostos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46217</v>
      </c>
      <c r="C671" s="11" t="n">
        <v>46223</v>
      </c>
      <c r="D671" s="10" t="n">
        <v>1947</v>
      </c>
      <c r="E671" s="12" t="s">
        <v>906</v>
      </c>
      <c r="F671" s="10" t="n">
        <v>34</v>
      </c>
      <c r="G671" s="12" t="s">
        <v>49</v>
      </c>
      <c r="H671" s="10" t="n">
        <v>1110202</v>
      </c>
      <c r="I671" s="12" t="s">
        <v>90</v>
      </c>
      <c r="J671" s="10" t="n">
        <v>1397905</v>
      </c>
      <c r="L671" s="10" t="n">
        <v>576442</v>
      </c>
      <c r="M671" s="12" t="s">
        <v>33</v>
      </c>
      <c r="N671" s="12" t="s">
        <v>66</v>
      </c>
      <c r="P671" s="10" t="n">
        <v>101</v>
      </c>
      <c r="Q671" s="12" t="s">
        <v>84</v>
      </c>
      <c r="R671" s="12" t="s">
        <v>201</v>
      </c>
      <c r="S671" s="10" t="n">
        <v>2110707</v>
      </c>
      <c r="T671" s="12" t="s">
        <v>209</v>
      </c>
      <c r="U671" s="13" t="n">
        <v>5411.15</v>
      </c>
      <c r="W671" s="13" t="n">
        <v>0</v>
      </c>
      <c r="X671" s="12" t="s">
        <v>911</v>
      </c>
      <c r="Z671" s="1" t="str">
        <f aca="false">IF($T671="","",IFERROR(INDEX('Resumo Grupos'!$AC$3:$AC$200,MATCH($T671,'Resumo Grupos'!$AB$3:$AB$200,0)),"n/d"))</f>
        <v>Impostos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46211</v>
      </c>
      <c r="C672" s="11" t="n">
        <v>46223</v>
      </c>
      <c r="D672" s="10" t="n">
        <v>10028</v>
      </c>
      <c r="E672" s="12" t="s">
        <v>912</v>
      </c>
      <c r="F672" s="10" t="n">
        <v>24</v>
      </c>
      <c r="G672" s="12" t="s">
        <v>31</v>
      </c>
      <c r="H672" s="10" t="n">
        <v>1110202</v>
      </c>
      <c r="I672" s="12" t="s">
        <v>90</v>
      </c>
      <c r="J672" s="10" t="n">
        <v>1370662</v>
      </c>
      <c r="L672" s="10" t="n">
        <v>565739</v>
      </c>
      <c r="M672" s="12" t="s">
        <v>33</v>
      </c>
      <c r="N672" s="12" t="s">
        <v>66</v>
      </c>
      <c r="P672" s="10" t="n">
        <v>101</v>
      </c>
      <c r="Q672" s="12" t="s">
        <v>84</v>
      </c>
      <c r="R672" s="12" t="s">
        <v>121</v>
      </c>
      <c r="S672" s="10" t="n">
        <v>4210315</v>
      </c>
      <c r="T672" s="12" t="s">
        <v>708</v>
      </c>
      <c r="U672" s="13" t="n">
        <v>595.9</v>
      </c>
      <c r="W672" s="13" t="n">
        <v>0</v>
      </c>
      <c r="X672" s="12" t="s">
        <v>913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46203</v>
      </c>
      <c r="C673" s="11" t="n">
        <v>46223</v>
      </c>
      <c r="D673" s="10" t="n">
        <v>10037</v>
      </c>
      <c r="E673" s="12" t="s">
        <v>340</v>
      </c>
      <c r="F673" s="10" t="n">
        <v>24</v>
      </c>
      <c r="G673" s="12" t="s">
        <v>31</v>
      </c>
      <c r="H673" s="10" t="n">
        <v>2110101</v>
      </c>
      <c r="I673" s="12" t="s">
        <v>32</v>
      </c>
      <c r="J673" s="10" t="n">
        <v>1329937</v>
      </c>
      <c r="L673" s="10" t="n">
        <v>2524</v>
      </c>
      <c r="M673" s="12" t="s">
        <v>76</v>
      </c>
      <c r="N673" s="12" t="s">
        <v>34</v>
      </c>
      <c r="P673" s="10" t="n">
        <v>103</v>
      </c>
      <c r="Q673" s="12" t="s">
        <v>35</v>
      </c>
      <c r="R673" s="12" t="s">
        <v>36</v>
      </c>
      <c r="S673" s="10" t="n">
        <v>1130101</v>
      </c>
      <c r="T673" s="12" t="s">
        <v>37</v>
      </c>
      <c r="U673" s="13" t="n">
        <v>663.81</v>
      </c>
      <c r="W673" s="13" t="n">
        <v>0</v>
      </c>
      <c r="X673" s="12" t="s">
        <v>914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46223</v>
      </c>
      <c r="C674" s="11" t="n">
        <v>46223</v>
      </c>
      <c r="D674" s="10" t="n">
        <v>978</v>
      </c>
      <c r="E674" s="12" t="s">
        <v>54</v>
      </c>
      <c r="F674" s="10" t="n">
        <v>13</v>
      </c>
      <c r="G674" s="12" t="s">
        <v>55</v>
      </c>
      <c r="H674" s="10" t="n">
        <v>2110101</v>
      </c>
      <c r="I674" s="12" t="s">
        <v>32</v>
      </c>
      <c r="J674" s="10" t="n">
        <v>1424926</v>
      </c>
      <c r="L674" s="10" t="n">
        <v>381</v>
      </c>
      <c r="M674" s="12" t="s">
        <v>33</v>
      </c>
      <c r="N674" s="12" t="s">
        <v>34</v>
      </c>
      <c r="P674" s="10" t="n">
        <v>104</v>
      </c>
      <c r="Q674" s="12" t="s">
        <v>50</v>
      </c>
      <c r="R674" s="12" t="s">
        <v>36</v>
      </c>
      <c r="S674" s="10" t="n">
        <v>1130101</v>
      </c>
      <c r="T674" s="12" t="s">
        <v>37</v>
      </c>
      <c r="U674" s="13" t="n">
        <v>405.5</v>
      </c>
      <c r="W674" s="13" t="n">
        <v>0</v>
      </c>
      <c r="X674" s="12" t="s">
        <v>915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46214</v>
      </c>
      <c r="C675" s="11" t="n">
        <v>46223</v>
      </c>
      <c r="D675" s="10" t="n">
        <v>1609</v>
      </c>
      <c r="E675" s="12" t="s">
        <v>343</v>
      </c>
      <c r="F675" s="10" t="n">
        <v>24</v>
      </c>
      <c r="G675" s="12" t="s">
        <v>31</v>
      </c>
      <c r="H675" s="10" t="n">
        <v>1110202</v>
      </c>
      <c r="I675" s="12" t="s">
        <v>90</v>
      </c>
      <c r="J675" s="10" t="n">
        <v>1382471</v>
      </c>
      <c r="L675" s="10" t="n">
        <v>5787</v>
      </c>
      <c r="M675" s="12" t="s">
        <v>33</v>
      </c>
      <c r="N675" s="12" t="s">
        <v>66</v>
      </c>
      <c r="P675" s="10" t="n">
        <v>103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1285.3</v>
      </c>
      <c r="W675" s="13" t="n">
        <v>0</v>
      </c>
      <c r="X675" s="12" t="s">
        <v>916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46221</v>
      </c>
      <c r="C676" s="11" t="n">
        <v>46223</v>
      </c>
      <c r="D676" s="10" t="n">
        <v>947</v>
      </c>
      <c r="E676" s="12" t="s">
        <v>917</v>
      </c>
      <c r="F676" s="10" t="n">
        <v>24</v>
      </c>
      <c r="G676" s="12" t="s">
        <v>31</v>
      </c>
      <c r="H676" s="10" t="n">
        <v>1110202</v>
      </c>
      <c r="I676" s="12" t="s">
        <v>90</v>
      </c>
      <c r="J676" s="10" t="n">
        <v>1415266</v>
      </c>
      <c r="L676" s="10" t="n">
        <v>29092692</v>
      </c>
      <c r="M676" s="12" t="s">
        <v>33</v>
      </c>
      <c r="N676" s="12" t="s">
        <v>66</v>
      </c>
      <c r="P676" s="10" t="n">
        <v>101</v>
      </c>
      <c r="Q676" s="12" t="s">
        <v>84</v>
      </c>
      <c r="R676" s="12" t="s">
        <v>94</v>
      </c>
      <c r="S676" s="10" t="n">
        <v>4210201</v>
      </c>
      <c r="T676" s="12" t="s">
        <v>918</v>
      </c>
      <c r="U676" s="13" t="n">
        <v>129</v>
      </c>
      <c r="W676" s="13" t="n">
        <v>0</v>
      </c>
      <c r="X676" s="12" t="s">
        <v>919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46217</v>
      </c>
      <c r="C677" s="11" t="n">
        <v>46223</v>
      </c>
      <c r="D677" s="10" t="n">
        <v>1363</v>
      </c>
      <c r="E677" s="12" t="s">
        <v>177</v>
      </c>
      <c r="F677" s="10" t="n">
        <v>24</v>
      </c>
      <c r="G677" s="12" t="s">
        <v>31</v>
      </c>
      <c r="H677" s="10" t="n">
        <v>1110202</v>
      </c>
      <c r="I677" s="12" t="s">
        <v>90</v>
      </c>
      <c r="J677" s="10" t="n">
        <v>1397372</v>
      </c>
      <c r="L677" s="10" t="n">
        <v>3541</v>
      </c>
      <c r="M677" s="12" t="s">
        <v>33</v>
      </c>
      <c r="N677" s="12" t="s">
        <v>66</v>
      </c>
      <c r="P677" s="10" t="n">
        <v>103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297</v>
      </c>
      <c r="W677" s="13" t="n">
        <v>0</v>
      </c>
      <c r="X677" s="12" t="s">
        <v>920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46216</v>
      </c>
      <c r="C678" s="11" t="n">
        <v>46223</v>
      </c>
      <c r="D678" s="10" t="n">
        <v>560</v>
      </c>
      <c r="E678" s="12" t="s">
        <v>921</v>
      </c>
      <c r="F678" s="10" t="n">
        <v>24</v>
      </c>
      <c r="G678" s="12" t="s">
        <v>31</v>
      </c>
      <c r="H678" s="10" t="n">
        <v>1110202</v>
      </c>
      <c r="I678" s="12" t="s">
        <v>90</v>
      </c>
      <c r="J678" s="10" t="n">
        <v>1393675</v>
      </c>
      <c r="L678" s="10" t="n">
        <v>1790</v>
      </c>
      <c r="M678" s="12" t="s">
        <v>33</v>
      </c>
      <c r="N678" s="12" t="s">
        <v>66</v>
      </c>
      <c r="P678" s="10" t="n">
        <v>103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250</v>
      </c>
      <c r="W678" s="13" t="n">
        <v>0</v>
      </c>
      <c r="X678" s="12" t="s">
        <v>922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46223</v>
      </c>
      <c r="C679" s="11" t="n">
        <v>46223</v>
      </c>
      <c r="D679" s="10" t="n">
        <v>542</v>
      </c>
      <c r="E679" s="12" t="s">
        <v>923</v>
      </c>
      <c r="F679" s="10" t="n">
        <v>34</v>
      </c>
      <c r="G679" s="12" t="s">
        <v>49</v>
      </c>
      <c r="H679" s="10" t="n">
        <v>1110202</v>
      </c>
      <c r="I679" s="12" t="s">
        <v>90</v>
      </c>
      <c r="J679" s="10" t="n">
        <v>1424234</v>
      </c>
      <c r="L679" s="10" t="n">
        <v>587289</v>
      </c>
      <c r="M679" s="12" t="s">
        <v>33</v>
      </c>
      <c r="N679" s="12" t="s">
        <v>66</v>
      </c>
      <c r="P679" s="10" t="n">
        <v>101</v>
      </c>
      <c r="Q679" s="12" t="s">
        <v>84</v>
      </c>
      <c r="R679" s="12" t="s">
        <v>401</v>
      </c>
      <c r="S679" s="10" t="n">
        <v>4210107</v>
      </c>
      <c r="T679" s="12" t="s">
        <v>924</v>
      </c>
      <c r="U679" s="13" t="n">
        <v>464.59</v>
      </c>
      <c r="W679" s="13" t="n">
        <v>0</v>
      </c>
      <c r="X679" s="12" t="s">
        <v>925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46223</v>
      </c>
      <c r="C680" s="11" t="n">
        <v>46223</v>
      </c>
      <c r="D680" s="10" t="n">
        <v>542</v>
      </c>
      <c r="E680" s="12" t="s">
        <v>923</v>
      </c>
      <c r="F680" s="10" t="n">
        <v>34</v>
      </c>
      <c r="G680" s="12" t="s">
        <v>49</v>
      </c>
      <c r="H680" s="10" t="n">
        <v>1110202</v>
      </c>
      <c r="I680" s="12" t="s">
        <v>90</v>
      </c>
      <c r="J680" s="10" t="n">
        <v>1424241</v>
      </c>
      <c r="L680" s="10" t="n">
        <v>587291</v>
      </c>
      <c r="M680" s="12" t="s">
        <v>33</v>
      </c>
      <c r="N680" s="12" t="s">
        <v>66</v>
      </c>
      <c r="P680" s="10" t="n">
        <v>101</v>
      </c>
      <c r="Q680" s="12" t="s">
        <v>84</v>
      </c>
      <c r="R680" s="12" t="s">
        <v>91</v>
      </c>
      <c r="S680" s="10" t="n">
        <v>4220199</v>
      </c>
      <c r="T680" s="12" t="s">
        <v>92</v>
      </c>
      <c r="U680" s="13" t="n">
        <v>900</v>
      </c>
      <c r="W680" s="13" t="n">
        <v>0</v>
      </c>
      <c r="X680" s="12" t="s">
        <v>926</v>
      </c>
      <c r="Z680" s="1" t="str">
        <f aca="false">IF($T680="","",IFERROR(INDEX('Resumo Grupos'!$AC$3:$AC$200,MATCH($T680,'Resumo Grupos'!$AB$3:$AB$200,0)),"n/d"))</f>
        <v>Pagamentos outros não operacionais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46216</v>
      </c>
      <c r="C681" s="11" t="n">
        <v>46223</v>
      </c>
      <c r="D681" s="10" t="n">
        <v>1625</v>
      </c>
      <c r="E681" s="12" t="s">
        <v>62</v>
      </c>
      <c r="F681" s="10" t="n">
        <v>24</v>
      </c>
      <c r="G681" s="12" t="s">
        <v>31</v>
      </c>
      <c r="H681" s="10" t="n">
        <v>1110202</v>
      </c>
      <c r="I681" s="12" t="s">
        <v>90</v>
      </c>
      <c r="J681" s="10" t="n">
        <v>1394176</v>
      </c>
      <c r="L681" s="10" t="n">
        <v>14695</v>
      </c>
      <c r="M681" s="12" t="s">
        <v>33</v>
      </c>
      <c r="N681" s="12" t="s">
        <v>66</v>
      </c>
      <c r="P681" s="10" t="n">
        <v>103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1607.58</v>
      </c>
      <c r="W681" s="13" t="n">
        <v>0</v>
      </c>
      <c r="X681" s="12" t="s">
        <v>927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46211</v>
      </c>
      <c r="C682" s="11" t="n">
        <v>46223</v>
      </c>
      <c r="D682" s="10" t="n">
        <v>17</v>
      </c>
      <c r="E682" s="12" t="s">
        <v>268</v>
      </c>
      <c r="F682" s="10" t="n">
        <v>24</v>
      </c>
      <c r="G682" s="12" t="s">
        <v>31</v>
      </c>
      <c r="H682" s="10" t="n">
        <v>1110202</v>
      </c>
      <c r="I682" s="12" t="s">
        <v>90</v>
      </c>
      <c r="J682" s="10" t="n">
        <v>1370668</v>
      </c>
      <c r="L682" s="10" t="n">
        <v>565745</v>
      </c>
      <c r="M682" s="12" t="s">
        <v>33</v>
      </c>
      <c r="N682" s="12" t="s">
        <v>66</v>
      </c>
      <c r="P682" s="10" t="n">
        <v>101</v>
      </c>
      <c r="Q682" s="12" t="s">
        <v>84</v>
      </c>
      <c r="R682" s="12" t="s">
        <v>91</v>
      </c>
      <c r="S682" s="10" t="n">
        <v>4220199</v>
      </c>
      <c r="T682" s="12" t="s">
        <v>92</v>
      </c>
      <c r="U682" s="13" t="n">
        <v>448.38</v>
      </c>
      <c r="W682" s="13" t="n">
        <v>0</v>
      </c>
      <c r="X682" s="12" t="s">
        <v>928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46217</v>
      </c>
      <c r="C683" s="11" t="n">
        <v>46223</v>
      </c>
      <c r="D683" s="10" t="n">
        <v>1328</v>
      </c>
      <c r="E683" s="12" t="s">
        <v>186</v>
      </c>
      <c r="F683" s="10" t="n">
        <v>24</v>
      </c>
      <c r="G683" s="12" t="s">
        <v>31</v>
      </c>
      <c r="H683" s="10" t="n">
        <v>1110202</v>
      </c>
      <c r="I683" s="12" t="s">
        <v>90</v>
      </c>
      <c r="J683" s="10" t="n">
        <v>1397292</v>
      </c>
      <c r="L683" s="10" t="n">
        <v>4053</v>
      </c>
      <c r="M683" s="12" t="s">
        <v>33</v>
      </c>
      <c r="N683" s="12" t="s">
        <v>66</v>
      </c>
      <c r="P683" s="10" t="n">
        <v>103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358.25</v>
      </c>
      <c r="W683" s="13" t="n">
        <v>0</v>
      </c>
      <c r="X683" s="12" t="s">
        <v>929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46210</v>
      </c>
      <c r="C684" s="11" t="n">
        <v>46223</v>
      </c>
      <c r="D684" s="10" t="n">
        <v>1114</v>
      </c>
      <c r="E684" s="12" t="s">
        <v>128</v>
      </c>
      <c r="F684" s="10" t="n">
        <v>24</v>
      </c>
      <c r="G684" s="12" t="s">
        <v>31</v>
      </c>
      <c r="H684" s="10" t="n">
        <v>2110101</v>
      </c>
      <c r="I684" s="12" t="s">
        <v>32</v>
      </c>
      <c r="J684" s="10" t="n">
        <v>1366284</v>
      </c>
      <c r="L684" s="10" t="n">
        <v>40389</v>
      </c>
      <c r="M684" s="12" t="s">
        <v>33</v>
      </c>
      <c r="N684" s="12" t="s">
        <v>34</v>
      </c>
      <c r="P684" s="10" t="n">
        <v>103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2754.99</v>
      </c>
      <c r="W684" s="13" t="n">
        <v>0</v>
      </c>
      <c r="X684" s="12" t="s">
        <v>930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46196</v>
      </c>
      <c r="C685" s="11" t="n">
        <v>46223</v>
      </c>
      <c r="D685" s="10" t="n">
        <v>1107</v>
      </c>
      <c r="E685" s="12" t="s">
        <v>525</v>
      </c>
      <c r="F685" s="10" t="n">
        <v>24</v>
      </c>
      <c r="G685" s="12" t="s">
        <v>31</v>
      </c>
      <c r="H685" s="10" t="n">
        <v>2110101</v>
      </c>
      <c r="I685" s="12" t="s">
        <v>32</v>
      </c>
      <c r="J685" s="10" t="n">
        <v>1294118</v>
      </c>
      <c r="L685" s="10" t="n">
        <v>419583</v>
      </c>
      <c r="M685" s="12" t="s">
        <v>76</v>
      </c>
      <c r="N685" s="12" t="s">
        <v>34</v>
      </c>
      <c r="P685" s="10" t="n">
        <v>103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1351</v>
      </c>
      <c r="W685" s="13" t="n">
        <v>0</v>
      </c>
      <c r="X685" s="12" t="s">
        <v>931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46196</v>
      </c>
      <c r="C686" s="11" t="n">
        <v>46223</v>
      </c>
      <c r="D686" s="10" t="n">
        <v>1107</v>
      </c>
      <c r="E686" s="12" t="s">
        <v>525</v>
      </c>
      <c r="F686" s="10" t="n">
        <v>24</v>
      </c>
      <c r="G686" s="12" t="s">
        <v>31</v>
      </c>
      <c r="H686" s="10" t="n">
        <v>2110101</v>
      </c>
      <c r="I686" s="12" t="s">
        <v>32</v>
      </c>
      <c r="J686" s="10" t="n">
        <v>1294268</v>
      </c>
      <c r="L686" s="10" t="n">
        <v>419611</v>
      </c>
      <c r="M686" s="12" t="s">
        <v>33</v>
      </c>
      <c r="N686" s="12" t="s">
        <v>34</v>
      </c>
      <c r="P686" s="10" t="n">
        <v>103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1805.4</v>
      </c>
      <c r="W686" s="13" t="n">
        <v>0</v>
      </c>
      <c r="X686" s="12" t="s">
        <v>932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46211</v>
      </c>
      <c r="C687" s="11" t="n">
        <v>46223</v>
      </c>
      <c r="D687" s="10" t="n">
        <v>1932</v>
      </c>
      <c r="E687" s="12" t="s">
        <v>933</v>
      </c>
      <c r="F687" s="10" t="n">
        <v>24</v>
      </c>
      <c r="G687" s="12" t="s">
        <v>31</v>
      </c>
      <c r="H687" s="10" t="n">
        <v>2110101</v>
      </c>
      <c r="I687" s="12" t="s">
        <v>32</v>
      </c>
      <c r="J687" s="10" t="n">
        <v>1370654</v>
      </c>
      <c r="L687" s="10" t="n">
        <v>565734</v>
      </c>
      <c r="M687" s="12" t="s">
        <v>33</v>
      </c>
      <c r="N687" s="12" t="s">
        <v>66</v>
      </c>
      <c r="P687" s="10" t="n">
        <v>101</v>
      </c>
      <c r="Q687" s="12" t="s">
        <v>84</v>
      </c>
      <c r="R687" s="12" t="s">
        <v>121</v>
      </c>
      <c r="S687" s="10" t="n">
        <v>4210315</v>
      </c>
      <c r="T687" s="12" t="s">
        <v>708</v>
      </c>
      <c r="U687" s="13" t="n">
        <v>139.97</v>
      </c>
      <c r="W687" s="13" t="n">
        <v>0</v>
      </c>
      <c r="X687" s="12" t="s">
        <v>934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46203</v>
      </c>
      <c r="C688" s="11" t="n">
        <v>46223</v>
      </c>
      <c r="D688" s="10" t="n">
        <v>10011</v>
      </c>
      <c r="E688" s="12" t="s">
        <v>78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1330475</v>
      </c>
      <c r="L688" s="10" t="n">
        <v>34300</v>
      </c>
      <c r="M688" s="12" t="s">
        <v>33</v>
      </c>
      <c r="N688" s="12" t="s">
        <v>34</v>
      </c>
      <c r="P688" s="10" t="n">
        <v>103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3377.6</v>
      </c>
      <c r="W688" s="13" t="n">
        <v>0</v>
      </c>
      <c r="X688" s="12" t="s">
        <v>935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46223</v>
      </c>
      <c r="C689" s="11" t="n">
        <v>46223</v>
      </c>
      <c r="D689" s="10" t="n">
        <v>1000017</v>
      </c>
      <c r="E689" s="12" t="s">
        <v>936</v>
      </c>
      <c r="F689" s="10" t="n">
        <v>24</v>
      </c>
      <c r="G689" s="12" t="s">
        <v>31</v>
      </c>
      <c r="H689" s="10" t="n">
        <v>1110202</v>
      </c>
      <c r="I689" s="12" t="s">
        <v>90</v>
      </c>
      <c r="J689" s="10" t="n">
        <v>1436467</v>
      </c>
      <c r="L689" s="10" t="n">
        <v>591192</v>
      </c>
      <c r="M689" s="12" t="s">
        <v>33</v>
      </c>
      <c r="N689" s="12" t="s">
        <v>66</v>
      </c>
      <c r="P689" s="10" t="n">
        <v>102</v>
      </c>
      <c r="Q689" s="12" t="s">
        <v>112</v>
      </c>
      <c r="R689" s="12" t="s">
        <v>201</v>
      </c>
      <c r="S689" s="10" t="n">
        <v>2110711</v>
      </c>
      <c r="T689" s="12" t="s">
        <v>937</v>
      </c>
      <c r="U689" s="13" t="n">
        <v>155.96</v>
      </c>
      <c r="W689" s="13" t="n">
        <v>0</v>
      </c>
      <c r="X689" s="12" t="s">
        <v>938</v>
      </c>
      <c r="Z689" s="1" t="str">
        <f aca="false">IF($T689="","",IFERROR(INDEX('Resumo Grupos'!$AC$3:$AC$200,MATCH($T689,'Resumo Grupos'!$AB$3:$AB$200,0)),"n/d"))</f>
        <v>Impostos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46183</v>
      </c>
      <c r="C690" s="11" t="n">
        <v>46223</v>
      </c>
      <c r="D690" s="10" t="n">
        <v>1624</v>
      </c>
      <c r="E690" s="12" t="s">
        <v>367</v>
      </c>
      <c r="F690" s="10" t="n">
        <v>24</v>
      </c>
      <c r="G690" s="12" t="s">
        <v>31</v>
      </c>
      <c r="H690" s="10" t="n">
        <v>2110101</v>
      </c>
      <c r="I690" s="12" t="s">
        <v>32</v>
      </c>
      <c r="J690" s="10" t="n">
        <v>1230768</v>
      </c>
      <c r="L690" s="10" t="n">
        <v>657246</v>
      </c>
      <c r="M690" s="12" t="s">
        <v>76</v>
      </c>
      <c r="N690" s="12" t="s">
        <v>34</v>
      </c>
      <c r="P690" s="10" t="n">
        <v>103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1755.4</v>
      </c>
      <c r="W690" s="13" t="n">
        <v>0</v>
      </c>
      <c r="X690" s="12" t="s">
        <v>939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46223</v>
      </c>
      <c r="C691" s="11" t="n">
        <v>46223</v>
      </c>
      <c r="D691" s="10" t="n">
        <v>1936</v>
      </c>
      <c r="E691" s="12" t="s">
        <v>316</v>
      </c>
      <c r="F691" s="10" t="n">
        <v>24</v>
      </c>
      <c r="G691" s="12" t="s">
        <v>31</v>
      </c>
      <c r="H691" s="10" t="n">
        <v>1110202</v>
      </c>
      <c r="I691" s="12" t="s">
        <v>90</v>
      </c>
      <c r="J691" s="10" t="n">
        <v>1436285</v>
      </c>
      <c r="L691" s="10" t="n">
        <v>591109</v>
      </c>
      <c r="M691" s="12" t="s">
        <v>33</v>
      </c>
      <c r="N691" s="12" t="s">
        <v>66</v>
      </c>
      <c r="P691" s="10" t="n">
        <v>102</v>
      </c>
      <c r="Q691" s="12" t="s">
        <v>112</v>
      </c>
      <c r="R691" s="12" t="s">
        <v>36</v>
      </c>
      <c r="S691" s="10" t="n">
        <v>1130101</v>
      </c>
      <c r="T691" s="12" t="s">
        <v>37</v>
      </c>
      <c r="U691" s="13" t="n">
        <v>105.45</v>
      </c>
      <c r="W691" s="13" t="n">
        <v>0</v>
      </c>
      <c r="X691" s="12" t="s">
        <v>940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46210</v>
      </c>
      <c r="C692" s="11" t="n">
        <v>46223</v>
      </c>
      <c r="D692" s="10" t="n">
        <v>1292</v>
      </c>
      <c r="E692" s="12" t="s">
        <v>369</v>
      </c>
      <c r="F692" s="10" t="n">
        <v>24</v>
      </c>
      <c r="G692" s="12" t="s">
        <v>31</v>
      </c>
      <c r="H692" s="10" t="n">
        <v>2110101</v>
      </c>
      <c r="I692" s="12" t="s">
        <v>32</v>
      </c>
      <c r="J692" s="10" t="n">
        <v>1364168</v>
      </c>
      <c r="L692" s="10" t="n">
        <v>3552</v>
      </c>
      <c r="M692" s="12" t="s">
        <v>76</v>
      </c>
      <c r="N692" s="12" t="s">
        <v>34</v>
      </c>
      <c r="P692" s="10" t="n">
        <v>103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1584</v>
      </c>
      <c r="W692" s="13" t="n">
        <v>0</v>
      </c>
      <c r="X692" s="12" t="s">
        <v>941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46216</v>
      </c>
      <c r="C693" s="11" t="n">
        <v>46223</v>
      </c>
      <c r="D693" s="10" t="n">
        <v>1292</v>
      </c>
      <c r="E693" s="12" t="s">
        <v>369</v>
      </c>
      <c r="F693" s="10" t="n">
        <v>24</v>
      </c>
      <c r="G693" s="12" t="s">
        <v>31</v>
      </c>
      <c r="H693" s="10" t="n">
        <v>1110202</v>
      </c>
      <c r="I693" s="12" t="s">
        <v>90</v>
      </c>
      <c r="J693" s="10" t="n">
        <v>1393587</v>
      </c>
      <c r="L693" s="10" t="n">
        <v>3599</v>
      </c>
      <c r="M693" s="12" t="s">
        <v>33</v>
      </c>
      <c r="N693" s="12" t="s">
        <v>66</v>
      </c>
      <c r="P693" s="10" t="n">
        <v>103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448.5</v>
      </c>
      <c r="W693" s="13" t="n">
        <v>0</v>
      </c>
      <c r="X693" s="12" t="s">
        <v>942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46223</v>
      </c>
      <c r="C694" s="11" t="n">
        <v>46223</v>
      </c>
      <c r="D694" s="10" t="n">
        <v>1807</v>
      </c>
      <c r="E694" s="12" t="s">
        <v>200</v>
      </c>
      <c r="F694" s="10" t="n">
        <v>24</v>
      </c>
      <c r="G694" s="12" t="s">
        <v>31</v>
      </c>
      <c r="H694" s="10" t="n">
        <v>1110202</v>
      </c>
      <c r="I694" s="12" t="s">
        <v>90</v>
      </c>
      <c r="J694" s="10" t="n">
        <v>1436427</v>
      </c>
      <c r="L694" s="10" t="n">
        <v>591174</v>
      </c>
      <c r="M694" s="12" t="s">
        <v>33</v>
      </c>
      <c r="N694" s="12" t="s">
        <v>66</v>
      </c>
      <c r="P694" s="10" t="n">
        <v>102</v>
      </c>
      <c r="Q694" s="12" t="s">
        <v>112</v>
      </c>
      <c r="R694" s="12" t="s">
        <v>201</v>
      </c>
      <c r="S694" s="10" t="n">
        <v>2110701</v>
      </c>
      <c r="T694" s="12" t="s">
        <v>943</v>
      </c>
      <c r="U694" s="13" t="n">
        <v>5092.77</v>
      </c>
      <c r="W694" s="13" t="n">
        <v>0</v>
      </c>
      <c r="X694" s="12" t="s">
        <v>944</v>
      </c>
      <c r="Z694" s="1" t="str">
        <f aca="false">IF($T694="","",IFERROR(INDEX('Resumo Grupos'!$AC$3:$AC$200,MATCH($T694,'Resumo Grupos'!$AB$3:$AB$200,0)),"n/d"))</f>
        <v>Impostos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46213</v>
      </c>
      <c r="C695" s="11" t="n">
        <v>46223</v>
      </c>
      <c r="D695" s="10" t="n">
        <v>1666</v>
      </c>
      <c r="E695" s="12" t="s">
        <v>139</v>
      </c>
      <c r="F695" s="10" t="n">
        <v>24</v>
      </c>
      <c r="G695" s="12" t="s">
        <v>31</v>
      </c>
      <c r="H695" s="10" t="n">
        <v>1110202</v>
      </c>
      <c r="I695" s="12" t="s">
        <v>90</v>
      </c>
      <c r="J695" s="10" t="n">
        <v>1376853</v>
      </c>
      <c r="L695" s="10" t="n">
        <v>566688</v>
      </c>
      <c r="M695" s="12" t="s">
        <v>33</v>
      </c>
      <c r="N695" s="12" t="s">
        <v>66</v>
      </c>
      <c r="P695" s="10" t="n">
        <v>103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6643.66</v>
      </c>
      <c r="W695" s="13" t="n">
        <v>0</v>
      </c>
      <c r="X695" s="12" t="s">
        <v>945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46217</v>
      </c>
      <c r="C696" s="11" t="n">
        <v>46223</v>
      </c>
      <c r="D696" s="10" t="n">
        <v>1631</v>
      </c>
      <c r="E696" s="12" t="s">
        <v>141</v>
      </c>
      <c r="F696" s="10" t="n">
        <v>24</v>
      </c>
      <c r="G696" s="12" t="s">
        <v>31</v>
      </c>
      <c r="H696" s="10" t="n">
        <v>1110202</v>
      </c>
      <c r="I696" s="12" t="s">
        <v>90</v>
      </c>
      <c r="J696" s="10" t="n">
        <v>1397408</v>
      </c>
      <c r="L696" s="10" t="n">
        <v>15129</v>
      </c>
      <c r="M696" s="12" t="s">
        <v>33</v>
      </c>
      <c r="N696" s="12" t="s">
        <v>66</v>
      </c>
      <c r="P696" s="10" t="n">
        <v>103</v>
      </c>
      <c r="Q696" s="12" t="s">
        <v>35</v>
      </c>
      <c r="R696" s="12" t="s">
        <v>946</v>
      </c>
      <c r="S696" s="10" t="n">
        <v>1110301</v>
      </c>
      <c r="T696" s="12" t="s">
        <v>947</v>
      </c>
      <c r="U696" s="13" t="n">
        <v>622.5</v>
      </c>
      <c r="W696" s="13" t="n">
        <v>0</v>
      </c>
      <c r="X696" s="12" t="s">
        <v>948</v>
      </c>
      <c r="Z696" s="1" t="str">
        <f aca="false">IF($T696="","",IFERROR(INDEX('Resumo Grupos'!$AC$3:$AC$200,MATCH($T696,'Resumo Grupos'!$AB$3:$AB$200,0)),"n/d"))</f>
        <v>Cobertura de conta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46221</v>
      </c>
      <c r="C697" s="11" t="n">
        <v>46224</v>
      </c>
      <c r="D697" s="10" t="n">
        <v>642</v>
      </c>
      <c r="E697" s="12" t="s">
        <v>145</v>
      </c>
      <c r="F697" s="10" t="n">
        <v>24</v>
      </c>
      <c r="G697" s="12" t="s">
        <v>31</v>
      </c>
      <c r="H697" s="10" t="n">
        <v>1110202</v>
      </c>
      <c r="I697" s="12" t="s">
        <v>90</v>
      </c>
      <c r="J697" s="10" t="n">
        <v>1415556</v>
      </c>
      <c r="L697" s="10" t="n">
        <v>534</v>
      </c>
      <c r="M697" s="12" t="s">
        <v>33</v>
      </c>
      <c r="N697" s="12" t="s">
        <v>66</v>
      </c>
      <c r="P697" s="10" t="n">
        <v>103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960</v>
      </c>
      <c r="W697" s="13" t="n">
        <v>0</v>
      </c>
      <c r="X697" s="12" t="s">
        <v>949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46220</v>
      </c>
      <c r="C698" s="11" t="n">
        <v>46224</v>
      </c>
      <c r="D698" s="10" t="n">
        <v>10018</v>
      </c>
      <c r="E698" s="12" t="s">
        <v>147</v>
      </c>
      <c r="F698" s="10" t="n">
        <v>24</v>
      </c>
      <c r="G698" s="12" t="s">
        <v>31</v>
      </c>
      <c r="H698" s="10" t="n">
        <v>1110202</v>
      </c>
      <c r="I698" s="12" t="s">
        <v>90</v>
      </c>
      <c r="J698" s="10" t="n">
        <v>1410760</v>
      </c>
      <c r="L698" s="10" t="n">
        <v>336</v>
      </c>
      <c r="M698" s="12" t="s">
        <v>33</v>
      </c>
      <c r="N698" s="12" t="s">
        <v>66</v>
      </c>
      <c r="P698" s="10" t="n">
        <v>103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1850</v>
      </c>
      <c r="W698" s="13" t="n">
        <v>0</v>
      </c>
      <c r="X698" s="12" t="s">
        <v>950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46217</v>
      </c>
      <c r="C699" s="11" t="n">
        <v>46224</v>
      </c>
      <c r="D699" s="10" t="n">
        <v>1642</v>
      </c>
      <c r="E699" s="12" t="s">
        <v>158</v>
      </c>
      <c r="F699" s="10" t="n">
        <v>24</v>
      </c>
      <c r="G699" s="12" t="s">
        <v>31</v>
      </c>
      <c r="H699" s="10" t="n">
        <v>1110202</v>
      </c>
      <c r="I699" s="12" t="s">
        <v>90</v>
      </c>
      <c r="J699" s="10" t="n">
        <v>1397305</v>
      </c>
      <c r="L699" s="10" t="n">
        <v>1031671</v>
      </c>
      <c r="M699" s="12" t="s">
        <v>33</v>
      </c>
      <c r="N699" s="12" t="s">
        <v>66</v>
      </c>
      <c r="P699" s="10" t="n">
        <v>103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869.87</v>
      </c>
      <c r="W699" s="13" t="n">
        <v>0</v>
      </c>
      <c r="X699" s="12" t="s">
        <v>951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46211</v>
      </c>
      <c r="C700" s="11" t="n">
        <v>46224</v>
      </c>
      <c r="D700" s="10" t="n">
        <v>10002</v>
      </c>
      <c r="E700" s="12" t="s">
        <v>288</v>
      </c>
      <c r="F700" s="10" t="n">
        <v>24</v>
      </c>
      <c r="G700" s="12" t="s">
        <v>31</v>
      </c>
      <c r="H700" s="10" t="n">
        <v>2110101</v>
      </c>
      <c r="I700" s="12" t="s">
        <v>32</v>
      </c>
      <c r="J700" s="10" t="n">
        <v>1369047</v>
      </c>
      <c r="L700" s="10" t="n">
        <v>196429</v>
      </c>
      <c r="M700" s="12" t="s">
        <v>33</v>
      </c>
      <c r="N700" s="12" t="s">
        <v>34</v>
      </c>
      <c r="P700" s="10" t="n">
        <v>103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799.73</v>
      </c>
      <c r="W700" s="13" t="n">
        <v>0</v>
      </c>
      <c r="X700" s="12" t="s">
        <v>952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46224</v>
      </c>
      <c r="C701" s="11" t="n">
        <v>46224</v>
      </c>
      <c r="D701" s="10" t="n">
        <v>578</v>
      </c>
      <c r="E701" s="12" t="s">
        <v>953</v>
      </c>
      <c r="F701" s="10" t="n">
        <v>24</v>
      </c>
      <c r="G701" s="12" t="s">
        <v>31</v>
      </c>
      <c r="H701" s="10" t="n">
        <v>1110202</v>
      </c>
      <c r="I701" s="12" t="s">
        <v>90</v>
      </c>
      <c r="J701" s="10" t="n">
        <v>1289597</v>
      </c>
      <c r="L701" s="10" t="n">
        <v>534500</v>
      </c>
      <c r="M701" s="12" t="s">
        <v>76</v>
      </c>
      <c r="N701" s="12" t="s">
        <v>66</v>
      </c>
      <c r="P701" s="10" t="n">
        <v>102</v>
      </c>
      <c r="Q701" s="12" t="s">
        <v>112</v>
      </c>
      <c r="R701" s="12" t="s">
        <v>91</v>
      </c>
      <c r="S701" s="10" t="n">
        <v>4220199</v>
      </c>
      <c r="T701" s="12" t="s">
        <v>92</v>
      </c>
      <c r="U701" s="13" t="n">
        <v>500</v>
      </c>
      <c r="W701" s="13" t="n">
        <v>0</v>
      </c>
      <c r="X701" s="12" t="s">
        <v>954</v>
      </c>
      <c r="Z701" s="1" t="str">
        <f aca="false">IF($T701="","",IFERROR(INDEX('Resumo Grupos'!$AC$3:$AC$200,MATCH($T701,'Resumo Grupos'!$AB$3:$AB$200,0)),"n/d"))</f>
        <v>Pagamentos outros não operacionais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46224</v>
      </c>
      <c r="C702" s="11" t="n">
        <v>46224</v>
      </c>
      <c r="D702" s="10" t="n">
        <v>1758</v>
      </c>
      <c r="E702" s="12" t="s">
        <v>584</v>
      </c>
      <c r="F702" s="10" t="n">
        <v>13</v>
      </c>
      <c r="G702" s="12" t="s">
        <v>55</v>
      </c>
      <c r="H702" s="10" t="n">
        <v>1110202</v>
      </c>
      <c r="I702" s="12" t="s">
        <v>90</v>
      </c>
      <c r="J702" s="10" t="n">
        <v>1433908</v>
      </c>
      <c r="L702" s="10" t="n">
        <v>590543</v>
      </c>
      <c r="M702" s="12" t="s">
        <v>33</v>
      </c>
      <c r="N702" s="12" t="s">
        <v>66</v>
      </c>
      <c r="P702" s="10" t="n">
        <v>101</v>
      </c>
      <c r="Q702" s="12" t="s">
        <v>84</v>
      </c>
      <c r="R702" s="12" t="s">
        <v>94</v>
      </c>
      <c r="S702" s="10" t="n">
        <v>4210223</v>
      </c>
      <c r="T702" s="12" t="s">
        <v>955</v>
      </c>
      <c r="U702" s="13" t="n">
        <v>615</v>
      </c>
      <c r="W702" s="13" t="n">
        <v>0</v>
      </c>
      <c r="X702" s="12" t="s">
        <v>956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46217</v>
      </c>
      <c r="C703" s="11" t="n">
        <v>46224</v>
      </c>
      <c r="D703" s="10" t="n">
        <v>1798</v>
      </c>
      <c r="E703" s="12" t="s">
        <v>246</v>
      </c>
      <c r="F703" s="10" t="n">
        <v>24</v>
      </c>
      <c r="G703" s="12" t="s">
        <v>31</v>
      </c>
      <c r="H703" s="10" t="n">
        <v>1110202</v>
      </c>
      <c r="I703" s="12" t="s">
        <v>90</v>
      </c>
      <c r="J703" s="10" t="n">
        <v>1398194</v>
      </c>
      <c r="L703" s="10" t="n">
        <v>831704</v>
      </c>
      <c r="M703" s="12" t="s">
        <v>33</v>
      </c>
      <c r="N703" s="12" t="s">
        <v>66</v>
      </c>
      <c r="P703" s="10" t="n">
        <v>103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1592.9</v>
      </c>
      <c r="W703" s="13" t="n">
        <v>0</v>
      </c>
      <c r="X703" s="12" t="s">
        <v>957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46224</v>
      </c>
      <c r="C704" s="11" t="n">
        <v>46224</v>
      </c>
      <c r="D704" s="10" t="n">
        <v>1037</v>
      </c>
      <c r="E704" s="12" t="s">
        <v>171</v>
      </c>
      <c r="F704" s="10" t="n">
        <v>34</v>
      </c>
      <c r="G704" s="12" t="s">
        <v>49</v>
      </c>
      <c r="H704" s="10" t="n">
        <v>1110202</v>
      </c>
      <c r="I704" s="12" t="s">
        <v>90</v>
      </c>
      <c r="J704" s="10" t="n">
        <v>1429767</v>
      </c>
      <c r="L704" s="10" t="n">
        <v>589270</v>
      </c>
      <c r="M704" s="12" t="s">
        <v>33</v>
      </c>
      <c r="N704" s="12" t="s">
        <v>66</v>
      </c>
      <c r="P704" s="10" t="n">
        <v>101</v>
      </c>
      <c r="Q704" s="12" t="s">
        <v>84</v>
      </c>
      <c r="R704" s="12" t="s">
        <v>91</v>
      </c>
      <c r="S704" s="10" t="n">
        <v>4220199</v>
      </c>
      <c r="T704" s="12" t="s">
        <v>92</v>
      </c>
      <c r="U704" s="13" t="n">
        <v>2513.08</v>
      </c>
      <c r="W704" s="13" t="n">
        <v>0</v>
      </c>
      <c r="X704" s="12" t="s">
        <v>958</v>
      </c>
      <c r="Z704" s="1" t="str">
        <f aca="false">IF($T704="","",IFERROR(INDEX('Resumo Grupos'!$AC$3:$AC$200,MATCH($T704,'Resumo Grupos'!$AB$3:$AB$200,0)),"n/d"))</f>
        <v>Pagamentos outros não operacionais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46224</v>
      </c>
      <c r="C705" s="11" t="n">
        <v>46224</v>
      </c>
      <c r="D705" s="10" t="n">
        <v>10096</v>
      </c>
      <c r="E705" s="12" t="s">
        <v>844</v>
      </c>
      <c r="F705" s="10" t="n">
        <v>13</v>
      </c>
      <c r="G705" s="12" t="s">
        <v>55</v>
      </c>
      <c r="H705" s="10" t="n">
        <v>2110101</v>
      </c>
      <c r="I705" s="12" t="s">
        <v>32</v>
      </c>
      <c r="J705" s="10" t="n">
        <v>1435742</v>
      </c>
      <c r="L705" s="10" t="n">
        <v>66</v>
      </c>
      <c r="M705" s="12" t="s">
        <v>33</v>
      </c>
      <c r="N705" s="12" t="s">
        <v>34</v>
      </c>
      <c r="P705" s="10" t="n">
        <v>104</v>
      </c>
      <c r="Q705" s="12" t="s">
        <v>50</v>
      </c>
      <c r="R705" s="12" t="s">
        <v>36</v>
      </c>
      <c r="S705" s="10" t="n">
        <v>1130101</v>
      </c>
      <c r="T705" s="12" t="s">
        <v>37</v>
      </c>
      <c r="U705" s="13" t="n">
        <v>420</v>
      </c>
      <c r="W705" s="13" t="n">
        <v>0</v>
      </c>
      <c r="X705" s="12" t="s">
        <v>959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46224</v>
      </c>
      <c r="C706" s="11" t="n">
        <v>46224</v>
      </c>
      <c r="D706" s="10" t="n">
        <v>515</v>
      </c>
      <c r="E706" s="12" t="s">
        <v>111</v>
      </c>
      <c r="F706" s="10" t="n">
        <v>34</v>
      </c>
      <c r="G706" s="12" t="s">
        <v>49</v>
      </c>
      <c r="H706" s="10" t="n">
        <v>1110202</v>
      </c>
      <c r="I706" s="12" t="s">
        <v>90</v>
      </c>
      <c r="J706" s="10" t="n">
        <v>1434182</v>
      </c>
      <c r="L706" s="10" t="n">
        <v>590590</v>
      </c>
      <c r="M706" s="12" t="s">
        <v>33</v>
      </c>
      <c r="N706" s="12" t="s">
        <v>66</v>
      </c>
      <c r="P706" s="10" t="n">
        <v>102</v>
      </c>
      <c r="Q706" s="12" t="s">
        <v>112</v>
      </c>
      <c r="R706" s="12" t="s">
        <v>91</v>
      </c>
      <c r="S706" s="10" t="n">
        <v>4220199</v>
      </c>
      <c r="T706" s="12" t="s">
        <v>92</v>
      </c>
      <c r="U706" s="13" t="n">
        <v>37295.4</v>
      </c>
      <c r="W706" s="13" t="n">
        <v>0</v>
      </c>
      <c r="X706" s="12" t="s">
        <v>960</v>
      </c>
      <c r="Z706" s="1" t="str">
        <f aca="false">IF($T706="","",IFERROR(INDEX('Resumo Grupos'!$AC$3:$AC$200,MATCH($T706,'Resumo Grupos'!$AB$3:$AB$200,0)),"n/d"))</f>
        <v>Pagamentos outros não operacionais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46207</v>
      </c>
      <c r="C707" s="11" t="n">
        <v>46224</v>
      </c>
      <c r="D707" s="10" t="n">
        <v>1672</v>
      </c>
      <c r="E707" s="12" t="s">
        <v>59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1348878</v>
      </c>
      <c r="L707" s="10" t="n">
        <v>1385956</v>
      </c>
      <c r="M707" s="12" t="s">
        <v>33</v>
      </c>
      <c r="N707" s="12" t="s">
        <v>34</v>
      </c>
      <c r="P707" s="10" t="n">
        <v>103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3494.6</v>
      </c>
      <c r="W707" s="13" t="n">
        <v>0</v>
      </c>
      <c r="X707" s="12" t="s">
        <v>961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46224</v>
      </c>
      <c r="D708" s="10" t="n">
        <v>1611</v>
      </c>
      <c r="E708" s="12" t="s">
        <v>476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1300492</v>
      </c>
      <c r="L708" s="10" t="n">
        <v>538390</v>
      </c>
      <c r="M708" s="12" t="s">
        <v>33</v>
      </c>
      <c r="N708" s="12" t="s">
        <v>66</v>
      </c>
      <c r="P708" s="10" t="n">
        <v>103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891.38</v>
      </c>
      <c r="W708" s="13" t="n">
        <v>0</v>
      </c>
      <c r="X708" s="12" t="s">
        <v>962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46209</v>
      </c>
      <c r="C709" s="11" t="n">
        <v>46224</v>
      </c>
      <c r="D709" s="10" t="n">
        <v>1611</v>
      </c>
      <c r="E709" s="12" t="s">
        <v>476</v>
      </c>
      <c r="F709" s="10" t="n">
        <v>24</v>
      </c>
      <c r="G709" s="12" t="s">
        <v>31</v>
      </c>
      <c r="H709" s="10" t="n">
        <v>2110101</v>
      </c>
      <c r="I709" s="12" t="s">
        <v>32</v>
      </c>
      <c r="J709" s="10" t="n">
        <v>1360267</v>
      </c>
      <c r="L709" s="10" t="n">
        <v>561687</v>
      </c>
      <c r="M709" s="12" t="s">
        <v>33</v>
      </c>
      <c r="N709" s="12" t="s">
        <v>66</v>
      </c>
      <c r="P709" s="10" t="n">
        <v>103</v>
      </c>
      <c r="Q709" s="12" t="s">
        <v>35</v>
      </c>
      <c r="R709" s="12" t="s">
        <v>36</v>
      </c>
      <c r="S709" s="10" t="n">
        <v>1130101</v>
      </c>
      <c r="T709" s="12" t="s">
        <v>37</v>
      </c>
      <c r="U709" s="13" t="n">
        <v>3184.13</v>
      </c>
      <c r="W709" s="13" t="n">
        <v>0</v>
      </c>
      <c r="X709" s="12" t="s">
        <v>963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46202</v>
      </c>
      <c r="C710" s="11" t="n">
        <v>46224</v>
      </c>
      <c r="D710" s="10" t="n">
        <v>1668</v>
      </c>
      <c r="E710" s="12" t="s">
        <v>263</v>
      </c>
      <c r="F710" s="10" t="n">
        <v>24</v>
      </c>
      <c r="G710" s="12" t="s">
        <v>31</v>
      </c>
      <c r="H710" s="10" t="n">
        <v>2110102</v>
      </c>
      <c r="I710" s="12" t="s">
        <v>197</v>
      </c>
      <c r="J710" s="10" t="n">
        <v>1322877</v>
      </c>
      <c r="L710" s="10" t="n">
        <v>731751</v>
      </c>
      <c r="M710" s="12" t="s">
        <v>33</v>
      </c>
      <c r="N710" s="12" t="s">
        <v>34</v>
      </c>
      <c r="P710" s="10" t="n">
        <v>103</v>
      </c>
      <c r="Q710" s="12" t="s">
        <v>35</v>
      </c>
      <c r="R710" s="12" t="s">
        <v>94</v>
      </c>
      <c r="S710" s="10" t="n">
        <v>4210204</v>
      </c>
      <c r="T710" s="12" t="s">
        <v>198</v>
      </c>
      <c r="U710" s="13" t="n">
        <v>1958.51</v>
      </c>
      <c r="W710" s="13" t="n">
        <v>0</v>
      </c>
      <c r="X710" s="12" t="s">
        <v>964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46202</v>
      </c>
      <c r="C711" s="11" t="n">
        <v>46224</v>
      </c>
      <c r="D711" s="10" t="n">
        <v>1078</v>
      </c>
      <c r="E711" s="12" t="s">
        <v>263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1322976</v>
      </c>
      <c r="L711" s="10" t="n">
        <v>28355</v>
      </c>
      <c r="M711" s="12" t="s">
        <v>33</v>
      </c>
      <c r="N711" s="12" t="s">
        <v>34</v>
      </c>
      <c r="P711" s="10" t="n">
        <v>103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346.8</v>
      </c>
      <c r="W711" s="13" t="n">
        <v>0</v>
      </c>
      <c r="X711" s="12" t="s">
        <v>965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46205</v>
      </c>
      <c r="C712" s="11" t="n">
        <v>46224</v>
      </c>
      <c r="D712" s="10" t="n">
        <v>10009</v>
      </c>
      <c r="E712" s="12" t="s">
        <v>181</v>
      </c>
      <c r="F712" s="10" t="n">
        <v>24</v>
      </c>
      <c r="G712" s="12" t="s">
        <v>31</v>
      </c>
      <c r="H712" s="10" t="n">
        <v>2110101</v>
      </c>
      <c r="I712" s="12" t="s">
        <v>32</v>
      </c>
      <c r="J712" s="10" t="n">
        <v>1340832</v>
      </c>
      <c r="L712" s="10" t="n">
        <v>1423352</v>
      </c>
      <c r="M712" s="12" t="s">
        <v>33</v>
      </c>
      <c r="N712" s="12" t="s">
        <v>34</v>
      </c>
      <c r="P712" s="10" t="n">
        <v>103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1733.25</v>
      </c>
      <c r="W712" s="13" t="n">
        <v>0</v>
      </c>
      <c r="X712" s="12" t="s">
        <v>966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46210</v>
      </c>
      <c r="C713" s="11" t="n">
        <v>46224</v>
      </c>
      <c r="D713" s="10" t="n">
        <v>666</v>
      </c>
      <c r="E713" s="12" t="s">
        <v>126</v>
      </c>
      <c r="F713" s="10" t="n">
        <v>24</v>
      </c>
      <c r="G713" s="12" t="s">
        <v>31</v>
      </c>
      <c r="H713" s="10" t="n">
        <v>2110101</v>
      </c>
      <c r="I713" s="12" t="s">
        <v>32</v>
      </c>
      <c r="J713" s="10" t="n">
        <v>1366430</v>
      </c>
      <c r="L713" s="10" t="n">
        <v>7876</v>
      </c>
      <c r="M713" s="12" t="s">
        <v>76</v>
      </c>
      <c r="N713" s="12" t="s">
        <v>34</v>
      </c>
      <c r="P713" s="10" t="n">
        <v>103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287.8</v>
      </c>
      <c r="W713" s="13" t="n">
        <v>0</v>
      </c>
      <c r="X713" s="12" t="s">
        <v>967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46204</v>
      </c>
      <c r="C714" s="11" t="n">
        <v>46224</v>
      </c>
      <c r="D714" s="10" t="n">
        <v>1107</v>
      </c>
      <c r="E714" s="12" t="s">
        <v>525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1335361</v>
      </c>
      <c r="L714" s="10" t="n">
        <v>423615</v>
      </c>
      <c r="M714" s="12" t="s">
        <v>76</v>
      </c>
      <c r="N714" s="12" t="s">
        <v>34</v>
      </c>
      <c r="P714" s="10" t="n">
        <v>103</v>
      </c>
      <c r="Q714" s="12" t="s">
        <v>35</v>
      </c>
      <c r="R714" s="12" t="s">
        <v>36</v>
      </c>
      <c r="S714" s="10" t="n">
        <v>1130101</v>
      </c>
      <c r="T714" s="12" t="s">
        <v>37</v>
      </c>
      <c r="U714" s="13" t="n">
        <v>1120.6</v>
      </c>
      <c r="W714" s="13" t="n">
        <v>0</v>
      </c>
      <c r="X714" s="12" t="s">
        <v>968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46220</v>
      </c>
      <c r="C715" s="11" t="n">
        <v>46224</v>
      </c>
      <c r="D715" s="10" t="n">
        <v>1899</v>
      </c>
      <c r="E715" s="12" t="s">
        <v>131</v>
      </c>
      <c r="F715" s="10" t="n">
        <v>24</v>
      </c>
      <c r="G715" s="12" t="s">
        <v>31</v>
      </c>
      <c r="H715" s="10" t="n">
        <v>1110202</v>
      </c>
      <c r="I715" s="12" t="s">
        <v>90</v>
      </c>
      <c r="J715" s="10" t="n">
        <v>1410422</v>
      </c>
      <c r="L715" s="10" t="n">
        <v>718</v>
      </c>
      <c r="M715" s="12" t="s">
        <v>33</v>
      </c>
      <c r="N715" s="12" t="s">
        <v>66</v>
      </c>
      <c r="P715" s="10" t="n">
        <v>103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297.13</v>
      </c>
      <c r="W715" s="13" t="n">
        <v>0</v>
      </c>
      <c r="X715" s="12" t="s">
        <v>969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46220</v>
      </c>
      <c r="C716" s="11" t="n">
        <v>46224</v>
      </c>
      <c r="D716" s="10" t="n">
        <v>1899</v>
      </c>
      <c r="E716" s="12" t="s">
        <v>131</v>
      </c>
      <c r="F716" s="10" t="n">
        <v>24</v>
      </c>
      <c r="G716" s="12" t="s">
        <v>31</v>
      </c>
      <c r="H716" s="10" t="n">
        <v>1110202</v>
      </c>
      <c r="I716" s="12" t="s">
        <v>90</v>
      </c>
      <c r="J716" s="10" t="n">
        <v>1410464</v>
      </c>
      <c r="L716" s="10" t="n">
        <v>720</v>
      </c>
      <c r="M716" s="12" t="s">
        <v>33</v>
      </c>
      <c r="N716" s="12" t="s">
        <v>66</v>
      </c>
      <c r="P716" s="10" t="n">
        <v>103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700</v>
      </c>
      <c r="W716" s="13" t="n">
        <v>0</v>
      </c>
      <c r="X716" s="12" t="s">
        <v>970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46224</v>
      </c>
      <c r="C717" s="11" t="n">
        <v>46224</v>
      </c>
      <c r="D717" s="10" t="n">
        <v>33</v>
      </c>
      <c r="E717" s="12" t="s">
        <v>64</v>
      </c>
      <c r="F717" s="10" t="n">
        <v>34</v>
      </c>
      <c r="G717" s="12" t="s">
        <v>49</v>
      </c>
      <c r="H717" s="10" t="n">
        <v>2110101</v>
      </c>
      <c r="I717" s="12" t="s">
        <v>32</v>
      </c>
      <c r="J717" s="10" t="n">
        <v>1428696</v>
      </c>
      <c r="L717" s="10" t="n">
        <v>5328</v>
      </c>
      <c r="M717" s="12" t="s">
        <v>33</v>
      </c>
      <c r="N717" s="12" t="s">
        <v>34</v>
      </c>
      <c r="P717" s="10" t="n">
        <v>104</v>
      </c>
      <c r="Q717" s="12" t="s">
        <v>50</v>
      </c>
      <c r="R717" s="12" t="s">
        <v>36</v>
      </c>
      <c r="S717" s="10" t="n">
        <v>1130101</v>
      </c>
      <c r="T717" s="12" t="s">
        <v>37</v>
      </c>
      <c r="U717" s="13" t="n">
        <v>2320</v>
      </c>
      <c r="W717" s="13" t="n">
        <v>0</v>
      </c>
      <c r="X717" s="12" t="s">
        <v>364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46224</v>
      </c>
      <c r="C718" s="11" t="n">
        <v>46224</v>
      </c>
      <c r="D718" s="10" t="n">
        <v>33</v>
      </c>
      <c r="E718" s="12" t="s">
        <v>64</v>
      </c>
      <c r="F718" s="10" t="n">
        <v>34</v>
      </c>
      <c r="G718" s="12" t="s">
        <v>49</v>
      </c>
      <c r="H718" s="10" t="n">
        <v>2110101</v>
      </c>
      <c r="I718" s="12" t="s">
        <v>32</v>
      </c>
      <c r="J718" s="10" t="n">
        <v>1430498</v>
      </c>
      <c r="L718" s="10" t="n">
        <v>5329</v>
      </c>
      <c r="M718" s="12" t="s">
        <v>33</v>
      </c>
      <c r="N718" s="12" t="s">
        <v>34</v>
      </c>
      <c r="P718" s="10" t="n">
        <v>104</v>
      </c>
      <c r="Q718" s="12" t="s">
        <v>50</v>
      </c>
      <c r="R718" s="12" t="s">
        <v>36</v>
      </c>
      <c r="S718" s="10" t="n">
        <v>1130101</v>
      </c>
      <c r="T718" s="12" t="s">
        <v>37</v>
      </c>
      <c r="U718" s="13" t="n">
        <v>55</v>
      </c>
      <c r="W718" s="13" t="n">
        <v>0</v>
      </c>
      <c r="X718" s="12" t="s">
        <v>971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46191</v>
      </c>
      <c r="C719" s="11" t="n">
        <v>46224</v>
      </c>
      <c r="D719" s="10" t="n">
        <v>514</v>
      </c>
      <c r="E719" s="12" t="s">
        <v>652</v>
      </c>
      <c r="F719" s="10" t="n">
        <v>34</v>
      </c>
      <c r="G719" s="12" t="s">
        <v>49</v>
      </c>
      <c r="H719" s="10" t="n">
        <v>2110405</v>
      </c>
      <c r="I719" s="12" t="s">
        <v>153</v>
      </c>
      <c r="J719" s="10" t="n">
        <v>1309516</v>
      </c>
      <c r="L719" s="10" t="n">
        <v>541968</v>
      </c>
      <c r="M719" s="12" t="s">
        <v>76</v>
      </c>
      <c r="N719" s="12" t="s">
        <v>66</v>
      </c>
      <c r="P719" s="10" t="n">
        <v>101</v>
      </c>
      <c r="Q719" s="12" t="s">
        <v>84</v>
      </c>
      <c r="R719" s="12" t="s">
        <v>280</v>
      </c>
      <c r="S719" s="10" t="n">
        <v>2110901</v>
      </c>
      <c r="T719" s="12" t="s">
        <v>281</v>
      </c>
      <c r="U719" s="13" t="n">
        <v>3370.37</v>
      </c>
      <c r="W719" s="13" t="n">
        <v>0</v>
      </c>
      <c r="X719" s="12" t="s">
        <v>972</v>
      </c>
      <c r="Z719" s="1" t="str">
        <f aca="false">IF($T719="","",IFERROR(INDEX('Resumo Grupos'!$AC$3:$AC$200,MATCH($T719,'Resumo Grupos'!$AB$3:$AB$200,0)),"n/d"))</f>
        <v>Empréstimo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46184</v>
      </c>
      <c r="C720" s="11" t="n">
        <v>46224</v>
      </c>
      <c r="D720" s="10" t="n">
        <v>1390</v>
      </c>
      <c r="E720" s="12" t="s">
        <v>757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1235862</v>
      </c>
      <c r="L720" s="10" t="n">
        <v>6597</v>
      </c>
      <c r="M720" s="12" t="s">
        <v>76</v>
      </c>
      <c r="N720" s="12" t="s">
        <v>34</v>
      </c>
      <c r="P720" s="10" t="n">
        <v>103</v>
      </c>
      <c r="Q720" s="12" t="s">
        <v>35</v>
      </c>
      <c r="R720" s="12" t="s">
        <v>36</v>
      </c>
      <c r="S720" s="10" t="n">
        <v>1130101</v>
      </c>
      <c r="T720" s="12" t="s">
        <v>37</v>
      </c>
      <c r="U720" s="13" t="n">
        <v>525.06</v>
      </c>
      <c r="W720" s="13" t="n">
        <v>0</v>
      </c>
      <c r="X720" s="12" t="s">
        <v>973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46204</v>
      </c>
      <c r="C721" s="11" t="n">
        <v>46224</v>
      </c>
      <c r="D721" s="10" t="n">
        <v>1402</v>
      </c>
      <c r="E721" s="12" t="s">
        <v>214</v>
      </c>
      <c r="F721" s="10" t="n">
        <v>24</v>
      </c>
      <c r="G721" s="12" t="s">
        <v>31</v>
      </c>
      <c r="H721" s="10" t="n">
        <v>2110102</v>
      </c>
      <c r="I721" s="12" t="s">
        <v>197</v>
      </c>
      <c r="J721" s="10" t="n">
        <v>1334301</v>
      </c>
      <c r="L721" s="10" t="n">
        <v>3479</v>
      </c>
      <c r="M721" s="12" t="s">
        <v>33</v>
      </c>
      <c r="N721" s="12" t="s">
        <v>34</v>
      </c>
      <c r="P721" s="10" t="n">
        <v>103</v>
      </c>
      <c r="Q721" s="12" t="s">
        <v>35</v>
      </c>
      <c r="R721" s="12" t="s">
        <v>94</v>
      </c>
      <c r="S721" s="10" t="n">
        <v>4210204</v>
      </c>
      <c r="T721" s="12" t="s">
        <v>198</v>
      </c>
      <c r="U721" s="13" t="n">
        <v>870.53</v>
      </c>
      <c r="W721" s="13" t="n">
        <v>0</v>
      </c>
      <c r="X721" s="12" t="s">
        <v>974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46219</v>
      </c>
      <c r="C722" s="11" t="n">
        <v>46224</v>
      </c>
      <c r="D722" s="10" t="n">
        <v>1286</v>
      </c>
      <c r="E722" s="12" t="s">
        <v>216</v>
      </c>
      <c r="F722" s="10" t="n">
        <v>24</v>
      </c>
      <c r="G722" s="12" t="s">
        <v>31</v>
      </c>
      <c r="H722" s="10" t="n">
        <v>1110202</v>
      </c>
      <c r="I722" s="12" t="s">
        <v>90</v>
      </c>
      <c r="J722" s="10" t="n">
        <v>1405535</v>
      </c>
      <c r="L722" s="10" t="n">
        <v>10312</v>
      </c>
      <c r="M722" s="12" t="s">
        <v>33</v>
      </c>
      <c r="N722" s="12" t="s">
        <v>66</v>
      </c>
      <c r="P722" s="10" t="n">
        <v>103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756</v>
      </c>
      <c r="W722" s="13" t="n">
        <v>0</v>
      </c>
      <c r="X722" s="12" t="s">
        <v>975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46197</v>
      </c>
      <c r="C723" s="11" t="n">
        <v>46225</v>
      </c>
      <c r="D723" s="10" t="n">
        <v>1659</v>
      </c>
      <c r="E723" s="12" t="s">
        <v>39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1299933</v>
      </c>
      <c r="L723" s="10" t="n">
        <v>880066</v>
      </c>
      <c r="M723" s="12" t="s">
        <v>33</v>
      </c>
      <c r="N723" s="12" t="s">
        <v>34</v>
      </c>
      <c r="P723" s="10" t="n">
        <v>103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1028.46</v>
      </c>
      <c r="W723" s="13" t="n">
        <v>0</v>
      </c>
      <c r="X723" s="12" t="s">
        <v>976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46225</v>
      </c>
      <c r="C724" s="11" t="n">
        <v>46225</v>
      </c>
      <c r="D724" s="10" t="n">
        <v>1961</v>
      </c>
      <c r="E724" s="12" t="s">
        <v>149</v>
      </c>
      <c r="F724" s="10" t="n">
        <v>34</v>
      </c>
      <c r="G724" s="12" t="s">
        <v>49</v>
      </c>
      <c r="H724" s="10" t="n">
        <v>1110202</v>
      </c>
      <c r="I724" s="12" t="s">
        <v>90</v>
      </c>
      <c r="J724" s="10" t="n">
        <v>1448545</v>
      </c>
      <c r="L724" s="10" t="n">
        <v>595964</v>
      </c>
      <c r="M724" s="12" t="s">
        <v>33</v>
      </c>
      <c r="N724" s="12" t="s">
        <v>66</v>
      </c>
      <c r="P724" s="10" t="n">
        <v>102</v>
      </c>
      <c r="Q724" s="12" t="s">
        <v>112</v>
      </c>
      <c r="R724" s="12" t="s">
        <v>121</v>
      </c>
      <c r="S724" s="10" t="n">
        <v>4210310</v>
      </c>
      <c r="T724" s="12" t="s">
        <v>150</v>
      </c>
      <c r="U724" s="13" t="n">
        <v>360</v>
      </c>
      <c r="W724" s="13" t="n">
        <v>0</v>
      </c>
      <c r="X724" s="12" t="s">
        <v>977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46206</v>
      </c>
      <c r="C725" s="11" t="n">
        <v>46225</v>
      </c>
      <c r="D725" s="10" t="n">
        <v>1706</v>
      </c>
      <c r="E725" s="12" t="s">
        <v>978</v>
      </c>
      <c r="F725" s="10" t="n">
        <v>24</v>
      </c>
      <c r="G725" s="12" t="s">
        <v>31</v>
      </c>
      <c r="H725" s="10" t="n">
        <v>2110101</v>
      </c>
      <c r="I725" s="12" t="s">
        <v>32</v>
      </c>
      <c r="J725" s="10" t="n">
        <v>1344279</v>
      </c>
      <c r="L725" s="10" t="n">
        <v>203761</v>
      </c>
      <c r="M725" s="12" t="s">
        <v>33</v>
      </c>
      <c r="N725" s="12" t="s">
        <v>34</v>
      </c>
      <c r="P725" s="10" t="n">
        <v>103</v>
      </c>
      <c r="Q725" s="12" t="s">
        <v>35</v>
      </c>
      <c r="R725" s="12" t="s">
        <v>36</v>
      </c>
      <c r="S725" s="10" t="n">
        <v>1130101</v>
      </c>
      <c r="T725" s="12" t="s">
        <v>37</v>
      </c>
      <c r="U725" s="13" t="n">
        <v>1438.2</v>
      </c>
      <c r="W725" s="13" t="n">
        <v>0</v>
      </c>
      <c r="X725" s="12" t="s">
        <v>979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46198</v>
      </c>
      <c r="C726" s="11" t="n">
        <v>46225</v>
      </c>
      <c r="D726" s="10" t="n">
        <v>1637</v>
      </c>
      <c r="E726" s="12" t="s">
        <v>97</v>
      </c>
      <c r="F726" s="10" t="n">
        <v>24</v>
      </c>
      <c r="G726" s="12" t="s">
        <v>31</v>
      </c>
      <c r="H726" s="10" t="n">
        <v>2110101</v>
      </c>
      <c r="I726" s="12" t="s">
        <v>32</v>
      </c>
      <c r="J726" s="10" t="n">
        <v>1305340</v>
      </c>
      <c r="L726" s="10" t="n">
        <v>1895763</v>
      </c>
      <c r="M726" s="12" t="s">
        <v>33</v>
      </c>
      <c r="N726" s="12" t="s">
        <v>34</v>
      </c>
      <c r="P726" s="10" t="n">
        <v>103</v>
      </c>
      <c r="Q726" s="12" t="s">
        <v>35</v>
      </c>
      <c r="R726" s="12" t="s">
        <v>36</v>
      </c>
      <c r="S726" s="10" t="n">
        <v>1130101</v>
      </c>
      <c r="T726" s="12" t="s">
        <v>37</v>
      </c>
      <c r="U726" s="13" t="n">
        <v>1367.5</v>
      </c>
      <c r="W726" s="13" t="n">
        <v>0</v>
      </c>
      <c r="X726" s="12" t="s">
        <v>980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46198</v>
      </c>
      <c r="C727" s="11" t="n">
        <v>46225</v>
      </c>
      <c r="D727" s="10" t="n">
        <v>1637</v>
      </c>
      <c r="E727" s="12" t="s">
        <v>97</v>
      </c>
      <c r="F727" s="10" t="n">
        <v>24</v>
      </c>
      <c r="G727" s="12" t="s">
        <v>31</v>
      </c>
      <c r="H727" s="10" t="n">
        <v>2110101</v>
      </c>
      <c r="I727" s="12" t="s">
        <v>32</v>
      </c>
      <c r="J727" s="10" t="n">
        <v>1305753</v>
      </c>
      <c r="L727" s="10" t="n">
        <v>1895810</v>
      </c>
      <c r="M727" s="12" t="s">
        <v>33</v>
      </c>
      <c r="N727" s="12" t="s">
        <v>34</v>
      </c>
      <c r="P727" s="10" t="n">
        <v>103</v>
      </c>
      <c r="Q727" s="12" t="s">
        <v>35</v>
      </c>
      <c r="R727" s="12" t="s">
        <v>36</v>
      </c>
      <c r="S727" s="10" t="n">
        <v>1130101</v>
      </c>
      <c r="T727" s="12" t="s">
        <v>37</v>
      </c>
      <c r="U727" s="13" t="n">
        <v>495.45</v>
      </c>
      <c r="W727" s="13" t="n">
        <v>0</v>
      </c>
      <c r="X727" s="12" t="s">
        <v>981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46225</v>
      </c>
      <c r="D728" s="10" t="n">
        <v>1705</v>
      </c>
      <c r="E728" s="12" t="s">
        <v>46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1309451</v>
      </c>
      <c r="L728" s="10" t="n">
        <v>1174709</v>
      </c>
      <c r="M728" s="12" t="s">
        <v>33</v>
      </c>
      <c r="N728" s="12" t="s">
        <v>34</v>
      </c>
      <c r="P728" s="10" t="n">
        <v>103</v>
      </c>
      <c r="Q728" s="12" t="s">
        <v>35</v>
      </c>
      <c r="R728" s="12" t="s">
        <v>36</v>
      </c>
      <c r="S728" s="10" t="n">
        <v>1130101</v>
      </c>
      <c r="T728" s="12" t="s">
        <v>37</v>
      </c>
      <c r="U728" s="13" t="n">
        <v>257.85</v>
      </c>
      <c r="W728" s="13" t="n">
        <v>0</v>
      </c>
      <c r="X728" s="12" t="s">
        <v>982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46211</v>
      </c>
      <c r="C729" s="11" t="n">
        <v>46225</v>
      </c>
      <c r="D729" s="10" t="n">
        <v>1705</v>
      </c>
      <c r="E729" s="12" t="s">
        <v>46</v>
      </c>
      <c r="F729" s="10" t="n">
        <v>24</v>
      </c>
      <c r="G729" s="12" t="s">
        <v>31</v>
      </c>
      <c r="H729" s="10" t="n">
        <v>2110101</v>
      </c>
      <c r="I729" s="12" t="s">
        <v>32</v>
      </c>
      <c r="J729" s="10" t="n">
        <v>1369065</v>
      </c>
      <c r="L729" s="10" t="n">
        <v>1191435</v>
      </c>
      <c r="M729" s="12" t="s">
        <v>33</v>
      </c>
      <c r="N729" s="12" t="s">
        <v>34</v>
      </c>
      <c r="P729" s="10" t="n">
        <v>103</v>
      </c>
      <c r="Q729" s="12" t="s">
        <v>35</v>
      </c>
      <c r="R729" s="12" t="s">
        <v>36</v>
      </c>
      <c r="S729" s="10" t="n">
        <v>1130101</v>
      </c>
      <c r="T729" s="12" t="s">
        <v>37</v>
      </c>
      <c r="U729" s="13" t="n">
        <v>897.72</v>
      </c>
      <c r="W729" s="13" t="n">
        <v>0</v>
      </c>
      <c r="X729" s="12" t="s">
        <v>983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46211</v>
      </c>
      <c r="C730" s="11" t="n">
        <v>46225</v>
      </c>
      <c r="D730" s="10" t="n">
        <v>1705</v>
      </c>
      <c r="E730" s="12" t="s">
        <v>46</v>
      </c>
      <c r="F730" s="10" t="n">
        <v>24</v>
      </c>
      <c r="G730" s="12" t="s">
        <v>31</v>
      </c>
      <c r="H730" s="10" t="n">
        <v>2110101</v>
      </c>
      <c r="I730" s="12" t="s">
        <v>32</v>
      </c>
      <c r="J730" s="10" t="n">
        <v>1369074</v>
      </c>
      <c r="L730" s="10" t="n">
        <v>1922435</v>
      </c>
      <c r="M730" s="12" t="s">
        <v>33</v>
      </c>
      <c r="N730" s="12" t="s">
        <v>34</v>
      </c>
      <c r="P730" s="10" t="n">
        <v>103</v>
      </c>
      <c r="Q730" s="12" t="s">
        <v>35</v>
      </c>
      <c r="R730" s="12" t="s">
        <v>36</v>
      </c>
      <c r="S730" s="10" t="n">
        <v>1130101</v>
      </c>
      <c r="T730" s="12" t="s">
        <v>37</v>
      </c>
      <c r="U730" s="13" t="n">
        <v>1827.23</v>
      </c>
      <c r="W730" s="13" t="n">
        <v>0</v>
      </c>
      <c r="X730" s="12" t="s">
        <v>984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46211</v>
      </c>
      <c r="C731" s="11" t="n">
        <v>46225</v>
      </c>
      <c r="D731" s="10" t="n">
        <v>1705</v>
      </c>
      <c r="E731" s="12" t="s">
        <v>46</v>
      </c>
      <c r="F731" s="10" t="n">
        <v>24</v>
      </c>
      <c r="G731" s="12" t="s">
        <v>31</v>
      </c>
      <c r="H731" s="10" t="n">
        <v>2110101</v>
      </c>
      <c r="I731" s="12" t="s">
        <v>32</v>
      </c>
      <c r="J731" s="10" t="n">
        <v>1369102</v>
      </c>
      <c r="L731" s="10" t="n">
        <v>1922459</v>
      </c>
      <c r="M731" s="12" t="s">
        <v>33</v>
      </c>
      <c r="N731" s="12" t="s">
        <v>34</v>
      </c>
      <c r="P731" s="10" t="n">
        <v>103</v>
      </c>
      <c r="Q731" s="12" t="s">
        <v>35</v>
      </c>
      <c r="R731" s="12" t="s">
        <v>36</v>
      </c>
      <c r="S731" s="10" t="n">
        <v>1130101</v>
      </c>
      <c r="T731" s="12" t="s">
        <v>37</v>
      </c>
      <c r="U731" s="13" t="n">
        <v>365.08</v>
      </c>
      <c r="W731" s="13" t="n">
        <v>0</v>
      </c>
      <c r="X731" s="12" t="s">
        <v>985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46207</v>
      </c>
      <c r="C732" s="11" t="n">
        <v>46225</v>
      </c>
      <c r="D732" s="10" t="n">
        <v>1613</v>
      </c>
      <c r="E732" s="12" t="s">
        <v>71</v>
      </c>
      <c r="F732" s="10" t="n">
        <v>24</v>
      </c>
      <c r="G732" s="12" t="s">
        <v>31</v>
      </c>
      <c r="H732" s="10" t="n">
        <v>2110101</v>
      </c>
      <c r="I732" s="12" t="s">
        <v>32</v>
      </c>
      <c r="J732" s="10" t="n">
        <v>1348480</v>
      </c>
      <c r="L732" s="10" t="n">
        <v>1603506</v>
      </c>
      <c r="M732" s="12" t="s">
        <v>76</v>
      </c>
      <c r="N732" s="12" t="s">
        <v>34</v>
      </c>
      <c r="P732" s="10" t="n">
        <v>103</v>
      </c>
      <c r="Q732" s="12" t="s">
        <v>35</v>
      </c>
      <c r="R732" s="12" t="s">
        <v>36</v>
      </c>
      <c r="S732" s="10" t="n">
        <v>1130101</v>
      </c>
      <c r="T732" s="12" t="s">
        <v>37</v>
      </c>
      <c r="U732" s="13" t="n">
        <v>2368.51</v>
      </c>
      <c r="W732" s="13" t="n">
        <v>0</v>
      </c>
      <c r="X732" s="12" t="s">
        <v>986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46214</v>
      </c>
      <c r="C733" s="11" t="n">
        <v>46225</v>
      </c>
      <c r="D733" s="10" t="n">
        <v>1613</v>
      </c>
      <c r="E733" s="12" t="s">
        <v>71</v>
      </c>
      <c r="F733" s="10" t="n">
        <v>24</v>
      </c>
      <c r="G733" s="12" t="s">
        <v>31</v>
      </c>
      <c r="H733" s="10" t="n">
        <v>1110202</v>
      </c>
      <c r="I733" s="12" t="s">
        <v>90</v>
      </c>
      <c r="J733" s="10" t="n">
        <v>1382549</v>
      </c>
      <c r="L733" s="10" t="n">
        <v>1605894</v>
      </c>
      <c r="M733" s="12" t="s">
        <v>33</v>
      </c>
      <c r="N733" s="12" t="s">
        <v>66</v>
      </c>
      <c r="P733" s="10" t="n">
        <v>103</v>
      </c>
      <c r="Q733" s="12" t="s">
        <v>35</v>
      </c>
      <c r="R733" s="12" t="s">
        <v>36</v>
      </c>
      <c r="S733" s="10" t="n">
        <v>1130101</v>
      </c>
      <c r="T733" s="12" t="s">
        <v>37</v>
      </c>
      <c r="U733" s="13" t="n">
        <v>3073.81</v>
      </c>
      <c r="W733" s="13" t="n">
        <v>0</v>
      </c>
      <c r="X733" s="12" t="s">
        <v>987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46224</v>
      </c>
      <c r="C734" s="11" t="n">
        <v>46225</v>
      </c>
      <c r="D734" s="10" t="n">
        <v>1615</v>
      </c>
      <c r="E734" s="12" t="s">
        <v>48</v>
      </c>
      <c r="F734" s="10" t="n">
        <v>34</v>
      </c>
      <c r="G734" s="12" t="s">
        <v>49</v>
      </c>
      <c r="H734" s="10" t="n">
        <v>2110101</v>
      </c>
      <c r="I734" s="12" t="s">
        <v>32</v>
      </c>
      <c r="J734" s="10" t="n">
        <v>1430810</v>
      </c>
      <c r="L734" s="10" t="n">
        <v>14911</v>
      </c>
      <c r="M734" s="12" t="s">
        <v>33</v>
      </c>
      <c r="N734" s="12" t="s">
        <v>34</v>
      </c>
      <c r="P734" s="10" t="n">
        <v>104</v>
      </c>
      <c r="Q734" s="12" t="s">
        <v>50</v>
      </c>
      <c r="R734" s="12" t="s">
        <v>36</v>
      </c>
      <c r="S734" s="10" t="n">
        <v>1130101</v>
      </c>
      <c r="T734" s="12" t="s">
        <v>37</v>
      </c>
      <c r="U734" s="13" t="n">
        <v>850</v>
      </c>
      <c r="W734" s="13" t="n">
        <v>0</v>
      </c>
      <c r="X734" s="12" t="s">
        <v>988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46197</v>
      </c>
      <c r="C735" s="11" t="n">
        <v>46225</v>
      </c>
      <c r="D735" s="10" t="n">
        <v>1608</v>
      </c>
      <c r="E735" s="12" t="s">
        <v>52</v>
      </c>
      <c r="F735" s="10" t="n">
        <v>24</v>
      </c>
      <c r="G735" s="12" t="s">
        <v>31</v>
      </c>
      <c r="H735" s="10" t="n">
        <v>2110101</v>
      </c>
      <c r="I735" s="12" t="s">
        <v>32</v>
      </c>
      <c r="J735" s="10" t="n">
        <v>1299186</v>
      </c>
      <c r="L735" s="10" t="n">
        <v>1679265</v>
      </c>
      <c r="M735" s="12" t="s">
        <v>76</v>
      </c>
      <c r="N735" s="12" t="s">
        <v>34</v>
      </c>
      <c r="P735" s="10" t="n">
        <v>103</v>
      </c>
      <c r="Q735" s="12" t="s">
        <v>35</v>
      </c>
      <c r="R735" s="12" t="s">
        <v>36</v>
      </c>
      <c r="S735" s="10" t="n">
        <v>1130101</v>
      </c>
      <c r="T735" s="12" t="s">
        <v>37</v>
      </c>
      <c r="U735" s="13" t="n">
        <v>1065.06</v>
      </c>
      <c r="W735" s="13" t="n">
        <v>0</v>
      </c>
      <c r="X735" s="12" t="s">
        <v>989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46197</v>
      </c>
      <c r="C736" s="11" t="n">
        <v>46225</v>
      </c>
      <c r="D736" s="10" t="n">
        <v>1608</v>
      </c>
      <c r="E736" s="12" t="s">
        <v>52</v>
      </c>
      <c r="F736" s="10" t="n">
        <v>24</v>
      </c>
      <c r="G736" s="12" t="s">
        <v>31</v>
      </c>
      <c r="H736" s="10" t="n">
        <v>2110101</v>
      </c>
      <c r="I736" s="12" t="s">
        <v>32</v>
      </c>
      <c r="J736" s="10" t="n">
        <v>1300337</v>
      </c>
      <c r="L736" s="10" t="n">
        <v>1679646</v>
      </c>
      <c r="M736" s="12" t="s">
        <v>76</v>
      </c>
      <c r="N736" s="12" t="s">
        <v>34</v>
      </c>
      <c r="P736" s="10" t="n">
        <v>103</v>
      </c>
      <c r="Q736" s="12" t="s">
        <v>35</v>
      </c>
      <c r="R736" s="12" t="s">
        <v>36</v>
      </c>
      <c r="S736" s="10" t="n">
        <v>1130101</v>
      </c>
      <c r="T736" s="12" t="s">
        <v>37</v>
      </c>
      <c r="U736" s="13" t="n">
        <v>1271.28</v>
      </c>
      <c r="W736" s="13" t="n">
        <v>0</v>
      </c>
      <c r="X736" s="12" t="s">
        <v>990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46204</v>
      </c>
      <c r="C737" s="11" t="n">
        <v>46225</v>
      </c>
      <c r="D737" s="10" t="n">
        <v>1608</v>
      </c>
      <c r="E737" s="12" t="s">
        <v>52</v>
      </c>
      <c r="F737" s="10" t="n">
        <v>24</v>
      </c>
      <c r="G737" s="12" t="s">
        <v>31</v>
      </c>
      <c r="H737" s="10" t="n">
        <v>2110101</v>
      </c>
      <c r="I737" s="12" t="s">
        <v>32</v>
      </c>
      <c r="J737" s="10" t="n">
        <v>1334069</v>
      </c>
      <c r="L737" s="10" t="n">
        <v>1685233</v>
      </c>
      <c r="M737" s="12" t="s">
        <v>33</v>
      </c>
      <c r="N737" s="12" t="s">
        <v>34</v>
      </c>
      <c r="P737" s="10" t="n">
        <v>103</v>
      </c>
      <c r="Q737" s="12" t="s">
        <v>35</v>
      </c>
      <c r="R737" s="12" t="s">
        <v>36</v>
      </c>
      <c r="S737" s="10" t="n">
        <v>1130101</v>
      </c>
      <c r="T737" s="12" t="s">
        <v>37</v>
      </c>
      <c r="U737" s="13" t="n">
        <v>1862.4</v>
      </c>
      <c r="W737" s="13" t="n">
        <v>0</v>
      </c>
      <c r="X737" s="12" t="s">
        <v>991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46219</v>
      </c>
      <c r="C738" s="11" t="n">
        <v>46225</v>
      </c>
      <c r="D738" s="10" t="n">
        <v>1363</v>
      </c>
      <c r="E738" s="12" t="s">
        <v>177</v>
      </c>
      <c r="F738" s="10" t="n">
        <v>24</v>
      </c>
      <c r="G738" s="12" t="s">
        <v>31</v>
      </c>
      <c r="H738" s="10" t="n">
        <v>1110202</v>
      </c>
      <c r="I738" s="12" t="s">
        <v>90</v>
      </c>
      <c r="J738" s="10" t="n">
        <v>1405648</v>
      </c>
      <c r="L738" s="10" t="n">
        <v>3550</v>
      </c>
      <c r="M738" s="12" t="s">
        <v>33</v>
      </c>
      <c r="N738" s="12" t="s">
        <v>66</v>
      </c>
      <c r="P738" s="10" t="n">
        <v>103</v>
      </c>
      <c r="Q738" s="12" t="s">
        <v>35</v>
      </c>
      <c r="R738" s="12" t="s">
        <v>36</v>
      </c>
      <c r="S738" s="10" t="n">
        <v>1130101</v>
      </c>
      <c r="T738" s="12" t="s">
        <v>37</v>
      </c>
      <c r="U738" s="13" t="n">
        <v>315</v>
      </c>
      <c r="W738" s="13" t="n">
        <v>0</v>
      </c>
      <c r="X738" s="12" t="s">
        <v>992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46204</v>
      </c>
      <c r="C739" s="11" t="n">
        <v>46225</v>
      </c>
      <c r="D739" s="10" t="n">
        <v>1699</v>
      </c>
      <c r="E739" s="12" t="s">
        <v>124</v>
      </c>
      <c r="F739" s="10" t="n">
        <v>24</v>
      </c>
      <c r="G739" s="12" t="s">
        <v>31</v>
      </c>
      <c r="H739" s="10" t="n">
        <v>2110101</v>
      </c>
      <c r="I739" s="12" t="s">
        <v>32</v>
      </c>
      <c r="J739" s="10" t="n">
        <v>1334706</v>
      </c>
      <c r="L739" s="10" t="n">
        <v>306058</v>
      </c>
      <c r="M739" s="12" t="s">
        <v>76</v>
      </c>
      <c r="N739" s="12" t="s">
        <v>34</v>
      </c>
      <c r="P739" s="10" t="n">
        <v>103</v>
      </c>
      <c r="Q739" s="12" t="s">
        <v>35</v>
      </c>
      <c r="R739" s="12" t="s">
        <v>36</v>
      </c>
      <c r="S739" s="10" t="n">
        <v>1130101</v>
      </c>
      <c r="T739" s="12" t="s">
        <v>37</v>
      </c>
      <c r="U739" s="13" t="n">
        <v>1613.93</v>
      </c>
      <c r="W739" s="13" t="n">
        <v>0</v>
      </c>
      <c r="X739" s="12" t="s">
        <v>993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46218</v>
      </c>
      <c r="C740" s="11" t="n">
        <v>46225</v>
      </c>
      <c r="D740" s="10" t="n">
        <v>1699</v>
      </c>
      <c r="E740" s="12" t="s">
        <v>124</v>
      </c>
      <c r="F740" s="10" t="n">
        <v>24</v>
      </c>
      <c r="G740" s="12" t="s">
        <v>31</v>
      </c>
      <c r="H740" s="10" t="n">
        <v>1110202</v>
      </c>
      <c r="I740" s="12" t="s">
        <v>90</v>
      </c>
      <c r="J740" s="10" t="n">
        <v>1401907</v>
      </c>
      <c r="L740" s="10" t="n">
        <v>307805</v>
      </c>
      <c r="M740" s="12" t="s">
        <v>33</v>
      </c>
      <c r="N740" s="12" t="s">
        <v>66</v>
      </c>
      <c r="P740" s="10" t="n">
        <v>103</v>
      </c>
      <c r="Q740" s="12" t="s">
        <v>35</v>
      </c>
      <c r="R740" s="12" t="s">
        <v>36</v>
      </c>
      <c r="S740" s="10" t="n">
        <v>1130101</v>
      </c>
      <c r="T740" s="12" t="s">
        <v>37</v>
      </c>
      <c r="U740" s="13" t="n">
        <v>732.47</v>
      </c>
      <c r="W740" s="13" t="n">
        <v>0</v>
      </c>
      <c r="X740" s="12" t="s">
        <v>994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46219</v>
      </c>
      <c r="C741" s="11" t="n">
        <v>46225</v>
      </c>
      <c r="D741" s="10" t="n">
        <v>1819</v>
      </c>
      <c r="E741" s="12" t="s">
        <v>179</v>
      </c>
      <c r="F741" s="10" t="n">
        <v>24</v>
      </c>
      <c r="G741" s="12" t="s">
        <v>31</v>
      </c>
      <c r="H741" s="10" t="n">
        <v>1110202</v>
      </c>
      <c r="I741" s="12" t="s">
        <v>90</v>
      </c>
      <c r="J741" s="10" t="n">
        <v>1406046</v>
      </c>
      <c r="L741" s="10" t="n">
        <v>16646</v>
      </c>
      <c r="M741" s="12" t="s">
        <v>33</v>
      </c>
      <c r="N741" s="12" t="s">
        <v>66</v>
      </c>
      <c r="P741" s="10" t="n">
        <v>103</v>
      </c>
      <c r="Q741" s="12" t="s">
        <v>35</v>
      </c>
      <c r="R741" s="12" t="s">
        <v>36</v>
      </c>
      <c r="S741" s="10" t="n">
        <v>1130101</v>
      </c>
      <c r="T741" s="12" t="s">
        <v>37</v>
      </c>
      <c r="U741" s="13" t="n">
        <v>450</v>
      </c>
      <c r="W741" s="13" t="n">
        <v>0</v>
      </c>
      <c r="X741" s="12" t="s">
        <v>995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46214</v>
      </c>
      <c r="C742" s="11" t="n">
        <v>46225</v>
      </c>
      <c r="D742" s="10" t="n">
        <v>10009</v>
      </c>
      <c r="E742" s="12" t="s">
        <v>181</v>
      </c>
      <c r="F742" s="10" t="n">
        <v>24</v>
      </c>
      <c r="G742" s="12" t="s">
        <v>31</v>
      </c>
      <c r="H742" s="10" t="n">
        <v>1110202</v>
      </c>
      <c r="I742" s="12" t="s">
        <v>90</v>
      </c>
      <c r="J742" s="10" t="n">
        <v>1381864</v>
      </c>
      <c r="L742" s="10" t="n">
        <v>1425692</v>
      </c>
      <c r="M742" s="12" t="s">
        <v>76</v>
      </c>
      <c r="N742" s="12" t="s">
        <v>66</v>
      </c>
      <c r="P742" s="10" t="n">
        <v>103</v>
      </c>
      <c r="Q742" s="12" t="s">
        <v>35</v>
      </c>
      <c r="R742" s="12" t="s">
        <v>36</v>
      </c>
      <c r="S742" s="10" t="n">
        <v>1130101</v>
      </c>
      <c r="T742" s="12" t="s">
        <v>37</v>
      </c>
      <c r="U742" s="13" t="n">
        <v>1051.26</v>
      </c>
      <c r="W742" s="13" t="n">
        <v>0</v>
      </c>
      <c r="X742" s="12" t="s">
        <v>996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46195</v>
      </c>
      <c r="C743" s="11" t="n">
        <v>46225</v>
      </c>
      <c r="D743" s="10" t="n">
        <v>10011</v>
      </c>
      <c r="E743" s="12" t="s">
        <v>78</v>
      </c>
      <c r="F743" s="10" t="n">
        <v>24</v>
      </c>
      <c r="G743" s="12" t="s">
        <v>31</v>
      </c>
      <c r="H743" s="10" t="n">
        <v>2110101</v>
      </c>
      <c r="I743" s="12" t="s">
        <v>32</v>
      </c>
      <c r="J743" s="10" t="n">
        <v>1291292</v>
      </c>
      <c r="L743" s="10" t="n">
        <v>34212</v>
      </c>
      <c r="M743" s="12" t="s">
        <v>76</v>
      </c>
      <c r="N743" s="12" t="s">
        <v>34</v>
      </c>
      <c r="P743" s="10" t="n">
        <v>103</v>
      </c>
      <c r="Q743" s="12" t="s">
        <v>35</v>
      </c>
      <c r="R743" s="12" t="s">
        <v>36</v>
      </c>
      <c r="S743" s="10" t="n">
        <v>1130101</v>
      </c>
      <c r="T743" s="12" t="s">
        <v>37</v>
      </c>
      <c r="U743" s="13" t="n">
        <v>1975</v>
      </c>
      <c r="W743" s="13" t="n">
        <v>0</v>
      </c>
      <c r="X743" s="12" t="s">
        <v>997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46223</v>
      </c>
      <c r="C744" s="11" t="n">
        <v>46225</v>
      </c>
      <c r="D744" s="10" t="n">
        <v>1899</v>
      </c>
      <c r="E744" s="12" t="s">
        <v>131</v>
      </c>
      <c r="F744" s="10" t="n">
        <v>24</v>
      </c>
      <c r="G744" s="12" t="s">
        <v>31</v>
      </c>
      <c r="H744" s="10" t="n">
        <v>1110202</v>
      </c>
      <c r="I744" s="12" t="s">
        <v>90</v>
      </c>
      <c r="J744" s="10" t="n">
        <v>1425420</v>
      </c>
      <c r="L744" s="10" t="n">
        <v>721</v>
      </c>
      <c r="M744" s="12" t="s">
        <v>33</v>
      </c>
      <c r="N744" s="12" t="s">
        <v>66</v>
      </c>
      <c r="P744" s="10" t="n">
        <v>103</v>
      </c>
      <c r="Q744" s="12" t="s">
        <v>35</v>
      </c>
      <c r="R744" s="12" t="s">
        <v>36</v>
      </c>
      <c r="S744" s="10" t="n">
        <v>1130101</v>
      </c>
      <c r="T744" s="12" t="s">
        <v>37</v>
      </c>
      <c r="U744" s="13" t="n">
        <v>602.15</v>
      </c>
      <c r="W744" s="13" t="n">
        <v>0</v>
      </c>
      <c r="X744" s="12" t="s">
        <v>998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46224</v>
      </c>
      <c r="C745" s="11" t="n">
        <v>46225</v>
      </c>
      <c r="D745" s="10" t="n">
        <v>33</v>
      </c>
      <c r="E745" s="12" t="s">
        <v>64</v>
      </c>
      <c r="F745" s="10" t="n">
        <v>34</v>
      </c>
      <c r="G745" s="12" t="s">
        <v>49</v>
      </c>
      <c r="H745" s="10" t="n">
        <v>2110101</v>
      </c>
      <c r="I745" s="12" t="s">
        <v>32</v>
      </c>
      <c r="J745" s="10" t="n">
        <v>1430734</v>
      </c>
      <c r="L745" s="10" t="n">
        <v>5330</v>
      </c>
      <c r="M745" s="12" t="s">
        <v>33</v>
      </c>
      <c r="N745" s="12" t="s">
        <v>34</v>
      </c>
      <c r="P745" s="10" t="n">
        <v>104</v>
      </c>
      <c r="Q745" s="12" t="s">
        <v>50</v>
      </c>
      <c r="R745" s="12" t="s">
        <v>36</v>
      </c>
      <c r="S745" s="10" t="n">
        <v>1130101</v>
      </c>
      <c r="T745" s="12" t="s">
        <v>37</v>
      </c>
      <c r="U745" s="13" t="n">
        <v>1529</v>
      </c>
      <c r="W745" s="13" t="n">
        <v>0</v>
      </c>
      <c r="X745" s="12" t="s">
        <v>65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46224</v>
      </c>
      <c r="C746" s="11" t="n">
        <v>46225</v>
      </c>
      <c r="D746" s="10" t="n">
        <v>33</v>
      </c>
      <c r="E746" s="12" t="s">
        <v>64</v>
      </c>
      <c r="F746" s="10" t="n">
        <v>34</v>
      </c>
      <c r="G746" s="12" t="s">
        <v>49</v>
      </c>
      <c r="H746" s="10" t="n">
        <v>2110101</v>
      </c>
      <c r="I746" s="12" t="s">
        <v>32</v>
      </c>
      <c r="J746" s="10" t="n">
        <v>1430952</v>
      </c>
      <c r="L746" s="10" t="n">
        <v>589447</v>
      </c>
      <c r="M746" s="12" t="s">
        <v>33</v>
      </c>
      <c r="N746" s="12" t="s">
        <v>66</v>
      </c>
      <c r="P746" s="10" t="n">
        <v>104</v>
      </c>
      <c r="Q746" s="12" t="s">
        <v>50</v>
      </c>
      <c r="R746" s="12" t="s">
        <v>36</v>
      </c>
      <c r="S746" s="10" t="n">
        <v>1130101</v>
      </c>
      <c r="T746" s="12" t="s">
        <v>37</v>
      </c>
      <c r="U746" s="13" t="n">
        <v>70</v>
      </c>
      <c r="W746" s="13" t="n">
        <v>0</v>
      </c>
      <c r="X746" s="12" t="s">
        <v>999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46202</v>
      </c>
      <c r="C747" s="11" t="n">
        <v>46225</v>
      </c>
      <c r="D747" s="10" t="n">
        <v>1624</v>
      </c>
      <c r="E747" s="12" t="s">
        <v>367</v>
      </c>
      <c r="F747" s="10" t="n">
        <v>24</v>
      </c>
      <c r="G747" s="12" t="s">
        <v>31</v>
      </c>
      <c r="H747" s="10" t="n">
        <v>2110101</v>
      </c>
      <c r="I747" s="12" t="s">
        <v>32</v>
      </c>
      <c r="J747" s="10" t="n">
        <v>1322405</v>
      </c>
      <c r="L747" s="10" t="n">
        <v>660505</v>
      </c>
      <c r="M747" s="12" t="s">
        <v>33</v>
      </c>
      <c r="N747" s="12" t="s">
        <v>34</v>
      </c>
      <c r="P747" s="10" t="n">
        <v>103</v>
      </c>
      <c r="Q747" s="12" t="s">
        <v>35</v>
      </c>
      <c r="R747" s="12" t="s">
        <v>36</v>
      </c>
      <c r="S747" s="10" t="n">
        <v>1130101</v>
      </c>
      <c r="T747" s="12" t="s">
        <v>37</v>
      </c>
      <c r="U747" s="13" t="n">
        <v>660</v>
      </c>
      <c r="W747" s="13" t="n">
        <v>0</v>
      </c>
      <c r="X747" s="12" t="s">
        <v>1000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46198</v>
      </c>
      <c r="C748" s="11" t="n">
        <v>46225</v>
      </c>
      <c r="D748" s="10" t="n">
        <v>1671</v>
      </c>
      <c r="E748" s="12" t="s">
        <v>83</v>
      </c>
      <c r="F748" s="10" t="n">
        <v>24</v>
      </c>
      <c r="G748" s="12" t="s">
        <v>31</v>
      </c>
      <c r="H748" s="10" t="n">
        <v>2110101</v>
      </c>
      <c r="I748" s="12" t="s">
        <v>32</v>
      </c>
      <c r="J748" s="10" t="n">
        <v>1304959</v>
      </c>
      <c r="L748" s="10" t="n">
        <v>576439</v>
      </c>
      <c r="M748" s="12" t="s">
        <v>76</v>
      </c>
      <c r="N748" s="12" t="s">
        <v>34</v>
      </c>
      <c r="P748" s="10" t="n">
        <v>103</v>
      </c>
      <c r="Q748" s="12" t="s">
        <v>35</v>
      </c>
      <c r="R748" s="12" t="s">
        <v>36</v>
      </c>
      <c r="S748" s="10" t="n">
        <v>1130101</v>
      </c>
      <c r="T748" s="12" t="s">
        <v>37</v>
      </c>
      <c r="U748" s="13" t="n">
        <v>1499.41</v>
      </c>
      <c r="W748" s="13" t="n">
        <v>0</v>
      </c>
      <c r="X748" s="12" t="s">
        <v>1001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46224</v>
      </c>
      <c r="C749" s="11" t="n">
        <v>46226</v>
      </c>
      <c r="D749" s="10" t="n">
        <v>642</v>
      </c>
      <c r="E749" s="12" t="s">
        <v>145</v>
      </c>
      <c r="F749" s="10" t="n">
        <v>24</v>
      </c>
      <c r="G749" s="12" t="s">
        <v>31</v>
      </c>
      <c r="H749" s="10" t="n">
        <v>1110202</v>
      </c>
      <c r="I749" s="12" t="s">
        <v>90</v>
      </c>
      <c r="J749" s="10" t="n">
        <v>1430906</v>
      </c>
      <c r="L749" s="10" t="n">
        <v>539</v>
      </c>
      <c r="M749" s="12" t="s">
        <v>33</v>
      </c>
      <c r="N749" s="12" t="s">
        <v>66</v>
      </c>
      <c r="P749" s="10" t="n">
        <v>103</v>
      </c>
      <c r="Q749" s="12" t="s">
        <v>35</v>
      </c>
      <c r="R749" s="12" t="s">
        <v>36</v>
      </c>
      <c r="S749" s="10" t="n">
        <v>1130101</v>
      </c>
      <c r="T749" s="12" t="s">
        <v>37</v>
      </c>
      <c r="U749" s="13" t="n">
        <v>480</v>
      </c>
      <c r="W749" s="13" t="n">
        <v>0</v>
      </c>
      <c r="X749" s="12" t="s">
        <v>1002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46212</v>
      </c>
      <c r="C750" s="11" t="n">
        <v>46226</v>
      </c>
      <c r="D750" s="10" t="n">
        <v>1670</v>
      </c>
      <c r="E750" s="12" t="s">
        <v>458</v>
      </c>
      <c r="F750" s="10" t="n">
        <v>24</v>
      </c>
      <c r="G750" s="12" t="s">
        <v>31</v>
      </c>
      <c r="H750" s="10" t="n">
        <v>1110202</v>
      </c>
      <c r="I750" s="12" t="s">
        <v>90</v>
      </c>
      <c r="J750" s="10" t="n">
        <v>1374363</v>
      </c>
      <c r="L750" s="10" t="n">
        <v>271007</v>
      </c>
      <c r="M750" s="12" t="s">
        <v>33</v>
      </c>
      <c r="N750" s="12" t="s">
        <v>66</v>
      </c>
      <c r="P750" s="10" t="n">
        <v>103</v>
      </c>
      <c r="Q750" s="12" t="s">
        <v>35</v>
      </c>
      <c r="R750" s="12" t="s">
        <v>36</v>
      </c>
      <c r="S750" s="10" t="n">
        <v>1130101</v>
      </c>
      <c r="T750" s="12" t="s">
        <v>37</v>
      </c>
      <c r="U750" s="13" t="n">
        <v>478</v>
      </c>
      <c r="W750" s="13" t="n">
        <v>0</v>
      </c>
      <c r="X750" s="12" t="s">
        <v>1003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46219</v>
      </c>
      <c r="C751" s="11" t="n">
        <v>46226</v>
      </c>
      <c r="D751" s="10" t="n">
        <v>1614</v>
      </c>
      <c r="E751" s="12" t="s">
        <v>99</v>
      </c>
      <c r="F751" s="10" t="n">
        <v>24</v>
      </c>
      <c r="G751" s="12" t="s">
        <v>31</v>
      </c>
      <c r="H751" s="10" t="n">
        <v>1110202</v>
      </c>
      <c r="I751" s="12" t="s">
        <v>90</v>
      </c>
      <c r="J751" s="10" t="n">
        <v>1407883</v>
      </c>
      <c r="L751" s="10" t="n">
        <v>11430</v>
      </c>
      <c r="M751" s="12" t="s">
        <v>76</v>
      </c>
      <c r="N751" s="12" t="s">
        <v>66</v>
      </c>
      <c r="P751" s="10" t="n">
        <v>103</v>
      </c>
      <c r="Q751" s="12" t="s">
        <v>35</v>
      </c>
      <c r="R751" s="12" t="s">
        <v>36</v>
      </c>
      <c r="S751" s="10" t="n">
        <v>1130101</v>
      </c>
      <c r="T751" s="12" t="s">
        <v>37</v>
      </c>
      <c r="U751" s="13" t="n">
        <v>417.42</v>
      </c>
      <c r="W751" s="13" t="n">
        <v>0</v>
      </c>
      <c r="X751" s="12" t="s">
        <v>1004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46223</v>
      </c>
      <c r="C752" s="11" t="n">
        <v>46226</v>
      </c>
      <c r="D752" s="10" t="n">
        <v>1614</v>
      </c>
      <c r="E752" s="12" t="s">
        <v>99</v>
      </c>
      <c r="F752" s="10" t="n">
        <v>24</v>
      </c>
      <c r="G752" s="12" t="s">
        <v>31</v>
      </c>
      <c r="H752" s="10" t="n">
        <v>1110202</v>
      </c>
      <c r="I752" s="12" t="s">
        <v>90</v>
      </c>
      <c r="J752" s="10" t="n">
        <v>1424878</v>
      </c>
      <c r="L752" s="10" t="n">
        <v>11447</v>
      </c>
      <c r="M752" s="12" t="s">
        <v>33</v>
      </c>
      <c r="N752" s="12" t="s">
        <v>66</v>
      </c>
      <c r="P752" s="10" t="n">
        <v>103</v>
      </c>
      <c r="Q752" s="12" t="s">
        <v>35</v>
      </c>
      <c r="R752" s="12" t="s">
        <v>36</v>
      </c>
      <c r="S752" s="10" t="n">
        <v>1130101</v>
      </c>
      <c r="T752" s="12" t="s">
        <v>37</v>
      </c>
      <c r="U752" s="13" t="n">
        <v>624.28</v>
      </c>
      <c r="W752" s="13" t="n">
        <v>0</v>
      </c>
      <c r="X752" s="12" t="s">
        <v>1005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46197</v>
      </c>
      <c r="C753" s="11" t="n">
        <v>46226</v>
      </c>
      <c r="D753" s="10" t="n">
        <v>1608</v>
      </c>
      <c r="E753" s="12" t="s">
        <v>52</v>
      </c>
      <c r="F753" s="10" t="n">
        <v>24</v>
      </c>
      <c r="G753" s="12" t="s">
        <v>31</v>
      </c>
      <c r="H753" s="10" t="n">
        <v>2110101</v>
      </c>
      <c r="I753" s="12" t="s">
        <v>32</v>
      </c>
      <c r="J753" s="10" t="n">
        <v>1299280</v>
      </c>
      <c r="L753" s="10" t="n">
        <v>1680082</v>
      </c>
      <c r="M753" s="12" t="s">
        <v>76</v>
      </c>
      <c r="N753" s="12" t="s">
        <v>34</v>
      </c>
      <c r="P753" s="10" t="n">
        <v>103</v>
      </c>
      <c r="Q753" s="12" t="s">
        <v>35</v>
      </c>
      <c r="R753" s="12" t="s">
        <v>36</v>
      </c>
      <c r="S753" s="10" t="n">
        <v>1130101</v>
      </c>
      <c r="T753" s="12" t="s">
        <v>37</v>
      </c>
      <c r="U753" s="13" t="n">
        <v>1310.04</v>
      </c>
      <c r="W753" s="13" t="n">
        <v>0</v>
      </c>
      <c r="X753" s="12" t="s">
        <v>1006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46198</v>
      </c>
      <c r="C754" s="11" t="n">
        <v>46226</v>
      </c>
      <c r="D754" s="10" t="n">
        <v>1626</v>
      </c>
      <c r="E754" s="12" t="s">
        <v>250</v>
      </c>
      <c r="F754" s="10" t="n">
        <v>24</v>
      </c>
      <c r="G754" s="12" t="s">
        <v>31</v>
      </c>
      <c r="H754" s="10" t="n">
        <v>2110101</v>
      </c>
      <c r="I754" s="12" t="s">
        <v>32</v>
      </c>
      <c r="J754" s="10" t="n">
        <v>1305846</v>
      </c>
      <c r="L754" s="10" t="n">
        <v>311084</v>
      </c>
      <c r="M754" s="12" t="s">
        <v>40</v>
      </c>
      <c r="N754" s="12" t="s">
        <v>34</v>
      </c>
      <c r="P754" s="10" t="n">
        <v>103</v>
      </c>
      <c r="Q754" s="12" t="s">
        <v>35</v>
      </c>
      <c r="R754" s="12" t="s">
        <v>36</v>
      </c>
      <c r="S754" s="10" t="n">
        <v>1130101</v>
      </c>
      <c r="T754" s="12" t="s">
        <v>37</v>
      </c>
      <c r="U754" s="13" t="n">
        <v>2048.68</v>
      </c>
      <c r="W754" s="13" t="n">
        <v>0</v>
      </c>
      <c r="X754" s="12" t="s">
        <v>1007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46205</v>
      </c>
      <c r="C755" s="11" t="n">
        <v>46226</v>
      </c>
      <c r="D755" s="10" t="n">
        <v>1667</v>
      </c>
      <c r="E755" s="12" t="s">
        <v>250</v>
      </c>
      <c r="F755" s="10" t="n">
        <v>24</v>
      </c>
      <c r="G755" s="12" t="s">
        <v>31</v>
      </c>
      <c r="H755" s="10" t="n">
        <v>2110101</v>
      </c>
      <c r="I755" s="12" t="s">
        <v>32</v>
      </c>
      <c r="J755" s="10" t="n">
        <v>1341509</v>
      </c>
      <c r="L755" s="10" t="n">
        <v>396010</v>
      </c>
      <c r="M755" s="12" t="s">
        <v>33</v>
      </c>
      <c r="N755" s="12" t="s">
        <v>34</v>
      </c>
      <c r="P755" s="10" t="n">
        <v>103</v>
      </c>
      <c r="Q755" s="12" t="s">
        <v>35</v>
      </c>
      <c r="R755" s="12" t="s">
        <v>36</v>
      </c>
      <c r="S755" s="10" t="n">
        <v>1130101</v>
      </c>
      <c r="T755" s="12" t="s">
        <v>37</v>
      </c>
      <c r="U755" s="13" t="n">
        <v>917.86</v>
      </c>
      <c r="W755" s="13" t="n">
        <v>0</v>
      </c>
      <c r="X755" s="12" t="s">
        <v>1008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46213</v>
      </c>
      <c r="C756" s="11" t="n">
        <v>46226</v>
      </c>
      <c r="D756" s="10" t="n">
        <v>1626</v>
      </c>
      <c r="E756" s="12" t="s">
        <v>250</v>
      </c>
      <c r="F756" s="10" t="n">
        <v>24</v>
      </c>
      <c r="G756" s="12" t="s">
        <v>31</v>
      </c>
      <c r="H756" s="10" t="n">
        <v>1110202</v>
      </c>
      <c r="I756" s="12" t="s">
        <v>90</v>
      </c>
      <c r="J756" s="10" t="n">
        <v>1376626</v>
      </c>
      <c r="L756" s="10" t="n">
        <v>312590</v>
      </c>
      <c r="M756" s="12" t="s">
        <v>33</v>
      </c>
      <c r="N756" s="12" t="s">
        <v>66</v>
      </c>
      <c r="P756" s="10" t="n">
        <v>103</v>
      </c>
      <c r="Q756" s="12" t="s">
        <v>35</v>
      </c>
      <c r="R756" s="12" t="s">
        <v>36</v>
      </c>
      <c r="S756" s="10" t="n">
        <v>1130101</v>
      </c>
      <c r="T756" s="12" t="s">
        <v>37</v>
      </c>
      <c r="U756" s="13" t="n">
        <v>1643.76</v>
      </c>
      <c r="W756" s="13" t="n">
        <v>0</v>
      </c>
      <c r="X756" s="12" t="s">
        <v>1009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46226</v>
      </c>
      <c r="C757" s="11" t="n">
        <v>46226</v>
      </c>
      <c r="D757" s="10" t="n">
        <v>10096</v>
      </c>
      <c r="E757" s="12" t="s">
        <v>844</v>
      </c>
      <c r="F757" s="10" t="n">
        <v>13</v>
      </c>
      <c r="G757" s="12" t="s">
        <v>55</v>
      </c>
      <c r="H757" s="10" t="n">
        <v>2110101</v>
      </c>
      <c r="I757" s="12" t="s">
        <v>32</v>
      </c>
      <c r="J757" s="10" t="n">
        <v>1440378</v>
      </c>
      <c r="L757" s="10" t="n">
        <v>71</v>
      </c>
      <c r="M757" s="12" t="s">
        <v>33</v>
      </c>
      <c r="N757" s="12" t="s">
        <v>34</v>
      </c>
      <c r="P757" s="10" t="n">
        <v>104</v>
      </c>
      <c r="Q757" s="12" t="s">
        <v>50</v>
      </c>
      <c r="R757" s="12" t="s">
        <v>36</v>
      </c>
      <c r="S757" s="10" t="n">
        <v>1130101</v>
      </c>
      <c r="T757" s="12" t="s">
        <v>37</v>
      </c>
      <c r="U757" s="13" t="n">
        <v>420</v>
      </c>
      <c r="W757" s="13" t="n">
        <v>0</v>
      </c>
      <c r="X757" s="12" t="s">
        <v>1010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46224</v>
      </c>
      <c r="C758" s="11" t="n">
        <v>46226</v>
      </c>
      <c r="D758" s="10" t="n">
        <v>581</v>
      </c>
      <c r="E758" s="12" t="s">
        <v>554</v>
      </c>
      <c r="F758" s="10" t="n">
        <v>24</v>
      </c>
      <c r="G758" s="12" t="s">
        <v>31</v>
      </c>
      <c r="H758" s="10" t="n">
        <v>1110202</v>
      </c>
      <c r="I758" s="12" t="s">
        <v>90</v>
      </c>
      <c r="J758" s="10" t="n">
        <v>1427827</v>
      </c>
      <c r="L758" s="10" t="n">
        <v>31493</v>
      </c>
      <c r="M758" s="12" t="s">
        <v>33</v>
      </c>
      <c r="N758" s="12" t="s">
        <v>66</v>
      </c>
      <c r="P758" s="10" t="n">
        <v>103</v>
      </c>
      <c r="Q758" s="12" t="s">
        <v>35</v>
      </c>
      <c r="R758" s="12" t="s">
        <v>36</v>
      </c>
      <c r="S758" s="10" t="n">
        <v>1130101</v>
      </c>
      <c r="T758" s="12" t="s">
        <v>37</v>
      </c>
      <c r="U758" s="13" t="n">
        <v>233.5</v>
      </c>
      <c r="W758" s="13" t="n">
        <v>0</v>
      </c>
      <c r="X758" s="12" t="s">
        <v>1011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46221</v>
      </c>
      <c r="C759" s="11" t="n">
        <v>46226</v>
      </c>
      <c r="D759" s="10" t="n">
        <v>1625</v>
      </c>
      <c r="E759" s="12" t="s">
        <v>62</v>
      </c>
      <c r="F759" s="10" t="n">
        <v>24</v>
      </c>
      <c r="G759" s="12" t="s">
        <v>31</v>
      </c>
      <c r="H759" s="10" t="n">
        <v>1110202</v>
      </c>
      <c r="I759" s="12" t="s">
        <v>90</v>
      </c>
      <c r="J759" s="10" t="n">
        <v>1415314</v>
      </c>
      <c r="L759" s="10" t="n">
        <v>14727</v>
      </c>
      <c r="M759" s="12" t="s">
        <v>33</v>
      </c>
      <c r="N759" s="12" t="s">
        <v>66</v>
      </c>
      <c r="P759" s="10" t="n">
        <v>103</v>
      </c>
      <c r="Q759" s="12" t="s">
        <v>35</v>
      </c>
      <c r="R759" s="12" t="s">
        <v>36</v>
      </c>
      <c r="S759" s="10" t="n">
        <v>1130101</v>
      </c>
      <c r="T759" s="12" t="s">
        <v>37</v>
      </c>
      <c r="U759" s="13" t="n">
        <v>6254.1</v>
      </c>
      <c r="W759" s="13" t="n">
        <v>0</v>
      </c>
      <c r="X759" s="12" t="s">
        <v>1012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46225</v>
      </c>
      <c r="C760" s="11" t="n">
        <v>46226</v>
      </c>
      <c r="D760" s="10" t="n">
        <v>10009</v>
      </c>
      <c r="E760" s="12" t="s">
        <v>181</v>
      </c>
      <c r="F760" s="10" t="n">
        <v>24</v>
      </c>
      <c r="G760" s="12" t="s">
        <v>31</v>
      </c>
      <c r="H760" s="10" t="n">
        <v>1110202</v>
      </c>
      <c r="I760" s="12" t="s">
        <v>90</v>
      </c>
      <c r="J760" s="10" t="n">
        <v>1434102</v>
      </c>
      <c r="L760" s="10" t="n">
        <v>1428642</v>
      </c>
      <c r="M760" s="12" t="s">
        <v>33</v>
      </c>
      <c r="N760" s="12" t="s">
        <v>66</v>
      </c>
      <c r="P760" s="10" t="n">
        <v>103</v>
      </c>
      <c r="Q760" s="12" t="s">
        <v>35</v>
      </c>
      <c r="R760" s="12" t="s">
        <v>36</v>
      </c>
      <c r="S760" s="10" t="n">
        <v>1130101</v>
      </c>
      <c r="T760" s="12" t="s">
        <v>37</v>
      </c>
      <c r="U760" s="13" t="n">
        <v>986.86</v>
      </c>
      <c r="W760" s="13" t="n">
        <v>0</v>
      </c>
      <c r="X760" s="12" t="s">
        <v>1013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46126</v>
      </c>
      <c r="C761" s="11" t="n">
        <v>46226</v>
      </c>
      <c r="D761" s="10" t="n">
        <v>17</v>
      </c>
      <c r="E761" s="12" t="s">
        <v>268</v>
      </c>
      <c r="F761" s="10" t="n">
        <v>24</v>
      </c>
      <c r="G761" s="12" t="s">
        <v>31</v>
      </c>
      <c r="H761" s="10" t="n">
        <v>2110405</v>
      </c>
      <c r="I761" s="12" t="s">
        <v>153</v>
      </c>
      <c r="J761" s="10" t="n">
        <v>950724</v>
      </c>
      <c r="L761" s="10" t="n">
        <v>403362</v>
      </c>
      <c r="M761" s="12" t="s">
        <v>79</v>
      </c>
      <c r="N761" s="12" t="s">
        <v>66</v>
      </c>
      <c r="P761" s="10" t="n">
        <v>101</v>
      </c>
      <c r="Q761" s="12" t="s">
        <v>84</v>
      </c>
      <c r="R761" s="12" t="s">
        <v>91</v>
      </c>
      <c r="S761" s="10" t="n">
        <v>4220199</v>
      </c>
      <c r="T761" s="12" t="s">
        <v>92</v>
      </c>
      <c r="U761" s="13" t="n">
        <v>2720.81</v>
      </c>
      <c r="W761" s="13" t="n">
        <v>0</v>
      </c>
      <c r="X761" s="12" t="s">
        <v>1014</v>
      </c>
      <c r="Z761" s="1" t="str">
        <f aca="false">IF($T761="","",IFERROR(INDEX('Resumo Grupos'!$AC$3:$AC$200,MATCH($T761,'Resumo Grupos'!$AB$3:$AB$200,0)),"n/d"))</f>
        <v>Pagamentos outros não operacionais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46214</v>
      </c>
      <c r="C762" s="11" t="n">
        <v>46226</v>
      </c>
      <c r="D762" s="10" t="n">
        <v>1114</v>
      </c>
      <c r="E762" s="12" t="s">
        <v>128</v>
      </c>
      <c r="F762" s="10" t="n">
        <v>24</v>
      </c>
      <c r="G762" s="12" t="s">
        <v>31</v>
      </c>
      <c r="H762" s="10" t="n">
        <v>1110202</v>
      </c>
      <c r="I762" s="12" t="s">
        <v>90</v>
      </c>
      <c r="J762" s="10" t="n">
        <v>1382512</v>
      </c>
      <c r="L762" s="10" t="n">
        <v>40749</v>
      </c>
      <c r="M762" s="12" t="s">
        <v>33</v>
      </c>
      <c r="N762" s="12" t="s">
        <v>66</v>
      </c>
      <c r="P762" s="10" t="n">
        <v>103</v>
      </c>
      <c r="Q762" s="12" t="s">
        <v>35</v>
      </c>
      <c r="R762" s="12" t="s">
        <v>36</v>
      </c>
      <c r="S762" s="10" t="n">
        <v>1130101</v>
      </c>
      <c r="T762" s="12" t="s">
        <v>37</v>
      </c>
      <c r="U762" s="13" t="n">
        <v>4978.85</v>
      </c>
      <c r="W762" s="13" t="n">
        <v>0</v>
      </c>
      <c r="X762" s="12" t="s">
        <v>1015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46202</v>
      </c>
      <c r="C763" s="11" t="n">
        <v>46226</v>
      </c>
      <c r="D763" s="10" t="n">
        <v>1740</v>
      </c>
      <c r="E763" s="12" t="s">
        <v>312</v>
      </c>
      <c r="F763" s="10" t="n">
        <v>24</v>
      </c>
      <c r="G763" s="12" t="s">
        <v>31</v>
      </c>
      <c r="H763" s="10" t="n">
        <v>2110101</v>
      </c>
      <c r="I763" s="12" t="s">
        <v>32</v>
      </c>
      <c r="J763" s="10" t="n">
        <v>1325622</v>
      </c>
      <c r="L763" s="10" t="n">
        <v>1240896</v>
      </c>
      <c r="M763" s="12" t="s">
        <v>76</v>
      </c>
      <c r="N763" s="12" t="s">
        <v>34</v>
      </c>
      <c r="P763" s="10" t="n">
        <v>103</v>
      </c>
      <c r="Q763" s="12" t="s">
        <v>35</v>
      </c>
      <c r="R763" s="12" t="s">
        <v>36</v>
      </c>
      <c r="S763" s="10" t="n">
        <v>1130101</v>
      </c>
      <c r="T763" s="12" t="s">
        <v>37</v>
      </c>
      <c r="U763" s="13" t="n">
        <v>983.78</v>
      </c>
      <c r="W763" s="13" t="n">
        <v>0</v>
      </c>
      <c r="X763" s="12" t="s">
        <v>1016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46205</v>
      </c>
      <c r="C764" s="11" t="n">
        <v>46226</v>
      </c>
      <c r="D764" s="10" t="n">
        <v>1740</v>
      </c>
      <c r="E764" s="12" t="s">
        <v>312</v>
      </c>
      <c r="F764" s="10" t="n">
        <v>24</v>
      </c>
      <c r="G764" s="12" t="s">
        <v>31</v>
      </c>
      <c r="H764" s="10" t="n">
        <v>2110101</v>
      </c>
      <c r="I764" s="12" t="s">
        <v>32</v>
      </c>
      <c r="J764" s="10" t="n">
        <v>1340464</v>
      </c>
      <c r="L764" s="10" t="n">
        <v>1243403</v>
      </c>
      <c r="M764" s="12" t="s">
        <v>33</v>
      </c>
      <c r="N764" s="12" t="s">
        <v>34</v>
      </c>
      <c r="P764" s="10" t="n">
        <v>103</v>
      </c>
      <c r="Q764" s="12" t="s">
        <v>35</v>
      </c>
      <c r="R764" s="12" t="s">
        <v>36</v>
      </c>
      <c r="S764" s="10" t="n">
        <v>1130101</v>
      </c>
      <c r="T764" s="12" t="s">
        <v>37</v>
      </c>
      <c r="U764" s="13" t="n">
        <v>972.3</v>
      </c>
      <c r="W764" s="13" t="n">
        <v>0</v>
      </c>
      <c r="X764" s="12" t="s">
        <v>1017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46224</v>
      </c>
      <c r="C765" s="11" t="n">
        <v>46226</v>
      </c>
      <c r="D765" s="10" t="n">
        <v>1899</v>
      </c>
      <c r="E765" s="12" t="s">
        <v>131</v>
      </c>
      <c r="F765" s="10" t="n">
        <v>24</v>
      </c>
      <c r="G765" s="12" t="s">
        <v>31</v>
      </c>
      <c r="H765" s="10" t="n">
        <v>1110202</v>
      </c>
      <c r="I765" s="12" t="s">
        <v>90</v>
      </c>
      <c r="J765" s="10" t="n">
        <v>1427755</v>
      </c>
      <c r="L765" s="10" t="n">
        <v>723</v>
      </c>
      <c r="M765" s="12" t="s">
        <v>33</v>
      </c>
      <c r="N765" s="12" t="s">
        <v>66</v>
      </c>
      <c r="P765" s="10" t="n">
        <v>103</v>
      </c>
      <c r="Q765" s="12" t="s">
        <v>35</v>
      </c>
      <c r="R765" s="12" t="s">
        <v>36</v>
      </c>
      <c r="S765" s="10" t="n">
        <v>1130101</v>
      </c>
      <c r="T765" s="12" t="s">
        <v>37</v>
      </c>
      <c r="U765" s="13" t="n">
        <v>149.85</v>
      </c>
      <c r="W765" s="13" t="n">
        <v>0</v>
      </c>
      <c r="X765" s="12" t="s">
        <v>1018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46225</v>
      </c>
      <c r="C766" s="11" t="n">
        <v>46226</v>
      </c>
      <c r="D766" s="10" t="n">
        <v>1899</v>
      </c>
      <c r="E766" s="12" t="s">
        <v>131</v>
      </c>
      <c r="F766" s="10" t="n">
        <v>24</v>
      </c>
      <c r="G766" s="12" t="s">
        <v>31</v>
      </c>
      <c r="H766" s="10" t="n">
        <v>1110202</v>
      </c>
      <c r="I766" s="12" t="s">
        <v>90</v>
      </c>
      <c r="J766" s="10" t="n">
        <v>1435818</v>
      </c>
      <c r="L766" s="10" t="n">
        <v>722</v>
      </c>
      <c r="M766" s="12" t="s">
        <v>33</v>
      </c>
      <c r="N766" s="12" t="s">
        <v>66</v>
      </c>
      <c r="P766" s="10" t="n">
        <v>103</v>
      </c>
      <c r="Q766" s="12" t="s">
        <v>35</v>
      </c>
      <c r="R766" s="12" t="s">
        <v>36</v>
      </c>
      <c r="S766" s="10" t="n">
        <v>1130101</v>
      </c>
      <c r="T766" s="12" t="s">
        <v>37</v>
      </c>
      <c r="U766" s="13" t="n">
        <v>501.9</v>
      </c>
      <c r="W766" s="13" t="n">
        <v>0</v>
      </c>
      <c r="X766" s="12" t="s">
        <v>1019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46199</v>
      </c>
      <c r="C767" s="11" t="n">
        <v>46226</v>
      </c>
      <c r="D767" s="10" t="n">
        <v>10017</v>
      </c>
      <c r="E767" s="12" t="s">
        <v>271</v>
      </c>
      <c r="F767" s="10" t="n">
        <v>24</v>
      </c>
      <c r="G767" s="12" t="s">
        <v>31</v>
      </c>
      <c r="H767" s="10" t="n">
        <v>2110101</v>
      </c>
      <c r="I767" s="12" t="s">
        <v>32</v>
      </c>
      <c r="J767" s="10" t="n">
        <v>1310224</v>
      </c>
      <c r="L767" s="10" t="n">
        <v>193797</v>
      </c>
      <c r="M767" s="12" t="s">
        <v>40</v>
      </c>
      <c r="N767" s="12" t="s">
        <v>34</v>
      </c>
      <c r="P767" s="10" t="n">
        <v>103</v>
      </c>
      <c r="Q767" s="12" t="s">
        <v>35</v>
      </c>
      <c r="R767" s="12" t="s">
        <v>36</v>
      </c>
      <c r="S767" s="10" t="n">
        <v>1130101</v>
      </c>
      <c r="T767" s="12" t="s">
        <v>37</v>
      </c>
      <c r="U767" s="13" t="n">
        <v>1024.54</v>
      </c>
      <c r="W767" s="13" t="n">
        <v>0</v>
      </c>
      <c r="X767" s="12" t="s">
        <v>1020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46220</v>
      </c>
      <c r="C768" s="11" t="n">
        <v>46226</v>
      </c>
      <c r="D768" s="10" t="n">
        <v>1024</v>
      </c>
      <c r="E768" s="12" t="s">
        <v>314</v>
      </c>
      <c r="F768" s="10" t="n">
        <v>24</v>
      </c>
      <c r="G768" s="12" t="s">
        <v>31</v>
      </c>
      <c r="H768" s="10" t="n">
        <v>1110202</v>
      </c>
      <c r="I768" s="12" t="s">
        <v>90</v>
      </c>
      <c r="J768" s="10" t="n">
        <v>1410444</v>
      </c>
      <c r="L768" s="10" t="n">
        <v>604178</v>
      </c>
      <c r="M768" s="12" t="s">
        <v>33</v>
      </c>
      <c r="N768" s="12" t="s">
        <v>66</v>
      </c>
      <c r="P768" s="10" t="n">
        <v>103</v>
      </c>
      <c r="Q768" s="12" t="s">
        <v>35</v>
      </c>
      <c r="R768" s="12" t="s">
        <v>36</v>
      </c>
      <c r="S768" s="10" t="n">
        <v>1130101</v>
      </c>
      <c r="T768" s="12" t="s">
        <v>37</v>
      </c>
      <c r="U768" s="13" t="n">
        <v>704</v>
      </c>
      <c r="W768" s="13" t="n">
        <v>0</v>
      </c>
      <c r="X768" s="12" t="s">
        <v>1021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46226</v>
      </c>
      <c r="C769" s="11" t="n">
        <v>46226</v>
      </c>
      <c r="D769" s="10" t="n">
        <v>1936</v>
      </c>
      <c r="E769" s="12" t="s">
        <v>316</v>
      </c>
      <c r="F769" s="10" t="n">
        <v>24</v>
      </c>
      <c r="G769" s="12" t="s">
        <v>31</v>
      </c>
      <c r="H769" s="10" t="n">
        <v>1110202</v>
      </c>
      <c r="I769" s="12" t="s">
        <v>90</v>
      </c>
      <c r="J769" s="10" t="n">
        <v>1439362</v>
      </c>
      <c r="L769" s="10" t="n">
        <v>592404</v>
      </c>
      <c r="M769" s="12" t="s">
        <v>33</v>
      </c>
      <c r="N769" s="12" t="s">
        <v>66</v>
      </c>
      <c r="P769" s="10" t="n">
        <v>101</v>
      </c>
      <c r="Q769" s="12" t="s">
        <v>84</v>
      </c>
      <c r="R769" s="12" t="s">
        <v>36</v>
      </c>
      <c r="S769" s="10" t="n">
        <v>1130101</v>
      </c>
      <c r="T769" s="12" t="s">
        <v>37</v>
      </c>
      <c r="U769" s="13" t="n">
        <v>55.95</v>
      </c>
      <c r="W769" s="13" t="n">
        <v>0</v>
      </c>
      <c r="X769" s="12" t="s">
        <v>1022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46226</v>
      </c>
      <c r="C770" s="11" t="n">
        <v>46226</v>
      </c>
      <c r="D770" s="10" t="n">
        <v>1936</v>
      </c>
      <c r="E770" s="12" t="s">
        <v>316</v>
      </c>
      <c r="F770" s="10" t="n">
        <v>24</v>
      </c>
      <c r="G770" s="12" t="s">
        <v>31</v>
      </c>
      <c r="H770" s="10" t="n">
        <v>1110202</v>
      </c>
      <c r="I770" s="12" t="s">
        <v>90</v>
      </c>
      <c r="J770" s="10" t="n">
        <v>1439371</v>
      </c>
      <c r="L770" s="10" t="n">
        <v>592407</v>
      </c>
      <c r="M770" s="12" t="s">
        <v>33</v>
      </c>
      <c r="N770" s="12" t="s">
        <v>66</v>
      </c>
      <c r="P770" s="10" t="n">
        <v>101</v>
      </c>
      <c r="Q770" s="12" t="s">
        <v>84</v>
      </c>
      <c r="R770" s="12" t="s">
        <v>36</v>
      </c>
      <c r="S770" s="10" t="n">
        <v>1130101</v>
      </c>
      <c r="T770" s="12" t="s">
        <v>37</v>
      </c>
      <c r="U770" s="13" t="n">
        <v>421.5</v>
      </c>
      <c r="W770" s="13" t="n">
        <v>0</v>
      </c>
      <c r="X770" s="12" t="s">
        <v>1022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46189</v>
      </c>
      <c r="C771" s="11" t="n">
        <v>46226</v>
      </c>
      <c r="D771" s="10" t="n">
        <v>10012</v>
      </c>
      <c r="E771" s="12" t="s">
        <v>318</v>
      </c>
      <c r="F771" s="10" t="n">
        <v>24</v>
      </c>
      <c r="G771" s="12" t="s">
        <v>31</v>
      </c>
      <c r="H771" s="10" t="n">
        <v>2110101</v>
      </c>
      <c r="I771" s="12" t="s">
        <v>32</v>
      </c>
      <c r="J771" s="10" t="n">
        <v>1261364</v>
      </c>
      <c r="L771" s="10" t="n">
        <v>1957890</v>
      </c>
      <c r="M771" s="12" t="s">
        <v>79</v>
      </c>
      <c r="N771" s="12" t="s">
        <v>34</v>
      </c>
      <c r="P771" s="10" t="n">
        <v>103</v>
      </c>
      <c r="Q771" s="12" t="s">
        <v>35</v>
      </c>
      <c r="R771" s="12" t="s">
        <v>36</v>
      </c>
      <c r="S771" s="10" t="n">
        <v>1130101</v>
      </c>
      <c r="T771" s="12" t="s">
        <v>37</v>
      </c>
      <c r="U771" s="13" t="n">
        <v>3937.78</v>
      </c>
      <c r="W771" s="13" t="n">
        <v>0</v>
      </c>
      <c r="X771" s="12" t="s">
        <v>1023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46213</v>
      </c>
      <c r="C772" s="11" t="n">
        <v>46226</v>
      </c>
      <c r="D772" s="10" t="n">
        <v>1666</v>
      </c>
      <c r="E772" s="12" t="s">
        <v>139</v>
      </c>
      <c r="F772" s="10" t="n">
        <v>24</v>
      </c>
      <c r="G772" s="12" t="s">
        <v>31</v>
      </c>
      <c r="H772" s="10" t="n">
        <v>1110202</v>
      </c>
      <c r="I772" s="12" t="s">
        <v>90</v>
      </c>
      <c r="J772" s="10" t="n">
        <v>1376753</v>
      </c>
      <c r="L772" s="10" t="n">
        <v>566298</v>
      </c>
      <c r="M772" s="12" t="s">
        <v>76</v>
      </c>
      <c r="N772" s="12" t="s">
        <v>66</v>
      </c>
      <c r="P772" s="10" t="n">
        <v>103</v>
      </c>
      <c r="Q772" s="12" t="s">
        <v>35</v>
      </c>
      <c r="R772" s="12" t="s">
        <v>36</v>
      </c>
      <c r="S772" s="10" t="n">
        <v>1130101</v>
      </c>
      <c r="T772" s="12" t="s">
        <v>37</v>
      </c>
      <c r="U772" s="13" t="n">
        <v>5877.9</v>
      </c>
      <c r="W772" s="13" t="n">
        <v>0</v>
      </c>
      <c r="X772" s="12" t="s">
        <v>1024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46224</v>
      </c>
      <c r="C773" s="11" t="n">
        <v>46226</v>
      </c>
      <c r="D773" s="10" t="n">
        <v>1286</v>
      </c>
      <c r="E773" s="12" t="s">
        <v>216</v>
      </c>
      <c r="F773" s="10" t="n">
        <v>24</v>
      </c>
      <c r="G773" s="12" t="s">
        <v>31</v>
      </c>
      <c r="H773" s="10" t="n">
        <v>1110202</v>
      </c>
      <c r="I773" s="12" t="s">
        <v>90</v>
      </c>
      <c r="J773" s="10" t="n">
        <v>1427791</v>
      </c>
      <c r="L773" s="10" t="n">
        <v>10334</v>
      </c>
      <c r="M773" s="12" t="s">
        <v>33</v>
      </c>
      <c r="N773" s="12" t="s">
        <v>66</v>
      </c>
      <c r="P773" s="10" t="n">
        <v>103</v>
      </c>
      <c r="Q773" s="12" t="s">
        <v>35</v>
      </c>
      <c r="R773" s="12" t="s">
        <v>36</v>
      </c>
      <c r="S773" s="10" t="n">
        <v>1130101</v>
      </c>
      <c r="T773" s="12" t="s">
        <v>37</v>
      </c>
      <c r="U773" s="13" t="n">
        <v>972</v>
      </c>
      <c r="W773" s="13" t="n">
        <v>0</v>
      </c>
      <c r="X773" s="12" t="s">
        <v>1025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46212</v>
      </c>
      <c r="C774" s="11" t="n">
        <v>46227</v>
      </c>
      <c r="D774" s="10" t="n">
        <v>10074</v>
      </c>
      <c r="E774" s="12" t="s">
        <v>1026</v>
      </c>
      <c r="F774" s="10" t="n">
        <v>24</v>
      </c>
      <c r="G774" s="12" t="s">
        <v>31</v>
      </c>
      <c r="H774" s="10" t="n">
        <v>1110202</v>
      </c>
      <c r="I774" s="12" t="s">
        <v>90</v>
      </c>
      <c r="J774" s="10" t="n">
        <v>1374335</v>
      </c>
      <c r="L774" s="10" t="n">
        <v>3299</v>
      </c>
      <c r="M774" s="12" t="s">
        <v>33</v>
      </c>
      <c r="N774" s="12" t="s">
        <v>66</v>
      </c>
      <c r="P774" s="10" t="n">
        <v>103</v>
      </c>
      <c r="Q774" s="12" t="s">
        <v>35</v>
      </c>
      <c r="R774" s="12" t="s">
        <v>36</v>
      </c>
      <c r="S774" s="10" t="n">
        <v>1130101</v>
      </c>
      <c r="T774" s="12" t="s">
        <v>37</v>
      </c>
      <c r="U774" s="13" t="n">
        <v>550</v>
      </c>
      <c r="W774" s="13" t="n">
        <v>0</v>
      </c>
      <c r="X774" s="12" t="s">
        <v>1027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46207</v>
      </c>
      <c r="C775" s="11" t="n">
        <v>46227</v>
      </c>
      <c r="D775" s="10" t="n">
        <v>1695</v>
      </c>
      <c r="E775" s="12" t="s">
        <v>44</v>
      </c>
      <c r="F775" s="10" t="n">
        <v>24</v>
      </c>
      <c r="G775" s="12" t="s">
        <v>31</v>
      </c>
      <c r="H775" s="10" t="n">
        <v>2110101</v>
      </c>
      <c r="I775" s="12" t="s">
        <v>32</v>
      </c>
      <c r="J775" s="10" t="n">
        <v>1348708</v>
      </c>
      <c r="L775" s="10" t="n">
        <v>19022</v>
      </c>
      <c r="M775" s="12" t="s">
        <v>40</v>
      </c>
      <c r="N775" s="12" t="s">
        <v>34</v>
      </c>
      <c r="P775" s="10" t="n">
        <v>103</v>
      </c>
      <c r="Q775" s="12" t="s">
        <v>35</v>
      </c>
      <c r="R775" s="12" t="s">
        <v>36</v>
      </c>
      <c r="S775" s="10" t="n">
        <v>1130101</v>
      </c>
      <c r="T775" s="12" t="s">
        <v>37</v>
      </c>
      <c r="U775" s="13" t="n">
        <v>595</v>
      </c>
      <c r="W775" s="13" t="n">
        <v>0</v>
      </c>
      <c r="X775" s="12" t="s">
        <v>1028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46224</v>
      </c>
      <c r="C776" s="11" t="n">
        <v>46227</v>
      </c>
      <c r="D776" s="10" t="n">
        <v>1642</v>
      </c>
      <c r="E776" s="12" t="s">
        <v>158</v>
      </c>
      <c r="F776" s="10" t="n">
        <v>24</v>
      </c>
      <c r="G776" s="12" t="s">
        <v>31</v>
      </c>
      <c r="H776" s="10" t="n">
        <v>1110202</v>
      </c>
      <c r="I776" s="12" t="s">
        <v>90</v>
      </c>
      <c r="J776" s="10" t="n">
        <v>1429486</v>
      </c>
      <c r="L776" s="10" t="n">
        <v>1032212</v>
      </c>
      <c r="M776" s="12" t="s">
        <v>33</v>
      </c>
      <c r="N776" s="12" t="s">
        <v>66</v>
      </c>
      <c r="P776" s="10" t="n">
        <v>103</v>
      </c>
      <c r="Q776" s="12" t="s">
        <v>35</v>
      </c>
      <c r="R776" s="12" t="s">
        <v>36</v>
      </c>
      <c r="S776" s="10" t="n">
        <v>1130101</v>
      </c>
      <c r="T776" s="12" t="s">
        <v>37</v>
      </c>
      <c r="U776" s="13" t="n">
        <v>653.6</v>
      </c>
      <c r="W776" s="13" t="n">
        <v>0</v>
      </c>
      <c r="X776" s="12" t="s">
        <v>1029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46217</v>
      </c>
      <c r="C777" s="11" t="n">
        <v>46227</v>
      </c>
      <c r="D777" s="10" t="n">
        <v>1723</v>
      </c>
      <c r="E777" s="12" t="s">
        <v>378</v>
      </c>
      <c r="F777" s="10" t="n">
        <v>24</v>
      </c>
      <c r="G777" s="12" t="s">
        <v>31</v>
      </c>
      <c r="H777" s="10" t="n">
        <v>1110202</v>
      </c>
      <c r="I777" s="12" t="s">
        <v>90</v>
      </c>
      <c r="J777" s="10" t="n">
        <v>1398025</v>
      </c>
      <c r="L777" s="10" t="n">
        <v>173143</v>
      </c>
      <c r="M777" s="12" t="s">
        <v>33</v>
      </c>
      <c r="N777" s="12" t="s">
        <v>66</v>
      </c>
      <c r="P777" s="10" t="n">
        <v>103</v>
      </c>
      <c r="Q777" s="12" t="s">
        <v>35</v>
      </c>
      <c r="R777" s="12" t="s">
        <v>36</v>
      </c>
      <c r="S777" s="10" t="n">
        <v>1130101</v>
      </c>
      <c r="T777" s="12" t="s">
        <v>37</v>
      </c>
      <c r="U777" s="13" t="n">
        <v>5478.8</v>
      </c>
      <c r="W777" s="13" t="n">
        <v>0</v>
      </c>
      <c r="X777" s="12" t="s">
        <v>1030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46212</v>
      </c>
      <c r="C778" s="11" t="n">
        <v>46227</v>
      </c>
      <c r="D778" s="10" t="n">
        <v>1718</v>
      </c>
      <c r="E778" s="12" t="s">
        <v>332</v>
      </c>
      <c r="F778" s="10" t="n">
        <v>24</v>
      </c>
      <c r="G778" s="12" t="s">
        <v>31</v>
      </c>
      <c r="H778" s="10" t="n">
        <v>1110202</v>
      </c>
      <c r="I778" s="12" t="s">
        <v>90</v>
      </c>
      <c r="J778" s="10" t="n">
        <v>1375395</v>
      </c>
      <c r="L778" s="10" t="n">
        <v>681131</v>
      </c>
      <c r="M778" s="12" t="s">
        <v>33</v>
      </c>
      <c r="N778" s="12" t="s">
        <v>66</v>
      </c>
      <c r="P778" s="10" t="n">
        <v>103</v>
      </c>
      <c r="Q778" s="12" t="s">
        <v>35</v>
      </c>
      <c r="R778" s="12" t="s">
        <v>36</v>
      </c>
      <c r="S778" s="10" t="n">
        <v>1130101</v>
      </c>
      <c r="T778" s="12" t="s">
        <v>37</v>
      </c>
      <c r="U778" s="13" t="n">
        <v>871.13</v>
      </c>
      <c r="W778" s="13" t="n">
        <v>0</v>
      </c>
      <c r="X778" s="12" t="s">
        <v>1031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46203</v>
      </c>
      <c r="C779" s="11" t="n">
        <v>46227</v>
      </c>
      <c r="D779" s="10" t="n">
        <v>794</v>
      </c>
      <c r="E779" s="12" t="s">
        <v>160</v>
      </c>
      <c r="F779" s="10" t="n">
        <v>24</v>
      </c>
      <c r="G779" s="12" t="s">
        <v>31</v>
      </c>
      <c r="H779" s="10" t="n">
        <v>2110101</v>
      </c>
      <c r="I779" s="12" t="s">
        <v>32</v>
      </c>
      <c r="J779" s="10" t="n">
        <v>1330337</v>
      </c>
      <c r="L779" s="10" t="n">
        <v>8208</v>
      </c>
      <c r="M779" s="12" t="s">
        <v>40</v>
      </c>
      <c r="N779" s="12" t="s">
        <v>34</v>
      </c>
      <c r="P779" s="10" t="n">
        <v>103</v>
      </c>
      <c r="Q779" s="12" t="s">
        <v>35</v>
      </c>
      <c r="R779" s="12" t="s">
        <v>36</v>
      </c>
      <c r="S779" s="10" t="n">
        <v>1130101</v>
      </c>
      <c r="T779" s="12" t="s">
        <v>37</v>
      </c>
      <c r="U779" s="13" t="n">
        <v>526.88</v>
      </c>
      <c r="W779" s="13" t="n">
        <v>0</v>
      </c>
      <c r="X779" s="12" t="s">
        <v>1032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46216</v>
      </c>
      <c r="C780" s="11" t="n">
        <v>46227</v>
      </c>
      <c r="D780" s="10" t="n">
        <v>794</v>
      </c>
      <c r="E780" s="12" t="s">
        <v>160</v>
      </c>
      <c r="F780" s="10" t="n">
        <v>24</v>
      </c>
      <c r="G780" s="12" t="s">
        <v>31</v>
      </c>
      <c r="H780" s="10" t="n">
        <v>1110202</v>
      </c>
      <c r="I780" s="12" t="s">
        <v>90</v>
      </c>
      <c r="J780" s="10" t="n">
        <v>1393075</v>
      </c>
      <c r="L780" s="10" t="n">
        <v>8365</v>
      </c>
      <c r="M780" s="12" t="s">
        <v>33</v>
      </c>
      <c r="N780" s="12" t="s">
        <v>66</v>
      </c>
      <c r="P780" s="10" t="n">
        <v>103</v>
      </c>
      <c r="Q780" s="12" t="s">
        <v>35</v>
      </c>
      <c r="R780" s="12" t="s">
        <v>36</v>
      </c>
      <c r="S780" s="10" t="n">
        <v>1130101</v>
      </c>
      <c r="T780" s="12" t="s">
        <v>37</v>
      </c>
      <c r="U780" s="13" t="n">
        <v>550</v>
      </c>
      <c r="W780" s="13" t="n">
        <v>0</v>
      </c>
      <c r="X780" s="12" t="s">
        <v>1033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46227</v>
      </c>
      <c r="C781" s="11" t="n">
        <v>46227</v>
      </c>
      <c r="D781" s="10" t="n">
        <v>1037</v>
      </c>
      <c r="E781" s="12" t="s">
        <v>171</v>
      </c>
      <c r="F781" s="10" t="n">
        <v>34</v>
      </c>
      <c r="G781" s="12" t="s">
        <v>49</v>
      </c>
      <c r="H781" s="10" t="n">
        <v>1110202</v>
      </c>
      <c r="I781" s="12" t="s">
        <v>90</v>
      </c>
      <c r="J781" s="10" t="n">
        <v>1445274</v>
      </c>
      <c r="L781" s="10" t="n">
        <v>594501</v>
      </c>
      <c r="M781" s="12" t="s">
        <v>33</v>
      </c>
      <c r="N781" s="12" t="s">
        <v>66</v>
      </c>
      <c r="P781" s="10" t="n">
        <v>102</v>
      </c>
      <c r="Q781" s="12" t="s">
        <v>112</v>
      </c>
      <c r="R781" s="12" t="s">
        <v>91</v>
      </c>
      <c r="S781" s="10" t="n">
        <v>4220199</v>
      </c>
      <c r="T781" s="12" t="s">
        <v>92</v>
      </c>
      <c r="U781" s="13" t="n">
        <v>6346</v>
      </c>
      <c r="W781" s="13" t="n">
        <v>0</v>
      </c>
      <c r="X781" s="12" t="s">
        <v>1034</v>
      </c>
      <c r="Z781" s="1" t="str">
        <f aca="false">IF($T781="","",IFERROR(INDEX('Resumo Grupos'!$AC$3:$AC$200,MATCH($T781,'Resumo Grupos'!$AB$3:$AB$200,0)),"n/d"))</f>
        <v>Pagamentos outros não operacionais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46212</v>
      </c>
      <c r="C782" s="11" t="n">
        <v>46227</v>
      </c>
      <c r="D782" s="10" t="n">
        <v>10037</v>
      </c>
      <c r="E782" s="12" t="s">
        <v>340</v>
      </c>
      <c r="F782" s="10" t="n">
        <v>24</v>
      </c>
      <c r="G782" s="12" t="s">
        <v>31</v>
      </c>
      <c r="H782" s="10" t="n">
        <v>1110202</v>
      </c>
      <c r="I782" s="12" t="s">
        <v>90</v>
      </c>
      <c r="J782" s="10" t="n">
        <v>1374662</v>
      </c>
      <c r="L782" s="10" t="n">
        <v>2737</v>
      </c>
      <c r="M782" s="12" t="s">
        <v>33</v>
      </c>
      <c r="N782" s="12" t="s">
        <v>66</v>
      </c>
      <c r="P782" s="10" t="n">
        <v>103</v>
      </c>
      <c r="Q782" s="12" t="s">
        <v>35</v>
      </c>
      <c r="R782" s="12" t="s">
        <v>36</v>
      </c>
      <c r="S782" s="10" t="n">
        <v>1130101</v>
      </c>
      <c r="T782" s="12" t="s">
        <v>37</v>
      </c>
      <c r="U782" s="13" t="n">
        <v>527.3</v>
      </c>
      <c r="W782" s="13" t="n">
        <v>0</v>
      </c>
      <c r="X782" s="12" t="s">
        <v>1035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46227</v>
      </c>
      <c r="C783" s="11" t="n">
        <v>46227</v>
      </c>
      <c r="D783" s="10" t="n">
        <v>350</v>
      </c>
      <c r="E783" s="12" t="s">
        <v>1036</v>
      </c>
      <c r="F783" s="10" t="n">
        <v>34</v>
      </c>
      <c r="G783" s="12" t="s">
        <v>49</v>
      </c>
      <c r="H783" s="10" t="n">
        <v>1110202</v>
      </c>
      <c r="I783" s="12" t="s">
        <v>90</v>
      </c>
      <c r="J783" s="10" t="n">
        <v>1445279</v>
      </c>
      <c r="L783" s="10" t="n">
        <v>594502</v>
      </c>
      <c r="M783" s="12" t="s">
        <v>33</v>
      </c>
      <c r="N783" s="12" t="s">
        <v>66</v>
      </c>
      <c r="P783" s="10" t="n">
        <v>101</v>
      </c>
      <c r="Q783" s="12" t="s">
        <v>84</v>
      </c>
      <c r="R783" s="12" t="s">
        <v>121</v>
      </c>
      <c r="S783" s="10" t="n">
        <v>4210305</v>
      </c>
      <c r="T783" s="12" t="s">
        <v>1037</v>
      </c>
      <c r="U783" s="13" t="n">
        <v>1749.99</v>
      </c>
      <c r="W783" s="13" t="n">
        <v>0</v>
      </c>
      <c r="X783" s="12" t="s">
        <v>1038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46227</v>
      </c>
      <c r="C784" s="11" t="n">
        <v>46227</v>
      </c>
      <c r="D784" s="10" t="n">
        <v>10096</v>
      </c>
      <c r="E784" s="12" t="s">
        <v>844</v>
      </c>
      <c r="F784" s="10" t="n">
        <v>13</v>
      </c>
      <c r="G784" s="12" t="s">
        <v>55</v>
      </c>
      <c r="H784" s="10" t="n">
        <v>2110101</v>
      </c>
      <c r="I784" s="12" t="s">
        <v>32</v>
      </c>
      <c r="J784" s="10" t="n">
        <v>1459634</v>
      </c>
      <c r="L784" s="10" t="n">
        <v>75</v>
      </c>
      <c r="M784" s="12" t="s">
        <v>33</v>
      </c>
      <c r="N784" s="12" t="s">
        <v>34</v>
      </c>
      <c r="P784" s="10" t="n">
        <v>104</v>
      </c>
      <c r="Q784" s="12" t="s">
        <v>50</v>
      </c>
      <c r="R784" s="12" t="s">
        <v>36</v>
      </c>
      <c r="S784" s="10" t="n">
        <v>1130101</v>
      </c>
      <c r="T784" s="12" t="s">
        <v>37</v>
      </c>
      <c r="U784" s="13" t="n">
        <v>300</v>
      </c>
      <c r="W784" s="13" t="n">
        <v>0</v>
      </c>
      <c r="X784" s="12" t="s">
        <v>1039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46207</v>
      </c>
      <c r="C785" s="11" t="n">
        <v>46227</v>
      </c>
      <c r="D785" s="10" t="n">
        <v>1815</v>
      </c>
      <c r="E785" s="12" t="s">
        <v>175</v>
      </c>
      <c r="F785" s="10" t="n">
        <v>24</v>
      </c>
      <c r="G785" s="12" t="s">
        <v>31</v>
      </c>
      <c r="H785" s="10" t="n">
        <v>2110101</v>
      </c>
      <c r="I785" s="12" t="s">
        <v>32</v>
      </c>
      <c r="J785" s="10" t="n">
        <v>1348411</v>
      </c>
      <c r="L785" s="10" t="n">
        <v>390550</v>
      </c>
      <c r="M785" s="12" t="s">
        <v>40</v>
      </c>
      <c r="N785" s="12" t="s">
        <v>34</v>
      </c>
      <c r="P785" s="10" t="n">
        <v>103</v>
      </c>
      <c r="Q785" s="12" t="s">
        <v>35</v>
      </c>
      <c r="R785" s="12" t="s">
        <v>36</v>
      </c>
      <c r="S785" s="10" t="n">
        <v>1130101</v>
      </c>
      <c r="T785" s="12" t="s">
        <v>37</v>
      </c>
      <c r="U785" s="13" t="n">
        <v>2340.64</v>
      </c>
      <c r="W785" s="13" t="n">
        <v>0</v>
      </c>
      <c r="X785" s="12" t="s">
        <v>1040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46214</v>
      </c>
      <c r="C786" s="11" t="n">
        <v>46227</v>
      </c>
      <c r="D786" s="10" t="n">
        <v>1815</v>
      </c>
      <c r="E786" s="12" t="s">
        <v>175</v>
      </c>
      <c r="F786" s="10" t="n">
        <v>24</v>
      </c>
      <c r="G786" s="12" t="s">
        <v>31</v>
      </c>
      <c r="H786" s="10" t="n">
        <v>1110202</v>
      </c>
      <c r="I786" s="12" t="s">
        <v>90</v>
      </c>
      <c r="J786" s="10" t="n">
        <v>1382433</v>
      </c>
      <c r="L786" s="10" t="n">
        <v>391785</v>
      </c>
      <c r="M786" s="12" t="s">
        <v>76</v>
      </c>
      <c r="N786" s="12" t="s">
        <v>66</v>
      </c>
      <c r="P786" s="10" t="n">
        <v>103</v>
      </c>
      <c r="Q786" s="12" t="s">
        <v>35</v>
      </c>
      <c r="R786" s="12" t="s">
        <v>36</v>
      </c>
      <c r="S786" s="10" t="n">
        <v>1130101</v>
      </c>
      <c r="T786" s="12" t="s">
        <v>37</v>
      </c>
      <c r="U786" s="13" t="n">
        <v>785.66</v>
      </c>
      <c r="W786" s="13" t="n">
        <v>0</v>
      </c>
      <c r="X786" s="12" t="s">
        <v>1041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46227</v>
      </c>
      <c r="C787" s="11" t="n">
        <v>46227</v>
      </c>
      <c r="D787" s="10" t="n">
        <v>10035</v>
      </c>
      <c r="E787" s="12" t="s">
        <v>118</v>
      </c>
      <c r="F787" s="10" t="n">
        <v>13</v>
      </c>
      <c r="G787" s="12" t="s">
        <v>55</v>
      </c>
      <c r="H787" s="10" t="n">
        <v>2110101</v>
      </c>
      <c r="I787" s="12" t="s">
        <v>32</v>
      </c>
      <c r="J787" s="10" t="n">
        <v>1459549</v>
      </c>
      <c r="L787" s="10" t="n">
        <v>377</v>
      </c>
      <c r="M787" s="12" t="s">
        <v>33</v>
      </c>
      <c r="N787" s="12" t="s">
        <v>34</v>
      </c>
      <c r="P787" s="10" t="n">
        <v>104</v>
      </c>
      <c r="Q787" s="12" t="s">
        <v>50</v>
      </c>
      <c r="R787" s="12" t="s">
        <v>36</v>
      </c>
      <c r="S787" s="10" t="n">
        <v>1130101</v>
      </c>
      <c r="T787" s="12" t="s">
        <v>37</v>
      </c>
      <c r="U787" s="13" t="n">
        <v>560</v>
      </c>
      <c r="W787" s="13" t="n">
        <v>0</v>
      </c>
      <c r="X787" s="12" t="s">
        <v>1042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46214</v>
      </c>
      <c r="C788" s="11" t="n">
        <v>46227</v>
      </c>
      <c r="D788" s="10" t="n">
        <v>1270</v>
      </c>
      <c r="E788" s="12" t="s">
        <v>348</v>
      </c>
      <c r="F788" s="10" t="n">
        <v>24</v>
      </c>
      <c r="G788" s="12" t="s">
        <v>31</v>
      </c>
      <c r="H788" s="10" t="n">
        <v>1110202</v>
      </c>
      <c r="I788" s="12" t="s">
        <v>90</v>
      </c>
      <c r="J788" s="10" t="n">
        <v>1382075</v>
      </c>
      <c r="L788" s="10" t="n">
        <v>2634</v>
      </c>
      <c r="M788" s="12" t="s">
        <v>33</v>
      </c>
      <c r="N788" s="12" t="s">
        <v>66</v>
      </c>
      <c r="P788" s="10" t="n">
        <v>103</v>
      </c>
      <c r="Q788" s="12" t="s">
        <v>35</v>
      </c>
      <c r="R788" s="12" t="s">
        <v>36</v>
      </c>
      <c r="S788" s="10" t="n">
        <v>1130101</v>
      </c>
      <c r="T788" s="12" t="s">
        <v>37</v>
      </c>
      <c r="U788" s="13" t="n">
        <v>493</v>
      </c>
      <c r="W788" s="13" t="n">
        <v>0</v>
      </c>
      <c r="X788" s="12" t="s">
        <v>1043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46210</v>
      </c>
      <c r="C789" s="11" t="n">
        <v>46227</v>
      </c>
      <c r="D789" s="10" t="n">
        <v>967</v>
      </c>
      <c r="E789" s="12" t="s">
        <v>261</v>
      </c>
      <c r="F789" s="10" t="n">
        <v>24</v>
      </c>
      <c r="G789" s="12" t="s">
        <v>31</v>
      </c>
      <c r="H789" s="10" t="n">
        <v>1110202</v>
      </c>
      <c r="I789" s="12" t="s">
        <v>90</v>
      </c>
      <c r="J789" s="10" t="n">
        <v>1440510</v>
      </c>
      <c r="L789" s="10" t="n">
        <v>34608</v>
      </c>
      <c r="M789" s="12" t="s">
        <v>33</v>
      </c>
      <c r="N789" s="12" t="s">
        <v>66</v>
      </c>
      <c r="P789" s="10" t="n">
        <v>103</v>
      </c>
      <c r="Q789" s="12" t="s">
        <v>35</v>
      </c>
      <c r="R789" s="12" t="s">
        <v>36</v>
      </c>
      <c r="S789" s="10" t="n">
        <v>1130101</v>
      </c>
      <c r="T789" s="12" t="s">
        <v>37</v>
      </c>
      <c r="U789" s="13" t="n">
        <v>2838.97</v>
      </c>
      <c r="W789" s="13" t="n">
        <v>0</v>
      </c>
      <c r="X789" s="12" t="s">
        <v>1044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46209</v>
      </c>
      <c r="C790" s="11" t="n">
        <v>46227</v>
      </c>
      <c r="D790" s="10" t="n">
        <v>10009</v>
      </c>
      <c r="E790" s="12" t="s">
        <v>181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1360393</v>
      </c>
      <c r="L790" s="10" t="n">
        <v>1424401</v>
      </c>
      <c r="M790" s="12" t="s">
        <v>40</v>
      </c>
      <c r="N790" s="12" t="s">
        <v>34</v>
      </c>
      <c r="P790" s="10" t="n">
        <v>103</v>
      </c>
      <c r="Q790" s="12" t="s">
        <v>35</v>
      </c>
      <c r="R790" s="12" t="s">
        <v>36</v>
      </c>
      <c r="S790" s="10" t="n">
        <v>1130101</v>
      </c>
      <c r="T790" s="12" t="s">
        <v>37</v>
      </c>
      <c r="U790" s="13" t="n">
        <v>868.87</v>
      </c>
      <c r="W790" s="13" t="n">
        <v>0</v>
      </c>
      <c r="X790" s="12" t="s">
        <v>1045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46224</v>
      </c>
      <c r="C791" s="11" t="n">
        <v>46227</v>
      </c>
      <c r="D791" s="10" t="n">
        <v>1123</v>
      </c>
      <c r="E791" s="12" t="s">
        <v>309</v>
      </c>
      <c r="F791" s="10" t="n">
        <v>24</v>
      </c>
      <c r="G791" s="12" t="s">
        <v>31</v>
      </c>
      <c r="H791" s="10" t="n">
        <v>1110202</v>
      </c>
      <c r="I791" s="12" t="s">
        <v>90</v>
      </c>
      <c r="J791" s="10" t="n">
        <v>1429538</v>
      </c>
      <c r="L791" s="10" t="n">
        <v>43986</v>
      </c>
      <c r="M791" s="12" t="s">
        <v>33</v>
      </c>
      <c r="N791" s="12" t="s">
        <v>66</v>
      </c>
      <c r="P791" s="10" t="n">
        <v>103</v>
      </c>
      <c r="Q791" s="12" t="s">
        <v>35</v>
      </c>
      <c r="R791" s="12" t="s">
        <v>36</v>
      </c>
      <c r="S791" s="10" t="n">
        <v>1130101</v>
      </c>
      <c r="T791" s="12" t="s">
        <v>37</v>
      </c>
      <c r="U791" s="13" t="n">
        <v>1840</v>
      </c>
      <c r="W791" s="13" t="n">
        <v>0</v>
      </c>
      <c r="X791" s="12" t="s">
        <v>1046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46224</v>
      </c>
      <c r="C792" s="11" t="n">
        <v>46227</v>
      </c>
      <c r="D792" s="10" t="n">
        <v>1328</v>
      </c>
      <c r="E792" s="12" t="s">
        <v>186</v>
      </c>
      <c r="F792" s="10" t="n">
        <v>24</v>
      </c>
      <c r="G792" s="12" t="s">
        <v>31</v>
      </c>
      <c r="H792" s="10" t="n">
        <v>1110202</v>
      </c>
      <c r="I792" s="12" t="s">
        <v>90</v>
      </c>
      <c r="J792" s="10" t="n">
        <v>1427862</v>
      </c>
      <c r="L792" s="10" t="n">
        <v>4110</v>
      </c>
      <c r="M792" s="12" t="s">
        <v>33</v>
      </c>
      <c r="N792" s="12" t="s">
        <v>66</v>
      </c>
      <c r="P792" s="10" t="n">
        <v>103</v>
      </c>
      <c r="Q792" s="12" t="s">
        <v>35</v>
      </c>
      <c r="R792" s="12" t="s">
        <v>36</v>
      </c>
      <c r="S792" s="10" t="n">
        <v>1130101</v>
      </c>
      <c r="T792" s="12" t="s">
        <v>37</v>
      </c>
      <c r="U792" s="13" t="n">
        <v>422</v>
      </c>
      <c r="W792" s="13" t="n">
        <v>0</v>
      </c>
      <c r="X792" s="12" t="s">
        <v>1047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46202</v>
      </c>
      <c r="C793" s="11" t="n">
        <v>46227</v>
      </c>
      <c r="D793" s="10" t="n">
        <v>1740</v>
      </c>
      <c r="E793" s="12" t="s">
        <v>312</v>
      </c>
      <c r="F793" s="10" t="n">
        <v>24</v>
      </c>
      <c r="G793" s="12" t="s">
        <v>31</v>
      </c>
      <c r="H793" s="10" t="n">
        <v>2110101</v>
      </c>
      <c r="I793" s="12" t="s">
        <v>32</v>
      </c>
      <c r="J793" s="10" t="n">
        <v>1322290</v>
      </c>
      <c r="L793" s="10" t="n">
        <v>1241434</v>
      </c>
      <c r="M793" s="12" t="s">
        <v>40</v>
      </c>
      <c r="N793" s="12" t="s">
        <v>34</v>
      </c>
      <c r="P793" s="10" t="n">
        <v>103</v>
      </c>
      <c r="Q793" s="12" t="s">
        <v>35</v>
      </c>
      <c r="R793" s="12" t="s">
        <v>36</v>
      </c>
      <c r="S793" s="10" t="n">
        <v>1130101</v>
      </c>
      <c r="T793" s="12" t="s">
        <v>37</v>
      </c>
      <c r="U793" s="13" t="n">
        <v>537.72</v>
      </c>
      <c r="W793" s="13" t="n">
        <v>0</v>
      </c>
      <c r="X793" s="12" t="s">
        <v>1048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46226</v>
      </c>
      <c r="C794" s="11" t="n">
        <v>46227</v>
      </c>
      <c r="D794" s="10" t="n">
        <v>1899</v>
      </c>
      <c r="E794" s="12" t="s">
        <v>131</v>
      </c>
      <c r="F794" s="10" t="n">
        <v>24</v>
      </c>
      <c r="G794" s="12" t="s">
        <v>31</v>
      </c>
      <c r="H794" s="10" t="n">
        <v>1110202</v>
      </c>
      <c r="I794" s="12" t="s">
        <v>90</v>
      </c>
      <c r="J794" s="10" t="n">
        <v>1439157</v>
      </c>
      <c r="L794" s="10" t="n">
        <v>725</v>
      </c>
      <c r="M794" s="12" t="s">
        <v>33</v>
      </c>
      <c r="N794" s="12" t="s">
        <v>66</v>
      </c>
      <c r="P794" s="10" t="n">
        <v>103</v>
      </c>
      <c r="Q794" s="12" t="s">
        <v>35</v>
      </c>
      <c r="R794" s="12" t="s">
        <v>36</v>
      </c>
      <c r="S794" s="10" t="n">
        <v>1130101</v>
      </c>
      <c r="T794" s="12" t="s">
        <v>37</v>
      </c>
      <c r="U794" s="13" t="n">
        <v>1120</v>
      </c>
      <c r="W794" s="13" t="n">
        <v>0</v>
      </c>
      <c r="X794" s="12" t="s">
        <v>1049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46172</v>
      </c>
      <c r="C795" s="11" t="n">
        <v>46227</v>
      </c>
      <c r="D795" s="10" t="n">
        <v>607</v>
      </c>
      <c r="E795" s="12" t="s">
        <v>81</v>
      </c>
      <c r="F795" s="10" t="n">
        <v>24</v>
      </c>
      <c r="G795" s="12" t="s">
        <v>31</v>
      </c>
      <c r="H795" s="10" t="n">
        <v>2110101</v>
      </c>
      <c r="I795" s="12" t="s">
        <v>32</v>
      </c>
      <c r="J795" s="10" t="n">
        <v>1177249</v>
      </c>
      <c r="L795" s="10" t="n">
        <v>10589</v>
      </c>
      <c r="M795" s="12" t="s">
        <v>448</v>
      </c>
      <c r="N795" s="12" t="s">
        <v>34</v>
      </c>
      <c r="P795" s="10" t="n">
        <v>103</v>
      </c>
      <c r="Q795" s="12" t="s">
        <v>35</v>
      </c>
      <c r="R795" s="12" t="s">
        <v>36</v>
      </c>
      <c r="S795" s="10" t="n">
        <v>1130101</v>
      </c>
      <c r="T795" s="12" t="s">
        <v>37</v>
      </c>
      <c r="U795" s="13" t="n">
        <v>1060.88</v>
      </c>
      <c r="W795" s="13" t="n">
        <v>0</v>
      </c>
      <c r="X795" s="12" t="s">
        <v>1050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46225</v>
      </c>
      <c r="C796" s="11" t="n">
        <v>46227</v>
      </c>
      <c r="D796" s="10" t="n">
        <v>1276</v>
      </c>
      <c r="E796" s="12" t="s">
        <v>675</v>
      </c>
      <c r="F796" s="10" t="n">
        <v>24</v>
      </c>
      <c r="G796" s="12" t="s">
        <v>31</v>
      </c>
      <c r="H796" s="10" t="n">
        <v>1110202</v>
      </c>
      <c r="I796" s="12" t="s">
        <v>90</v>
      </c>
      <c r="J796" s="10" t="n">
        <v>1435831</v>
      </c>
      <c r="L796" s="10" t="n">
        <v>3067</v>
      </c>
      <c r="M796" s="12" t="s">
        <v>33</v>
      </c>
      <c r="N796" s="12" t="s">
        <v>66</v>
      </c>
      <c r="P796" s="10" t="n">
        <v>103</v>
      </c>
      <c r="Q796" s="12" t="s">
        <v>35</v>
      </c>
      <c r="R796" s="12" t="s">
        <v>36</v>
      </c>
      <c r="S796" s="10" t="n">
        <v>1130101</v>
      </c>
      <c r="T796" s="12" t="s">
        <v>37</v>
      </c>
      <c r="U796" s="13" t="n">
        <v>1393.5</v>
      </c>
      <c r="W796" s="13" t="n">
        <v>0</v>
      </c>
      <c r="X796" s="12" t="s">
        <v>1051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46224</v>
      </c>
      <c r="C797" s="11" t="n">
        <v>46227</v>
      </c>
      <c r="D797" s="10" t="n">
        <v>1024</v>
      </c>
      <c r="E797" s="12" t="s">
        <v>314</v>
      </c>
      <c r="F797" s="10" t="n">
        <v>24</v>
      </c>
      <c r="G797" s="12" t="s">
        <v>31</v>
      </c>
      <c r="H797" s="10" t="n">
        <v>1110202</v>
      </c>
      <c r="I797" s="12" t="s">
        <v>90</v>
      </c>
      <c r="J797" s="10" t="n">
        <v>1429597</v>
      </c>
      <c r="L797" s="10" t="n">
        <v>605021</v>
      </c>
      <c r="M797" s="12" t="s">
        <v>33</v>
      </c>
      <c r="N797" s="12" t="s">
        <v>66</v>
      </c>
      <c r="P797" s="10" t="n">
        <v>103</v>
      </c>
      <c r="Q797" s="12" t="s">
        <v>35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0</v>
      </c>
      <c r="X797" s="12" t="s">
        <v>1052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46227</v>
      </c>
      <c r="C798" s="11" t="n">
        <v>46227</v>
      </c>
      <c r="D798" s="10" t="n">
        <v>33</v>
      </c>
      <c r="E798" s="12" t="s">
        <v>64</v>
      </c>
      <c r="F798" s="10" t="n">
        <v>34</v>
      </c>
      <c r="G798" s="12" t="s">
        <v>49</v>
      </c>
      <c r="H798" s="10" t="n">
        <v>2110101</v>
      </c>
      <c r="I798" s="12" t="s">
        <v>32</v>
      </c>
      <c r="J798" s="10" t="n">
        <v>1444502</v>
      </c>
      <c r="L798" s="10" t="n">
        <v>5343</v>
      </c>
      <c r="M798" s="12" t="s">
        <v>33</v>
      </c>
      <c r="N798" s="12" t="s">
        <v>34</v>
      </c>
      <c r="P798" s="10" t="n">
        <v>104</v>
      </c>
      <c r="Q798" s="12" t="s">
        <v>50</v>
      </c>
      <c r="R798" s="12" t="s">
        <v>36</v>
      </c>
      <c r="S798" s="10" t="n">
        <v>1130101</v>
      </c>
      <c r="T798" s="12" t="s">
        <v>37</v>
      </c>
      <c r="U798" s="13" t="n">
        <v>2970</v>
      </c>
      <c r="W798" s="13" t="n">
        <v>0</v>
      </c>
      <c r="X798" s="12" t="s">
        <v>364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46223</v>
      </c>
      <c r="C799" s="11" t="n">
        <v>46227</v>
      </c>
      <c r="D799" s="10" t="n">
        <v>1292</v>
      </c>
      <c r="E799" s="12" t="s">
        <v>369</v>
      </c>
      <c r="F799" s="10" t="n">
        <v>24</v>
      </c>
      <c r="G799" s="12" t="s">
        <v>31</v>
      </c>
      <c r="H799" s="10" t="n">
        <v>1110202</v>
      </c>
      <c r="I799" s="12" t="s">
        <v>90</v>
      </c>
      <c r="J799" s="10" t="n">
        <v>1425396</v>
      </c>
      <c r="L799" s="10" t="n">
        <v>3634</v>
      </c>
      <c r="M799" s="12" t="s">
        <v>33</v>
      </c>
      <c r="N799" s="12" t="s">
        <v>66</v>
      </c>
      <c r="P799" s="10" t="n">
        <v>103</v>
      </c>
      <c r="Q799" s="12" t="s">
        <v>35</v>
      </c>
      <c r="R799" s="12" t="s">
        <v>36</v>
      </c>
      <c r="S799" s="10" t="n">
        <v>1130101</v>
      </c>
      <c r="T799" s="12" t="s">
        <v>37</v>
      </c>
      <c r="U799" s="13" t="n">
        <v>2108.5</v>
      </c>
      <c r="W799" s="13" t="n">
        <v>0</v>
      </c>
      <c r="X799" s="12" t="s">
        <v>1053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46213</v>
      </c>
      <c r="C800" s="11" t="n">
        <v>46227</v>
      </c>
      <c r="D800" s="10" t="n">
        <v>1666</v>
      </c>
      <c r="E800" s="12" t="s">
        <v>139</v>
      </c>
      <c r="F800" s="10" t="n">
        <v>24</v>
      </c>
      <c r="G800" s="12" t="s">
        <v>31</v>
      </c>
      <c r="H800" s="10" t="n">
        <v>1110202</v>
      </c>
      <c r="I800" s="12" t="s">
        <v>90</v>
      </c>
      <c r="J800" s="10" t="n">
        <v>1376853</v>
      </c>
      <c r="L800" s="10" t="n">
        <v>566688</v>
      </c>
      <c r="M800" s="12" t="s">
        <v>76</v>
      </c>
      <c r="N800" s="12" t="s">
        <v>66</v>
      </c>
      <c r="P800" s="10" t="n">
        <v>103</v>
      </c>
      <c r="Q800" s="12" t="s">
        <v>35</v>
      </c>
      <c r="R800" s="12" t="s">
        <v>36</v>
      </c>
      <c r="S800" s="10" t="n">
        <v>1130101</v>
      </c>
      <c r="T800" s="12" t="s">
        <v>37</v>
      </c>
      <c r="U800" s="13" t="n">
        <v>6643.67</v>
      </c>
      <c r="W800" s="13" t="n">
        <v>0</v>
      </c>
      <c r="X800" s="12" t="s">
        <v>1054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46219</v>
      </c>
      <c r="C801" s="11" t="n">
        <v>46227</v>
      </c>
      <c r="D801" s="10" t="n">
        <v>10010</v>
      </c>
      <c r="E801" s="12" t="s">
        <v>536</v>
      </c>
      <c r="F801" s="10" t="n">
        <v>24</v>
      </c>
      <c r="G801" s="12" t="s">
        <v>31</v>
      </c>
      <c r="H801" s="10" t="n">
        <v>1110202</v>
      </c>
      <c r="I801" s="12" t="s">
        <v>90</v>
      </c>
      <c r="J801" s="10" t="n">
        <v>1407193</v>
      </c>
      <c r="L801" s="10" t="n">
        <v>42934</v>
      </c>
      <c r="M801" s="12" t="s">
        <v>33</v>
      </c>
      <c r="N801" s="12" t="s">
        <v>66</v>
      </c>
      <c r="P801" s="10" t="n">
        <v>103</v>
      </c>
      <c r="Q801" s="12" t="s">
        <v>35</v>
      </c>
      <c r="R801" s="12" t="s">
        <v>36</v>
      </c>
      <c r="S801" s="10" t="n">
        <v>1130101</v>
      </c>
      <c r="T801" s="12" t="s">
        <v>37</v>
      </c>
      <c r="U801" s="13" t="n">
        <v>304.8</v>
      </c>
      <c r="W801" s="13" t="n">
        <v>0</v>
      </c>
      <c r="X801" s="12" t="s">
        <v>1055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46198</v>
      </c>
      <c r="C802" s="11" t="n">
        <v>46227</v>
      </c>
      <c r="D802" s="10" t="n">
        <v>536</v>
      </c>
      <c r="E802" s="12" t="s">
        <v>1056</v>
      </c>
      <c r="F802" s="10" t="n">
        <v>24</v>
      </c>
      <c r="G802" s="12" t="s">
        <v>31</v>
      </c>
      <c r="H802" s="10" t="n">
        <v>2110405</v>
      </c>
      <c r="I802" s="12" t="s">
        <v>153</v>
      </c>
      <c r="J802" s="10" t="n">
        <v>847424</v>
      </c>
      <c r="L802" s="10" t="n">
        <v>363545</v>
      </c>
      <c r="M802" s="12" t="s">
        <v>448</v>
      </c>
      <c r="N802" s="12" t="s">
        <v>66</v>
      </c>
      <c r="P802" s="10" t="n">
        <v>102</v>
      </c>
      <c r="Q802" s="12" t="s">
        <v>112</v>
      </c>
      <c r="R802" s="12" t="s">
        <v>94</v>
      </c>
      <c r="S802" s="10" t="n">
        <v>4210227</v>
      </c>
      <c r="T802" s="12" t="s">
        <v>573</v>
      </c>
      <c r="U802" s="13" t="n">
        <v>1001.34</v>
      </c>
      <c r="W802" s="13" t="n">
        <v>0</v>
      </c>
      <c r="X802" s="12" t="s">
        <v>1057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46211</v>
      </c>
      <c r="C803" s="11" t="n">
        <v>46228</v>
      </c>
      <c r="D803" s="10" t="n">
        <v>10093</v>
      </c>
      <c r="E803" s="12" t="s">
        <v>1058</v>
      </c>
      <c r="F803" s="10" t="n">
        <v>24</v>
      </c>
      <c r="G803" s="12" t="s">
        <v>31</v>
      </c>
      <c r="H803" s="10" t="n">
        <v>1110202</v>
      </c>
      <c r="I803" s="12" t="s">
        <v>90</v>
      </c>
      <c r="J803" s="10" t="n">
        <v>1448866</v>
      </c>
      <c r="L803" s="10" t="n">
        <v>109</v>
      </c>
      <c r="M803" s="12" t="s">
        <v>33</v>
      </c>
      <c r="N803" s="12" t="s">
        <v>66</v>
      </c>
      <c r="P803" s="10" t="n">
        <v>103</v>
      </c>
      <c r="Q803" s="12" t="s">
        <v>35</v>
      </c>
      <c r="R803" s="12" t="s">
        <v>36</v>
      </c>
      <c r="S803" s="10" t="n">
        <v>1130101</v>
      </c>
      <c r="T803" s="12" t="s">
        <v>37</v>
      </c>
      <c r="U803" s="13" t="n">
        <v>309.99</v>
      </c>
      <c r="W803" s="13" t="n">
        <v>0</v>
      </c>
      <c r="X803" s="12" t="s">
        <v>1059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46039</v>
      </c>
      <c r="C804" s="11" t="n">
        <v>46228</v>
      </c>
      <c r="D804" s="10" t="n">
        <v>438</v>
      </c>
      <c r="E804" s="12" t="s">
        <v>1060</v>
      </c>
      <c r="F804" s="10" t="n">
        <v>36</v>
      </c>
      <c r="G804" s="12" t="s">
        <v>1061</v>
      </c>
      <c r="H804" s="10" t="n">
        <v>2110101</v>
      </c>
      <c r="I804" s="12" t="s">
        <v>32</v>
      </c>
      <c r="J804" s="10" t="n">
        <v>535198</v>
      </c>
      <c r="L804" s="10" t="n">
        <v>6277</v>
      </c>
      <c r="M804" s="12" t="s">
        <v>116</v>
      </c>
      <c r="N804" s="12" t="s">
        <v>34</v>
      </c>
      <c r="P804" s="10" t="n">
        <v>103</v>
      </c>
      <c r="Q804" s="12" t="s">
        <v>35</v>
      </c>
      <c r="R804" s="12" t="s">
        <v>36</v>
      </c>
      <c r="S804" s="10" t="n">
        <v>1130101</v>
      </c>
      <c r="T804" s="12" t="s">
        <v>37</v>
      </c>
      <c r="U804" s="13" t="n">
        <v>666.65</v>
      </c>
      <c r="W804" s="13" t="n">
        <v>0</v>
      </c>
      <c r="X804" s="12" t="s">
        <v>1062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46198</v>
      </c>
      <c r="C805" s="11" t="n">
        <v>46228</v>
      </c>
      <c r="D805" s="10" t="n">
        <v>875</v>
      </c>
      <c r="E805" s="12" t="s">
        <v>1063</v>
      </c>
      <c r="F805" s="10" t="n">
        <v>36</v>
      </c>
      <c r="G805" s="12" t="s">
        <v>1061</v>
      </c>
      <c r="H805" s="10" t="n">
        <v>2110101</v>
      </c>
      <c r="I805" s="12" t="s">
        <v>32</v>
      </c>
      <c r="J805" s="10" t="n">
        <v>1305944</v>
      </c>
      <c r="L805" s="10" t="n">
        <v>540382</v>
      </c>
      <c r="M805" s="12" t="s">
        <v>76</v>
      </c>
      <c r="N805" s="12" t="s">
        <v>66</v>
      </c>
      <c r="P805" s="10" t="n">
        <v>102</v>
      </c>
      <c r="Q805" s="12" t="s">
        <v>112</v>
      </c>
      <c r="R805" s="12" t="s">
        <v>36</v>
      </c>
      <c r="S805" s="10" t="n">
        <v>1130101</v>
      </c>
      <c r="T805" s="12" t="s">
        <v>37</v>
      </c>
      <c r="U805" s="13" t="n">
        <v>2564.18</v>
      </c>
      <c r="W805" s="13" t="n">
        <v>0</v>
      </c>
      <c r="X805" s="12" t="s">
        <v>1064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46213</v>
      </c>
      <c r="C806" s="11" t="n">
        <v>46228</v>
      </c>
      <c r="D806" s="10" t="n">
        <v>10090</v>
      </c>
      <c r="E806" s="12" t="s">
        <v>664</v>
      </c>
      <c r="F806" s="10" t="n">
        <v>24</v>
      </c>
      <c r="G806" s="12" t="s">
        <v>31</v>
      </c>
      <c r="H806" s="10" t="n">
        <v>1110202</v>
      </c>
      <c r="I806" s="12" t="s">
        <v>90</v>
      </c>
      <c r="J806" s="10" t="n">
        <v>1377385</v>
      </c>
      <c r="L806" s="10" t="n">
        <v>271</v>
      </c>
      <c r="M806" s="12" t="s">
        <v>76</v>
      </c>
      <c r="N806" s="12" t="s">
        <v>66</v>
      </c>
      <c r="P806" s="10" t="n">
        <v>103</v>
      </c>
      <c r="Q806" s="12" t="s">
        <v>35</v>
      </c>
      <c r="R806" s="12" t="s">
        <v>36</v>
      </c>
      <c r="S806" s="10" t="n">
        <v>1130101</v>
      </c>
      <c r="T806" s="12" t="s">
        <v>37</v>
      </c>
      <c r="U806" s="13" t="n">
        <v>1646.64</v>
      </c>
      <c r="W806" s="13" t="n">
        <v>0</v>
      </c>
      <c r="X806" s="12" t="s">
        <v>1065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46216</v>
      </c>
      <c r="C807" s="11" t="n">
        <v>46228</v>
      </c>
      <c r="D807" s="10" t="n">
        <v>1705</v>
      </c>
      <c r="E807" s="12" t="s">
        <v>46</v>
      </c>
      <c r="F807" s="10" t="n">
        <v>24</v>
      </c>
      <c r="G807" s="12" t="s">
        <v>31</v>
      </c>
      <c r="H807" s="10" t="n">
        <v>1110202</v>
      </c>
      <c r="I807" s="12" t="s">
        <v>90</v>
      </c>
      <c r="J807" s="10" t="n">
        <v>1392596</v>
      </c>
      <c r="L807" s="10" t="n">
        <v>1929170</v>
      </c>
      <c r="M807" s="12" t="s">
        <v>33</v>
      </c>
      <c r="N807" s="12" t="s">
        <v>66</v>
      </c>
      <c r="P807" s="10" t="n">
        <v>103</v>
      </c>
      <c r="Q807" s="12" t="s">
        <v>35</v>
      </c>
      <c r="R807" s="12" t="s">
        <v>36</v>
      </c>
      <c r="S807" s="10" t="n">
        <v>1130101</v>
      </c>
      <c r="T807" s="12" t="s">
        <v>37</v>
      </c>
      <c r="U807" s="13" t="n">
        <v>5949.9</v>
      </c>
      <c r="W807" s="13" t="n">
        <v>0</v>
      </c>
      <c r="X807" s="12" t="s">
        <v>1066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46216</v>
      </c>
      <c r="C808" s="11" t="n">
        <v>46228</v>
      </c>
      <c r="D808" s="10" t="n">
        <v>1705</v>
      </c>
      <c r="E808" s="12" t="s">
        <v>46</v>
      </c>
      <c r="F808" s="10" t="n">
        <v>24</v>
      </c>
      <c r="G808" s="12" t="s">
        <v>31</v>
      </c>
      <c r="H808" s="10" t="n">
        <v>1110202</v>
      </c>
      <c r="I808" s="12" t="s">
        <v>90</v>
      </c>
      <c r="J808" s="10" t="n">
        <v>1392644</v>
      </c>
      <c r="L808" s="10" t="n">
        <v>1198018</v>
      </c>
      <c r="M808" s="12" t="s">
        <v>33</v>
      </c>
      <c r="N808" s="12" t="s">
        <v>66</v>
      </c>
      <c r="P808" s="10" t="n">
        <v>103</v>
      </c>
      <c r="Q808" s="12" t="s">
        <v>35</v>
      </c>
      <c r="R808" s="12" t="s">
        <v>36</v>
      </c>
      <c r="S808" s="10" t="n">
        <v>1130101</v>
      </c>
      <c r="T808" s="12" t="s">
        <v>37</v>
      </c>
      <c r="U808" s="13" t="n">
        <v>1291.62</v>
      </c>
      <c r="W808" s="13" t="n">
        <v>0</v>
      </c>
      <c r="X808" s="12" t="s">
        <v>1067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46216</v>
      </c>
      <c r="C809" s="11" t="n">
        <v>46228</v>
      </c>
      <c r="D809" s="10" t="n">
        <v>1705</v>
      </c>
      <c r="E809" s="12" t="s">
        <v>46</v>
      </c>
      <c r="F809" s="10" t="n">
        <v>24</v>
      </c>
      <c r="G809" s="12" t="s">
        <v>31</v>
      </c>
      <c r="H809" s="10" t="n">
        <v>1110202</v>
      </c>
      <c r="I809" s="12" t="s">
        <v>90</v>
      </c>
      <c r="J809" s="10" t="n">
        <v>1392681</v>
      </c>
      <c r="L809" s="10" t="n">
        <v>1928560</v>
      </c>
      <c r="M809" s="12" t="s">
        <v>33</v>
      </c>
      <c r="N809" s="12" t="s">
        <v>66</v>
      </c>
      <c r="P809" s="10" t="n">
        <v>103</v>
      </c>
      <c r="Q809" s="12" t="s">
        <v>35</v>
      </c>
      <c r="R809" s="12" t="s">
        <v>36</v>
      </c>
      <c r="S809" s="10" t="n">
        <v>1130101</v>
      </c>
      <c r="T809" s="12" t="s">
        <v>37</v>
      </c>
      <c r="U809" s="13" t="n">
        <v>224.97</v>
      </c>
      <c r="W809" s="13" t="n">
        <v>0</v>
      </c>
      <c r="X809" s="12" t="s">
        <v>1068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46219</v>
      </c>
      <c r="C810" s="11" t="n">
        <v>46228</v>
      </c>
      <c r="D810" s="10" t="n">
        <v>1723</v>
      </c>
      <c r="E810" s="12" t="s">
        <v>378</v>
      </c>
      <c r="F810" s="10" t="n">
        <v>24</v>
      </c>
      <c r="G810" s="12" t="s">
        <v>31</v>
      </c>
      <c r="H810" s="10" t="n">
        <v>1110202</v>
      </c>
      <c r="I810" s="12" t="s">
        <v>90</v>
      </c>
      <c r="J810" s="10" t="n">
        <v>1406990</v>
      </c>
      <c r="L810" s="10" t="n">
        <v>173212</v>
      </c>
      <c r="M810" s="12" t="s">
        <v>33</v>
      </c>
      <c r="N810" s="12" t="s">
        <v>66</v>
      </c>
      <c r="P810" s="10" t="n">
        <v>103</v>
      </c>
      <c r="Q810" s="12" t="s">
        <v>35</v>
      </c>
      <c r="R810" s="12" t="s">
        <v>36</v>
      </c>
      <c r="S810" s="10" t="n">
        <v>1130101</v>
      </c>
      <c r="T810" s="12" t="s">
        <v>37</v>
      </c>
      <c r="U810" s="13" t="n">
        <v>3528.5</v>
      </c>
      <c r="W810" s="13" t="n">
        <v>0</v>
      </c>
      <c r="X810" s="12" t="s">
        <v>1069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46227</v>
      </c>
      <c r="C811" s="11" t="n">
        <v>46228</v>
      </c>
      <c r="D811" s="10" t="n">
        <v>1615</v>
      </c>
      <c r="E811" s="12" t="s">
        <v>48</v>
      </c>
      <c r="F811" s="10" t="n">
        <v>34</v>
      </c>
      <c r="G811" s="12" t="s">
        <v>49</v>
      </c>
      <c r="H811" s="10" t="n">
        <v>2110101</v>
      </c>
      <c r="I811" s="12" t="s">
        <v>32</v>
      </c>
      <c r="J811" s="10" t="n">
        <v>1444868</v>
      </c>
      <c r="L811" s="10" t="n">
        <v>14945</v>
      </c>
      <c r="M811" s="12" t="s">
        <v>33</v>
      </c>
      <c r="N811" s="12" t="s">
        <v>34</v>
      </c>
      <c r="P811" s="10" t="n">
        <v>104</v>
      </c>
      <c r="Q811" s="12" t="s">
        <v>50</v>
      </c>
      <c r="R811" s="12" t="s">
        <v>36</v>
      </c>
      <c r="S811" s="10" t="n">
        <v>1130101</v>
      </c>
      <c r="T811" s="12" t="s">
        <v>37</v>
      </c>
      <c r="U811" s="13" t="n">
        <v>490</v>
      </c>
      <c r="W811" s="13" t="n">
        <v>0</v>
      </c>
      <c r="X811" s="12" t="s">
        <v>1070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46217</v>
      </c>
      <c r="C812" s="11" t="n">
        <v>46228</v>
      </c>
      <c r="D812" s="10" t="n">
        <v>1269</v>
      </c>
      <c r="E812" s="12" t="s">
        <v>877</v>
      </c>
      <c r="F812" s="10" t="n">
        <v>24</v>
      </c>
      <c r="G812" s="12" t="s">
        <v>31</v>
      </c>
      <c r="H812" s="10" t="n">
        <v>1110202</v>
      </c>
      <c r="I812" s="12" t="s">
        <v>90</v>
      </c>
      <c r="J812" s="10" t="n">
        <v>1397166</v>
      </c>
      <c r="L812" s="10" t="n">
        <v>742</v>
      </c>
      <c r="M812" s="12" t="s">
        <v>76</v>
      </c>
      <c r="N812" s="12" t="s">
        <v>66</v>
      </c>
      <c r="P812" s="10" t="n">
        <v>103</v>
      </c>
      <c r="Q812" s="12" t="s">
        <v>35</v>
      </c>
      <c r="R812" s="12" t="s">
        <v>36</v>
      </c>
      <c r="S812" s="10" t="n">
        <v>1130101</v>
      </c>
      <c r="T812" s="12" t="s">
        <v>37</v>
      </c>
      <c r="U812" s="13" t="n">
        <v>607.5</v>
      </c>
      <c r="W812" s="13" t="n">
        <v>0</v>
      </c>
      <c r="X812" s="12" t="s">
        <v>1071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46206</v>
      </c>
      <c r="C813" s="11" t="n">
        <v>46228</v>
      </c>
      <c r="D813" s="10" t="n">
        <v>1608</v>
      </c>
      <c r="E813" s="12" t="s">
        <v>52</v>
      </c>
      <c r="F813" s="10" t="n">
        <v>24</v>
      </c>
      <c r="G813" s="12" t="s">
        <v>31</v>
      </c>
      <c r="H813" s="10" t="n">
        <v>2110101</v>
      </c>
      <c r="I813" s="12" t="s">
        <v>32</v>
      </c>
      <c r="J813" s="10" t="n">
        <v>1344441</v>
      </c>
      <c r="L813" s="10" t="n">
        <v>1686012</v>
      </c>
      <c r="M813" s="12" t="s">
        <v>33</v>
      </c>
      <c r="N813" s="12" t="s">
        <v>34</v>
      </c>
      <c r="P813" s="10" t="n">
        <v>103</v>
      </c>
      <c r="Q813" s="12" t="s">
        <v>35</v>
      </c>
      <c r="R813" s="12" t="s">
        <v>36</v>
      </c>
      <c r="S813" s="10" t="n">
        <v>1130101</v>
      </c>
      <c r="T813" s="12" t="s">
        <v>37</v>
      </c>
      <c r="U813" s="13" t="n">
        <v>1731.24</v>
      </c>
      <c r="W813" s="13" t="n">
        <v>0</v>
      </c>
      <c r="X813" s="12" t="s">
        <v>1072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46203</v>
      </c>
      <c r="C814" s="11" t="n">
        <v>46228</v>
      </c>
      <c r="D814" s="10" t="n">
        <v>495</v>
      </c>
      <c r="E814" s="12" t="s">
        <v>1073</v>
      </c>
      <c r="F814" s="10" t="n">
        <v>36</v>
      </c>
      <c r="G814" s="12" t="s">
        <v>1061</v>
      </c>
      <c r="H814" s="10" t="n">
        <v>1110202</v>
      </c>
      <c r="I814" s="12" t="s">
        <v>90</v>
      </c>
      <c r="J814" s="10" t="n">
        <v>1473941</v>
      </c>
      <c r="L814" s="10" t="n">
        <v>605539</v>
      </c>
      <c r="M814" s="12" t="s">
        <v>33</v>
      </c>
      <c r="N814" s="12" t="s">
        <v>66</v>
      </c>
      <c r="P814" s="10" t="n">
        <v>101</v>
      </c>
      <c r="Q814" s="12" t="s">
        <v>84</v>
      </c>
      <c r="R814" s="12" t="s">
        <v>94</v>
      </c>
      <c r="S814" s="10" t="n">
        <v>4210209</v>
      </c>
      <c r="T814" s="12" t="s">
        <v>639</v>
      </c>
      <c r="U814" s="13" t="n">
        <v>74</v>
      </c>
      <c r="W814" s="13" t="n">
        <v>0</v>
      </c>
      <c r="X814" s="12" t="s">
        <v>1074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46228</v>
      </c>
      <c r="C815" s="11" t="n">
        <v>46228</v>
      </c>
      <c r="D815" s="10" t="n">
        <v>978</v>
      </c>
      <c r="E815" s="12" t="s">
        <v>54</v>
      </c>
      <c r="F815" s="10" t="n">
        <v>13</v>
      </c>
      <c r="G815" s="12" t="s">
        <v>55</v>
      </c>
      <c r="H815" s="10" t="n">
        <v>2110101</v>
      </c>
      <c r="I815" s="12" t="s">
        <v>32</v>
      </c>
      <c r="J815" s="10" t="n">
        <v>1459639</v>
      </c>
      <c r="L815" s="10" t="n">
        <v>394</v>
      </c>
      <c r="M815" s="12" t="s">
        <v>33</v>
      </c>
      <c r="N815" s="12" t="s">
        <v>34</v>
      </c>
      <c r="P815" s="10" t="n">
        <v>104</v>
      </c>
      <c r="Q815" s="12" t="s">
        <v>50</v>
      </c>
      <c r="R815" s="12" t="s">
        <v>36</v>
      </c>
      <c r="S815" s="10" t="n">
        <v>1130101</v>
      </c>
      <c r="T815" s="12" t="s">
        <v>37</v>
      </c>
      <c r="U815" s="13" t="n">
        <v>518</v>
      </c>
      <c r="W815" s="13" t="n">
        <v>0</v>
      </c>
      <c r="X815" s="12" t="s">
        <v>1075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46228</v>
      </c>
      <c r="C816" s="11" t="n">
        <v>46228</v>
      </c>
      <c r="D816" s="10" t="n">
        <v>10096</v>
      </c>
      <c r="E816" s="12" t="s">
        <v>844</v>
      </c>
      <c r="F816" s="10" t="n">
        <v>13</v>
      </c>
      <c r="G816" s="12" t="s">
        <v>55</v>
      </c>
      <c r="H816" s="10" t="n">
        <v>2110101</v>
      </c>
      <c r="I816" s="12" t="s">
        <v>32</v>
      </c>
      <c r="J816" s="10" t="n">
        <v>1459678</v>
      </c>
      <c r="L816" s="10" t="n">
        <v>80</v>
      </c>
      <c r="M816" s="12" t="s">
        <v>33</v>
      </c>
      <c r="N816" s="12" t="s">
        <v>34</v>
      </c>
      <c r="P816" s="10" t="n">
        <v>104</v>
      </c>
      <c r="Q816" s="12" t="s">
        <v>50</v>
      </c>
      <c r="R816" s="12" t="s">
        <v>36</v>
      </c>
      <c r="S816" s="10" t="n">
        <v>1130101</v>
      </c>
      <c r="T816" s="12" t="s">
        <v>37</v>
      </c>
      <c r="U816" s="13" t="n">
        <v>420</v>
      </c>
      <c r="W816" s="13" t="n">
        <v>0</v>
      </c>
      <c r="X816" s="12" t="s">
        <v>1076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46224</v>
      </c>
      <c r="C817" s="11" t="n">
        <v>46228</v>
      </c>
      <c r="D817" s="10" t="n">
        <v>1363</v>
      </c>
      <c r="E817" s="12" t="s">
        <v>177</v>
      </c>
      <c r="F817" s="10" t="n">
        <v>24</v>
      </c>
      <c r="G817" s="12" t="s">
        <v>31</v>
      </c>
      <c r="H817" s="10" t="n">
        <v>1110202</v>
      </c>
      <c r="I817" s="12" t="s">
        <v>90</v>
      </c>
      <c r="J817" s="10" t="n">
        <v>1429373</v>
      </c>
      <c r="L817" s="10" t="n">
        <v>3576</v>
      </c>
      <c r="M817" s="12" t="s">
        <v>33</v>
      </c>
      <c r="N817" s="12" t="s">
        <v>66</v>
      </c>
      <c r="P817" s="10" t="n">
        <v>103</v>
      </c>
      <c r="Q817" s="12" t="s">
        <v>35</v>
      </c>
      <c r="R817" s="12" t="s">
        <v>36</v>
      </c>
      <c r="S817" s="10" t="n">
        <v>1130101</v>
      </c>
      <c r="T817" s="12" t="s">
        <v>37</v>
      </c>
      <c r="U817" s="13" t="n">
        <v>274</v>
      </c>
      <c r="W817" s="13" t="n">
        <v>0</v>
      </c>
      <c r="X817" s="12" t="s">
        <v>1077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46038</v>
      </c>
      <c r="C818" s="11" t="n">
        <v>46228</v>
      </c>
      <c r="D818" s="10" t="n">
        <v>10039</v>
      </c>
      <c r="E818" s="12" t="s">
        <v>1078</v>
      </c>
      <c r="F818" s="10" t="n">
        <v>36</v>
      </c>
      <c r="G818" s="12" t="s">
        <v>1061</v>
      </c>
      <c r="H818" s="10" t="n">
        <v>2110102</v>
      </c>
      <c r="I818" s="12" t="s">
        <v>197</v>
      </c>
      <c r="J818" s="10" t="n">
        <v>532309</v>
      </c>
      <c r="L818" s="10" t="n">
        <v>2543</v>
      </c>
      <c r="M818" s="12" t="s">
        <v>1079</v>
      </c>
      <c r="N818" s="12" t="s">
        <v>34</v>
      </c>
      <c r="P818" s="10" t="n">
        <v>101</v>
      </c>
      <c r="Q818" s="12" t="s">
        <v>84</v>
      </c>
      <c r="R818" s="12" t="s">
        <v>94</v>
      </c>
      <c r="S818" s="10" t="n">
        <v>4210204</v>
      </c>
      <c r="T818" s="12" t="s">
        <v>198</v>
      </c>
      <c r="U818" s="13" t="n">
        <v>285.77</v>
      </c>
      <c r="W818" s="13" t="n">
        <v>0</v>
      </c>
      <c r="X818" s="12" t="s">
        <v>1080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46078</v>
      </c>
      <c r="C819" s="11" t="n">
        <v>46228</v>
      </c>
      <c r="D819" s="10" t="n">
        <v>10039</v>
      </c>
      <c r="E819" s="12" t="s">
        <v>1078</v>
      </c>
      <c r="F819" s="10" t="n">
        <v>36</v>
      </c>
      <c r="G819" s="12" t="s">
        <v>1061</v>
      </c>
      <c r="H819" s="10" t="n">
        <v>2110405</v>
      </c>
      <c r="I819" s="12" t="s">
        <v>153</v>
      </c>
      <c r="J819" s="10" t="n">
        <v>717562</v>
      </c>
      <c r="L819" s="10" t="n">
        <v>313465</v>
      </c>
      <c r="M819" s="12" t="s">
        <v>116</v>
      </c>
      <c r="N819" s="12" t="s">
        <v>66</v>
      </c>
      <c r="P819" s="10" t="n">
        <v>103</v>
      </c>
      <c r="Q819" s="12" t="s">
        <v>35</v>
      </c>
      <c r="R819" s="12" t="s">
        <v>1081</v>
      </c>
      <c r="S819" s="10" t="n">
        <v>1240103</v>
      </c>
      <c r="T819" s="12" t="s">
        <v>1082</v>
      </c>
      <c r="U819" s="13" t="n">
        <v>212.45</v>
      </c>
      <c r="W819" s="13" t="n">
        <v>0</v>
      </c>
      <c r="X819" s="12" t="s">
        <v>1083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46098</v>
      </c>
      <c r="C820" s="11" t="n">
        <v>46228</v>
      </c>
      <c r="D820" s="10" t="n">
        <v>468</v>
      </c>
      <c r="E820" s="12" t="s">
        <v>1084</v>
      </c>
      <c r="F820" s="10" t="n">
        <v>36</v>
      </c>
      <c r="G820" s="12" t="s">
        <v>1061</v>
      </c>
      <c r="H820" s="10" t="n">
        <v>2110101</v>
      </c>
      <c r="I820" s="12" t="s">
        <v>32</v>
      </c>
      <c r="J820" s="10" t="n">
        <v>826843</v>
      </c>
      <c r="L820" s="10" t="n">
        <v>355659</v>
      </c>
      <c r="M820" s="12" t="s">
        <v>79</v>
      </c>
      <c r="N820" s="12" t="s">
        <v>66</v>
      </c>
      <c r="P820" s="10" t="n">
        <v>103</v>
      </c>
      <c r="Q820" s="12" t="s">
        <v>35</v>
      </c>
      <c r="R820" s="12" t="s">
        <v>36</v>
      </c>
      <c r="S820" s="10" t="n">
        <v>1130101</v>
      </c>
      <c r="T820" s="12" t="s">
        <v>37</v>
      </c>
      <c r="U820" s="13" t="n">
        <v>233.33</v>
      </c>
      <c r="W820" s="13" t="n">
        <v>0</v>
      </c>
      <c r="X820" s="12" t="s">
        <v>1085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46094</v>
      </c>
      <c r="C821" s="11" t="n">
        <v>46228</v>
      </c>
      <c r="D821" s="10" t="n">
        <v>468</v>
      </c>
      <c r="E821" s="12" t="s">
        <v>1084</v>
      </c>
      <c r="F821" s="10" t="n">
        <v>36</v>
      </c>
      <c r="G821" s="12" t="s">
        <v>1061</v>
      </c>
      <c r="H821" s="10" t="n">
        <v>2110405</v>
      </c>
      <c r="I821" s="12" t="s">
        <v>153</v>
      </c>
      <c r="J821" s="10" t="n">
        <v>1024118</v>
      </c>
      <c r="L821" s="10" t="n">
        <v>14289</v>
      </c>
      <c r="M821" s="12" t="s">
        <v>79</v>
      </c>
      <c r="N821" s="12" t="s">
        <v>66</v>
      </c>
      <c r="P821" s="10" t="n">
        <v>101</v>
      </c>
      <c r="Q821" s="12" t="s">
        <v>84</v>
      </c>
      <c r="R821" s="12" t="s">
        <v>1081</v>
      </c>
      <c r="S821" s="10" t="n">
        <v>1240103</v>
      </c>
      <c r="T821" s="12" t="s">
        <v>1082</v>
      </c>
      <c r="U821" s="13" t="n">
        <v>1197</v>
      </c>
      <c r="W821" s="13" t="n">
        <v>0</v>
      </c>
      <c r="X821" s="12" t="s">
        <v>1086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46223</v>
      </c>
      <c r="C822" s="11" t="n">
        <v>46228</v>
      </c>
      <c r="D822" s="10" t="n">
        <v>1625</v>
      </c>
      <c r="E822" s="12" t="s">
        <v>62</v>
      </c>
      <c r="F822" s="10" t="n">
        <v>24</v>
      </c>
      <c r="G822" s="12" t="s">
        <v>31</v>
      </c>
      <c r="H822" s="10" t="n">
        <v>1110202</v>
      </c>
      <c r="I822" s="12" t="s">
        <v>90</v>
      </c>
      <c r="J822" s="10" t="n">
        <v>1425041</v>
      </c>
      <c r="L822" s="10" t="n">
        <v>14750</v>
      </c>
      <c r="M822" s="12" t="s">
        <v>33</v>
      </c>
      <c r="N822" s="12" t="s">
        <v>66</v>
      </c>
      <c r="P822" s="10" t="n">
        <v>103</v>
      </c>
      <c r="Q822" s="12" t="s">
        <v>35</v>
      </c>
      <c r="R822" s="12" t="s">
        <v>36</v>
      </c>
      <c r="S822" s="10" t="n">
        <v>1130101</v>
      </c>
      <c r="T822" s="12" t="s">
        <v>37</v>
      </c>
      <c r="U822" s="13" t="n">
        <v>8621</v>
      </c>
      <c r="W822" s="13" t="n">
        <v>0</v>
      </c>
      <c r="X822" s="12" t="s">
        <v>1087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46228</v>
      </c>
      <c r="C823" s="11" t="n">
        <v>46228</v>
      </c>
      <c r="D823" s="10" t="n">
        <v>1173</v>
      </c>
      <c r="E823" s="12" t="s">
        <v>1088</v>
      </c>
      <c r="F823" s="10" t="n">
        <v>13</v>
      </c>
      <c r="G823" s="12" t="s">
        <v>55</v>
      </c>
      <c r="H823" s="10" t="n">
        <v>2110101</v>
      </c>
      <c r="I823" s="12" t="s">
        <v>32</v>
      </c>
      <c r="J823" s="10" t="n">
        <v>1459790</v>
      </c>
      <c r="L823" s="10" t="n">
        <v>1036</v>
      </c>
      <c r="M823" s="12" t="s">
        <v>33</v>
      </c>
      <c r="N823" s="12" t="s">
        <v>34</v>
      </c>
      <c r="P823" s="10" t="n">
        <v>104</v>
      </c>
      <c r="Q823" s="12" t="s">
        <v>50</v>
      </c>
      <c r="R823" s="12" t="s">
        <v>36</v>
      </c>
      <c r="S823" s="10" t="n">
        <v>1130101</v>
      </c>
      <c r="T823" s="12" t="s">
        <v>37</v>
      </c>
      <c r="U823" s="13" t="n">
        <v>180</v>
      </c>
      <c r="W823" s="13" t="n">
        <v>0</v>
      </c>
      <c r="X823" s="12" t="s">
        <v>1089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46232</v>
      </c>
      <c r="C824" s="11" t="n">
        <v>46228</v>
      </c>
      <c r="D824" s="10" t="n">
        <v>1064</v>
      </c>
      <c r="E824" s="12" t="s">
        <v>1090</v>
      </c>
      <c r="F824" s="10" t="n">
        <v>36</v>
      </c>
      <c r="G824" s="12" t="s">
        <v>1061</v>
      </c>
      <c r="H824" s="10" t="n">
        <v>1110202</v>
      </c>
      <c r="I824" s="12" t="s">
        <v>90</v>
      </c>
      <c r="J824" s="10" t="n">
        <v>1469530</v>
      </c>
      <c r="L824" s="10" t="n">
        <v>603893</v>
      </c>
      <c r="M824" s="12" t="s">
        <v>40</v>
      </c>
      <c r="N824" s="12" t="s">
        <v>66</v>
      </c>
      <c r="P824" s="10" t="n">
        <v>102</v>
      </c>
      <c r="Q824" s="12" t="s">
        <v>112</v>
      </c>
      <c r="R824" s="12" t="s">
        <v>94</v>
      </c>
      <c r="S824" s="10" t="n">
        <v>4210227</v>
      </c>
      <c r="T824" s="12" t="s">
        <v>573</v>
      </c>
      <c r="U824" s="13" t="n">
        <v>256.58</v>
      </c>
      <c r="W824" s="13" t="n">
        <v>0</v>
      </c>
      <c r="X824" s="12" t="s">
        <v>1091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46228</v>
      </c>
      <c r="D825" s="10" t="n">
        <v>1749</v>
      </c>
      <c r="E825" s="12" t="s">
        <v>188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1323701</v>
      </c>
      <c r="L825" s="10" t="n">
        <v>2053</v>
      </c>
      <c r="M825" s="12" t="s">
        <v>76</v>
      </c>
      <c r="N825" s="12" t="s">
        <v>34</v>
      </c>
      <c r="P825" s="10" t="n">
        <v>103</v>
      </c>
      <c r="Q825" s="12" t="s">
        <v>35</v>
      </c>
      <c r="R825" s="12" t="s">
        <v>36</v>
      </c>
      <c r="S825" s="10" t="n">
        <v>1130101</v>
      </c>
      <c r="T825" s="12" t="s">
        <v>37</v>
      </c>
      <c r="U825" s="13" t="n">
        <v>689.5</v>
      </c>
      <c r="W825" s="13" t="n">
        <v>0</v>
      </c>
      <c r="X825" s="12" t="s">
        <v>1092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46195</v>
      </c>
      <c r="C826" s="11" t="n">
        <v>46228</v>
      </c>
      <c r="D826" s="10" t="n">
        <v>954</v>
      </c>
      <c r="E826" s="12" t="s">
        <v>1093</v>
      </c>
      <c r="F826" s="10" t="n">
        <v>36</v>
      </c>
      <c r="G826" s="12" t="s">
        <v>1061</v>
      </c>
      <c r="H826" s="10" t="n">
        <v>1110202</v>
      </c>
      <c r="I826" s="12" t="s">
        <v>90</v>
      </c>
      <c r="J826" s="10" t="n">
        <v>1473939</v>
      </c>
      <c r="L826" s="10" t="n">
        <v>605537</v>
      </c>
      <c r="M826" s="12" t="s">
        <v>33</v>
      </c>
      <c r="N826" s="12" t="s">
        <v>66</v>
      </c>
      <c r="P826" s="10" t="n">
        <v>101</v>
      </c>
      <c r="Q826" s="12" t="s">
        <v>84</v>
      </c>
      <c r="R826" s="12" t="s">
        <v>94</v>
      </c>
      <c r="S826" s="10" t="n">
        <v>4210209</v>
      </c>
      <c r="T826" s="12" t="s">
        <v>639</v>
      </c>
      <c r="U826" s="13" t="n">
        <v>533.19</v>
      </c>
      <c r="W826" s="13" t="n">
        <v>0</v>
      </c>
      <c r="X826" s="12" t="s">
        <v>1094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46204</v>
      </c>
      <c r="C827" s="11" t="n">
        <v>46228</v>
      </c>
      <c r="D827" s="10" t="n">
        <v>607</v>
      </c>
      <c r="E827" s="12" t="s">
        <v>81</v>
      </c>
      <c r="F827" s="10" t="n">
        <v>24</v>
      </c>
      <c r="G827" s="12" t="s">
        <v>31</v>
      </c>
      <c r="H827" s="10" t="n">
        <v>2110101</v>
      </c>
      <c r="I827" s="12" t="s">
        <v>32</v>
      </c>
      <c r="J827" s="10" t="n">
        <v>1335231</v>
      </c>
      <c r="L827" s="10" t="n">
        <v>11002</v>
      </c>
      <c r="M827" s="12" t="s">
        <v>33</v>
      </c>
      <c r="N827" s="12" t="s">
        <v>34</v>
      </c>
      <c r="P827" s="10" t="n">
        <v>103</v>
      </c>
      <c r="Q827" s="12" t="s">
        <v>35</v>
      </c>
      <c r="R827" s="12" t="s">
        <v>36</v>
      </c>
      <c r="S827" s="10" t="n">
        <v>1130101</v>
      </c>
      <c r="T827" s="12" t="s">
        <v>37</v>
      </c>
      <c r="U827" s="13" t="n">
        <v>1849.57</v>
      </c>
      <c r="W827" s="13" t="n">
        <v>0</v>
      </c>
      <c r="X827" s="12" t="s">
        <v>1095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46085</v>
      </c>
      <c r="C828" s="11" t="n">
        <v>46228</v>
      </c>
      <c r="D828" s="10" t="n">
        <v>500</v>
      </c>
      <c r="E828" s="12" t="s">
        <v>1096</v>
      </c>
      <c r="F828" s="10" t="n">
        <v>36</v>
      </c>
      <c r="G828" s="12" t="s">
        <v>1061</v>
      </c>
      <c r="H828" s="10" t="n">
        <v>2110101</v>
      </c>
      <c r="I828" s="12" t="s">
        <v>32</v>
      </c>
      <c r="J828" s="10" t="n">
        <v>808801</v>
      </c>
      <c r="L828" s="10" t="n">
        <v>349045</v>
      </c>
      <c r="M828" s="12" t="s">
        <v>448</v>
      </c>
      <c r="N828" s="12" t="s">
        <v>66</v>
      </c>
      <c r="P828" s="10" t="n">
        <v>103</v>
      </c>
      <c r="Q828" s="12" t="s">
        <v>35</v>
      </c>
      <c r="R828" s="12" t="s">
        <v>153</v>
      </c>
      <c r="S828" s="10" t="n">
        <v>2110405</v>
      </c>
      <c r="T828" s="12" t="s">
        <v>153</v>
      </c>
      <c r="U828" s="13" t="n">
        <v>399.1</v>
      </c>
      <c r="W828" s="13" t="n">
        <v>0</v>
      </c>
      <c r="X828" s="12" t="s">
        <v>1097</v>
      </c>
      <c r="Z828" s="1" t="str">
        <f aca="false">IF($T828="","",IFERROR(INDEX('Resumo Grupos'!$AC$3:$AC$200,MATCH($T828,'Resumo Grupos'!$AB$3:$AB$200,0)),"n/d"))</f>
        <v>Cobertura de conta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46120</v>
      </c>
      <c r="C829" s="11" t="n">
        <v>46228</v>
      </c>
      <c r="D829" s="10" t="n">
        <v>500</v>
      </c>
      <c r="E829" s="12" t="s">
        <v>1096</v>
      </c>
      <c r="F829" s="10" t="n">
        <v>36</v>
      </c>
      <c r="G829" s="12" t="s">
        <v>1061</v>
      </c>
      <c r="H829" s="10" t="n">
        <v>2110405</v>
      </c>
      <c r="I829" s="12" t="s">
        <v>153</v>
      </c>
      <c r="J829" s="10" t="n">
        <v>920498</v>
      </c>
      <c r="L829" s="10" t="n">
        <v>391987</v>
      </c>
      <c r="M829" s="12" t="s">
        <v>79</v>
      </c>
      <c r="N829" s="12" t="s">
        <v>66</v>
      </c>
      <c r="P829" s="10" t="n">
        <v>103</v>
      </c>
      <c r="Q829" s="12" t="s">
        <v>35</v>
      </c>
      <c r="R829" s="12" t="s">
        <v>94</v>
      </c>
      <c r="S829" s="10" t="n">
        <v>4210227</v>
      </c>
      <c r="T829" s="12" t="s">
        <v>573</v>
      </c>
      <c r="U829" s="13" t="n">
        <v>4934.34</v>
      </c>
      <c r="W829" s="13" t="n">
        <v>0</v>
      </c>
      <c r="X829" s="12" t="s">
        <v>1098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46227</v>
      </c>
      <c r="C830" s="11" t="n">
        <v>46228</v>
      </c>
      <c r="D830" s="10" t="n">
        <v>33</v>
      </c>
      <c r="E830" s="12" t="s">
        <v>64</v>
      </c>
      <c r="F830" s="10" t="n">
        <v>34</v>
      </c>
      <c r="G830" s="12" t="s">
        <v>49</v>
      </c>
      <c r="H830" s="10" t="n">
        <v>2110101</v>
      </c>
      <c r="I830" s="12" t="s">
        <v>32</v>
      </c>
      <c r="J830" s="10" t="n">
        <v>1444846</v>
      </c>
      <c r="L830" s="10" t="n">
        <v>5344</v>
      </c>
      <c r="M830" s="12" t="s">
        <v>33</v>
      </c>
      <c r="N830" s="12" t="s">
        <v>34</v>
      </c>
      <c r="P830" s="10" t="n">
        <v>104</v>
      </c>
      <c r="Q830" s="12" t="s">
        <v>50</v>
      </c>
      <c r="R830" s="12" t="s">
        <v>36</v>
      </c>
      <c r="S830" s="10" t="n">
        <v>1130101</v>
      </c>
      <c r="T830" s="12" t="s">
        <v>37</v>
      </c>
      <c r="U830" s="13" t="n">
        <v>2759</v>
      </c>
      <c r="W830" s="13" t="n">
        <v>0</v>
      </c>
      <c r="X830" s="12" t="s">
        <v>65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46227</v>
      </c>
      <c r="C831" s="11" t="n">
        <v>46228</v>
      </c>
      <c r="D831" s="10" t="n">
        <v>33</v>
      </c>
      <c r="E831" s="12" t="s">
        <v>64</v>
      </c>
      <c r="F831" s="10" t="n">
        <v>34</v>
      </c>
      <c r="G831" s="12" t="s">
        <v>49</v>
      </c>
      <c r="H831" s="10" t="n">
        <v>2110101</v>
      </c>
      <c r="I831" s="12" t="s">
        <v>32</v>
      </c>
      <c r="J831" s="10" t="n">
        <v>1444905</v>
      </c>
      <c r="L831" s="10" t="n">
        <v>594401</v>
      </c>
      <c r="M831" s="12" t="s">
        <v>33</v>
      </c>
      <c r="N831" s="12" t="s">
        <v>66</v>
      </c>
      <c r="P831" s="10" t="n">
        <v>104</v>
      </c>
      <c r="Q831" s="12" t="s">
        <v>50</v>
      </c>
      <c r="R831" s="12" t="s">
        <v>36</v>
      </c>
      <c r="S831" s="10" t="n">
        <v>1130101</v>
      </c>
      <c r="T831" s="12" t="s">
        <v>37</v>
      </c>
      <c r="U831" s="13" t="n">
        <v>165</v>
      </c>
      <c r="W831" s="13" t="n">
        <v>0</v>
      </c>
      <c r="X831" s="12" t="s">
        <v>1099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46211</v>
      </c>
      <c r="C832" s="11" t="n">
        <v>46229</v>
      </c>
      <c r="D832" s="10" t="n">
        <v>1613</v>
      </c>
      <c r="E832" s="12" t="s">
        <v>71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1368798</v>
      </c>
      <c r="L832" s="10" t="n">
        <v>1604302</v>
      </c>
      <c r="M832" s="12" t="s">
        <v>76</v>
      </c>
      <c r="N832" s="12" t="s">
        <v>34</v>
      </c>
      <c r="P832" s="10" t="n">
        <v>103</v>
      </c>
      <c r="Q832" s="12" t="s">
        <v>35</v>
      </c>
      <c r="R832" s="12" t="s">
        <v>36</v>
      </c>
      <c r="S832" s="10" t="n">
        <v>1130101</v>
      </c>
      <c r="T832" s="12" t="s">
        <v>37</v>
      </c>
      <c r="U832" s="13" t="n">
        <v>650.23</v>
      </c>
      <c r="W832" s="13" t="n">
        <v>0</v>
      </c>
      <c r="X832" s="12" t="s">
        <v>1100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46209</v>
      </c>
      <c r="C833" s="11" t="n">
        <v>46229</v>
      </c>
      <c r="D833" s="10" t="n">
        <v>10020</v>
      </c>
      <c r="E833" s="12" t="s">
        <v>293</v>
      </c>
      <c r="F833" s="10" t="n">
        <v>24</v>
      </c>
      <c r="G833" s="12" t="s">
        <v>31</v>
      </c>
      <c r="H833" s="10" t="n">
        <v>2110101</v>
      </c>
      <c r="I833" s="12" t="s">
        <v>32</v>
      </c>
      <c r="J833" s="10" t="n">
        <v>1360452</v>
      </c>
      <c r="L833" s="10" t="n">
        <v>707</v>
      </c>
      <c r="M833" s="12" t="s">
        <v>76</v>
      </c>
      <c r="N833" s="12" t="s">
        <v>34</v>
      </c>
      <c r="P833" s="10" t="n">
        <v>103</v>
      </c>
      <c r="Q833" s="12" t="s">
        <v>35</v>
      </c>
      <c r="R833" s="12" t="s">
        <v>36</v>
      </c>
      <c r="S833" s="10" t="n">
        <v>1130101</v>
      </c>
      <c r="T833" s="12" t="s">
        <v>37</v>
      </c>
      <c r="U833" s="13" t="n">
        <v>410.7</v>
      </c>
      <c r="W833" s="13" t="n">
        <v>0</v>
      </c>
      <c r="X833" s="12" t="s">
        <v>1101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46200</v>
      </c>
      <c r="C834" s="11" t="n">
        <v>46229</v>
      </c>
      <c r="D834" s="10" t="n">
        <v>639</v>
      </c>
      <c r="E834" s="12" t="s">
        <v>1102</v>
      </c>
      <c r="F834" s="10" t="n">
        <v>24</v>
      </c>
      <c r="G834" s="12" t="s">
        <v>31</v>
      </c>
      <c r="H834" s="10" t="n">
        <v>2110405</v>
      </c>
      <c r="I834" s="12" t="s">
        <v>153</v>
      </c>
      <c r="J834" s="10" t="n">
        <v>1313110</v>
      </c>
      <c r="L834" s="10" t="n">
        <v>543672</v>
      </c>
      <c r="M834" s="12" t="s">
        <v>33</v>
      </c>
      <c r="N834" s="12" t="s">
        <v>66</v>
      </c>
      <c r="P834" s="10" t="n">
        <v>101</v>
      </c>
      <c r="Q834" s="12" t="s">
        <v>84</v>
      </c>
      <c r="R834" s="12" t="s">
        <v>94</v>
      </c>
      <c r="S834" s="10" t="n">
        <v>4210216</v>
      </c>
      <c r="T834" s="12" t="s">
        <v>1103</v>
      </c>
      <c r="U834" s="13" t="n">
        <v>420</v>
      </c>
      <c r="W834" s="13" t="n">
        <v>0</v>
      </c>
      <c r="X834" s="12" t="s">
        <v>1104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46226</v>
      </c>
      <c r="C835" s="11" t="n">
        <v>46229</v>
      </c>
      <c r="D835" s="10" t="n">
        <v>928</v>
      </c>
      <c r="E835" s="12" t="s">
        <v>1105</v>
      </c>
      <c r="F835" s="10" t="n">
        <v>24</v>
      </c>
      <c r="G835" s="12" t="s">
        <v>31</v>
      </c>
      <c r="H835" s="10" t="n">
        <v>1110202</v>
      </c>
      <c r="I835" s="12" t="s">
        <v>90</v>
      </c>
      <c r="J835" s="10" t="n">
        <v>1440468</v>
      </c>
      <c r="L835" s="10" t="n">
        <v>592708</v>
      </c>
      <c r="M835" s="12" t="s">
        <v>33</v>
      </c>
      <c r="N835" s="12" t="s">
        <v>66</v>
      </c>
      <c r="P835" s="10" t="n">
        <v>101</v>
      </c>
      <c r="Q835" s="12" t="s">
        <v>84</v>
      </c>
      <c r="R835" s="12" t="s">
        <v>121</v>
      </c>
      <c r="S835" s="10" t="n">
        <v>421033</v>
      </c>
      <c r="T835" s="12" t="s">
        <v>1106</v>
      </c>
      <c r="U835" s="13" t="n">
        <v>299.9</v>
      </c>
      <c r="W835" s="13" t="n">
        <v>0</v>
      </c>
      <c r="X835" s="12" t="s">
        <v>1107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46192</v>
      </c>
      <c r="C836" s="11" t="n">
        <v>46229</v>
      </c>
      <c r="D836" s="10" t="n">
        <v>957</v>
      </c>
      <c r="E836" s="12" t="s">
        <v>75</v>
      </c>
      <c r="F836" s="10" t="n">
        <v>24</v>
      </c>
      <c r="G836" s="12" t="s">
        <v>31</v>
      </c>
      <c r="H836" s="10" t="n">
        <v>2110101</v>
      </c>
      <c r="I836" s="12" t="s">
        <v>32</v>
      </c>
      <c r="J836" s="10" t="n">
        <v>1272947</v>
      </c>
      <c r="L836" s="10" t="n">
        <v>20352</v>
      </c>
      <c r="M836" s="12" t="s">
        <v>40</v>
      </c>
      <c r="N836" s="12" t="s">
        <v>34</v>
      </c>
      <c r="P836" s="10" t="n">
        <v>103</v>
      </c>
      <c r="Q836" s="12" t="s">
        <v>35</v>
      </c>
      <c r="R836" s="12" t="s">
        <v>36</v>
      </c>
      <c r="S836" s="10" t="n">
        <v>1130101</v>
      </c>
      <c r="T836" s="12" t="s">
        <v>37</v>
      </c>
      <c r="U836" s="13" t="n">
        <v>1263.3</v>
      </c>
      <c r="W836" s="13" t="n">
        <v>0</v>
      </c>
      <c r="X836" s="12" t="s">
        <v>1108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46142</v>
      </c>
      <c r="C837" s="11" t="n">
        <v>46229</v>
      </c>
      <c r="D837" s="10" t="n">
        <v>607</v>
      </c>
      <c r="E837" s="12" t="s">
        <v>81</v>
      </c>
      <c r="F837" s="10" t="n">
        <v>24</v>
      </c>
      <c r="G837" s="12" t="s">
        <v>31</v>
      </c>
      <c r="H837" s="10" t="n">
        <v>2110101</v>
      </c>
      <c r="I837" s="12" t="s">
        <v>32</v>
      </c>
      <c r="J837" s="10" t="n">
        <v>1028242</v>
      </c>
      <c r="L837" s="10" t="n">
        <v>10262</v>
      </c>
      <c r="M837" s="12" t="s">
        <v>1079</v>
      </c>
      <c r="N837" s="12" t="s">
        <v>34</v>
      </c>
      <c r="P837" s="10" t="n">
        <v>103</v>
      </c>
      <c r="Q837" s="12" t="s">
        <v>35</v>
      </c>
      <c r="R837" s="12" t="s">
        <v>36</v>
      </c>
      <c r="S837" s="10" t="n">
        <v>1130101</v>
      </c>
      <c r="T837" s="12" t="s">
        <v>37</v>
      </c>
      <c r="U837" s="13" t="n">
        <v>1488.3</v>
      </c>
      <c r="W837" s="13" t="n">
        <v>0</v>
      </c>
      <c r="X837" s="12" t="s">
        <v>1109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46202</v>
      </c>
      <c r="C838" s="11" t="n">
        <v>46230</v>
      </c>
      <c r="D838" s="10" t="n">
        <v>1659</v>
      </c>
      <c r="E838" s="12" t="s">
        <v>39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1323112</v>
      </c>
      <c r="L838" s="10" t="n">
        <v>882141</v>
      </c>
      <c r="M838" s="12" t="s">
        <v>40</v>
      </c>
      <c r="N838" s="12" t="s">
        <v>34</v>
      </c>
      <c r="P838" s="10" t="n">
        <v>103</v>
      </c>
      <c r="Q838" s="12" t="s">
        <v>35</v>
      </c>
      <c r="R838" s="12" t="s">
        <v>36</v>
      </c>
      <c r="S838" s="10" t="n">
        <v>1130101</v>
      </c>
      <c r="T838" s="12" t="s">
        <v>37</v>
      </c>
      <c r="U838" s="13" t="n">
        <v>1326.93</v>
      </c>
      <c r="W838" s="13" t="n">
        <v>0</v>
      </c>
      <c r="X838" s="12" t="s">
        <v>1110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46230</v>
      </c>
      <c r="C839" s="11" t="n">
        <v>46230</v>
      </c>
      <c r="D839" s="10" t="n">
        <v>1408</v>
      </c>
      <c r="E839" s="12" t="s">
        <v>89</v>
      </c>
      <c r="F839" s="10" t="n">
        <v>24</v>
      </c>
      <c r="G839" s="12" t="s">
        <v>31</v>
      </c>
      <c r="H839" s="10" t="n">
        <v>1110202</v>
      </c>
      <c r="I839" s="12" t="s">
        <v>90</v>
      </c>
      <c r="J839" s="10" t="n">
        <v>1458628</v>
      </c>
      <c r="L839" s="10" t="n">
        <v>600178</v>
      </c>
      <c r="M839" s="12" t="s">
        <v>33</v>
      </c>
      <c r="N839" s="12" t="s">
        <v>66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250</v>
      </c>
      <c r="W839" s="13" t="n">
        <v>0</v>
      </c>
      <c r="X839" s="12" t="s">
        <v>1111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46230</v>
      </c>
      <c r="C840" s="11" t="n">
        <v>46230</v>
      </c>
      <c r="D840" s="10" t="n">
        <v>1408</v>
      </c>
      <c r="E840" s="12" t="s">
        <v>89</v>
      </c>
      <c r="F840" s="10" t="n">
        <v>24</v>
      </c>
      <c r="G840" s="12" t="s">
        <v>31</v>
      </c>
      <c r="H840" s="10" t="n">
        <v>1110202</v>
      </c>
      <c r="I840" s="12" t="s">
        <v>90</v>
      </c>
      <c r="J840" s="10" t="n">
        <v>1458635</v>
      </c>
      <c r="L840" s="10" t="n">
        <v>600181</v>
      </c>
      <c r="M840" s="12" t="s">
        <v>33</v>
      </c>
      <c r="N840" s="12" t="s">
        <v>66</v>
      </c>
      <c r="P840" s="10" t="n">
        <v>101</v>
      </c>
      <c r="Q840" s="12" t="s">
        <v>84</v>
      </c>
      <c r="R840" s="12" t="s">
        <v>94</v>
      </c>
      <c r="S840" s="10" t="n">
        <v>4210218</v>
      </c>
      <c r="T840" s="12" t="s">
        <v>95</v>
      </c>
      <c r="U840" s="13" t="n">
        <v>125</v>
      </c>
      <c r="W840" s="13" t="n">
        <v>0</v>
      </c>
      <c r="X840" s="12" t="s">
        <v>1112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46223</v>
      </c>
      <c r="C841" s="11" t="n">
        <v>46230</v>
      </c>
      <c r="D841" s="10" t="n">
        <v>1614</v>
      </c>
      <c r="E841" s="12" t="s">
        <v>99</v>
      </c>
      <c r="F841" s="10" t="n">
        <v>24</v>
      </c>
      <c r="G841" s="12" t="s">
        <v>31</v>
      </c>
      <c r="H841" s="10" t="n">
        <v>1110202</v>
      </c>
      <c r="I841" s="12" t="s">
        <v>90</v>
      </c>
      <c r="J841" s="10" t="n">
        <v>1424878</v>
      </c>
      <c r="L841" s="10" t="n">
        <v>11447</v>
      </c>
      <c r="M841" s="12" t="s">
        <v>76</v>
      </c>
      <c r="N841" s="12" t="s">
        <v>66</v>
      </c>
      <c r="P841" s="10" t="n">
        <v>103</v>
      </c>
      <c r="Q841" s="12" t="s">
        <v>35</v>
      </c>
      <c r="R841" s="12" t="s">
        <v>36</v>
      </c>
      <c r="S841" s="10" t="n">
        <v>1130101</v>
      </c>
      <c r="T841" s="12" t="s">
        <v>37</v>
      </c>
      <c r="U841" s="13" t="n">
        <v>624.28</v>
      </c>
      <c r="W841" s="13" t="n">
        <v>0</v>
      </c>
      <c r="X841" s="12" t="s">
        <v>1113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46230</v>
      </c>
      <c r="C842" s="11" t="n">
        <v>46230</v>
      </c>
      <c r="D842" s="10" t="n">
        <v>1000001</v>
      </c>
      <c r="E842" s="12" t="s">
        <v>102</v>
      </c>
      <c r="F842" s="10" t="n">
        <v>24</v>
      </c>
      <c r="G842" s="12" t="s">
        <v>31</v>
      </c>
      <c r="H842" s="10" t="n">
        <v>1110202</v>
      </c>
      <c r="I842" s="12" t="s">
        <v>90</v>
      </c>
      <c r="J842" s="10" t="n">
        <v>1458713</v>
      </c>
      <c r="L842" s="10" t="n">
        <v>600207</v>
      </c>
      <c r="M842" s="12" t="s">
        <v>33</v>
      </c>
      <c r="N842" s="12" t="s">
        <v>66</v>
      </c>
      <c r="P842" s="10" t="n">
        <v>102</v>
      </c>
      <c r="Q842" s="12" t="s">
        <v>112</v>
      </c>
      <c r="R842" s="12" t="s">
        <v>91</v>
      </c>
      <c r="S842" s="10" t="n">
        <v>4220199</v>
      </c>
      <c r="T842" s="12" t="s">
        <v>92</v>
      </c>
      <c r="U842" s="13" t="n">
        <v>342.86</v>
      </c>
      <c r="W842" s="13" t="n">
        <v>0</v>
      </c>
      <c r="X842" s="12" t="s">
        <v>1114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46221</v>
      </c>
      <c r="C843" s="11" t="n">
        <v>46230</v>
      </c>
      <c r="D843" s="10" t="n">
        <v>1723</v>
      </c>
      <c r="E843" s="12" t="s">
        <v>378</v>
      </c>
      <c r="F843" s="10" t="n">
        <v>24</v>
      </c>
      <c r="G843" s="12" t="s">
        <v>31</v>
      </c>
      <c r="H843" s="10" t="n">
        <v>1110202</v>
      </c>
      <c r="I843" s="12" t="s">
        <v>90</v>
      </c>
      <c r="J843" s="10" t="n">
        <v>1458703</v>
      </c>
      <c r="L843" s="10" t="n">
        <v>173326</v>
      </c>
      <c r="M843" s="12" t="s">
        <v>33</v>
      </c>
      <c r="N843" s="12" t="s">
        <v>66</v>
      </c>
      <c r="P843" s="10" t="n">
        <v>103</v>
      </c>
      <c r="Q843" s="12" t="s">
        <v>35</v>
      </c>
      <c r="R843" s="12" t="s">
        <v>36</v>
      </c>
      <c r="S843" s="10" t="n">
        <v>1130101</v>
      </c>
      <c r="T843" s="12" t="s">
        <v>37</v>
      </c>
      <c r="U843" s="13" t="n">
        <v>3632.9</v>
      </c>
      <c r="W843" s="13" t="n">
        <v>0</v>
      </c>
      <c r="X843" s="12" t="s">
        <v>1115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46226</v>
      </c>
      <c r="C844" s="11" t="n">
        <v>46230</v>
      </c>
      <c r="D844" s="10" t="n">
        <v>1287</v>
      </c>
      <c r="E844" s="12" t="s">
        <v>432</v>
      </c>
      <c r="F844" s="10" t="n">
        <v>24</v>
      </c>
      <c r="G844" s="12" t="s">
        <v>31</v>
      </c>
      <c r="H844" s="10" t="n">
        <v>1110202</v>
      </c>
      <c r="I844" s="12" t="s">
        <v>90</v>
      </c>
      <c r="J844" s="10" t="n">
        <v>1439598</v>
      </c>
      <c r="L844" s="10" t="n">
        <v>281541</v>
      </c>
      <c r="M844" s="12" t="s">
        <v>33</v>
      </c>
      <c r="N844" s="12" t="s">
        <v>66</v>
      </c>
      <c r="P844" s="10" t="n">
        <v>103</v>
      </c>
      <c r="Q844" s="12" t="s">
        <v>35</v>
      </c>
      <c r="R844" s="12" t="s">
        <v>94</v>
      </c>
      <c r="S844" s="10" t="n">
        <v>4210228</v>
      </c>
      <c r="T844" s="12" t="s">
        <v>471</v>
      </c>
      <c r="U844" s="13" t="n">
        <v>175</v>
      </c>
      <c r="W844" s="13" t="n">
        <v>0</v>
      </c>
      <c r="X844" s="12" t="s">
        <v>1116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46210</v>
      </c>
      <c r="C845" s="11" t="n">
        <v>46230</v>
      </c>
      <c r="D845" s="10" t="n">
        <v>1608</v>
      </c>
      <c r="E845" s="12" t="s">
        <v>52</v>
      </c>
      <c r="F845" s="10" t="n">
        <v>24</v>
      </c>
      <c r="G845" s="12" t="s">
        <v>31</v>
      </c>
      <c r="H845" s="10" t="n">
        <v>2110101</v>
      </c>
      <c r="I845" s="12" t="s">
        <v>32</v>
      </c>
      <c r="J845" s="10" t="n">
        <v>1366288</v>
      </c>
      <c r="L845" s="10" t="n">
        <v>1686926</v>
      </c>
      <c r="M845" s="12" t="s">
        <v>33</v>
      </c>
      <c r="N845" s="12" t="s">
        <v>34</v>
      </c>
      <c r="P845" s="10" t="n">
        <v>103</v>
      </c>
      <c r="Q845" s="12" t="s">
        <v>35</v>
      </c>
      <c r="R845" s="12" t="s">
        <v>36</v>
      </c>
      <c r="S845" s="10" t="n">
        <v>1130101</v>
      </c>
      <c r="T845" s="12" t="s">
        <v>37</v>
      </c>
      <c r="U845" s="13" t="n">
        <v>2652.75</v>
      </c>
      <c r="W845" s="13" t="n">
        <v>0</v>
      </c>
      <c r="X845" s="12" t="s">
        <v>1117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46216</v>
      </c>
      <c r="C846" s="11" t="n">
        <v>46230</v>
      </c>
      <c r="D846" s="10" t="n">
        <v>1608</v>
      </c>
      <c r="E846" s="12" t="s">
        <v>52</v>
      </c>
      <c r="F846" s="10" t="n">
        <v>24</v>
      </c>
      <c r="G846" s="12" t="s">
        <v>31</v>
      </c>
      <c r="H846" s="10" t="n">
        <v>1110202</v>
      </c>
      <c r="I846" s="12" t="s">
        <v>90</v>
      </c>
      <c r="J846" s="10" t="n">
        <v>1393857</v>
      </c>
      <c r="L846" s="10" t="n">
        <v>1690878</v>
      </c>
      <c r="M846" s="12" t="s">
        <v>33</v>
      </c>
      <c r="N846" s="12" t="s">
        <v>66</v>
      </c>
      <c r="P846" s="10" t="n">
        <v>103</v>
      </c>
      <c r="Q846" s="12" t="s">
        <v>35</v>
      </c>
      <c r="R846" s="12" t="s">
        <v>36</v>
      </c>
      <c r="S846" s="10" t="n">
        <v>1130101</v>
      </c>
      <c r="T846" s="12" t="s">
        <v>37</v>
      </c>
      <c r="U846" s="13" t="n">
        <v>1039.08</v>
      </c>
      <c r="W846" s="13" t="n">
        <v>0</v>
      </c>
      <c r="X846" s="12" t="s">
        <v>1118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46217</v>
      </c>
      <c r="C847" s="11" t="n">
        <v>46230</v>
      </c>
      <c r="D847" s="10" t="n">
        <v>1324</v>
      </c>
      <c r="E847" s="12" t="s">
        <v>1119</v>
      </c>
      <c r="F847" s="10" t="n">
        <v>24</v>
      </c>
      <c r="G847" s="12" t="s">
        <v>31</v>
      </c>
      <c r="H847" s="10" t="n">
        <v>1110202</v>
      </c>
      <c r="I847" s="12" t="s">
        <v>90</v>
      </c>
      <c r="J847" s="10" t="n">
        <v>1397096</v>
      </c>
      <c r="L847" s="10" t="n">
        <v>385</v>
      </c>
      <c r="M847" s="12" t="s">
        <v>33</v>
      </c>
      <c r="N847" s="12" t="s">
        <v>66</v>
      </c>
      <c r="P847" s="10" t="n">
        <v>103</v>
      </c>
      <c r="Q847" s="12" t="s">
        <v>35</v>
      </c>
      <c r="R847" s="12" t="s">
        <v>36</v>
      </c>
      <c r="S847" s="10" t="n">
        <v>1130101</v>
      </c>
      <c r="T847" s="12" t="s">
        <v>37</v>
      </c>
      <c r="U847" s="13" t="n">
        <v>260</v>
      </c>
      <c r="W847" s="13" t="n">
        <v>0</v>
      </c>
      <c r="X847" s="12" t="s">
        <v>1120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46203</v>
      </c>
      <c r="C848" s="11" t="n">
        <v>46230</v>
      </c>
      <c r="D848" s="10" t="n">
        <v>10037</v>
      </c>
      <c r="E848" s="12" t="s">
        <v>340</v>
      </c>
      <c r="F848" s="10" t="n">
        <v>24</v>
      </c>
      <c r="G848" s="12" t="s">
        <v>31</v>
      </c>
      <c r="H848" s="10" t="n">
        <v>2110101</v>
      </c>
      <c r="I848" s="12" t="s">
        <v>32</v>
      </c>
      <c r="J848" s="10" t="n">
        <v>1329937</v>
      </c>
      <c r="L848" s="10" t="n">
        <v>2524</v>
      </c>
      <c r="M848" s="12" t="s">
        <v>40</v>
      </c>
      <c r="N848" s="12" t="s">
        <v>34</v>
      </c>
      <c r="P848" s="10" t="n">
        <v>103</v>
      </c>
      <c r="Q848" s="12" t="s">
        <v>35</v>
      </c>
      <c r="R848" s="12" t="s">
        <v>36</v>
      </c>
      <c r="S848" s="10" t="n">
        <v>1130101</v>
      </c>
      <c r="T848" s="12" t="s">
        <v>37</v>
      </c>
      <c r="U848" s="13" t="n">
        <v>663.82</v>
      </c>
      <c r="W848" s="13" t="n">
        <v>0</v>
      </c>
      <c r="X848" s="12" t="s">
        <v>1121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46224</v>
      </c>
      <c r="C849" s="11" t="n">
        <v>46230</v>
      </c>
      <c r="D849" s="10" t="n">
        <v>1650</v>
      </c>
      <c r="E849" s="12" t="s">
        <v>108</v>
      </c>
      <c r="F849" s="10" t="n">
        <v>24</v>
      </c>
      <c r="G849" s="12" t="s">
        <v>31</v>
      </c>
      <c r="H849" s="10" t="n">
        <v>1110202</v>
      </c>
      <c r="I849" s="12" t="s">
        <v>90</v>
      </c>
      <c r="J849" s="10" t="n">
        <v>1431274</v>
      </c>
      <c r="L849" s="10" t="n">
        <v>226411</v>
      </c>
      <c r="M849" s="12" t="s">
        <v>33</v>
      </c>
      <c r="N849" s="12" t="s">
        <v>66</v>
      </c>
      <c r="P849" s="10" t="n">
        <v>103</v>
      </c>
      <c r="Q849" s="12" t="s">
        <v>35</v>
      </c>
      <c r="R849" s="12" t="s">
        <v>36</v>
      </c>
      <c r="S849" s="10" t="n">
        <v>1130101</v>
      </c>
      <c r="T849" s="12" t="s">
        <v>37</v>
      </c>
      <c r="U849" s="13" t="n">
        <v>505.19</v>
      </c>
      <c r="W849" s="13" t="n">
        <v>0</v>
      </c>
      <c r="X849" s="12" t="s">
        <v>1122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46230</v>
      </c>
      <c r="C850" s="11" t="n">
        <v>46230</v>
      </c>
      <c r="D850" s="10" t="n">
        <v>978</v>
      </c>
      <c r="E850" s="12" t="s">
        <v>54</v>
      </c>
      <c r="F850" s="10" t="n">
        <v>13</v>
      </c>
      <c r="G850" s="12" t="s">
        <v>55</v>
      </c>
      <c r="H850" s="10" t="n">
        <v>2110101</v>
      </c>
      <c r="I850" s="12" t="s">
        <v>32</v>
      </c>
      <c r="J850" s="10" t="n">
        <v>1463329</v>
      </c>
      <c r="L850" s="10" t="n">
        <v>395</v>
      </c>
      <c r="M850" s="12" t="s">
        <v>33</v>
      </c>
      <c r="N850" s="12" t="s">
        <v>34</v>
      </c>
      <c r="P850" s="10" t="n">
        <v>104</v>
      </c>
      <c r="Q850" s="12" t="s">
        <v>50</v>
      </c>
      <c r="R850" s="12" t="s">
        <v>36</v>
      </c>
      <c r="S850" s="10" t="n">
        <v>1130101</v>
      </c>
      <c r="T850" s="12" t="s">
        <v>37</v>
      </c>
      <c r="U850" s="13" t="n">
        <v>424</v>
      </c>
      <c r="W850" s="13" t="n">
        <v>0</v>
      </c>
      <c r="X850" s="12" t="s">
        <v>1123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46230</v>
      </c>
      <c r="C851" s="11" t="n">
        <v>46230</v>
      </c>
      <c r="D851" s="10" t="n">
        <v>10096</v>
      </c>
      <c r="E851" s="12" t="s">
        <v>844</v>
      </c>
      <c r="F851" s="10" t="n">
        <v>13</v>
      </c>
      <c r="G851" s="12" t="s">
        <v>55</v>
      </c>
      <c r="H851" s="10" t="n">
        <v>2110101</v>
      </c>
      <c r="I851" s="12" t="s">
        <v>32</v>
      </c>
      <c r="J851" s="10" t="n">
        <v>1463301</v>
      </c>
      <c r="L851" s="10" t="n">
        <v>85</v>
      </c>
      <c r="M851" s="12" t="s">
        <v>33</v>
      </c>
      <c r="N851" s="12" t="s">
        <v>34</v>
      </c>
      <c r="P851" s="10" t="n">
        <v>104</v>
      </c>
      <c r="Q851" s="12" t="s">
        <v>50</v>
      </c>
      <c r="R851" s="12" t="s">
        <v>36</v>
      </c>
      <c r="S851" s="10" t="n">
        <v>1130101</v>
      </c>
      <c r="T851" s="12" t="s">
        <v>37</v>
      </c>
      <c r="U851" s="13" t="n">
        <v>420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46230</v>
      </c>
      <c r="C852" s="11" t="n">
        <v>46230</v>
      </c>
      <c r="D852" s="10" t="n">
        <v>515</v>
      </c>
      <c r="E852" s="12" t="s">
        <v>111</v>
      </c>
      <c r="F852" s="10" t="n">
        <v>34</v>
      </c>
      <c r="G852" s="12" t="s">
        <v>49</v>
      </c>
      <c r="H852" s="10" t="n">
        <v>1110202</v>
      </c>
      <c r="I852" s="12" t="s">
        <v>90</v>
      </c>
      <c r="J852" s="10" t="n">
        <v>1464704</v>
      </c>
      <c r="L852" s="10" t="n">
        <v>602111</v>
      </c>
      <c r="M852" s="12" t="s">
        <v>33</v>
      </c>
      <c r="N852" s="12" t="s">
        <v>66</v>
      </c>
      <c r="P852" s="10" t="n">
        <v>102</v>
      </c>
      <c r="Q852" s="12" t="s">
        <v>112</v>
      </c>
      <c r="R852" s="12" t="s">
        <v>113</v>
      </c>
      <c r="S852" s="10" t="n">
        <v>4210504</v>
      </c>
      <c r="T852" s="12" t="s">
        <v>114</v>
      </c>
      <c r="U852" s="13" t="n">
        <v>165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46230</v>
      </c>
      <c r="C853" s="11" t="n">
        <v>46230</v>
      </c>
      <c r="D853" s="10" t="n">
        <v>515</v>
      </c>
      <c r="E853" s="12" t="s">
        <v>111</v>
      </c>
      <c r="F853" s="10" t="n">
        <v>34</v>
      </c>
      <c r="G853" s="12" t="s">
        <v>49</v>
      </c>
      <c r="H853" s="10" t="n">
        <v>1110202</v>
      </c>
      <c r="I853" s="12" t="s">
        <v>90</v>
      </c>
      <c r="J853" s="10" t="n">
        <v>1464714</v>
      </c>
      <c r="L853" s="10" t="n">
        <v>602119</v>
      </c>
      <c r="M853" s="12" t="s">
        <v>33</v>
      </c>
      <c r="N853" s="12" t="s">
        <v>66</v>
      </c>
      <c r="P853" s="10" t="n">
        <v>102</v>
      </c>
      <c r="Q853" s="12" t="s">
        <v>112</v>
      </c>
      <c r="R853" s="12" t="s">
        <v>113</v>
      </c>
      <c r="S853" s="10" t="n">
        <v>4210502</v>
      </c>
      <c r="T853" s="12" t="s">
        <v>607</v>
      </c>
      <c r="U853" s="13" t="n">
        <v>8901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Empréstimo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46230</v>
      </c>
      <c r="D854" s="10" t="n">
        <v>1611</v>
      </c>
      <c r="E854" s="12" t="s">
        <v>476</v>
      </c>
      <c r="F854" s="10" t="n">
        <v>24</v>
      </c>
      <c r="G854" s="12" t="s">
        <v>31</v>
      </c>
      <c r="H854" s="10" t="n">
        <v>2110101</v>
      </c>
      <c r="I854" s="12" t="s">
        <v>32</v>
      </c>
      <c r="J854" s="10" t="n">
        <v>1294640</v>
      </c>
      <c r="L854" s="10" t="n">
        <v>536311</v>
      </c>
      <c r="M854" s="12" t="s">
        <v>76</v>
      </c>
      <c r="N854" s="12" t="s">
        <v>66</v>
      </c>
      <c r="P854" s="10" t="n">
        <v>103</v>
      </c>
      <c r="Q854" s="12" t="s">
        <v>35</v>
      </c>
      <c r="R854" s="12" t="s">
        <v>36</v>
      </c>
      <c r="S854" s="10" t="n">
        <v>1130101</v>
      </c>
      <c r="T854" s="12" t="s">
        <v>37</v>
      </c>
      <c r="U854" s="13" t="n">
        <v>3224.65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46223</v>
      </c>
      <c r="C855" s="11" t="n">
        <v>46230</v>
      </c>
      <c r="D855" s="10" t="n">
        <v>1625</v>
      </c>
      <c r="E855" s="12" t="s">
        <v>62</v>
      </c>
      <c r="F855" s="10" t="n">
        <v>24</v>
      </c>
      <c r="G855" s="12" t="s">
        <v>31</v>
      </c>
      <c r="H855" s="10" t="n">
        <v>1110202</v>
      </c>
      <c r="I855" s="12" t="s">
        <v>90</v>
      </c>
      <c r="J855" s="10" t="n">
        <v>1425293</v>
      </c>
      <c r="L855" s="10" t="n">
        <v>14759</v>
      </c>
      <c r="M855" s="12" t="s">
        <v>33</v>
      </c>
      <c r="N855" s="12" t="s">
        <v>66</v>
      </c>
      <c r="P855" s="10" t="n">
        <v>103</v>
      </c>
      <c r="Q855" s="12" t="s">
        <v>35</v>
      </c>
      <c r="R855" s="12" t="s">
        <v>36</v>
      </c>
      <c r="S855" s="10" t="n">
        <v>1130101</v>
      </c>
      <c r="T855" s="12" t="s">
        <v>37</v>
      </c>
      <c r="U855" s="13" t="n">
        <v>1314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46230</v>
      </c>
      <c r="C856" s="11" t="n">
        <v>46230</v>
      </c>
      <c r="D856" s="10" t="n">
        <v>17</v>
      </c>
      <c r="E856" s="12" t="s">
        <v>268</v>
      </c>
      <c r="F856" s="10" t="n">
        <v>24</v>
      </c>
      <c r="G856" s="12" t="s">
        <v>31</v>
      </c>
      <c r="H856" s="10" t="n">
        <v>1110202</v>
      </c>
      <c r="I856" s="12" t="s">
        <v>90</v>
      </c>
      <c r="J856" s="10" t="n">
        <v>1458818</v>
      </c>
      <c r="L856" s="10" t="n">
        <v>600228</v>
      </c>
      <c r="M856" s="12" t="s">
        <v>33</v>
      </c>
      <c r="N856" s="12" t="s">
        <v>66</v>
      </c>
      <c r="P856" s="10" t="n">
        <v>101</v>
      </c>
      <c r="Q856" s="12" t="s">
        <v>84</v>
      </c>
      <c r="R856" s="12" t="s">
        <v>91</v>
      </c>
      <c r="S856" s="10" t="n">
        <v>4220199</v>
      </c>
      <c r="T856" s="12" t="s">
        <v>92</v>
      </c>
      <c r="U856" s="13" t="n">
        <v>53.22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Pagamentos outros não operacionais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46224</v>
      </c>
      <c r="C857" s="11" t="n">
        <v>46230</v>
      </c>
      <c r="D857" s="10" t="n">
        <v>1123</v>
      </c>
      <c r="E857" s="12" t="s">
        <v>309</v>
      </c>
      <c r="F857" s="10" t="n">
        <v>24</v>
      </c>
      <c r="G857" s="12" t="s">
        <v>31</v>
      </c>
      <c r="H857" s="10" t="n">
        <v>1110202</v>
      </c>
      <c r="I857" s="12" t="s">
        <v>90</v>
      </c>
      <c r="J857" s="10" t="n">
        <v>1431235</v>
      </c>
      <c r="L857" s="10" t="n">
        <v>44115</v>
      </c>
      <c r="M857" s="12" t="s">
        <v>33</v>
      </c>
      <c r="N857" s="12" t="s">
        <v>66</v>
      </c>
      <c r="P857" s="10" t="n">
        <v>103</v>
      </c>
      <c r="Q857" s="12" t="s">
        <v>35</v>
      </c>
      <c r="R857" s="12" t="s">
        <v>36</v>
      </c>
      <c r="S857" s="10" t="n">
        <v>1130101</v>
      </c>
      <c r="T857" s="12" t="s">
        <v>37</v>
      </c>
      <c r="U857" s="13" t="n">
        <v>1380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46217</v>
      </c>
      <c r="C858" s="11" t="n">
        <v>46230</v>
      </c>
      <c r="D858" s="10" t="n">
        <v>1114</v>
      </c>
      <c r="E858" s="12" t="s">
        <v>128</v>
      </c>
      <c r="F858" s="10" t="n">
        <v>24</v>
      </c>
      <c r="G858" s="12" t="s">
        <v>31</v>
      </c>
      <c r="H858" s="10" t="n">
        <v>1110202</v>
      </c>
      <c r="I858" s="12" t="s">
        <v>90</v>
      </c>
      <c r="J858" s="10" t="n">
        <v>1397265</v>
      </c>
      <c r="L858" s="10" t="n">
        <v>40994</v>
      </c>
      <c r="M858" s="12" t="s">
        <v>33</v>
      </c>
      <c r="N858" s="12" t="s">
        <v>66</v>
      </c>
      <c r="P858" s="10" t="n">
        <v>103</v>
      </c>
      <c r="Q858" s="12" t="s">
        <v>35</v>
      </c>
      <c r="R858" s="12" t="s">
        <v>36</v>
      </c>
      <c r="S858" s="10" t="n">
        <v>1130101</v>
      </c>
      <c r="T858" s="12" t="s">
        <v>37</v>
      </c>
      <c r="U858" s="13" t="n">
        <v>3889.11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46230</v>
      </c>
      <c r="D859" s="10" t="n">
        <v>1107</v>
      </c>
      <c r="E859" s="12" t="s">
        <v>525</v>
      </c>
      <c r="F859" s="10" t="n">
        <v>24</v>
      </c>
      <c r="G859" s="12" t="s">
        <v>31</v>
      </c>
      <c r="H859" s="10" t="n">
        <v>2110101</v>
      </c>
      <c r="I859" s="12" t="s">
        <v>32</v>
      </c>
      <c r="J859" s="10" t="n">
        <v>1294118</v>
      </c>
      <c r="L859" s="10" t="n">
        <v>419583</v>
      </c>
      <c r="M859" s="12" t="s">
        <v>40</v>
      </c>
      <c r="N859" s="12" t="s">
        <v>34</v>
      </c>
      <c r="P859" s="10" t="n">
        <v>103</v>
      </c>
      <c r="Q859" s="12" t="s">
        <v>35</v>
      </c>
      <c r="R859" s="12" t="s">
        <v>36</v>
      </c>
      <c r="S859" s="10" t="n">
        <v>1130101</v>
      </c>
      <c r="T859" s="12" t="s">
        <v>37</v>
      </c>
      <c r="U859" s="13" t="n">
        <v>1351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46226</v>
      </c>
      <c r="C860" s="11" t="n">
        <v>46230</v>
      </c>
      <c r="D860" s="10" t="n">
        <v>1899</v>
      </c>
      <c r="E860" s="12" t="s">
        <v>131</v>
      </c>
      <c r="F860" s="10" t="n">
        <v>24</v>
      </c>
      <c r="G860" s="12" t="s">
        <v>31</v>
      </c>
      <c r="H860" s="10" t="n">
        <v>1110202</v>
      </c>
      <c r="I860" s="12" t="s">
        <v>90</v>
      </c>
      <c r="J860" s="10" t="n">
        <v>1439709</v>
      </c>
      <c r="L860" s="10" t="n">
        <v>727</v>
      </c>
      <c r="M860" s="12" t="s">
        <v>33</v>
      </c>
      <c r="N860" s="12" t="s">
        <v>66</v>
      </c>
      <c r="P860" s="10" t="n">
        <v>103</v>
      </c>
      <c r="Q860" s="12" t="s">
        <v>35</v>
      </c>
      <c r="R860" s="12" t="s">
        <v>36</v>
      </c>
      <c r="S860" s="10" t="n">
        <v>1130101</v>
      </c>
      <c r="T860" s="12" t="s">
        <v>37</v>
      </c>
      <c r="U860" s="13" t="n">
        <v>424.6</v>
      </c>
      <c r="W860" s="13" t="n">
        <v>0</v>
      </c>
      <c r="X860" s="12" t="s">
        <v>1133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46226</v>
      </c>
      <c r="C861" s="11" t="n">
        <v>46230</v>
      </c>
      <c r="D861" s="10" t="n">
        <v>1899</v>
      </c>
      <c r="E861" s="12" t="s">
        <v>131</v>
      </c>
      <c r="F861" s="10" t="n">
        <v>24</v>
      </c>
      <c r="G861" s="12" t="s">
        <v>31</v>
      </c>
      <c r="H861" s="10" t="n">
        <v>1110202</v>
      </c>
      <c r="I861" s="12" t="s">
        <v>90</v>
      </c>
      <c r="J861" s="10" t="n">
        <v>1440241</v>
      </c>
      <c r="L861" s="10" t="n">
        <v>592633</v>
      </c>
      <c r="M861" s="12" t="s">
        <v>33</v>
      </c>
      <c r="N861" s="12" t="s">
        <v>66</v>
      </c>
      <c r="P861" s="10" t="n">
        <v>104</v>
      </c>
      <c r="Q861" s="12" t="s">
        <v>50</v>
      </c>
      <c r="R861" s="12" t="s">
        <v>36</v>
      </c>
      <c r="S861" s="10" t="n">
        <v>1130101</v>
      </c>
      <c r="T861" s="12" t="s">
        <v>37</v>
      </c>
      <c r="U861" s="13" t="n">
        <v>840</v>
      </c>
      <c r="W861" s="13" t="n">
        <v>0</v>
      </c>
      <c r="X861" s="12" t="s">
        <v>1134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46223</v>
      </c>
      <c r="C862" s="11" t="n">
        <v>46230</v>
      </c>
      <c r="D862" s="10" t="n">
        <v>33</v>
      </c>
      <c r="E862" s="12" t="s">
        <v>64</v>
      </c>
      <c r="F862" s="10" t="n">
        <v>34</v>
      </c>
      <c r="G862" s="12" t="s">
        <v>49</v>
      </c>
      <c r="H862" s="10" t="n">
        <v>2110101</v>
      </c>
      <c r="I862" s="12" t="s">
        <v>32</v>
      </c>
      <c r="J862" s="10" t="n">
        <v>1423765</v>
      </c>
      <c r="L862" s="10" t="n">
        <v>5319</v>
      </c>
      <c r="M862" s="12" t="s">
        <v>33</v>
      </c>
      <c r="N862" s="12" t="s">
        <v>34</v>
      </c>
      <c r="P862" s="10" t="n">
        <v>103</v>
      </c>
      <c r="Q862" s="12" t="s">
        <v>35</v>
      </c>
      <c r="R862" s="12" t="s">
        <v>36</v>
      </c>
      <c r="S862" s="10" t="n">
        <v>1130101</v>
      </c>
      <c r="T862" s="12" t="s">
        <v>37</v>
      </c>
      <c r="U862" s="13" t="n">
        <v>1420</v>
      </c>
      <c r="W862" s="13" t="n">
        <v>0</v>
      </c>
      <c r="X862" s="12" t="s">
        <v>1135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46223</v>
      </c>
      <c r="C863" s="11" t="n">
        <v>46230</v>
      </c>
      <c r="D863" s="10" t="n">
        <v>33</v>
      </c>
      <c r="E863" s="12" t="s">
        <v>64</v>
      </c>
      <c r="F863" s="10" t="n">
        <v>34</v>
      </c>
      <c r="G863" s="12" t="s">
        <v>49</v>
      </c>
      <c r="H863" s="10" t="n">
        <v>2110101</v>
      </c>
      <c r="I863" s="12" t="s">
        <v>32</v>
      </c>
      <c r="J863" s="10" t="n">
        <v>1423792</v>
      </c>
      <c r="L863" s="10" t="n">
        <v>5320</v>
      </c>
      <c r="M863" s="12" t="s">
        <v>33</v>
      </c>
      <c r="N863" s="12" t="s">
        <v>34</v>
      </c>
      <c r="P863" s="10" t="n">
        <v>103</v>
      </c>
      <c r="Q863" s="12" t="s">
        <v>35</v>
      </c>
      <c r="R863" s="12" t="s">
        <v>36</v>
      </c>
      <c r="S863" s="10" t="n">
        <v>1130101</v>
      </c>
      <c r="T863" s="12" t="s">
        <v>37</v>
      </c>
      <c r="U863" s="13" t="n">
        <v>1470</v>
      </c>
      <c r="W863" s="13" t="n">
        <v>0</v>
      </c>
      <c r="X863" s="12" t="s">
        <v>1136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46223</v>
      </c>
      <c r="C864" s="11" t="n">
        <v>46230</v>
      </c>
      <c r="D864" s="10" t="n">
        <v>33</v>
      </c>
      <c r="E864" s="12" t="s">
        <v>64</v>
      </c>
      <c r="F864" s="10" t="n">
        <v>34</v>
      </c>
      <c r="G864" s="12" t="s">
        <v>49</v>
      </c>
      <c r="H864" s="10" t="n">
        <v>2110101</v>
      </c>
      <c r="I864" s="12" t="s">
        <v>32</v>
      </c>
      <c r="J864" s="10" t="n">
        <v>1423824</v>
      </c>
      <c r="L864" s="10" t="n">
        <v>5321</v>
      </c>
      <c r="M864" s="12" t="s">
        <v>33</v>
      </c>
      <c r="N864" s="12" t="s">
        <v>34</v>
      </c>
      <c r="P864" s="10" t="n">
        <v>103</v>
      </c>
      <c r="Q864" s="12" t="s">
        <v>35</v>
      </c>
      <c r="R864" s="12" t="s">
        <v>36</v>
      </c>
      <c r="S864" s="10" t="n">
        <v>1130101</v>
      </c>
      <c r="T864" s="12" t="s">
        <v>37</v>
      </c>
      <c r="U864" s="13" t="n">
        <v>600</v>
      </c>
      <c r="W864" s="13" t="n">
        <v>0</v>
      </c>
      <c r="X864" s="12" t="s">
        <v>1137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46230</v>
      </c>
      <c r="C865" s="11" t="n">
        <v>46230</v>
      </c>
      <c r="D865" s="10" t="n">
        <v>1936</v>
      </c>
      <c r="E865" s="12" t="s">
        <v>316</v>
      </c>
      <c r="F865" s="10" t="n">
        <v>24</v>
      </c>
      <c r="G865" s="12" t="s">
        <v>31</v>
      </c>
      <c r="H865" s="10" t="n">
        <v>1110202</v>
      </c>
      <c r="I865" s="12" t="s">
        <v>90</v>
      </c>
      <c r="J865" s="10" t="n">
        <v>1458603</v>
      </c>
      <c r="L865" s="10" t="n">
        <v>600176</v>
      </c>
      <c r="M865" s="12" t="s">
        <v>33</v>
      </c>
      <c r="N865" s="12" t="s">
        <v>66</v>
      </c>
      <c r="P865" s="10" t="n">
        <v>102</v>
      </c>
      <c r="Q865" s="12" t="s">
        <v>112</v>
      </c>
      <c r="R865" s="12" t="s">
        <v>36</v>
      </c>
      <c r="S865" s="10" t="n">
        <v>1130101</v>
      </c>
      <c r="T865" s="12" t="s">
        <v>37</v>
      </c>
      <c r="U865" s="13" t="n">
        <v>135.15</v>
      </c>
      <c r="W865" s="13" t="n">
        <v>0</v>
      </c>
      <c r="X865" s="12" t="s">
        <v>1138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46225</v>
      </c>
      <c r="C866" s="11" t="n">
        <v>46230</v>
      </c>
      <c r="D866" s="10" t="n">
        <v>1666</v>
      </c>
      <c r="E866" s="12" t="s">
        <v>139</v>
      </c>
      <c r="F866" s="10" t="n">
        <v>24</v>
      </c>
      <c r="G866" s="12" t="s">
        <v>31</v>
      </c>
      <c r="H866" s="10" t="n">
        <v>1110202</v>
      </c>
      <c r="I866" s="12" t="s">
        <v>90</v>
      </c>
      <c r="J866" s="10" t="n">
        <v>1435035</v>
      </c>
      <c r="L866" s="10" t="n">
        <v>567587</v>
      </c>
      <c r="M866" s="12" t="s">
        <v>33</v>
      </c>
      <c r="N866" s="12" t="s">
        <v>66</v>
      </c>
      <c r="P866" s="10" t="n">
        <v>103</v>
      </c>
      <c r="Q866" s="12" t="s">
        <v>35</v>
      </c>
      <c r="R866" s="12" t="s">
        <v>36</v>
      </c>
      <c r="S866" s="10" t="n">
        <v>1130101</v>
      </c>
      <c r="T866" s="12" t="s">
        <v>37</v>
      </c>
      <c r="U866" s="13" t="n">
        <v>5880.89</v>
      </c>
      <c r="W866" s="13" t="n">
        <v>0</v>
      </c>
      <c r="X866" s="12" t="s">
        <v>1139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46223</v>
      </c>
      <c r="C867" s="11" t="n">
        <v>46230</v>
      </c>
      <c r="D867" s="10" t="n">
        <v>1631</v>
      </c>
      <c r="E867" s="12" t="s">
        <v>141</v>
      </c>
      <c r="F867" s="10" t="n">
        <v>24</v>
      </c>
      <c r="G867" s="12" t="s">
        <v>31</v>
      </c>
      <c r="H867" s="10" t="n">
        <v>1110202</v>
      </c>
      <c r="I867" s="12" t="s">
        <v>90</v>
      </c>
      <c r="J867" s="10" t="n">
        <v>1425376</v>
      </c>
      <c r="L867" s="10" t="n">
        <v>15153</v>
      </c>
      <c r="M867" s="12" t="s">
        <v>33</v>
      </c>
      <c r="N867" s="12" t="s">
        <v>66</v>
      </c>
      <c r="P867" s="10" t="n">
        <v>103</v>
      </c>
      <c r="Q867" s="12" t="s">
        <v>35</v>
      </c>
      <c r="R867" s="12" t="s">
        <v>36</v>
      </c>
      <c r="S867" s="10" t="n">
        <v>1130101</v>
      </c>
      <c r="T867" s="12" t="s">
        <v>37</v>
      </c>
      <c r="U867" s="13" t="n">
        <v>742.4</v>
      </c>
      <c r="W867" s="13" t="n">
        <v>0</v>
      </c>
      <c r="X867" s="12" t="s">
        <v>1140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46228</v>
      </c>
      <c r="C868" s="11" t="n">
        <v>46231</v>
      </c>
      <c r="D868" s="10" t="n">
        <v>642</v>
      </c>
      <c r="E868" s="12" t="s">
        <v>145</v>
      </c>
      <c r="F868" s="10" t="n">
        <v>24</v>
      </c>
      <c r="G868" s="12" t="s">
        <v>31</v>
      </c>
      <c r="H868" s="10" t="n">
        <v>1110202</v>
      </c>
      <c r="I868" s="12" t="s">
        <v>90</v>
      </c>
      <c r="J868" s="10" t="n">
        <v>1448602</v>
      </c>
      <c r="L868" s="10" t="n">
        <v>543</v>
      </c>
      <c r="M868" s="12" t="s">
        <v>33</v>
      </c>
      <c r="N868" s="12" t="s">
        <v>66</v>
      </c>
      <c r="P868" s="10" t="n">
        <v>103</v>
      </c>
      <c r="Q868" s="12" t="s">
        <v>35</v>
      </c>
      <c r="R868" s="12" t="s">
        <v>36</v>
      </c>
      <c r="S868" s="10" t="n">
        <v>1130101</v>
      </c>
      <c r="T868" s="12" t="s">
        <v>37</v>
      </c>
      <c r="U868" s="13" t="n">
        <v>792</v>
      </c>
      <c r="W868" s="13" t="n">
        <v>0</v>
      </c>
      <c r="X868" s="12" t="s">
        <v>1141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46227</v>
      </c>
      <c r="C869" s="11" t="n">
        <v>46231</v>
      </c>
      <c r="D869" s="10" t="n">
        <v>10018</v>
      </c>
      <c r="E869" s="12" t="s">
        <v>147</v>
      </c>
      <c r="F869" s="10" t="n">
        <v>34</v>
      </c>
      <c r="G869" s="12" t="s">
        <v>49</v>
      </c>
      <c r="H869" s="10" t="n">
        <v>1110202</v>
      </c>
      <c r="I869" s="12" t="s">
        <v>90</v>
      </c>
      <c r="J869" s="10" t="n">
        <v>1445269</v>
      </c>
      <c r="L869" s="10" t="n">
        <v>343</v>
      </c>
      <c r="M869" s="12" t="s">
        <v>33</v>
      </c>
      <c r="N869" s="12" t="s">
        <v>66</v>
      </c>
      <c r="P869" s="10" t="n">
        <v>103</v>
      </c>
      <c r="Q869" s="12" t="s">
        <v>35</v>
      </c>
      <c r="R869" s="12" t="s">
        <v>36</v>
      </c>
      <c r="S869" s="10" t="n">
        <v>1130101</v>
      </c>
      <c r="T869" s="12" t="s">
        <v>37</v>
      </c>
      <c r="U869" s="13" t="n">
        <v>2119</v>
      </c>
      <c r="W869" s="13" t="n">
        <v>0</v>
      </c>
      <c r="X869" s="12" t="s">
        <v>1142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46224</v>
      </c>
      <c r="C870" s="11" t="n">
        <v>46231</v>
      </c>
      <c r="D870" s="10" t="n">
        <v>1642</v>
      </c>
      <c r="E870" s="12" t="s">
        <v>158</v>
      </c>
      <c r="F870" s="10" t="n">
        <v>24</v>
      </c>
      <c r="G870" s="12" t="s">
        <v>31</v>
      </c>
      <c r="H870" s="10" t="n">
        <v>1110202</v>
      </c>
      <c r="I870" s="12" t="s">
        <v>90</v>
      </c>
      <c r="J870" s="10" t="n">
        <v>1431092</v>
      </c>
      <c r="L870" s="10" t="n">
        <v>1032774</v>
      </c>
      <c r="M870" s="12" t="s">
        <v>33</v>
      </c>
      <c r="N870" s="12" t="s">
        <v>66</v>
      </c>
      <c r="P870" s="10" t="n">
        <v>103</v>
      </c>
      <c r="Q870" s="12" t="s">
        <v>35</v>
      </c>
      <c r="R870" s="12" t="s">
        <v>36</v>
      </c>
      <c r="S870" s="10" t="n">
        <v>1130101</v>
      </c>
      <c r="T870" s="12" t="s">
        <v>37</v>
      </c>
      <c r="U870" s="13" t="n">
        <v>538.17</v>
      </c>
      <c r="W870" s="13" t="n">
        <v>0</v>
      </c>
      <c r="X870" s="12" t="s">
        <v>1143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46231</v>
      </c>
      <c r="C871" s="11" t="n">
        <v>46231</v>
      </c>
      <c r="D871" s="10" t="n">
        <v>1000001</v>
      </c>
      <c r="E871" s="12" t="s">
        <v>102</v>
      </c>
      <c r="F871" s="10" t="n">
        <v>24</v>
      </c>
      <c r="G871" s="12" t="s">
        <v>31</v>
      </c>
      <c r="H871" s="10" t="n">
        <v>1110202</v>
      </c>
      <c r="I871" s="12" t="s">
        <v>90</v>
      </c>
      <c r="J871" s="10" t="n">
        <v>1463045</v>
      </c>
      <c r="L871" s="10" t="n">
        <v>601783</v>
      </c>
      <c r="M871" s="12" t="s">
        <v>33</v>
      </c>
      <c r="N871" s="12" t="s">
        <v>66</v>
      </c>
      <c r="P871" s="10" t="n">
        <v>102</v>
      </c>
      <c r="Q871" s="12" t="s">
        <v>112</v>
      </c>
      <c r="R871" s="12" t="s">
        <v>91</v>
      </c>
      <c r="S871" s="10" t="n">
        <v>4220199</v>
      </c>
      <c r="T871" s="12" t="s">
        <v>92</v>
      </c>
      <c r="U871" s="13" t="n">
        <v>1300</v>
      </c>
      <c r="W871" s="13" t="n">
        <v>0</v>
      </c>
      <c r="X871" s="12" t="s">
        <v>1144</v>
      </c>
      <c r="Z871" s="1" t="str">
        <f aca="false">IF($T871="","",IFERROR(INDEX('Resumo Grupos'!$AC$3:$AC$200,MATCH($T871,'Resumo Grupos'!$AB$3:$AB$200,0)),"n/d"))</f>
        <v>Pagamentos outros não operacionais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46231</v>
      </c>
      <c r="C872" s="11" t="n">
        <v>46231</v>
      </c>
      <c r="D872" s="10" t="n">
        <v>1037</v>
      </c>
      <c r="E872" s="12" t="s">
        <v>171</v>
      </c>
      <c r="F872" s="10" t="n">
        <v>34</v>
      </c>
      <c r="G872" s="12" t="s">
        <v>49</v>
      </c>
      <c r="H872" s="10" t="n">
        <v>1110202</v>
      </c>
      <c r="I872" s="12" t="s">
        <v>90</v>
      </c>
      <c r="J872" s="10" t="n">
        <v>1465306</v>
      </c>
      <c r="L872" s="10" t="n">
        <v>602260</v>
      </c>
      <c r="M872" s="12" t="s">
        <v>33</v>
      </c>
      <c r="N872" s="12" t="s">
        <v>66</v>
      </c>
      <c r="P872" s="10" t="n">
        <v>102</v>
      </c>
      <c r="Q872" s="12" t="s">
        <v>112</v>
      </c>
      <c r="R872" s="12" t="s">
        <v>91</v>
      </c>
      <c r="S872" s="10" t="n">
        <v>4220199</v>
      </c>
      <c r="T872" s="12" t="s">
        <v>92</v>
      </c>
      <c r="U872" s="13" t="n">
        <v>5599</v>
      </c>
      <c r="W872" s="13" t="n">
        <v>0</v>
      </c>
      <c r="X872" s="12" t="s">
        <v>1145</v>
      </c>
      <c r="Z872" s="1" t="str">
        <f aca="false">IF($T872="","",IFERROR(INDEX('Resumo Grupos'!$AC$3:$AC$200,MATCH($T872,'Resumo Grupos'!$AB$3:$AB$200,0)),"n/d"))</f>
        <v>Pagamentos outros não operacionais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46228</v>
      </c>
      <c r="C873" s="11" t="n">
        <v>46231</v>
      </c>
      <c r="D873" s="10" t="n">
        <v>515</v>
      </c>
      <c r="E873" s="12" t="s">
        <v>111</v>
      </c>
      <c r="F873" s="10" t="n">
        <v>34</v>
      </c>
      <c r="G873" s="12" t="s">
        <v>49</v>
      </c>
      <c r="H873" s="10" t="n">
        <v>1110202</v>
      </c>
      <c r="I873" s="12" t="s">
        <v>90</v>
      </c>
      <c r="J873" s="10" t="n">
        <v>1449535</v>
      </c>
      <c r="L873" s="10" t="n">
        <v>596258</v>
      </c>
      <c r="M873" s="12" t="s">
        <v>33</v>
      </c>
      <c r="N873" s="12" t="s">
        <v>66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3853.23</v>
      </c>
      <c r="W873" s="13" t="n">
        <v>0</v>
      </c>
      <c r="X873" s="12" t="s">
        <v>1146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46209</v>
      </c>
      <c r="C874" s="11" t="n">
        <v>46231</v>
      </c>
      <c r="D874" s="10" t="n">
        <v>1611</v>
      </c>
      <c r="E874" s="12" t="s">
        <v>476</v>
      </c>
      <c r="F874" s="10" t="n">
        <v>24</v>
      </c>
      <c r="G874" s="12" t="s">
        <v>31</v>
      </c>
      <c r="H874" s="10" t="n">
        <v>2110101</v>
      </c>
      <c r="I874" s="12" t="s">
        <v>32</v>
      </c>
      <c r="J874" s="10" t="n">
        <v>1360267</v>
      </c>
      <c r="L874" s="10" t="n">
        <v>561687</v>
      </c>
      <c r="M874" s="12" t="s">
        <v>76</v>
      </c>
      <c r="N874" s="12" t="s">
        <v>66</v>
      </c>
      <c r="P874" s="10" t="n">
        <v>103</v>
      </c>
      <c r="Q874" s="12" t="s">
        <v>35</v>
      </c>
      <c r="R874" s="12" t="s">
        <v>36</v>
      </c>
      <c r="S874" s="10" t="n">
        <v>1130101</v>
      </c>
      <c r="T874" s="12" t="s">
        <v>37</v>
      </c>
      <c r="U874" s="13" t="n">
        <v>3184.12</v>
      </c>
      <c r="W874" s="13" t="n">
        <v>0</v>
      </c>
      <c r="X874" s="12" t="s">
        <v>1147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46210</v>
      </c>
      <c r="C875" s="11" t="n">
        <v>46231</v>
      </c>
      <c r="D875" s="10" t="n">
        <v>666</v>
      </c>
      <c r="E875" s="12" t="s">
        <v>126</v>
      </c>
      <c r="F875" s="10" t="n">
        <v>24</v>
      </c>
      <c r="G875" s="12" t="s">
        <v>31</v>
      </c>
      <c r="H875" s="10" t="n">
        <v>2110101</v>
      </c>
      <c r="I875" s="12" t="s">
        <v>32</v>
      </c>
      <c r="J875" s="10" t="n">
        <v>1366430</v>
      </c>
      <c r="L875" s="10" t="n">
        <v>7876</v>
      </c>
      <c r="M875" s="12" t="s">
        <v>40</v>
      </c>
      <c r="N875" s="12" t="s">
        <v>34</v>
      </c>
      <c r="P875" s="10" t="n">
        <v>103</v>
      </c>
      <c r="Q875" s="12" t="s">
        <v>35</v>
      </c>
      <c r="R875" s="12" t="s">
        <v>36</v>
      </c>
      <c r="S875" s="10" t="n">
        <v>1130101</v>
      </c>
      <c r="T875" s="12" t="s">
        <v>37</v>
      </c>
      <c r="U875" s="13" t="n">
        <v>287.8</v>
      </c>
      <c r="W875" s="13" t="n">
        <v>0</v>
      </c>
      <c r="X875" s="12" t="s">
        <v>1148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46204</v>
      </c>
      <c r="C876" s="11" t="n">
        <v>46231</v>
      </c>
      <c r="D876" s="10" t="n">
        <v>1107</v>
      </c>
      <c r="E876" s="12" t="s">
        <v>525</v>
      </c>
      <c r="F876" s="10" t="n">
        <v>24</v>
      </c>
      <c r="G876" s="12" t="s">
        <v>31</v>
      </c>
      <c r="H876" s="10" t="n">
        <v>2110101</v>
      </c>
      <c r="I876" s="12" t="s">
        <v>32</v>
      </c>
      <c r="J876" s="10" t="n">
        <v>1335361</v>
      </c>
      <c r="L876" s="10" t="n">
        <v>423615</v>
      </c>
      <c r="M876" s="12" t="s">
        <v>40</v>
      </c>
      <c r="N876" s="12" t="s">
        <v>34</v>
      </c>
      <c r="P876" s="10" t="n">
        <v>103</v>
      </c>
      <c r="Q876" s="12" t="s">
        <v>35</v>
      </c>
      <c r="R876" s="12" t="s">
        <v>36</v>
      </c>
      <c r="S876" s="10" t="n">
        <v>1130101</v>
      </c>
      <c r="T876" s="12" t="s">
        <v>37</v>
      </c>
      <c r="U876" s="13" t="n">
        <v>1120.6</v>
      </c>
      <c r="W876" s="13" t="n">
        <v>0</v>
      </c>
      <c r="X876" s="12" t="s">
        <v>1149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46228</v>
      </c>
      <c r="C877" s="11" t="n">
        <v>46231</v>
      </c>
      <c r="D877" s="10" t="n">
        <v>1899</v>
      </c>
      <c r="E877" s="12" t="s">
        <v>131</v>
      </c>
      <c r="F877" s="10" t="n">
        <v>24</v>
      </c>
      <c r="G877" s="12" t="s">
        <v>31</v>
      </c>
      <c r="H877" s="10" t="n">
        <v>1110202</v>
      </c>
      <c r="I877" s="12" t="s">
        <v>90</v>
      </c>
      <c r="J877" s="10" t="n">
        <v>1450095</v>
      </c>
      <c r="L877" s="10" t="n">
        <v>732</v>
      </c>
      <c r="M877" s="12" t="s">
        <v>33</v>
      </c>
      <c r="N877" s="12" t="s">
        <v>66</v>
      </c>
      <c r="P877" s="10" t="n">
        <v>103</v>
      </c>
      <c r="Q877" s="12" t="s">
        <v>35</v>
      </c>
      <c r="R877" s="12" t="s">
        <v>36</v>
      </c>
      <c r="S877" s="10" t="n">
        <v>1130101</v>
      </c>
      <c r="T877" s="12" t="s">
        <v>37</v>
      </c>
      <c r="U877" s="13" t="n">
        <v>498.96</v>
      </c>
      <c r="W877" s="13" t="n">
        <v>0</v>
      </c>
      <c r="X877" s="12" t="s">
        <v>1150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46148</v>
      </c>
      <c r="C878" s="11" t="n">
        <v>46231</v>
      </c>
      <c r="D878" s="10" t="n">
        <v>607</v>
      </c>
      <c r="E878" s="12" t="s">
        <v>81</v>
      </c>
      <c r="F878" s="10" t="n">
        <v>24</v>
      </c>
      <c r="G878" s="12" t="s">
        <v>31</v>
      </c>
      <c r="H878" s="10" t="n">
        <v>2110101</v>
      </c>
      <c r="I878" s="12" t="s">
        <v>32</v>
      </c>
      <c r="J878" s="10" t="n">
        <v>1057743</v>
      </c>
      <c r="L878" s="10" t="n">
        <v>10336</v>
      </c>
      <c r="M878" s="12" t="s">
        <v>1079</v>
      </c>
      <c r="N878" s="12" t="s">
        <v>34</v>
      </c>
      <c r="P878" s="10" t="n">
        <v>103</v>
      </c>
      <c r="Q878" s="12" t="s">
        <v>35</v>
      </c>
      <c r="R878" s="12" t="s">
        <v>36</v>
      </c>
      <c r="S878" s="10" t="n">
        <v>1130101</v>
      </c>
      <c r="T878" s="12" t="s">
        <v>37</v>
      </c>
      <c r="U878" s="13" t="n">
        <v>250.35</v>
      </c>
      <c r="W878" s="13" t="n">
        <v>0</v>
      </c>
      <c r="X878" s="12" t="s">
        <v>1151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46230</v>
      </c>
      <c r="C879" s="11" t="n">
        <v>46231</v>
      </c>
      <c r="D879" s="10" t="n">
        <v>218</v>
      </c>
      <c r="E879" s="12" t="s">
        <v>1152</v>
      </c>
      <c r="F879" s="10" t="n">
        <v>34</v>
      </c>
      <c r="G879" s="12" t="s">
        <v>49</v>
      </c>
      <c r="H879" s="10" t="n">
        <v>1110202</v>
      </c>
      <c r="I879" s="12" t="s">
        <v>90</v>
      </c>
      <c r="J879" s="10" t="n">
        <v>1459593</v>
      </c>
      <c r="L879" s="10" t="n">
        <v>600407</v>
      </c>
      <c r="M879" s="12" t="s">
        <v>33</v>
      </c>
      <c r="N879" s="12" t="s">
        <v>66</v>
      </c>
      <c r="P879" s="10" t="n">
        <v>101</v>
      </c>
      <c r="Q879" s="12" t="s">
        <v>84</v>
      </c>
      <c r="R879" s="12" t="s">
        <v>121</v>
      </c>
      <c r="S879" s="10" t="n">
        <v>4210301</v>
      </c>
      <c r="T879" s="12" t="s">
        <v>122</v>
      </c>
      <c r="U879" s="13" t="n">
        <v>3910.01</v>
      </c>
      <c r="W879" s="13" t="n">
        <v>0</v>
      </c>
      <c r="X879" s="12" t="s">
        <v>1153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46231</v>
      </c>
      <c r="C880" s="11" t="n">
        <v>46231</v>
      </c>
      <c r="D880" s="10" t="n">
        <v>33</v>
      </c>
      <c r="E880" s="12" t="s">
        <v>64</v>
      </c>
      <c r="F880" s="10" t="n">
        <v>13</v>
      </c>
      <c r="G880" s="12" t="s">
        <v>55</v>
      </c>
      <c r="H880" s="10" t="n">
        <v>2110101</v>
      </c>
      <c r="I880" s="12" t="s">
        <v>32</v>
      </c>
      <c r="J880" s="10" t="n">
        <v>1463447</v>
      </c>
      <c r="L880" s="10" t="n">
        <v>5356</v>
      </c>
      <c r="M880" s="12" t="s">
        <v>33</v>
      </c>
      <c r="N880" s="12" t="s">
        <v>34</v>
      </c>
      <c r="P880" s="10" t="n">
        <v>104</v>
      </c>
      <c r="Q880" s="12" t="s">
        <v>50</v>
      </c>
      <c r="R880" s="12" t="s">
        <v>36</v>
      </c>
      <c r="S880" s="10" t="n">
        <v>1130101</v>
      </c>
      <c r="T880" s="12" t="s">
        <v>37</v>
      </c>
      <c r="U880" s="13" t="n">
        <v>350</v>
      </c>
      <c r="W880" s="13" t="n">
        <v>350</v>
      </c>
      <c r="X880" s="12" t="s">
        <v>1154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46231</v>
      </c>
      <c r="C881" s="11" t="n">
        <v>46231</v>
      </c>
      <c r="D881" s="10" t="n">
        <v>33</v>
      </c>
      <c r="E881" s="12" t="s">
        <v>64</v>
      </c>
      <c r="F881" s="10" t="n">
        <v>13</v>
      </c>
      <c r="G881" s="12" t="s">
        <v>55</v>
      </c>
      <c r="H881" s="10" t="n">
        <v>2110101</v>
      </c>
      <c r="I881" s="12" t="s">
        <v>32</v>
      </c>
      <c r="J881" s="10" t="n">
        <v>1463473</v>
      </c>
      <c r="L881" s="10" t="n">
        <v>5357</v>
      </c>
      <c r="M881" s="12" t="s">
        <v>33</v>
      </c>
      <c r="N881" s="12" t="s">
        <v>34</v>
      </c>
      <c r="P881" s="10" t="n">
        <v>104</v>
      </c>
      <c r="Q881" s="12" t="s">
        <v>50</v>
      </c>
      <c r="R881" s="12" t="s">
        <v>36</v>
      </c>
      <c r="S881" s="10" t="n">
        <v>1130101</v>
      </c>
      <c r="T881" s="12" t="s">
        <v>37</v>
      </c>
      <c r="U881" s="13" t="n">
        <v>560</v>
      </c>
      <c r="W881" s="13" t="n">
        <v>560</v>
      </c>
      <c r="X881" s="12" t="s">
        <v>1155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46231</v>
      </c>
      <c r="C882" s="11" t="n">
        <v>46231</v>
      </c>
      <c r="D882" s="10" t="n">
        <v>33</v>
      </c>
      <c r="E882" s="12" t="s">
        <v>64</v>
      </c>
      <c r="F882" s="10" t="n">
        <v>13</v>
      </c>
      <c r="G882" s="12" t="s">
        <v>55</v>
      </c>
      <c r="H882" s="10" t="n">
        <v>2110101</v>
      </c>
      <c r="I882" s="12" t="s">
        <v>32</v>
      </c>
      <c r="J882" s="10" t="n">
        <v>1463504</v>
      </c>
      <c r="L882" s="10" t="n">
        <v>5358</v>
      </c>
      <c r="M882" s="12" t="s">
        <v>33</v>
      </c>
      <c r="N882" s="12" t="s">
        <v>34</v>
      </c>
      <c r="P882" s="10" t="n">
        <v>104</v>
      </c>
      <c r="Q882" s="12" t="s">
        <v>50</v>
      </c>
      <c r="R882" s="12" t="s">
        <v>36</v>
      </c>
      <c r="S882" s="10" t="n">
        <v>1130101</v>
      </c>
      <c r="T882" s="12" t="s">
        <v>37</v>
      </c>
      <c r="U882" s="13" t="n">
        <v>280</v>
      </c>
      <c r="W882" s="13" t="n">
        <v>280</v>
      </c>
      <c r="X882" s="12" t="s">
        <v>1156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46231</v>
      </c>
      <c r="C883" s="11" t="n">
        <v>46231</v>
      </c>
      <c r="D883" s="10" t="n">
        <v>33</v>
      </c>
      <c r="E883" s="12" t="s">
        <v>64</v>
      </c>
      <c r="F883" s="10" t="n">
        <v>13</v>
      </c>
      <c r="G883" s="12" t="s">
        <v>55</v>
      </c>
      <c r="H883" s="10" t="n">
        <v>2110101</v>
      </c>
      <c r="I883" s="12" t="s">
        <v>32</v>
      </c>
      <c r="J883" s="10" t="n">
        <v>1463541</v>
      </c>
      <c r="L883" s="10" t="n">
        <v>5359</v>
      </c>
      <c r="M883" s="12" t="s">
        <v>33</v>
      </c>
      <c r="N883" s="12" t="s">
        <v>34</v>
      </c>
      <c r="P883" s="10" t="n">
        <v>104</v>
      </c>
      <c r="Q883" s="12" t="s">
        <v>50</v>
      </c>
      <c r="R883" s="12" t="s">
        <v>36</v>
      </c>
      <c r="S883" s="10" t="n">
        <v>1130101</v>
      </c>
      <c r="T883" s="12" t="s">
        <v>37</v>
      </c>
      <c r="U883" s="13" t="n">
        <v>280</v>
      </c>
      <c r="W883" s="13" t="n">
        <v>280</v>
      </c>
      <c r="X883" s="12" t="s">
        <v>1157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46231</v>
      </c>
      <c r="C884" s="11" t="n">
        <v>46231</v>
      </c>
      <c r="D884" s="10" t="n">
        <v>33</v>
      </c>
      <c r="E884" s="12" t="s">
        <v>64</v>
      </c>
      <c r="F884" s="10" t="n">
        <v>13</v>
      </c>
      <c r="G884" s="12" t="s">
        <v>55</v>
      </c>
      <c r="H884" s="10" t="n">
        <v>2110101</v>
      </c>
      <c r="I884" s="12" t="s">
        <v>32</v>
      </c>
      <c r="J884" s="10" t="n">
        <v>1463614</v>
      </c>
      <c r="L884" s="10" t="n">
        <v>5360</v>
      </c>
      <c r="M884" s="12" t="s">
        <v>33</v>
      </c>
      <c r="N884" s="12" t="s">
        <v>34</v>
      </c>
      <c r="P884" s="10" t="n">
        <v>104</v>
      </c>
      <c r="Q884" s="12" t="s">
        <v>50</v>
      </c>
      <c r="R884" s="12" t="s">
        <v>36</v>
      </c>
      <c r="S884" s="10" t="n">
        <v>1130101</v>
      </c>
      <c r="T884" s="12" t="s">
        <v>37</v>
      </c>
      <c r="U884" s="13" t="n">
        <v>280</v>
      </c>
      <c r="W884" s="13" t="n">
        <v>280</v>
      </c>
      <c r="X884" s="12" t="s">
        <v>1158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46231</v>
      </c>
      <c r="C885" s="11" t="n">
        <v>46231</v>
      </c>
      <c r="D885" s="10" t="n">
        <v>33</v>
      </c>
      <c r="E885" s="12" t="s">
        <v>64</v>
      </c>
      <c r="F885" s="10" t="n">
        <v>13</v>
      </c>
      <c r="G885" s="12" t="s">
        <v>55</v>
      </c>
      <c r="H885" s="10" t="n">
        <v>2110101</v>
      </c>
      <c r="I885" s="12" t="s">
        <v>32</v>
      </c>
      <c r="J885" s="10" t="n">
        <v>1463647</v>
      </c>
      <c r="L885" s="10" t="n">
        <v>5361</v>
      </c>
      <c r="M885" s="12" t="s">
        <v>33</v>
      </c>
      <c r="N885" s="12" t="s">
        <v>34</v>
      </c>
      <c r="P885" s="10" t="n">
        <v>104</v>
      </c>
      <c r="Q885" s="12" t="s">
        <v>50</v>
      </c>
      <c r="R885" s="12" t="s">
        <v>36</v>
      </c>
      <c r="S885" s="10" t="n">
        <v>1130101</v>
      </c>
      <c r="T885" s="12" t="s">
        <v>37</v>
      </c>
      <c r="U885" s="13" t="n">
        <v>280</v>
      </c>
      <c r="W885" s="13" t="n">
        <v>280</v>
      </c>
      <c r="X885" s="12" t="s">
        <v>1159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46231</v>
      </c>
      <c r="C886" s="11" t="n">
        <v>46231</v>
      </c>
      <c r="D886" s="10" t="n">
        <v>33</v>
      </c>
      <c r="E886" s="12" t="s">
        <v>64</v>
      </c>
      <c r="F886" s="10" t="n">
        <v>34</v>
      </c>
      <c r="G886" s="12" t="s">
        <v>49</v>
      </c>
      <c r="H886" s="10" t="n">
        <v>2110101</v>
      </c>
      <c r="I886" s="12" t="s">
        <v>32</v>
      </c>
      <c r="J886" s="10" t="n">
        <v>1465010</v>
      </c>
      <c r="L886" s="10" t="n">
        <v>5363</v>
      </c>
      <c r="M886" s="12" t="s">
        <v>33</v>
      </c>
      <c r="N886" s="12" t="s">
        <v>34</v>
      </c>
      <c r="P886" s="10" t="n">
        <v>104</v>
      </c>
      <c r="Q886" s="12" t="s">
        <v>50</v>
      </c>
      <c r="R886" s="12" t="s">
        <v>36</v>
      </c>
      <c r="S886" s="10" t="n">
        <v>1130101</v>
      </c>
      <c r="T886" s="12" t="s">
        <v>37</v>
      </c>
      <c r="U886" s="13" t="n">
        <v>2812.5</v>
      </c>
      <c r="W886" s="13" t="n">
        <v>0</v>
      </c>
      <c r="X886" s="12" t="s">
        <v>364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46210</v>
      </c>
      <c r="C887" s="11" t="n">
        <v>46231</v>
      </c>
      <c r="D887" s="10" t="n">
        <v>1402</v>
      </c>
      <c r="E887" s="12" t="s">
        <v>214</v>
      </c>
      <c r="F887" s="10" t="n">
        <v>24</v>
      </c>
      <c r="G887" s="12" t="s">
        <v>31</v>
      </c>
      <c r="H887" s="10" t="n">
        <v>2110102</v>
      </c>
      <c r="I887" s="12" t="s">
        <v>197</v>
      </c>
      <c r="J887" s="10" t="n">
        <v>1366273</v>
      </c>
      <c r="L887" s="10" t="n">
        <v>3614</v>
      </c>
      <c r="M887" s="12" t="s">
        <v>33</v>
      </c>
      <c r="N887" s="12" t="s">
        <v>34</v>
      </c>
      <c r="P887" s="10" t="n">
        <v>103</v>
      </c>
      <c r="Q887" s="12" t="s">
        <v>35</v>
      </c>
      <c r="R887" s="12" t="s">
        <v>94</v>
      </c>
      <c r="S887" s="10" t="n">
        <v>4210204</v>
      </c>
      <c r="T887" s="12" t="s">
        <v>198</v>
      </c>
      <c r="U887" s="13" t="n">
        <v>1208.4</v>
      </c>
      <c r="W887" s="13" t="n">
        <v>0</v>
      </c>
      <c r="X887" s="12" t="s">
        <v>1160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46226</v>
      </c>
      <c r="C888" s="11" t="n">
        <v>46231</v>
      </c>
      <c r="D888" s="10" t="n">
        <v>1286</v>
      </c>
      <c r="E888" s="12" t="s">
        <v>216</v>
      </c>
      <c r="F888" s="10" t="n">
        <v>24</v>
      </c>
      <c r="G888" s="12" t="s">
        <v>31</v>
      </c>
      <c r="H888" s="10" t="n">
        <v>1110202</v>
      </c>
      <c r="I888" s="12" t="s">
        <v>90</v>
      </c>
      <c r="J888" s="10" t="n">
        <v>1439224</v>
      </c>
      <c r="L888" s="10" t="n">
        <v>10372</v>
      </c>
      <c r="M888" s="12" t="s">
        <v>33</v>
      </c>
      <c r="N888" s="12" t="s">
        <v>66</v>
      </c>
      <c r="P888" s="10" t="n">
        <v>103</v>
      </c>
      <c r="Q888" s="12" t="s">
        <v>35</v>
      </c>
      <c r="R888" s="12" t="s">
        <v>36</v>
      </c>
      <c r="S888" s="10" t="n">
        <v>1130101</v>
      </c>
      <c r="T888" s="12" t="s">
        <v>37</v>
      </c>
      <c r="U888" s="13" t="n">
        <v>702</v>
      </c>
      <c r="W888" s="13" t="n">
        <v>0</v>
      </c>
      <c r="X888" s="12" t="s">
        <v>1161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46206</v>
      </c>
      <c r="C889" s="11" t="n">
        <v>46232</v>
      </c>
      <c r="D889" s="10" t="n">
        <v>1706</v>
      </c>
      <c r="E889" s="12" t="s">
        <v>978</v>
      </c>
      <c r="F889" s="10" t="n">
        <v>24</v>
      </c>
      <c r="G889" s="12" t="s">
        <v>31</v>
      </c>
      <c r="H889" s="10" t="n">
        <v>2110101</v>
      </c>
      <c r="I889" s="12" t="s">
        <v>32</v>
      </c>
      <c r="J889" s="10" t="n">
        <v>1344526</v>
      </c>
      <c r="L889" s="10" t="n">
        <v>203762</v>
      </c>
      <c r="M889" s="12" t="s">
        <v>33</v>
      </c>
      <c r="N889" s="12" t="s">
        <v>34</v>
      </c>
      <c r="P889" s="10" t="n">
        <v>103</v>
      </c>
      <c r="Q889" s="12" t="s">
        <v>35</v>
      </c>
      <c r="R889" s="12" t="s">
        <v>36</v>
      </c>
      <c r="S889" s="10" t="n">
        <v>1130101</v>
      </c>
      <c r="T889" s="12" t="s">
        <v>37</v>
      </c>
      <c r="U889" s="13" t="n">
        <v>1896.53</v>
      </c>
      <c r="W889" s="13" t="n">
        <v>0</v>
      </c>
      <c r="X889" s="12" t="s">
        <v>1162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46219</v>
      </c>
      <c r="C890" s="11" t="n">
        <v>46232</v>
      </c>
      <c r="D890" s="10" t="n">
        <v>1705</v>
      </c>
      <c r="E890" s="12" t="s">
        <v>46</v>
      </c>
      <c r="F890" s="10" t="n">
        <v>24</v>
      </c>
      <c r="G890" s="12" t="s">
        <v>31</v>
      </c>
      <c r="H890" s="10" t="n">
        <v>1110202</v>
      </c>
      <c r="I890" s="12" t="s">
        <v>90</v>
      </c>
      <c r="J890" s="10" t="n">
        <v>1405490</v>
      </c>
      <c r="L890" s="10" t="n">
        <v>1933730</v>
      </c>
      <c r="M890" s="12" t="s">
        <v>33</v>
      </c>
      <c r="N890" s="12" t="s">
        <v>66</v>
      </c>
      <c r="P890" s="10" t="n">
        <v>103</v>
      </c>
      <c r="Q890" s="12" t="s">
        <v>35</v>
      </c>
      <c r="R890" s="12" t="s">
        <v>36</v>
      </c>
      <c r="S890" s="10" t="n">
        <v>1130101</v>
      </c>
      <c r="T890" s="12" t="s">
        <v>37</v>
      </c>
      <c r="U890" s="13" t="n">
        <v>417.71</v>
      </c>
      <c r="W890" s="13" t="n">
        <v>0</v>
      </c>
      <c r="X890" s="12" t="s">
        <v>1163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46214</v>
      </c>
      <c r="C891" s="11" t="n">
        <v>46232</v>
      </c>
      <c r="D891" s="10" t="n">
        <v>1613</v>
      </c>
      <c r="E891" s="12" t="s">
        <v>71</v>
      </c>
      <c r="F891" s="10" t="n">
        <v>24</v>
      </c>
      <c r="G891" s="12" t="s">
        <v>31</v>
      </c>
      <c r="H891" s="10" t="n">
        <v>1110202</v>
      </c>
      <c r="I891" s="12" t="s">
        <v>90</v>
      </c>
      <c r="J891" s="10" t="n">
        <v>1382549</v>
      </c>
      <c r="L891" s="10" t="n">
        <v>1605894</v>
      </c>
      <c r="M891" s="12" t="s">
        <v>76</v>
      </c>
      <c r="N891" s="12" t="s">
        <v>66</v>
      </c>
      <c r="P891" s="10" t="n">
        <v>103</v>
      </c>
      <c r="Q891" s="12" t="s">
        <v>35</v>
      </c>
      <c r="R891" s="12" t="s">
        <v>36</v>
      </c>
      <c r="S891" s="10" t="n">
        <v>1130101</v>
      </c>
      <c r="T891" s="12" t="s">
        <v>37</v>
      </c>
      <c r="U891" s="13" t="n">
        <v>3073.8</v>
      </c>
      <c r="W891" s="13" t="n">
        <v>0</v>
      </c>
      <c r="X891" s="12" t="s">
        <v>1164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46220</v>
      </c>
      <c r="C892" s="11" t="n">
        <v>46232</v>
      </c>
      <c r="D892" s="10" t="n">
        <v>1613</v>
      </c>
      <c r="E892" s="12" t="s">
        <v>71</v>
      </c>
      <c r="F892" s="10" t="n">
        <v>24</v>
      </c>
      <c r="G892" s="12" t="s">
        <v>31</v>
      </c>
      <c r="H892" s="10" t="n">
        <v>1110202</v>
      </c>
      <c r="I892" s="12" t="s">
        <v>90</v>
      </c>
      <c r="J892" s="10" t="n">
        <v>1411781</v>
      </c>
      <c r="L892" s="10" t="n">
        <v>1608648</v>
      </c>
      <c r="M892" s="12" t="s">
        <v>33</v>
      </c>
      <c r="N892" s="12" t="s">
        <v>66</v>
      </c>
      <c r="P892" s="10" t="n">
        <v>103</v>
      </c>
      <c r="Q892" s="12" t="s">
        <v>35</v>
      </c>
      <c r="R892" s="12" t="s">
        <v>36</v>
      </c>
      <c r="S892" s="10" t="n">
        <v>1130101</v>
      </c>
      <c r="T892" s="12" t="s">
        <v>37</v>
      </c>
      <c r="U892" s="13" t="n">
        <v>4171.51</v>
      </c>
      <c r="W892" s="13" t="n">
        <v>0</v>
      </c>
      <c r="X892" s="12" t="s">
        <v>1165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46231</v>
      </c>
      <c r="C893" s="11" t="n">
        <v>46232</v>
      </c>
      <c r="D893" s="10" t="n">
        <v>1615</v>
      </c>
      <c r="E893" s="12" t="s">
        <v>48</v>
      </c>
      <c r="F893" s="10" t="n">
        <v>34</v>
      </c>
      <c r="G893" s="12" t="s">
        <v>49</v>
      </c>
      <c r="H893" s="10" t="n">
        <v>2110101</v>
      </c>
      <c r="I893" s="12" t="s">
        <v>32</v>
      </c>
      <c r="J893" s="10" t="n">
        <v>1464669</v>
      </c>
      <c r="L893" s="10" t="n">
        <v>14967</v>
      </c>
      <c r="M893" s="12" t="s">
        <v>33</v>
      </c>
      <c r="N893" s="12" t="s">
        <v>34</v>
      </c>
      <c r="P893" s="10" t="n">
        <v>104</v>
      </c>
      <c r="Q893" s="12" t="s">
        <v>50</v>
      </c>
      <c r="R893" s="12" t="s">
        <v>36</v>
      </c>
      <c r="S893" s="10" t="n">
        <v>1130101</v>
      </c>
      <c r="T893" s="12" t="s">
        <v>37</v>
      </c>
      <c r="U893" s="13" t="n">
        <v>720</v>
      </c>
      <c r="W893" s="13" t="n">
        <v>0</v>
      </c>
      <c r="X893" s="12" t="s">
        <v>1166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46234</v>
      </c>
      <c r="C894" s="11" t="n">
        <v>46232</v>
      </c>
      <c r="D894" s="10" t="n">
        <v>1391</v>
      </c>
      <c r="E894" s="12" t="s">
        <v>1167</v>
      </c>
      <c r="F894" s="10" t="n">
        <v>13</v>
      </c>
      <c r="G894" s="12" t="s">
        <v>55</v>
      </c>
      <c r="H894" s="10" t="n">
        <v>2110101</v>
      </c>
      <c r="I894" s="12" t="s">
        <v>32</v>
      </c>
      <c r="J894" s="10" t="n">
        <v>1477703</v>
      </c>
      <c r="L894" s="10" t="n">
        <v>413</v>
      </c>
      <c r="M894" s="12" t="s">
        <v>33</v>
      </c>
      <c r="N894" s="12" t="s">
        <v>34</v>
      </c>
      <c r="P894" s="10" t="n">
        <v>104</v>
      </c>
      <c r="Q894" s="12" t="s">
        <v>50</v>
      </c>
      <c r="R894" s="12" t="s">
        <v>36</v>
      </c>
      <c r="S894" s="10" t="n">
        <v>1130101</v>
      </c>
      <c r="T894" s="12" t="s">
        <v>37</v>
      </c>
      <c r="U894" s="13" t="n">
        <v>612</v>
      </c>
      <c r="W894" s="13" t="n">
        <v>612</v>
      </c>
      <c r="X894" s="12" t="s">
        <v>1168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46204</v>
      </c>
      <c r="C895" s="11" t="n">
        <v>46232</v>
      </c>
      <c r="D895" s="10" t="n">
        <v>1608</v>
      </c>
      <c r="E895" s="12" t="s">
        <v>52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1334069</v>
      </c>
      <c r="L895" s="10" t="n">
        <v>1685233</v>
      </c>
      <c r="M895" s="12" t="s">
        <v>76</v>
      </c>
      <c r="N895" s="12" t="s">
        <v>34</v>
      </c>
      <c r="P895" s="10" t="n">
        <v>103</v>
      </c>
      <c r="Q895" s="12" t="s">
        <v>35</v>
      </c>
      <c r="R895" s="12" t="s">
        <v>36</v>
      </c>
      <c r="S895" s="10" t="n">
        <v>1130101</v>
      </c>
      <c r="T895" s="12" t="s">
        <v>37</v>
      </c>
      <c r="U895" s="13" t="n">
        <v>1862.4</v>
      </c>
      <c r="W895" s="13" t="n">
        <v>0</v>
      </c>
      <c r="X895" s="12" t="s">
        <v>1169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46204</v>
      </c>
      <c r="C896" s="11" t="n">
        <v>46232</v>
      </c>
      <c r="D896" s="10" t="n">
        <v>1608</v>
      </c>
      <c r="E896" s="12" t="s">
        <v>52</v>
      </c>
      <c r="F896" s="10" t="n">
        <v>24</v>
      </c>
      <c r="G896" s="12" t="s">
        <v>31</v>
      </c>
      <c r="H896" s="10" t="n">
        <v>2110101</v>
      </c>
      <c r="I896" s="12" t="s">
        <v>32</v>
      </c>
      <c r="J896" s="10" t="n">
        <v>1334447</v>
      </c>
      <c r="L896" s="10" t="n">
        <v>1685064</v>
      </c>
      <c r="M896" s="12" t="s">
        <v>33</v>
      </c>
      <c r="N896" s="12" t="s">
        <v>34</v>
      </c>
      <c r="P896" s="10" t="n">
        <v>103</v>
      </c>
      <c r="Q896" s="12" t="s">
        <v>35</v>
      </c>
      <c r="R896" s="12" t="s">
        <v>36</v>
      </c>
      <c r="S896" s="10" t="n">
        <v>1130101</v>
      </c>
      <c r="T896" s="12" t="s">
        <v>37</v>
      </c>
      <c r="U896" s="13" t="n">
        <v>2148.41</v>
      </c>
      <c r="W896" s="13" t="n">
        <v>0</v>
      </c>
      <c r="X896" s="12" t="s">
        <v>1170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46232</v>
      </c>
      <c r="C897" s="11" t="n">
        <v>46232</v>
      </c>
      <c r="D897" s="10" t="n">
        <v>905</v>
      </c>
      <c r="E897" s="12" t="s">
        <v>470</v>
      </c>
      <c r="F897" s="10" t="n">
        <v>34</v>
      </c>
      <c r="G897" s="12" t="s">
        <v>49</v>
      </c>
      <c r="H897" s="10" t="n">
        <v>1110202</v>
      </c>
      <c r="I897" s="12" t="s">
        <v>90</v>
      </c>
      <c r="J897" s="10" t="n">
        <v>1473251</v>
      </c>
      <c r="L897" s="10" t="n">
        <v>605375</v>
      </c>
      <c r="M897" s="12" t="s">
        <v>33</v>
      </c>
      <c r="N897" s="12" t="s">
        <v>66</v>
      </c>
      <c r="P897" s="10" t="n">
        <v>102</v>
      </c>
      <c r="Q897" s="12" t="s">
        <v>112</v>
      </c>
      <c r="R897" s="12" t="s">
        <v>1171</v>
      </c>
      <c r="S897" s="10" t="n">
        <v>4110103</v>
      </c>
      <c r="T897" s="12" t="s">
        <v>1172</v>
      </c>
      <c r="U897" s="13" t="n">
        <v>400</v>
      </c>
      <c r="W897" s="13" t="n">
        <v>0</v>
      </c>
      <c r="X897" s="12" t="s">
        <v>1173</v>
      </c>
      <c r="Z897" s="1" t="str">
        <f aca="false">IF($T897="","",IFERROR(INDEX('Resumo Grupos'!$AC$3:$AC$200,MATCH($T897,'Resumo Grupos'!$AB$3:$AB$200,0)),"n/d"))</f>
        <v>Salários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46226</v>
      </c>
      <c r="C898" s="11" t="n">
        <v>46232</v>
      </c>
      <c r="D898" s="10" t="n">
        <v>1609</v>
      </c>
      <c r="E898" s="12" t="s">
        <v>343</v>
      </c>
      <c r="F898" s="10" t="n">
        <v>24</v>
      </c>
      <c r="G898" s="12" t="s">
        <v>31</v>
      </c>
      <c r="H898" s="10" t="n">
        <v>1110202</v>
      </c>
      <c r="I898" s="12" t="s">
        <v>90</v>
      </c>
      <c r="J898" s="10" t="n">
        <v>1439329</v>
      </c>
      <c r="L898" s="10" t="n">
        <v>5843</v>
      </c>
      <c r="M898" s="12" t="s">
        <v>33</v>
      </c>
      <c r="N898" s="12" t="s">
        <v>66</v>
      </c>
      <c r="P898" s="10" t="n">
        <v>103</v>
      </c>
      <c r="Q898" s="12" t="s">
        <v>35</v>
      </c>
      <c r="R898" s="12" t="s">
        <v>36</v>
      </c>
      <c r="S898" s="10" t="n">
        <v>1130101</v>
      </c>
      <c r="T898" s="12" t="s">
        <v>37</v>
      </c>
      <c r="U898" s="13" t="n">
        <v>933.95</v>
      </c>
      <c r="W898" s="13" t="n">
        <v>0</v>
      </c>
      <c r="X898" s="12" t="s">
        <v>1174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46211</v>
      </c>
      <c r="C899" s="11" t="n">
        <v>46232</v>
      </c>
      <c r="D899" s="10" t="n">
        <v>10033</v>
      </c>
      <c r="E899" s="12" t="s">
        <v>1175</v>
      </c>
      <c r="F899" s="10" t="n">
        <v>24</v>
      </c>
      <c r="G899" s="12" t="s">
        <v>31</v>
      </c>
      <c r="H899" s="10" t="n">
        <v>2110101</v>
      </c>
      <c r="I899" s="12" t="s">
        <v>32</v>
      </c>
      <c r="J899" s="10" t="n">
        <v>1368773</v>
      </c>
      <c r="L899" s="10" t="n">
        <v>104122</v>
      </c>
      <c r="M899" s="12" t="s">
        <v>33</v>
      </c>
      <c r="N899" s="12" t="s">
        <v>34</v>
      </c>
      <c r="P899" s="10" t="n">
        <v>103</v>
      </c>
      <c r="Q899" s="12" t="s">
        <v>35</v>
      </c>
      <c r="R899" s="12" t="s">
        <v>36</v>
      </c>
      <c r="S899" s="10" t="n">
        <v>1130101</v>
      </c>
      <c r="T899" s="12" t="s">
        <v>37</v>
      </c>
      <c r="U899" s="13" t="n">
        <v>698.4</v>
      </c>
      <c r="W899" s="13" t="n">
        <v>0</v>
      </c>
      <c r="X899" s="12" t="s">
        <v>1176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46232</v>
      </c>
      <c r="C900" s="11" t="n">
        <v>46232</v>
      </c>
      <c r="D900" s="10" t="n">
        <v>515</v>
      </c>
      <c r="E900" s="12" t="s">
        <v>111</v>
      </c>
      <c r="F900" s="10" t="n">
        <v>34</v>
      </c>
      <c r="G900" s="12" t="s">
        <v>49</v>
      </c>
      <c r="H900" s="10" t="n">
        <v>1110202</v>
      </c>
      <c r="I900" s="12" t="s">
        <v>90</v>
      </c>
      <c r="J900" s="10" t="n">
        <v>1468233</v>
      </c>
      <c r="L900" s="10" t="n">
        <v>603538</v>
      </c>
      <c r="M900" s="12" t="s">
        <v>33</v>
      </c>
      <c r="N900" s="12" t="s">
        <v>66</v>
      </c>
      <c r="P900" s="10" t="n">
        <v>102</v>
      </c>
      <c r="Q900" s="12" t="s">
        <v>112</v>
      </c>
      <c r="R900" s="12" t="s">
        <v>91</v>
      </c>
      <c r="S900" s="10" t="n">
        <v>4220199</v>
      </c>
      <c r="T900" s="12" t="s">
        <v>92</v>
      </c>
      <c r="U900" s="13" t="n">
        <v>279.64</v>
      </c>
      <c r="W900" s="13" t="n">
        <v>0</v>
      </c>
      <c r="X900" s="12" t="s">
        <v>1177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46226</v>
      </c>
      <c r="C901" s="11" t="n">
        <v>46232</v>
      </c>
      <c r="D901" s="10" t="n">
        <v>1363</v>
      </c>
      <c r="E901" s="12" t="s">
        <v>177</v>
      </c>
      <c r="F901" s="10" t="n">
        <v>24</v>
      </c>
      <c r="G901" s="12" t="s">
        <v>31</v>
      </c>
      <c r="H901" s="10" t="n">
        <v>1110202</v>
      </c>
      <c r="I901" s="12" t="s">
        <v>90</v>
      </c>
      <c r="J901" s="10" t="n">
        <v>1439311</v>
      </c>
      <c r="L901" s="10" t="n">
        <v>3590</v>
      </c>
      <c r="M901" s="12" t="s">
        <v>33</v>
      </c>
      <c r="N901" s="12" t="s">
        <v>66</v>
      </c>
      <c r="P901" s="10" t="n">
        <v>103</v>
      </c>
      <c r="Q901" s="12" t="s">
        <v>35</v>
      </c>
      <c r="R901" s="12" t="s">
        <v>36</v>
      </c>
      <c r="S901" s="10" t="n">
        <v>1130101</v>
      </c>
      <c r="T901" s="12" t="s">
        <v>37</v>
      </c>
      <c r="U901" s="13" t="n">
        <v>274</v>
      </c>
      <c r="W901" s="13" t="n">
        <v>0</v>
      </c>
      <c r="X901" s="12" t="s">
        <v>1178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46204</v>
      </c>
      <c r="C902" s="11" t="n">
        <v>46232</v>
      </c>
      <c r="D902" s="10" t="n">
        <v>1699</v>
      </c>
      <c r="E902" s="12" t="s">
        <v>124</v>
      </c>
      <c r="F902" s="10" t="n">
        <v>24</v>
      </c>
      <c r="G902" s="12" t="s">
        <v>31</v>
      </c>
      <c r="H902" s="10" t="n">
        <v>2110101</v>
      </c>
      <c r="I902" s="12" t="s">
        <v>32</v>
      </c>
      <c r="J902" s="10" t="n">
        <v>1334706</v>
      </c>
      <c r="L902" s="10" t="n">
        <v>306058</v>
      </c>
      <c r="M902" s="12" t="s">
        <v>40</v>
      </c>
      <c r="N902" s="12" t="s">
        <v>34</v>
      </c>
      <c r="P902" s="10" t="n">
        <v>103</v>
      </c>
      <c r="Q902" s="12" t="s">
        <v>35</v>
      </c>
      <c r="R902" s="12" t="s">
        <v>36</v>
      </c>
      <c r="S902" s="10" t="n">
        <v>1130101</v>
      </c>
      <c r="T902" s="12" t="s">
        <v>37</v>
      </c>
      <c r="U902" s="13" t="n">
        <v>1613.94</v>
      </c>
      <c r="W902" s="13" t="n">
        <v>0</v>
      </c>
      <c r="X902" s="12" t="s">
        <v>1179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46218</v>
      </c>
      <c r="C903" s="11" t="n">
        <v>46232</v>
      </c>
      <c r="D903" s="10" t="n">
        <v>1699</v>
      </c>
      <c r="E903" s="12" t="s">
        <v>124</v>
      </c>
      <c r="F903" s="10" t="n">
        <v>24</v>
      </c>
      <c r="G903" s="12" t="s">
        <v>31</v>
      </c>
      <c r="H903" s="10" t="n">
        <v>1110202</v>
      </c>
      <c r="I903" s="12" t="s">
        <v>90</v>
      </c>
      <c r="J903" s="10" t="n">
        <v>1401907</v>
      </c>
      <c r="L903" s="10" t="n">
        <v>307805</v>
      </c>
      <c r="M903" s="12" t="s">
        <v>76</v>
      </c>
      <c r="N903" s="12" t="s">
        <v>66</v>
      </c>
      <c r="P903" s="10" t="n">
        <v>103</v>
      </c>
      <c r="Q903" s="12" t="s">
        <v>35</v>
      </c>
      <c r="R903" s="12" t="s">
        <v>36</v>
      </c>
      <c r="S903" s="10" t="n">
        <v>1130101</v>
      </c>
      <c r="T903" s="12" t="s">
        <v>37</v>
      </c>
      <c r="U903" s="13" t="n">
        <v>732.47</v>
      </c>
      <c r="W903" s="13" t="n">
        <v>0</v>
      </c>
      <c r="X903" s="12" t="s">
        <v>1180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46206</v>
      </c>
      <c r="C904" s="11" t="n">
        <v>46232</v>
      </c>
      <c r="D904" s="10" t="n">
        <v>1675</v>
      </c>
      <c r="E904" s="12" t="s">
        <v>817</v>
      </c>
      <c r="F904" s="10" t="n">
        <v>24</v>
      </c>
      <c r="G904" s="12" t="s">
        <v>31</v>
      </c>
      <c r="H904" s="10" t="n">
        <v>2110101</v>
      </c>
      <c r="I904" s="12" t="s">
        <v>32</v>
      </c>
      <c r="J904" s="10" t="n">
        <v>1344964</v>
      </c>
      <c r="L904" s="10" t="n">
        <v>499471</v>
      </c>
      <c r="M904" s="12" t="s">
        <v>33</v>
      </c>
      <c r="N904" s="12" t="s">
        <v>34</v>
      </c>
      <c r="P904" s="10" t="n">
        <v>103</v>
      </c>
      <c r="Q904" s="12" t="s">
        <v>35</v>
      </c>
      <c r="R904" s="12" t="s">
        <v>36</v>
      </c>
      <c r="S904" s="10" t="n">
        <v>1130101</v>
      </c>
      <c r="T904" s="12" t="s">
        <v>37</v>
      </c>
      <c r="U904" s="13" t="n">
        <v>395.5</v>
      </c>
      <c r="W904" s="13" t="n">
        <v>0</v>
      </c>
      <c r="X904" s="12" t="s">
        <v>1181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46214</v>
      </c>
      <c r="C905" s="11" t="n">
        <v>46232</v>
      </c>
      <c r="D905" s="10" t="n">
        <v>10009</v>
      </c>
      <c r="E905" s="12" t="s">
        <v>181</v>
      </c>
      <c r="F905" s="10" t="n">
        <v>24</v>
      </c>
      <c r="G905" s="12" t="s">
        <v>31</v>
      </c>
      <c r="H905" s="10" t="n">
        <v>1110202</v>
      </c>
      <c r="I905" s="12" t="s">
        <v>90</v>
      </c>
      <c r="J905" s="10" t="n">
        <v>1381864</v>
      </c>
      <c r="L905" s="10" t="n">
        <v>1425692</v>
      </c>
      <c r="M905" s="12" t="s">
        <v>40</v>
      </c>
      <c r="N905" s="12" t="s">
        <v>66</v>
      </c>
      <c r="P905" s="10" t="n">
        <v>103</v>
      </c>
      <c r="Q905" s="12" t="s">
        <v>35</v>
      </c>
      <c r="R905" s="12" t="s">
        <v>36</v>
      </c>
      <c r="S905" s="10" t="n">
        <v>1130101</v>
      </c>
      <c r="T905" s="12" t="s">
        <v>37</v>
      </c>
      <c r="U905" s="13" t="n">
        <v>1051.26</v>
      </c>
      <c r="W905" s="13" t="n">
        <v>0</v>
      </c>
      <c r="X905" s="12" t="s">
        <v>1182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46172</v>
      </c>
      <c r="C906" s="11" t="n">
        <v>46232</v>
      </c>
      <c r="D906" s="10" t="n">
        <v>607</v>
      </c>
      <c r="E906" s="12" t="s">
        <v>81</v>
      </c>
      <c r="F906" s="10" t="n">
        <v>24</v>
      </c>
      <c r="G906" s="12" t="s">
        <v>31</v>
      </c>
      <c r="H906" s="10" t="n">
        <v>2110101</v>
      </c>
      <c r="I906" s="12" t="s">
        <v>32</v>
      </c>
      <c r="J906" s="10" t="n">
        <v>1177308</v>
      </c>
      <c r="L906" s="10" t="n">
        <v>10643</v>
      </c>
      <c r="M906" s="12" t="s">
        <v>448</v>
      </c>
      <c r="N906" s="12" t="s">
        <v>34</v>
      </c>
      <c r="P906" s="10" t="n">
        <v>103</v>
      </c>
      <c r="Q906" s="12" t="s">
        <v>35</v>
      </c>
      <c r="R906" s="12" t="s">
        <v>36</v>
      </c>
      <c r="S906" s="10" t="n">
        <v>1130101</v>
      </c>
      <c r="T906" s="12" t="s">
        <v>37</v>
      </c>
      <c r="U906" s="13" t="n">
        <v>319.7</v>
      </c>
      <c r="W906" s="13" t="n">
        <v>0</v>
      </c>
      <c r="X906" s="12" t="s">
        <v>1183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46231</v>
      </c>
      <c r="C907" s="11" t="n">
        <v>46232</v>
      </c>
      <c r="D907" s="10" t="n">
        <v>33</v>
      </c>
      <c r="E907" s="12" t="s">
        <v>64</v>
      </c>
      <c r="F907" s="10" t="n">
        <v>34</v>
      </c>
      <c r="G907" s="12" t="s">
        <v>49</v>
      </c>
      <c r="H907" s="10" t="n">
        <v>2110101</v>
      </c>
      <c r="I907" s="12" t="s">
        <v>32</v>
      </c>
      <c r="J907" s="10" t="n">
        <v>1464493</v>
      </c>
      <c r="L907" s="10" t="n">
        <v>5362</v>
      </c>
      <c r="M907" s="12" t="s">
        <v>33</v>
      </c>
      <c r="N907" s="12" t="s">
        <v>34</v>
      </c>
      <c r="P907" s="10" t="n">
        <v>104</v>
      </c>
      <c r="Q907" s="12" t="s">
        <v>50</v>
      </c>
      <c r="R907" s="12" t="s">
        <v>36</v>
      </c>
      <c r="S907" s="10" t="n">
        <v>1130101</v>
      </c>
      <c r="T907" s="12" t="s">
        <v>37</v>
      </c>
      <c r="U907" s="13" t="n">
        <v>1183</v>
      </c>
      <c r="W907" s="13" t="n">
        <v>0</v>
      </c>
      <c r="X907" s="12" t="s">
        <v>65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46232</v>
      </c>
      <c r="C908" s="11" t="n">
        <v>46232</v>
      </c>
      <c r="D908" s="10" t="n">
        <v>33</v>
      </c>
      <c r="E908" s="12" t="s">
        <v>64</v>
      </c>
      <c r="F908" s="10" t="n">
        <v>13</v>
      </c>
      <c r="G908" s="12" t="s">
        <v>55</v>
      </c>
      <c r="H908" s="10" t="n">
        <v>2110101</v>
      </c>
      <c r="I908" s="12" t="s">
        <v>32</v>
      </c>
      <c r="J908" s="10" t="n">
        <v>1468261</v>
      </c>
      <c r="L908" s="10" t="n">
        <v>5366</v>
      </c>
      <c r="M908" s="12" t="s">
        <v>33</v>
      </c>
      <c r="N908" s="12" t="s">
        <v>34</v>
      </c>
      <c r="P908" s="10" t="n">
        <v>104</v>
      </c>
      <c r="Q908" s="12" t="s">
        <v>50</v>
      </c>
      <c r="R908" s="12" t="s">
        <v>36</v>
      </c>
      <c r="S908" s="10" t="n">
        <v>1130101</v>
      </c>
      <c r="T908" s="12" t="s">
        <v>37</v>
      </c>
      <c r="U908" s="13" t="n">
        <v>420</v>
      </c>
      <c r="W908" s="13" t="n">
        <v>420</v>
      </c>
      <c r="X908" s="12" t="s">
        <v>1184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46232</v>
      </c>
      <c r="C909" s="11" t="n">
        <v>46232</v>
      </c>
      <c r="D909" s="10" t="n">
        <v>33</v>
      </c>
      <c r="E909" s="12" t="s">
        <v>64</v>
      </c>
      <c r="F909" s="10" t="n">
        <v>13</v>
      </c>
      <c r="G909" s="12" t="s">
        <v>55</v>
      </c>
      <c r="H909" s="10" t="n">
        <v>2110101</v>
      </c>
      <c r="I909" s="12" t="s">
        <v>32</v>
      </c>
      <c r="J909" s="10" t="n">
        <v>1468306</v>
      </c>
      <c r="L909" s="10" t="n">
        <v>5367</v>
      </c>
      <c r="M909" s="12" t="s">
        <v>33</v>
      </c>
      <c r="N909" s="12" t="s">
        <v>34</v>
      </c>
      <c r="P909" s="10" t="n">
        <v>104</v>
      </c>
      <c r="Q909" s="12" t="s">
        <v>50</v>
      </c>
      <c r="R909" s="12" t="s">
        <v>36</v>
      </c>
      <c r="S909" s="10" t="n">
        <v>1130101</v>
      </c>
      <c r="T909" s="12" t="s">
        <v>37</v>
      </c>
      <c r="U909" s="13" t="n">
        <v>350</v>
      </c>
      <c r="W909" s="13" t="n">
        <v>350</v>
      </c>
      <c r="X909" s="12" t="s">
        <v>1185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46232</v>
      </c>
      <c r="C910" s="11" t="n">
        <v>46232</v>
      </c>
      <c r="D910" s="10" t="n">
        <v>33</v>
      </c>
      <c r="E910" s="12" t="s">
        <v>64</v>
      </c>
      <c r="F910" s="10" t="n">
        <v>13</v>
      </c>
      <c r="G910" s="12" t="s">
        <v>55</v>
      </c>
      <c r="H910" s="10" t="n">
        <v>2110101</v>
      </c>
      <c r="I910" s="12" t="s">
        <v>32</v>
      </c>
      <c r="J910" s="10" t="n">
        <v>1468415</v>
      </c>
      <c r="L910" s="10" t="n">
        <v>5368</v>
      </c>
      <c r="M910" s="12" t="s">
        <v>33</v>
      </c>
      <c r="N910" s="12" t="s">
        <v>34</v>
      </c>
      <c r="P910" s="10" t="n">
        <v>104</v>
      </c>
      <c r="Q910" s="12" t="s">
        <v>50</v>
      </c>
      <c r="R910" s="12" t="s">
        <v>36</v>
      </c>
      <c r="S910" s="10" t="n">
        <v>1130101</v>
      </c>
      <c r="T910" s="12" t="s">
        <v>37</v>
      </c>
      <c r="U910" s="13" t="n">
        <v>280</v>
      </c>
      <c r="W910" s="13" t="n">
        <v>280</v>
      </c>
      <c r="X910" s="12" t="s">
        <v>1186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46232</v>
      </c>
      <c r="C911" s="11" t="n">
        <v>46232</v>
      </c>
      <c r="D911" s="10" t="n">
        <v>33</v>
      </c>
      <c r="E911" s="12" t="s">
        <v>64</v>
      </c>
      <c r="F911" s="10" t="n">
        <v>13</v>
      </c>
      <c r="G911" s="12" t="s">
        <v>55</v>
      </c>
      <c r="H911" s="10" t="n">
        <v>2110101</v>
      </c>
      <c r="I911" s="12" t="s">
        <v>32</v>
      </c>
      <c r="J911" s="10" t="n">
        <v>1468465</v>
      </c>
      <c r="L911" s="10" t="n">
        <v>5369</v>
      </c>
      <c r="M911" s="12" t="s">
        <v>33</v>
      </c>
      <c r="N911" s="12" t="s">
        <v>34</v>
      </c>
      <c r="P911" s="10" t="n">
        <v>104</v>
      </c>
      <c r="Q911" s="12" t="s">
        <v>50</v>
      </c>
      <c r="R911" s="12" t="s">
        <v>36</v>
      </c>
      <c r="S911" s="10" t="n">
        <v>1130101</v>
      </c>
      <c r="T911" s="12" t="s">
        <v>37</v>
      </c>
      <c r="U911" s="13" t="n">
        <v>280</v>
      </c>
      <c r="W911" s="13" t="n">
        <v>280</v>
      </c>
      <c r="X911" s="12" t="s">
        <v>1187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46232</v>
      </c>
      <c r="C912" s="11" t="n">
        <v>46232</v>
      </c>
      <c r="D912" s="10" t="n">
        <v>33</v>
      </c>
      <c r="E912" s="12" t="s">
        <v>64</v>
      </c>
      <c r="F912" s="10" t="n">
        <v>13</v>
      </c>
      <c r="G912" s="12" t="s">
        <v>55</v>
      </c>
      <c r="H912" s="10" t="n">
        <v>2110101</v>
      </c>
      <c r="I912" s="12" t="s">
        <v>32</v>
      </c>
      <c r="J912" s="10" t="n">
        <v>1468486</v>
      </c>
      <c r="L912" s="10" t="n">
        <v>5370</v>
      </c>
      <c r="M912" s="12" t="s">
        <v>33</v>
      </c>
      <c r="N912" s="12" t="s">
        <v>34</v>
      </c>
      <c r="P912" s="10" t="n">
        <v>104</v>
      </c>
      <c r="Q912" s="12" t="s">
        <v>50</v>
      </c>
      <c r="R912" s="12" t="s">
        <v>36</v>
      </c>
      <c r="S912" s="10" t="n">
        <v>1130101</v>
      </c>
      <c r="T912" s="12" t="s">
        <v>37</v>
      </c>
      <c r="U912" s="13" t="n">
        <v>280</v>
      </c>
      <c r="W912" s="13" t="n">
        <v>280</v>
      </c>
      <c r="X912" s="12" t="s">
        <v>1188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46232</v>
      </c>
      <c r="C913" s="11" t="n">
        <v>46232</v>
      </c>
      <c r="D913" s="10" t="n">
        <v>33</v>
      </c>
      <c r="E913" s="12" t="s">
        <v>64</v>
      </c>
      <c r="F913" s="10" t="n">
        <v>13</v>
      </c>
      <c r="G913" s="12" t="s">
        <v>55</v>
      </c>
      <c r="H913" s="10" t="n">
        <v>2110101</v>
      </c>
      <c r="I913" s="12" t="s">
        <v>32</v>
      </c>
      <c r="J913" s="10" t="n">
        <v>1468550</v>
      </c>
      <c r="L913" s="10" t="n">
        <v>5371</v>
      </c>
      <c r="M913" s="12" t="s">
        <v>33</v>
      </c>
      <c r="N913" s="12" t="s">
        <v>34</v>
      </c>
      <c r="P913" s="10" t="n">
        <v>104</v>
      </c>
      <c r="Q913" s="12" t="s">
        <v>50</v>
      </c>
      <c r="R913" s="12" t="s">
        <v>36</v>
      </c>
      <c r="S913" s="10" t="n">
        <v>1130101</v>
      </c>
      <c r="T913" s="12" t="s">
        <v>37</v>
      </c>
      <c r="U913" s="13" t="n">
        <v>280</v>
      </c>
      <c r="W913" s="13" t="n">
        <v>280</v>
      </c>
      <c r="X913" s="12" t="s">
        <v>1189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46232</v>
      </c>
      <c r="C914" s="11" t="n">
        <v>46232</v>
      </c>
      <c r="D914" s="10" t="n">
        <v>33</v>
      </c>
      <c r="E914" s="12" t="s">
        <v>64</v>
      </c>
      <c r="F914" s="10" t="n">
        <v>13</v>
      </c>
      <c r="G914" s="12" t="s">
        <v>55</v>
      </c>
      <c r="H914" s="10" t="n">
        <v>2110101</v>
      </c>
      <c r="I914" s="12" t="s">
        <v>32</v>
      </c>
      <c r="J914" s="10" t="n">
        <v>1468602</v>
      </c>
      <c r="L914" s="10" t="n">
        <v>5372</v>
      </c>
      <c r="M914" s="12" t="s">
        <v>33</v>
      </c>
      <c r="N914" s="12" t="s">
        <v>34</v>
      </c>
      <c r="P914" s="10" t="n">
        <v>104</v>
      </c>
      <c r="Q914" s="12" t="s">
        <v>50</v>
      </c>
      <c r="R914" s="12" t="s">
        <v>36</v>
      </c>
      <c r="S914" s="10" t="n">
        <v>1130101</v>
      </c>
      <c r="T914" s="12" t="s">
        <v>37</v>
      </c>
      <c r="U914" s="13" t="n">
        <v>420</v>
      </c>
      <c r="W914" s="13" t="n">
        <v>420</v>
      </c>
      <c r="X914" s="12" t="s">
        <v>1190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46232</v>
      </c>
      <c r="C915" s="11" t="n">
        <v>46232</v>
      </c>
      <c r="D915" s="10" t="n">
        <v>33</v>
      </c>
      <c r="E915" s="12" t="s">
        <v>64</v>
      </c>
      <c r="F915" s="10" t="n">
        <v>13</v>
      </c>
      <c r="G915" s="12" t="s">
        <v>55</v>
      </c>
      <c r="H915" s="10" t="n">
        <v>2110101</v>
      </c>
      <c r="I915" s="12" t="s">
        <v>32</v>
      </c>
      <c r="J915" s="10" t="n">
        <v>1468698</v>
      </c>
      <c r="L915" s="10" t="n">
        <v>5373</v>
      </c>
      <c r="M915" s="12" t="s">
        <v>33</v>
      </c>
      <c r="N915" s="12" t="s">
        <v>34</v>
      </c>
      <c r="P915" s="10" t="n">
        <v>104</v>
      </c>
      <c r="Q915" s="12" t="s">
        <v>50</v>
      </c>
      <c r="R915" s="12" t="s">
        <v>36</v>
      </c>
      <c r="S915" s="10" t="n">
        <v>1130101</v>
      </c>
      <c r="T915" s="12" t="s">
        <v>37</v>
      </c>
      <c r="U915" s="13" t="n">
        <v>350</v>
      </c>
      <c r="W915" s="13" t="n">
        <v>350</v>
      </c>
      <c r="X915" s="12" t="s">
        <v>1191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46232</v>
      </c>
      <c r="C916" s="11" t="n">
        <v>46232</v>
      </c>
      <c r="D916" s="10" t="n">
        <v>33</v>
      </c>
      <c r="E916" s="12" t="s">
        <v>64</v>
      </c>
      <c r="F916" s="10" t="n">
        <v>13</v>
      </c>
      <c r="G916" s="12" t="s">
        <v>55</v>
      </c>
      <c r="H916" s="10" t="n">
        <v>2110101</v>
      </c>
      <c r="I916" s="12" t="s">
        <v>32</v>
      </c>
      <c r="J916" s="10" t="n">
        <v>1468707</v>
      </c>
      <c r="L916" s="10" t="n">
        <v>5374</v>
      </c>
      <c r="M916" s="12" t="s">
        <v>33</v>
      </c>
      <c r="N916" s="12" t="s">
        <v>34</v>
      </c>
      <c r="P916" s="10" t="n">
        <v>104</v>
      </c>
      <c r="Q916" s="12" t="s">
        <v>50</v>
      </c>
      <c r="R916" s="12" t="s">
        <v>36</v>
      </c>
      <c r="S916" s="10" t="n">
        <v>1130101</v>
      </c>
      <c r="T916" s="12" t="s">
        <v>37</v>
      </c>
      <c r="U916" s="13" t="n">
        <v>350</v>
      </c>
      <c r="W916" s="13" t="n">
        <v>350</v>
      </c>
      <c r="X916" s="12" t="s">
        <v>1192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46224</v>
      </c>
      <c r="C917" s="11" t="n">
        <v>46233</v>
      </c>
      <c r="D917" s="10" t="n">
        <v>1812</v>
      </c>
      <c r="E917" s="12" t="s">
        <v>30</v>
      </c>
      <c r="F917" s="10" t="n">
        <v>24</v>
      </c>
      <c r="G917" s="12" t="s">
        <v>31</v>
      </c>
      <c r="H917" s="10" t="n">
        <v>1110202</v>
      </c>
      <c r="I917" s="12" t="s">
        <v>90</v>
      </c>
      <c r="J917" s="10" t="n">
        <v>1427944</v>
      </c>
      <c r="L917" s="10" t="n">
        <v>2741</v>
      </c>
      <c r="M917" s="12" t="s">
        <v>33</v>
      </c>
      <c r="N917" s="12" t="s">
        <v>66</v>
      </c>
      <c r="P917" s="10" t="n">
        <v>103</v>
      </c>
      <c r="Q917" s="12" t="s">
        <v>35</v>
      </c>
      <c r="R917" s="12" t="s">
        <v>36</v>
      </c>
      <c r="S917" s="10" t="n">
        <v>1130101</v>
      </c>
      <c r="T917" s="12" t="s">
        <v>37</v>
      </c>
      <c r="U917" s="13" t="n">
        <v>879</v>
      </c>
      <c r="W917" s="13" t="n">
        <v>0</v>
      </c>
      <c r="X917" s="12" t="s">
        <v>1193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46232</v>
      </c>
      <c r="C918" s="11" t="n">
        <v>46233</v>
      </c>
      <c r="D918" s="10" t="n">
        <v>642</v>
      </c>
      <c r="E918" s="12" t="s">
        <v>145</v>
      </c>
      <c r="F918" s="10" t="n">
        <v>24</v>
      </c>
      <c r="G918" s="12" t="s">
        <v>31</v>
      </c>
      <c r="H918" s="10" t="n">
        <v>1110202</v>
      </c>
      <c r="I918" s="12" t="s">
        <v>90</v>
      </c>
      <c r="J918" s="10" t="n">
        <v>1468354</v>
      </c>
      <c r="L918" s="10" t="n">
        <v>550</v>
      </c>
      <c r="M918" s="12" t="s">
        <v>33</v>
      </c>
      <c r="N918" s="12" t="s">
        <v>66</v>
      </c>
      <c r="P918" s="10" t="n">
        <v>103</v>
      </c>
      <c r="Q918" s="12" t="s">
        <v>35</v>
      </c>
      <c r="R918" s="12" t="s">
        <v>36</v>
      </c>
      <c r="S918" s="10" t="n">
        <v>1130101</v>
      </c>
      <c r="T918" s="12" t="s">
        <v>37</v>
      </c>
      <c r="U918" s="13" t="n">
        <v>816</v>
      </c>
      <c r="W918" s="13" t="n">
        <v>0</v>
      </c>
      <c r="X918" s="12" t="s">
        <v>1194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46230</v>
      </c>
      <c r="C919" s="11" t="n">
        <v>46233</v>
      </c>
      <c r="D919" s="10" t="n">
        <v>10018</v>
      </c>
      <c r="E919" s="12" t="s">
        <v>147</v>
      </c>
      <c r="F919" s="10" t="n">
        <v>34</v>
      </c>
      <c r="G919" s="12" t="s">
        <v>49</v>
      </c>
      <c r="H919" s="10" t="n">
        <v>1110202</v>
      </c>
      <c r="I919" s="12" t="s">
        <v>90</v>
      </c>
      <c r="J919" s="10" t="n">
        <v>1458751</v>
      </c>
      <c r="L919" s="10" t="n">
        <v>346</v>
      </c>
      <c r="M919" s="12" t="s">
        <v>33</v>
      </c>
      <c r="N919" s="12" t="s">
        <v>66</v>
      </c>
      <c r="P919" s="10" t="n">
        <v>103</v>
      </c>
      <c r="Q919" s="12" t="s">
        <v>35</v>
      </c>
      <c r="R919" s="12" t="s">
        <v>36</v>
      </c>
      <c r="S919" s="10" t="n">
        <v>1130101</v>
      </c>
      <c r="T919" s="12" t="s">
        <v>37</v>
      </c>
      <c r="U919" s="13" t="n">
        <v>570</v>
      </c>
      <c r="W919" s="13" t="n">
        <v>0</v>
      </c>
      <c r="X919" s="12" t="s">
        <v>1195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46205</v>
      </c>
      <c r="C920" s="11" t="n">
        <v>46233</v>
      </c>
      <c r="D920" s="10" t="n">
        <v>1921</v>
      </c>
      <c r="E920" s="12" t="s">
        <v>731</v>
      </c>
      <c r="F920" s="10" t="n">
        <v>24</v>
      </c>
      <c r="G920" s="12" t="s">
        <v>31</v>
      </c>
      <c r="H920" s="10" t="n">
        <v>2110101</v>
      </c>
      <c r="I920" s="12" t="s">
        <v>32</v>
      </c>
      <c r="J920" s="10" t="n">
        <v>1341594</v>
      </c>
      <c r="L920" s="10" t="n">
        <v>20994</v>
      </c>
      <c r="M920" s="12" t="s">
        <v>33</v>
      </c>
      <c r="N920" s="12" t="s">
        <v>34</v>
      </c>
      <c r="P920" s="10" t="n">
        <v>103</v>
      </c>
      <c r="Q920" s="12" t="s">
        <v>35</v>
      </c>
      <c r="R920" s="12" t="s">
        <v>36</v>
      </c>
      <c r="S920" s="10" t="n">
        <v>1130101</v>
      </c>
      <c r="T920" s="12" t="s">
        <v>37</v>
      </c>
      <c r="U920" s="13" t="n">
        <v>1317.6</v>
      </c>
      <c r="W920" s="13" t="n">
        <v>0</v>
      </c>
      <c r="X920" s="12" t="s">
        <v>1196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46225</v>
      </c>
      <c r="C921" s="11" t="n">
        <v>46233</v>
      </c>
      <c r="D921" s="10" t="n">
        <v>1635</v>
      </c>
      <c r="E921" s="12" t="s">
        <v>1197</v>
      </c>
      <c r="F921" s="10" t="n">
        <v>24</v>
      </c>
      <c r="G921" s="12" t="s">
        <v>31</v>
      </c>
      <c r="H921" s="10" t="n">
        <v>1110202</v>
      </c>
      <c r="I921" s="12" t="s">
        <v>90</v>
      </c>
      <c r="J921" s="10" t="n">
        <v>1435847</v>
      </c>
      <c r="L921" s="10" t="n">
        <v>1350</v>
      </c>
      <c r="M921" s="12" t="s">
        <v>33</v>
      </c>
      <c r="N921" s="12" t="s">
        <v>66</v>
      </c>
      <c r="P921" s="10" t="n">
        <v>103</v>
      </c>
      <c r="Q921" s="12" t="s">
        <v>35</v>
      </c>
      <c r="R921" s="12" t="s">
        <v>36</v>
      </c>
      <c r="S921" s="10" t="n">
        <v>1130101</v>
      </c>
      <c r="T921" s="12" t="s">
        <v>37</v>
      </c>
      <c r="U921" s="13" t="n">
        <v>1399.86</v>
      </c>
      <c r="W921" s="13" t="n">
        <v>0</v>
      </c>
      <c r="X921" s="12" t="s">
        <v>1198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46219</v>
      </c>
      <c r="C922" s="11" t="n">
        <v>46233</v>
      </c>
      <c r="D922" s="10" t="n">
        <v>1705</v>
      </c>
      <c r="E922" s="12" t="s">
        <v>46</v>
      </c>
      <c r="F922" s="10" t="n">
        <v>24</v>
      </c>
      <c r="G922" s="12" t="s">
        <v>31</v>
      </c>
      <c r="H922" s="10" t="n">
        <v>1110202</v>
      </c>
      <c r="I922" s="12" t="s">
        <v>90</v>
      </c>
      <c r="J922" s="10" t="n">
        <v>1407736</v>
      </c>
      <c r="L922" s="10" t="n">
        <v>1203714</v>
      </c>
      <c r="M922" s="12" t="s">
        <v>33</v>
      </c>
      <c r="N922" s="12" t="s">
        <v>66</v>
      </c>
      <c r="P922" s="10" t="n">
        <v>103</v>
      </c>
      <c r="Q922" s="12" t="s">
        <v>35</v>
      </c>
      <c r="R922" s="12" t="s">
        <v>36</v>
      </c>
      <c r="S922" s="10" t="n">
        <v>1130101</v>
      </c>
      <c r="T922" s="12" t="s">
        <v>37</v>
      </c>
      <c r="U922" s="13" t="n">
        <v>1638.55</v>
      </c>
      <c r="W922" s="13" t="n">
        <v>0</v>
      </c>
      <c r="X922" s="12" t="s">
        <v>1199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46219</v>
      </c>
      <c r="C923" s="11" t="n">
        <v>46233</v>
      </c>
      <c r="D923" s="10" t="n">
        <v>1705</v>
      </c>
      <c r="E923" s="12" t="s">
        <v>46</v>
      </c>
      <c r="F923" s="10" t="n">
        <v>24</v>
      </c>
      <c r="G923" s="12" t="s">
        <v>31</v>
      </c>
      <c r="H923" s="10" t="n">
        <v>1110202</v>
      </c>
      <c r="I923" s="12" t="s">
        <v>90</v>
      </c>
      <c r="J923" s="10" t="n">
        <v>1407809</v>
      </c>
      <c r="L923" s="10" t="n">
        <v>1936376</v>
      </c>
      <c r="M923" s="12" t="s">
        <v>33</v>
      </c>
      <c r="N923" s="12" t="s">
        <v>66</v>
      </c>
      <c r="P923" s="10" t="n">
        <v>103</v>
      </c>
      <c r="Q923" s="12" t="s">
        <v>35</v>
      </c>
      <c r="R923" s="12" t="s">
        <v>36</v>
      </c>
      <c r="S923" s="10" t="n">
        <v>1130101</v>
      </c>
      <c r="T923" s="12" t="s">
        <v>37</v>
      </c>
      <c r="U923" s="13" t="n">
        <v>2622.9</v>
      </c>
      <c r="W923" s="13" t="n">
        <v>0</v>
      </c>
      <c r="X923" s="12" t="s">
        <v>1200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46219</v>
      </c>
      <c r="C924" s="11" t="n">
        <v>46233</v>
      </c>
      <c r="D924" s="10" t="n">
        <v>1705</v>
      </c>
      <c r="E924" s="12" t="s">
        <v>46</v>
      </c>
      <c r="F924" s="10" t="n">
        <v>24</v>
      </c>
      <c r="G924" s="12" t="s">
        <v>31</v>
      </c>
      <c r="H924" s="10" t="n">
        <v>1110202</v>
      </c>
      <c r="I924" s="12" t="s">
        <v>90</v>
      </c>
      <c r="J924" s="10" t="n">
        <v>1407834</v>
      </c>
      <c r="L924" s="10" t="n">
        <v>1936062</v>
      </c>
      <c r="M924" s="12" t="s">
        <v>33</v>
      </c>
      <c r="N924" s="12" t="s">
        <v>66</v>
      </c>
      <c r="P924" s="10" t="n">
        <v>103</v>
      </c>
      <c r="Q924" s="12" t="s">
        <v>35</v>
      </c>
      <c r="R924" s="12" t="s">
        <v>36</v>
      </c>
      <c r="S924" s="10" t="n">
        <v>1130101</v>
      </c>
      <c r="T924" s="12" t="s">
        <v>37</v>
      </c>
      <c r="U924" s="13" t="n">
        <v>160.78</v>
      </c>
      <c r="W924" s="13" t="n">
        <v>0</v>
      </c>
      <c r="X924" s="12" t="s">
        <v>1201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46230</v>
      </c>
      <c r="C925" s="11" t="n">
        <v>46233</v>
      </c>
      <c r="D925" s="10" t="n">
        <v>1614</v>
      </c>
      <c r="E925" s="12" t="s">
        <v>99</v>
      </c>
      <c r="F925" s="10" t="n">
        <v>24</v>
      </c>
      <c r="G925" s="12" t="s">
        <v>31</v>
      </c>
      <c r="H925" s="10" t="n">
        <v>1110202</v>
      </c>
      <c r="I925" s="12" t="s">
        <v>90</v>
      </c>
      <c r="J925" s="10" t="n">
        <v>1460045</v>
      </c>
      <c r="L925" s="10" t="n">
        <v>11479</v>
      </c>
      <c r="M925" s="12" t="s">
        <v>33</v>
      </c>
      <c r="N925" s="12" t="s">
        <v>66</v>
      </c>
      <c r="P925" s="10" t="n">
        <v>103</v>
      </c>
      <c r="Q925" s="12" t="s">
        <v>35</v>
      </c>
      <c r="R925" s="12" t="s">
        <v>36</v>
      </c>
      <c r="S925" s="10" t="n">
        <v>1130101</v>
      </c>
      <c r="T925" s="12" t="s">
        <v>37</v>
      </c>
      <c r="U925" s="13" t="n">
        <v>713.31</v>
      </c>
      <c r="W925" s="13" t="n">
        <v>0</v>
      </c>
      <c r="X925" s="12" t="s">
        <v>1202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46219</v>
      </c>
      <c r="C926" s="11" t="n">
        <v>46233</v>
      </c>
      <c r="D926" s="10" t="n">
        <v>1601</v>
      </c>
      <c r="E926" s="12" t="s">
        <v>243</v>
      </c>
      <c r="F926" s="10" t="n">
        <v>24</v>
      </c>
      <c r="G926" s="12" t="s">
        <v>31</v>
      </c>
      <c r="H926" s="10" t="n">
        <v>1110202</v>
      </c>
      <c r="I926" s="12" t="s">
        <v>90</v>
      </c>
      <c r="J926" s="10" t="n">
        <v>1407452</v>
      </c>
      <c r="L926" s="10" t="n">
        <v>854275</v>
      </c>
      <c r="M926" s="12" t="s">
        <v>33</v>
      </c>
      <c r="N926" s="12" t="s">
        <v>66</v>
      </c>
      <c r="P926" s="10" t="n">
        <v>103</v>
      </c>
      <c r="Q926" s="12" t="s">
        <v>35</v>
      </c>
      <c r="R926" s="12" t="s">
        <v>36</v>
      </c>
      <c r="S926" s="10" t="n">
        <v>1130101</v>
      </c>
      <c r="T926" s="12" t="s">
        <v>37</v>
      </c>
      <c r="U926" s="13" t="n">
        <v>748.7</v>
      </c>
      <c r="W926" s="13" t="n">
        <v>0</v>
      </c>
      <c r="X926" s="12" t="s">
        <v>1203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46224</v>
      </c>
      <c r="C927" s="11" t="n">
        <v>46233</v>
      </c>
      <c r="D927" s="10" t="n">
        <v>10002</v>
      </c>
      <c r="E927" s="12" t="s">
        <v>288</v>
      </c>
      <c r="F927" s="10" t="n">
        <v>24</v>
      </c>
      <c r="G927" s="12" t="s">
        <v>31</v>
      </c>
      <c r="H927" s="10" t="n">
        <v>1110202</v>
      </c>
      <c r="I927" s="12" t="s">
        <v>90</v>
      </c>
      <c r="J927" s="10" t="n">
        <v>1431390</v>
      </c>
      <c r="L927" s="10" t="n">
        <v>196700</v>
      </c>
      <c r="M927" s="12" t="s">
        <v>33</v>
      </c>
      <c r="N927" s="12" t="s">
        <v>66</v>
      </c>
      <c r="P927" s="10" t="n">
        <v>103</v>
      </c>
      <c r="Q927" s="12" t="s">
        <v>35</v>
      </c>
      <c r="R927" s="12" t="s">
        <v>36</v>
      </c>
      <c r="S927" s="10" t="n">
        <v>1130101</v>
      </c>
      <c r="T927" s="12" t="s">
        <v>37</v>
      </c>
      <c r="U927" s="13" t="n">
        <v>950.4</v>
      </c>
      <c r="W927" s="13" t="n">
        <v>0</v>
      </c>
      <c r="X927" s="12" t="s">
        <v>1204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46233</v>
      </c>
      <c r="C928" s="11" t="n">
        <v>46233</v>
      </c>
      <c r="D928" s="10" t="n">
        <v>905</v>
      </c>
      <c r="E928" s="12" t="s">
        <v>470</v>
      </c>
      <c r="F928" s="10" t="n">
        <v>34</v>
      </c>
      <c r="G928" s="12" t="s">
        <v>49</v>
      </c>
      <c r="H928" s="10" t="n">
        <v>1110202</v>
      </c>
      <c r="I928" s="12" t="s">
        <v>90</v>
      </c>
      <c r="J928" s="10" t="n">
        <v>1474759</v>
      </c>
      <c r="L928" s="10" t="n">
        <v>605804</v>
      </c>
      <c r="M928" s="12" t="s">
        <v>33</v>
      </c>
      <c r="N928" s="12" t="s">
        <v>66</v>
      </c>
      <c r="P928" s="10" t="n">
        <v>101</v>
      </c>
      <c r="Q928" s="12" t="s">
        <v>84</v>
      </c>
      <c r="R928" s="12" t="s">
        <v>1171</v>
      </c>
      <c r="S928" s="10" t="n">
        <v>4110103</v>
      </c>
      <c r="T928" s="12" t="s">
        <v>1172</v>
      </c>
      <c r="U928" s="13" t="n">
        <v>300</v>
      </c>
      <c r="W928" s="13" t="n">
        <v>0</v>
      </c>
      <c r="X928" s="12" t="s">
        <v>1205</v>
      </c>
      <c r="Z928" s="1" t="str">
        <f aca="false">IF($T928="","",IFERROR(INDEX('Resumo Grupos'!$AC$3:$AC$200,MATCH($T928,'Resumo Grupos'!$AB$3:$AB$200,0)),"n/d"))</f>
        <v>Salários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46213</v>
      </c>
      <c r="C929" s="11" t="n">
        <v>46233</v>
      </c>
      <c r="D929" s="10" t="n">
        <v>1626</v>
      </c>
      <c r="E929" s="12" t="s">
        <v>250</v>
      </c>
      <c r="F929" s="10" t="n">
        <v>24</v>
      </c>
      <c r="G929" s="12" t="s">
        <v>31</v>
      </c>
      <c r="H929" s="10" t="n">
        <v>1110202</v>
      </c>
      <c r="I929" s="12" t="s">
        <v>90</v>
      </c>
      <c r="J929" s="10" t="n">
        <v>1376626</v>
      </c>
      <c r="L929" s="10" t="n">
        <v>312590</v>
      </c>
      <c r="M929" s="12" t="s">
        <v>76</v>
      </c>
      <c r="N929" s="12" t="s">
        <v>66</v>
      </c>
      <c r="P929" s="10" t="n">
        <v>103</v>
      </c>
      <c r="Q929" s="12" t="s">
        <v>35</v>
      </c>
      <c r="R929" s="12" t="s">
        <v>36</v>
      </c>
      <c r="S929" s="10" t="n">
        <v>1130101</v>
      </c>
      <c r="T929" s="12" t="s">
        <v>37</v>
      </c>
      <c r="U929" s="13" t="n">
        <v>1643.75</v>
      </c>
      <c r="W929" s="13" t="n">
        <v>0</v>
      </c>
      <c r="X929" s="12" t="s">
        <v>1206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46226</v>
      </c>
      <c r="C930" s="11" t="n">
        <v>46233</v>
      </c>
      <c r="D930" s="10" t="n">
        <v>10037</v>
      </c>
      <c r="E930" s="12" t="s">
        <v>340</v>
      </c>
      <c r="F930" s="10" t="n">
        <v>24</v>
      </c>
      <c r="G930" s="12" t="s">
        <v>31</v>
      </c>
      <c r="H930" s="10" t="n">
        <v>1110202</v>
      </c>
      <c r="I930" s="12" t="s">
        <v>90</v>
      </c>
      <c r="J930" s="10" t="n">
        <v>1440179</v>
      </c>
      <c r="L930" s="10" t="n">
        <v>2808</v>
      </c>
      <c r="M930" s="12" t="s">
        <v>33</v>
      </c>
      <c r="N930" s="12" t="s">
        <v>66</v>
      </c>
      <c r="P930" s="10" t="n">
        <v>103</v>
      </c>
      <c r="Q930" s="12" t="s">
        <v>35</v>
      </c>
      <c r="R930" s="12" t="s">
        <v>36</v>
      </c>
      <c r="S930" s="10" t="n">
        <v>1130101</v>
      </c>
      <c r="T930" s="12" t="s">
        <v>37</v>
      </c>
      <c r="U930" s="13" t="n">
        <v>445.38</v>
      </c>
      <c r="W930" s="13" t="n">
        <v>0</v>
      </c>
      <c r="X930" s="12" t="s">
        <v>1207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46233</v>
      </c>
      <c r="C931" s="11" t="n">
        <v>46233</v>
      </c>
      <c r="D931" s="10" t="n">
        <v>10096</v>
      </c>
      <c r="E931" s="12" t="s">
        <v>844</v>
      </c>
      <c r="F931" s="10" t="n">
        <v>13</v>
      </c>
      <c r="G931" s="12" t="s">
        <v>55</v>
      </c>
      <c r="H931" s="10" t="n">
        <v>2110101</v>
      </c>
      <c r="I931" s="12" t="s">
        <v>32</v>
      </c>
      <c r="J931" s="10" t="n">
        <v>1477994</v>
      </c>
      <c r="L931" s="10" t="n">
        <v>97</v>
      </c>
      <c r="M931" s="12" t="s">
        <v>33</v>
      </c>
      <c r="N931" s="12" t="s">
        <v>34</v>
      </c>
      <c r="P931" s="10" t="n">
        <v>104</v>
      </c>
      <c r="Q931" s="12" t="s">
        <v>50</v>
      </c>
      <c r="R931" s="12" t="s">
        <v>36</v>
      </c>
      <c r="S931" s="10" t="n">
        <v>1130101</v>
      </c>
      <c r="T931" s="12" t="s">
        <v>37</v>
      </c>
      <c r="U931" s="13" t="n">
        <v>420</v>
      </c>
      <c r="W931" s="13" t="n">
        <v>420</v>
      </c>
      <c r="X931" s="12" t="s">
        <v>1208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46233</v>
      </c>
      <c r="C932" s="11" t="n">
        <v>46233</v>
      </c>
      <c r="D932" s="10" t="n">
        <v>10096</v>
      </c>
      <c r="E932" s="12" t="s">
        <v>844</v>
      </c>
      <c r="F932" s="10" t="n">
        <v>13</v>
      </c>
      <c r="G932" s="12" t="s">
        <v>55</v>
      </c>
      <c r="H932" s="10" t="n">
        <v>2110101</v>
      </c>
      <c r="I932" s="12" t="s">
        <v>32</v>
      </c>
      <c r="J932" s="10" t="n">
        <v>1477863</v>
      </c>
      <c r="L932" s="10" t="n">
        <v>98</v>
      </c>
      <c r="M932" s="12" t="s">
        <v>33</v>
      </c>
      <c r="N932" s="12" t="s">
        <v>34</v>
      </c>
      <c r="P932" s="10" t="n">
        <v>104</v>
      </c>
      <c r="Q932" s="12" t="s">
        <v>50</v>
      </c>
      <c r="R932" s="12" t="s">
        <v>36</v>
      </c>
      <c r="S932" s="10" t="n">
        <v>1130101</v>
      </c>
      <c r="T932" s="12" t="s">
        <v>37</v>
      </c>
      <c r="U932" s="13" t="n">
        <v>440</v>
      </c>
      <c r="W932" s="13" t="n">
        <v>440</v>
      </c>
      <c r="X932" s="12" t="s">
        <v>1209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46233</v>
      </c>
      <c r="C933" s="11" t="n">
        <v>46233</v>
      </c>
      <c r="D933" s="10" t="n">
        <v>10096</v>
      </c>
      <c r="E933" s="12" t="s">
        <v>844</v>
      </c>
      <c r="F933" s="10" t="n">
        <v>13</v>
      </c>
      <c r="G933" s="12" t="s">
        <v>55</v>
      </c>
      <c r="H933" s="10" t="n">
        <v>2110101</v>
      </c>
      <c r="I933" s="12" t="s">
        <v>32</v>
      </c>
      <c r="J933" s="10" t="n">
        <v>1478119</v>
      </c>
      <c r="L933" s="10" t="n">
        <v>96</v>
      </c>
      <c r="M933" s="12" t="s">
        <v>33</v>
      </c>
      <c r="N933" s="12" t="s">
        <v>34</v>
      </c>
      <c r="P933" s="10" t="n">
        <v>104</v>
      </c>
      <c r="Q933" s="12" t="s">
        <v>50</v>
      </c>
      <c r="R933" s="12" t="s">
        <v>36</v>
      </c>
      <c r="S933" s="10" t="n">
        <v>1130101</v>
      </c>
      <c r="T933" s="12" t="s">
        <v>37</v>
      </c>
      <c r="U933" s="13" t="n">
        <v>420</v>
      </c>
      <c r="W933" s="13" t="n">
        <v>420</v>
      </c>
      <c r="X933" s="12" t="s">
        <v>1210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46233</v>
      </c>
      <c r="C934" s="11" t="n">
        <v>46233</v>
      </c>
      <c r="D934" s="10" t="n">
        <v>515</v>
      </c>
      <c r="E934" s="12" t="s">
        <v>111</v>
      </c>
      <c r="F934" s="10" t="n">
        <v>34</v>
      </c>
      <c r="G934" s="12" t="s">
        <v>49</v>
      </c>
      <c r="H934" s="10" t="n">
        <v>1110202</v>
      </c>
      <c r="I934" s="12" t="s">
        <v>90</v>
      </c>
      <c r="J934" s="10" t="n">
        <v>1477888</v>
      </c>
      <c r="L934" s="10" t="n">
        <v>607078</v>
      </c>
      <c r="M934" s="12" t="s">
        <v>33</v>
      </c>
      <c r="N934" s="12" t="s">
        <v>66</v>
      </c>
      <c r="P934" s="10" t="n">
        <v>102</v>
      </c>
      <c r="Q934" s="12" t="s">
        <v>112</v>
      </c>
      <c r="R934" s="12" t="s">
        <v>113</v>
      </c>
      <c r="S934" s="10" t="n">
        <v>4210508</v>
      </c>
      <c r="T934" s="12" t="s">
        <v>173</v>
      </c>
      <c r="U934" s="13" t="n">
        <v>153.13</v>
      </c>
      <c r="W934" s="13" t="n">
        <v>0</v>
      </c>
      <c r="X934" s="12" t="s">
        <v>1211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46231</v>
      </c>
      <c r="C935" s="11" t="n">
        <v>46233</v>
      </c>
      <c r="D935" s="10" t="n">
        <v>581</v>
      </c>
      <c r="E935" s="12" t="s">
        <v>554</v>
      </c>
      <c r="F935" s="10" t="n">
        <v>24</v>
      </c>
      <c r="G935" s="12" t="s">
        <v>31</v>
      </c>
      <c r="H935" s="10" t="n">
        <v>1110202</v>
      </c>
      <c r="I935" s="12" t="s">
        <v>90</v>
      </c>
      <c r="J935" s="10" t="n">
        <v>1463085</v>
      </c>
      <c r="L935" s="10" t="n">
        <v>31601</v>
      </c>
      <c r="M935" s="12" t="s">
        <v>33</v>
      </c>
      <c r="N935" s="12" t="s">
        <v>66</v>
      </c>
      <c r="P935" s="10" t="n">
        <v>103</v>
      </c>
      <c r="Q935" s="12" t="s">
        <v>35</v>
      </c>
      <c r="R935" s="12" t="s">
        <v>36</v>
      </c>
      <c r="S935" s="10" t="n">
        <v>1130101</v>
      </c>
      <c r="T935" s="12" t="s">
        <v>37</v>
      </c>
      <c r="U935" s="13" t="n">
        <v>266</v>
      </c>
      <c r="W935" s="13" t="n">
        <v>0</v>
      </c>
      <c r="X935" s="12" t="s">
        <v>1212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46207</v>
      </c>
      <c r="C936" s="11" t="n">
        <v>46233</v>
      </c>
      <c r="D936" s="10" t="n">
        <v>1668</v>
      </c>
      <c r="E936" s="12" t="s">
        <v>263</v>
      </c>
      <c r="F936" s="10" t="n">
        <v>24</v>
      </c>
      <c r="G936" s="12" t="s">
        <v>31</v>
      </c>
      <c r="H936" s="10" t="n">
        <v>2110102</v>
      </c>
      <c r="I936" s="12" t="s">
        <v>197</v>
      </c>
      <c r="J936" s="10" t="n">
        <v>1348465</v>
      </c>
      <c r="L936" s="10" t="n">
        <v>734837</v>
      </c>
      <c r="M936" s="12" t="s">
        <v>33</v>
      </c>
      <c r="N936" s="12" t="s">
        <v>34</v>
      </c>
      <c r="P936" s="10" t="n">
        <v>103</v>
      </c>
      <c r="Q936" s="12" t="s">
        <v>35</v>
      </c>
      <c r="R936" s="12" t="s">
        <v>94</v>
      </c>
      <c r="S936" s="10" t="n">
        <v>4210204</v>
      </c>
      <c r="T936" s="12" t="s">
        <v>198</v>
      </c>
      <c r="U936" s="13" t="n">
        <v>345.1</v>
      </c>
      <c r="W936" s="13" t="n">
        <v>0</v>
      </c>
      <c r="X936" s="12" t="s">
        <v>1213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46225</v>
      </c>
      <c r="C937" s="11" t="n">
        <v>46233</v>
      </c>
      <c r="D937" s="10" t="n">
        <v>10009</v>
      </c>
      <c r="E937" s="12" t="s">
        <v>181</v>
      </c>
      <c r="F937" s="10" t="n">
        <v>24</v>
      </c>
      <c r="G937" s="12" t="s">
        <v>31</v>
      </c>
      <c r="H937" s="10" t="n">
        <v>1110202</v>
      </c>
      <c r="I937" s="12" t="s">
        <v>90</v>
      </c>
      <c r="J937" s="10" t="n">
        <v>1434102</v>
      </c>
      <c r="L937" s="10" t="n">
        <v>1428642</v>
      </c>
      <c r="M937" s="12" t="s">
        <v>76</v>
      </c>
      <c r="N937" s="12" t="s">
        <v>66</v>
      </c>
      <c r="P937" s="10" t="n">
        <v>103</v>
      </c>
      <c r="Q937" s="12" t="s">
        <v>35</v>
      </c>
      <c r="R937" s="12" t="s">
        <v>36</v>
      </c>
      <c r="S937" s="10" t="n">
        <v>1130101</v>
      </c>
      <c r="T937" s="12" t="s">
        <v>37</v>
      </c>
      <c r="U937" s="13" t="n">
        <v>957.84</v>
      </c>
      <c r="W937" s="13" t="n">
        <v>0</v>
      </c>
      <c r="X937" s="12" t="s">
        <v>1214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46228</v>
      </c>
      <c r="C938" s="11" t="n">
        <v>46233</v>
      </c>
      <c r="D938" s="10" t="n">
        <v>10009</v>
      </c>
      <c r="E938" s="12" t="s">
        <v>181</v>
      </c>
      <c r="F938" s="10" t="n">
        <v>24</v>
      </c>
      <c r="G938" s="12" t="s">
        <v>31</v>
      </c>
      <c r="H938" s="10" t="n">
        <v>1110202</v>
      </c>
      <c r="I938" s="12" t="s">
        <v>90</v>
      </c>
      <c r="J938" s="10" t="n">
        <v>1449995</v>
      </c>
      <c r="L938" s="10" t="n">
        <v>1431708</v>
      </c>
      <c r="M938" s="12" t="s">
        <v>33</v>
      </c>
      <c r="N938" s="12" t="s">
        <v>66</v>
      </c>
      <c r="P938" s="10" t="n">
        <v>103</v>
      </c>
      <c r="Q938" s="12" t="s">
        <v>35</v>
      </c>
      <c r="R938" s="12" t="s">
        <v>36</v>
      </c>
      <c r="S938" s="10" t="n">
        <v>1130101</v>
      </c>
      <c r="T938" s="12" t="s">
        <v>37</v>
      </c>
      <c r="U938" s="13" t="n">
        <v>1773.63</v>
      </c>
      <c r="W938" s="13" t="n">
        <v>0</v>
      </c>
      <c r="X938" s="12" t="s">
        <v>1215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46205</v>
      </c>
      <c r="C939" s="11" t="n">
        <v>46233</v>
      </c>
      <c r="D939" s="10" t="n">
        <v>1740</v>
      </c>
      <c r="E939" s="12" t="s">
        <v>312</v>
      </c>
      <c r="F939" s="10" t="n">
        <v>24</v>
      </c>
      <c r="G939" s="12" t="s">
        <v>31</v>
      </c>
      <c r="H939" s="10" t="n">
        <v>2110101</v>
      </c>
      <c r="I939" s="12" t="s">
        <v>32</v>
      </c>
      <c r="J939" s="10" t="n">
        <v>1340464</v>
      </c>
      <c r="L939" s="10" t="n">
        <v>1243403</v>
      </c>
      <c r="M939" s="12" t="s">
        <v>76</v>
      </c>
      <c r="N939" s="12" t="s">
        <v>34</v>
      </c>
      <c r="P939" s="10" t="n">
        <v>103</v>
      </c>
      <c r="Q939" s="12" t="s">
        <v>35</v>
      </c>
      <c r="R939" s="12" t="s">
        <v>36</v>
      </c>
      <c r="S939" s="10" t="n">
        <v>1130101</v>
      </c>
      <c r="T939" s="12" t="s">
        <v>37</v>
      </c>
      <c r="U939" s="13" t="n">
        <v>972.31</v>
      </c>
      <c r="W939" s="13" t="n">
        <v>0</v>
      </c>
      <c r="X939" s="12" t="s">
        <v>1216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46213</v>
      </c>
      <c r="C940" s="11" t="n">
        <v>46233</v>
      </c>
      <c r="D940" s="10" t="n">
        <v>1740</v>
      </c>
      <c r="E940" s="12" t="s">
        <v>312</v>
      </c>
      <c r="F940" s="10" t="n">
        <v>24</v>
      </c>
      <c r="G940" s="12" t="s">
        <v>31</v>
      </c>
      <c r="H940" s="10" t="n">
        <v>1110202</v>
      </c>
      <c r="I940" s="12" t="s">
        <v>90</v>
      </c>
      <c r="J940" s="10" t="n">
        <v>1376989</v>
      </c>
      <c r="L940" s="10" t="n">
        <v>1245715</v>
      </c>
      <c r="M940" s="12" t="s">
        <v>33</v>
      </c>
      <c r="N940" s="12" t="s">
        <v>66</v>
      </c>
      <c r="P940" s="10" t="n">
        <v>103</v>
      </c>
      <c r="Q940" s="12" t="s">
        <v>35</v>
      </c>
      <c r="R940" s="12" t="s">
        <v>36</v>
      </c>
      <c r="S940" s="10" t="n">
        <v>1130101</v>
      </c>
      <c r="T940" s="12" t="s">
        <v>37</v>
      </c>
      <c r="U940" s="13" t="n">
        <v>828.44</v>
      </c>
      <c r="W940" s="13" t="n">
        <v>0</v>
      </c>
      <c r="X940" s="12" t="s">
        <v>1217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46203</v>
      </c>
      <c r="C941" s="11" t="n">
        <v>46233</v>
      </c>
      <c r="D941" s="10" t="n">
        <v>10011</v>
      </c>
      <c r="E941" s="12" t="s">
        <v>78</v>
      </c>
      <c r="F941" s="10" t="n">
        <v>24</v>
      </c>
      <c r="G941" s="12" t="s">
        <v>31</v>
      </c>
      <c r="H941" s="10" t="n">
        <v>2110101</v>
      </c>
      <c r="I941" s="12" t="s">
        <v>32</v>
      </c>
      <c r="J941" s="10" t="n">
        <v>1330475</v>
      </c>
      <c r="L941" s="10" t="n">
        <v>34300</v>
      </c>
      <c r="M941" s="12" t="s">
        <v>76</v>
      </c>
      <c r="N941" s="12" t="s">
        <v>34</v>
      </c>
      <c r="P941" s="10" t="n">
        <v>103</v>
      </c>
      <c r="Q941" s="12" t="s">
        <v>35</v>
      </c>
      <c r="R941" s="12" t="s">
        <v>36</v>
      </c>
      <c r="S941" s="10" t="n">
        <v>1130101</v>
      </c>
      <c r="T941" s="12" t="s">
        <v>37</v>
      </c>
      <c r="U941" s="13" t="n">
        <v>3377.6</v>
      </c>
      <c r="W941" s="13" t="n">
        <v>0</v>
      </c>
      <c r="X941" s="12" t="s">
        <v>1218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46226</v>
      </c>
      <c r="C942" s="11" t="n">
        <v>46233</v>
      </c>
      <c r="D942" s="10" t="n">
        <v>1024</v>
      </c>
      <c r="E942" s="12" t="s">
        <v>314</v>
      </c>
      <c r="F942" s="10" t="n">
        <v>24</v>
      </c>
      <c r="G942" s="12" t="s">
        <v>31</v>
      </c>
      <c r="H942" s="10" t="n">
        <v>1110202</v>
      </c>
      <c r="I942" s="12" t="s">
        <v>90</v>
      </c>
      <c r="J942" s="10" t="n">
        <v>1440251</v>
      </c>
      <c r="L942" s="10" t="n">
        <v>592637</v>
      </c>
      <c r="M942" s="12" t="s">
        <v>33</v>
      </c>
      <c r="N942" s="12" t="s">
        <v>66</v>
      </c>
      <c r="P942" s="10" t="n">
        <v>104</v>
      </c>
      <c r="Q942" s="12" t="s">
        <v>50</v>
      </c>
      <c r="R942" s="12" t="s">
        <v>36</v>
      </c>
      <c r="S942" s="10" t="n">
        <v>1130101</v>
      </c>
      <c r="T942" s="12" t="s">
        <v>37</v>
      </c>
      <c r="U942" s="13" t="n">
        <v>420</v>
      </c>
      <c r="W942" s="13" t="n">
        <v>0</v>
      </c>
      <c r="X942" s="12" t="s">
        <v>1219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46233</v>
      </c>
      <c r="C943" s="11" t="n">
        <v>46233</v>
      </c>
      <c r="D943" s="10" t="n">
        <v>1936</v>
      </c>
      <c r="E943" s="12" t="s">
        <v>316</v>
      </c>
      <c r="F943" s="10" t="n">
        <v>24</v>
      </c>
      <c r="G943" s="12" t="s">
        <v>31</v>
      </c>
      <c r="H943" s="10" t="n">
        <v>1110202</v>
      </c>
      <c r="I943" s="12" t="s">
        <v>90</v>
      </c>
      <c r="J943" s="10" t="n">
        <v>1473048</v>
      </c>
      <c r="L943" s="10" t="n">
        <v>605320</v>
      </c>
      <c r="M943" s="12" t="s">
        <v>33</v>
      </c>
      <c r="N943" s="12" t="s">
        <v>66</v>
      </c>
      <c r="P943" s="10" t="n">
        <v>102</v>
      </c>
      <c r="Q943" s="12" t="s">
        <v>112</v>
      </c>
      <c r="R943" s="12" t="s">
        <v>36</v>
      </c>
      <c r="S943" s="10" t="n">
        <v>1130101</v>
      </c>
      <c r="T943" s="12" t="s">
        <v>37</v>
      </c>
      <c r="U943" s="13" t="n">
        <v>131.3</v>
      </c>
      <c r="W943" s="13" t="n">
        <v>0</v>
      </c>
      <c r="X943" s="12" t="s">
        <v>1220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46233</v>
      </c>
      <c r="C944" s="11" t="n">
        <v>46233</v>
      </c>
      <c r="D944" s="10" t="n">
        <v>514</v>
      </c>
      <c r="E944" s="12" t="s">
        <v>652</v>
      </c>
      <c r="F944" s="10" t="n">
        <v>34</v>
      </c>
      <c r="G944" s="12" t="s">
        <v>49</v>
      </c>
      <c r="H944" s="10" t="n">
        <v>1110202</v>
      </c>
      <c r="I944" s="12" t="s">
        <v>90</v>
      </c>
      <c r="J944" s="10" t="n">
        <v>1474843</v>
      </c>
      <c r="L944" s="10" t="n">
        <v>605848</v>
      </c>
      <c r="M944" s="12" t="s">
        <v>33</v>
      </c>
      <c r="N944" s="12" t="s">
        <v>66</v>
      </c>
      <c r="P944" s="10" t="n">
        <v>102</v>
      </c>
      <c r="Q944" s="12" t="s">
        <v>112</v>
      </c>
      <c r="R944" s="12" t="s">
        <v>113</v>
      </c>
      <c r="S944" s="10" t="n">
        <v>4210502</v>
      </c>
      <c r="T944" s="12" t="s">
        <v>607</v>
      </c>
      <c r="U944" s="13" t="n">
        <v>27.87</v>
      </c>
      <c r="W944" s="13" t="n">
        <v>0</v>
      </c>
      <c r="X944" s="12" t="s">
        <v>1221</v>
      </c>
      <c r="Z944" s="1" t="str">
        <f aca="false">IF($T944="","",IFERROR(INDEX('Resumo Grupos'!$AC$3:$AC$200,MATCH($T944,'Resumo Grupos'!$AB$3:$AB$200,0)),"n/d"))</f>
        <v>Empréstimo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46233</v>
      </c>
      <c r="C945" s="11" t="n">
        <v>46233</v>
      </c>
      <c r="D945" s="10" t="n">
        <v>514</v>
      </c>
      <c r="E945" s="12" t="s">
        <v>652</v>
      </c>
      <c r="F945" s="10" t="n">
        <v>34</v>
      </c>
      <c r="G945" s="12" t="s">
        <v>49</v>
      </c>
      <c r="H945" s="10" t="n">
        <v>1110202</v>
      </c>
      <c r="I945" s="12" t="s">
        <v>90</v>
      </c>
      <c r="J945" s="10" t="n">
        <v>1474863</v>
      </c>
      <c r="L945" s="10" t="n">
        <v>605852</v>
      </c>
      <c r="M945" s="12" t="s">
        <v>33</v>
      </c>
      <c r="N945" s="12" t="s">
        <v>66</v>
      </c>
      <c r="P945" s="10" t="n">
        <v>102</v>
      </c>
      <c r="Q945" s="12" t="s">
        <v>112</v>
      </c>
      <c r="R945" s="12" t="s">
        <v>113</v>
      </c>
      <c r="S945" s="10" t="n">
        <v>4210504</v>
      </c>
      <c r="T945" s="12" t="s">
        <v>114</v>
      </c>
      <c r="U945" s="13" t="n">
        <v>16</v>
      </c>
      <c r="W945" s="13" t="n">
        <v>0</v>
      </c>
      <c r="X945" s="12" t="s">
        <v>1222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46233</v>
      </c>
      <c r="C946" s="11" t="n">
        <v>46233</v>
      </c>
      <c r="D946" s="10" t="n">
        <v>514</v>
      </c>
      <c r="E946" s="12" t="s">
        <v>652</v>
      </c>
      <c r="F946" s="10" t="n">
        <v>34</v>
      </c>
      <c r="G946" s="12" t="s">
        <v>49</v>
      </c>
      <c r="H946" s="10" t="n">
        <v>1110202</v>
      </c>
      <c r="I946" s="12" t="s">
        <v>90</v>
      </c>
      <c r="J946" s="10" t="n">
        <v>1477899</v>
      </c>
      <c r="L946" s="10" t="n">
        <v>607082</v>
      </c>
      <c r="M946" s="12" t="s">
        <v>33</v>
      </c>
      <c r="N946" s="12" t="s">
        <v>66</v>
      </c>
      <c r="P946" s="10" t="n">
        <v>102</v>
      </c>
      <c r="Q946" s="12" t="s">
        <v>112</v>
      </c>
      <c r="R946" s="12" t="s">
        <v>91</v>
      </c>
      <c r="S946" s="10" t="n">
        <v>4220199</v>
      </c>
      <c r="T946" s="12" t="s">
        <v>92</v>
      </c>
      <c r="U946" s="13" t="n">
        <v>30</v>
      </c>
      <c r="W946" s="13" t="n">
        <v>0</v>
      </c>
      <c r="X946" s="12" t="s">
        <v>1223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46189</v>
      </c>
      <c r="C947" s="11" t="n">
        <v>46233</v>
      </c>
      <c r="D947" s="10" t="n">
        <v>10012</v>
      </c>
      <c r="E947" s="12" t="s">
        <v>318</v>
      </c>
      <c r="F947" s="10" t="n">
        <v>24</v>
      </c>
      <c r="G947" s="12" t="s">
        <v>31</v>
      </c>
      <c r="H947" s="10" t="n">
        <v>2110101</v>
      </c>
      <c r="I947" s="12" t="s">
        <v>32</v>
      </c>
      <c r="J947" s="10" t="n">
        <v>1261364</v>
      </c>
      <c r="L947" s="10" t="n">
        <v>1957890</v>
      </c>
      <c r="M947" s="12" t="s">
        <v>448</v>
      </c>
      <c r="N947" s="12" t="s">
        <v>34</v>
      </c>
      <c r="P947" s="10" t="n">
        <v>103</v>
      </c>
      <c r="Q947" s="12" t="s">
        <v>35</v>
      </c>
      <c r="R947" s="12" t="s">
        <v>36</v>
      </c>
      <c r="S947" s="10" t="n">
        <v>1130101</v>
      </c>
      <c r="T947" s="12" t="s">
        <v>37</v>
      </c>
      <c r="U947" s="13" t="n">
        <v>3937.79</v>
      </c>
      <c r="W947" s="13" t="n">
        <v>0</v>
      </c>
      <c r="X947" s="12" t="s">
        <v>1224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46230</v>
      </c>
      <c r="C948" s="11" t="n">
        <v>46233</v>
      </c>
      <c r="D948" s="10" t="n">
        <v>1807</v>
      </c>
      <c r="E948" s="12" t="s">
        <v>200</v>
      </c>
      <c r="F948" s="10" t="n">
        <v>24</v>
      </c>
      <c r="G948" s="12" t="s">
        <v>31</v>
      </c>
      <c r="H948" s="10" t="n">
        <v>1110202</v>
      </c>
      <c r="I948" s="12" t="s">
        <v>90</v>
      </c>
      <c r="J948" s="10" t="n">
        <v>1459255</v>
      </c>
      <c r="L948" s="10" t="n">
        <v>600334</v>
      </c>
      <c r="M948" s="12" t="s">
        <v>33</v>
      </c>
      <c r="N948" s="12" t="s">
        <v>66</v>
      </c>
      <c r="P948" s="10" t="n">
        <v>101</v>
      </c>
      <c r="Q948" s="12" t="s">
        <v>84</v>
      </c>
      <c r="R948" s="12" t="s">
        <v>201</v>
      </c>
      <c r="S948" s="10" t="n">
        <v>2110712</v>
      </c>
      <c r="T948" s="12" t="s">
        <v>1225</v>
      </c>
      <c r="U948" s="13" t="n">
        <v>568.76</v>
      </c>
      <c r="W948" s="13" t="n">
        <v>0</v>
      </c>
      <c r="X948" s="12" t="s">
        <v>1226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46230</v>
      </c>
      <c r="C949" s="11" t="n">
        <v>46233</v>
      </c>
      <c r="D949" s="10" t="n">
        <v>1807</v>
      </c>
      <c r="E949" s="12" t="s">
        <v>200</v>
      </c>
      <c r="F949" s="10" t="n">
        <v>24</v>
      </c>
      <c r="G949" s="12" t="s">
        <v>31</v>
      </c>
      <c r="H949" s="10" t="n">
        <v>1110202</v>
      </c>
      <c r="I949" s="12" t="s">
        <v>90</v>
      </c>
      <c r="J949" s="10" t="n">
        <v>1459259</v>
      </c>
      <c r="L949" s="10" t="n">
        <v>600336</v>
      </c>
      <c r="M949" s="12" t="s">
        <v>33</v>
      </c>
      <c r="N949" s="12" t="s">
        <v>66</v>
      </c>
      <c r="P949" s="10" t="n">
        <v>101</v>
      </c>
      <c r="Q949" s="12" t="s">
        <v>84</v>
      </c>
      <c r="R949" s="12" t="s">
        <v>201</v>
      </c>
      <c r="S949" s="10" t="n">
        <v>2110704</v>
      </c>
      <c r="T949" s="12" t="s">
        <v>202</v>
      </c>
      <c r="U949" s="13" t="n">
        <v>947.94</v>
      </c>
      <c r="W949" s="13" t="n">
        <v>0</v>
      </c>
      <c r="X949" s="12" t="s">
        <v>1227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46227</v>
      </c>
      <c r="C950" s="11" t="n">
        <v>46234</v>
      </c>
      <c r="D950" s="10" t="n">
        <v>1642</v>
      </c>
      <c r="E950" s="12" t="s">
        <v>158</v>
      </c>
      <c r="F950" s="10" t="n">
        <v>24</v>
      </c>
      <c r="G950" s="12" t="s">
        <v>31</v>
      </c>
      <c r="H950" s="10" t="n">
        <v>1110202</v>
      </c>
      <c r="I950" s="12" t="s">
        <v>90</v>
      </c>
      <c r="J950" s="10" t="n">
        <v>1443670</v>
      </c>
      <c r="L950" s="10" t="n">
        <v>1033389</v>
      </c>
      <c r="M950" s="12" t="s">
        <v>33</v>
      </c>
      <c r="N950" s="12" t="s">
        <v>66</v>
      </c>
      <c r="P950" s="10" t="n">
        <v>103</v>
      </c>
      <c r="Q950" s="12" t="s">
        <v>35</v>
      </c>
      <c r="R950" s="12" t="s">
        <v>36</v>
      </c>
      <c r="S950" s="10" t="n">
        <v>1130101</v>
      </c>
      <c r="T950" s="12" t="s">
        <v>37</v>
      </c>
      <c r="U950" s="13" t="n">
        <v>455.45</v>
      </c>
      <c r="W950" s="13" t="n">
        <v>0</v>
      </c>
      <c r="X950" s="12" t="s">
        <v>1228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46225</v>
      </c>
      <c r="C951" s="11" t="n">
        <v>46234</v>
      </c>
      <c r="D951" s="10" t="n">
        <v>1723</v>
      </c>
      <c r="E951" s="12" t="s">
        <v>378</v>
      </c>
      <c r="F951" s="10" t="n">
        <v>24</v>
      </c>
      <c r="G951" s="12" t="s">
        <v>31</v>
      </c>
      <c r="H951" s="10" t="n">
        <v>1110202</v>
      </c>
      <c r="I951" s="12" t="s">
        <v>90</v>
      </c>
      <c r="J951" s="10" t="n">
        <v>1435466</v>
      </c>
      <c r="L951" s="10" t="n">
        <v>173548</v>
      </c>
      <c r="M951" s="12" t="s">
        <v>33</v>
      </c>
      <c r="N951" s="12" t="s">
        <v>66</v>
      </c>
      <c r="P951" s="10" t="n">
        <v>103</v>
      </c>
      <c r="Q951" s="12" t="s">
        <v>35</v>
      </c>
      <c r="R951" s="12" t="s">
        <v>36</v>
      </c>
      <c r="S951" s="10" t="n">
        <v>1130101</v>
      </c>
      <c r="T951" s="12" t="s">
        <v>37</v>
      </c>
      <c r="U951" s="13" t="n">
        <v>4683.5</v>
      </c>
      <c r="W951" s="13" t="n">
        <v>0</v>
      </c>
      <c r="X951" s="12" t="s">
        <v>1229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46234</v>
      </c>
      <c r="C952" s="11" t="n">
        <v>46234</v>
      </c>
      <c r="D952" s="10" t="n">
        <v>1615</v>
      </c>
      <c r="E952" s="12" t="s">
        <v>48</v>
      </c>
      <c r="F952" s="10" t="n">
        <v>34</v>
      </c>
      <c r="G952" s="12" t="s">
        <v>49</v>
      </c>
      <c r="H952" s="10" t="n">
        <v>2110101</v>
      </c>
      <c r="I952" s="12" t="s">
        <v>32</v>
      </c>
      <c r="J952" s="10" t="n">
        <v>1478787</v>
      </c>
      <c r="L952" s="10" t="n">
        <v>14996</v>
      </c>
      <c r="M952" s="12" t="s">
        <v>33</v>
      </c>
      <c r="N952" s="12" t="s">
        <v>34</v>
      </c>
      <c r="P952" s="10" t="n">
        <v>104</v>
      </c>
      <c r="Q952" s="12" t="s">
        <v>50</v>
      </c>
      <c r="R952" s="12" t="s">
        <v>36</v>
      </c>
      <c r="S952" s="10" t="n">
        <v>1130101</v>
      </c>
      <c r="T952" s="12" t="s">
        <v>37</v>
      </c>
      <c r="U952" s="13" t="n">
        <v>1010</v>
      </c>
      <c r="W952" s="13" t="n">
        <v>0</v>
      </c>
      <c r="X952" s="12" t="s">
        <v>1230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46228</v>
      </c>
      <c r="C953" s="11" t="n">
        <v>46234</v>
      </c>
      <c r="D953" s="10" t="n">
        <v>1621</v>
      </c>
      <c r="E953" s="12" t="s">
        <v>286</v>
      </c>
      <c r="F953" s="10" t="n">
        <v>24</v>
      </c>
      <c r="G953" s="12" t="s">
        <v>31</v>
      </c>
      <c r="H953" s="10" t="n">
        <v>1110202</v>
      </c>
      <c r="I953" s="12" t="s">
        <v>90</v>
      </c>
      <c r="J953" s="10" t="n">
        <v>1450106</v>
      </c>
      <c r="L953" s="10" t="n">
        <v>920837</v>
      </c>
      <c r="M953" s="12" t="s">
        <v>33</v>
      </c>
      <c r="N953" s="12" t="s">
        <v>66</v>
      </c>
      <c r="P953" s="10" t="n">
        <v>103</v>
      </c>
      <c r="Q953" s="12" t="s">
        <v>35</v>
      </c>
      <c r="R953" s="12" t="s">
        <v>36</v>
      </c>
      <c r="S953" s="10" t="n">
        <v>1130101</v>
      </c>
      <c r="T953" s="12" t="s">
        <v>37</v>
      </c>
      <c r="U953" s="13" t="n">
        <v>337.06</v>
      </c>
      <c r="W953" s="13" t="n">
        <v>0</v>
      </c>
      <c r="X953" s="12" t="s">
        <v>1231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46212</v>
      </c>
      <c r="C954" s="11" t="n">
        <v>46234</v>
      </c>
      <c r="D954" s="10" t="n">
        <v>1718</v>
      </c>
      <c r="E954" s="12" t="s">
        <v>332</v>
      </c>
      <c r="F954" s="10" t="n">
        <v>24</v>
      </c>
      <c r="G954" s="12" t="s">
        <v>31</v>
      </c>
      <c r="H954" s="10" t="n">
        <v>1110202</v>
      </c>
      <c r="I954" s="12" t="s">
        <v>90</v>
      </c>
      <c r="J954" s="10" t="n">
        <v>1375395</v>
      </c>
      <c r="L954" s="10" t="n">
        <v>681131</v>
      </c>
      <c r="M954" s="12" t="s">
        <v>76</v>
      </c>
      <c r="N954" s="12" t="s">
        <v>66</v>
      </c>
      <c r="P954" s="10" t="n">
        <v>103</v>
      </c>
      <c r="Q954" s="12" t="s">
        <v>35</v>
      </c>
      <c r="R954" s="12" t="s">
        <v>36</v>
      </c>
      <c r="S954" s="10" t="n">
        <v>1130101</v>
      </c>
      <c r="T954" s="12" t="s">
        <v>37</v>
      </c>
      <c r="U954" s="13" t="n">
        <v>871.13</v>
      </c>
      <c r="W954" s="13" t="n">
        <v>0</v>
      </c>
      <c r="X954" s="12" t="s">
        <v>1232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46214</v>
      </c>
      <c r="C955" s="11" t="n">
        <v>46234</v>
      </c>
      <c r="D955" s="10" t="n">
        <v>794</v>
      </c>
      <c r="E955" s="12" t="s">
        <v>160</v>
      </c>
      <c r="F955" s="10" t="n">
        <v>24</v>
      </c>
      <c r="G955" s="12" t="s">
        <v>31</v>
      </c>
      <c r="H955" s="10" t="n">
        <v>1110202</v>
      </c>
      <c r="I955" s="12" t="s">
        <v>90</v>
      </c>
      <c r="J955" s="10" t="n">
        <v>1381993</v>
      </c>
      <c r="L955" s="10" t="n">
        <v>8364</v>
      </c>
      <c r="M955" s="12" t="s">
        <v>33</v>
      </c>
      <c r="N955" s="12" t="s">
        <v>66</v>
      </c>
      <c r="P955" s="10" t="n">
        <v>103</v>
      </c>
      <c r="Q955" s="12" t="s">
        <v>35</v>
      </c>
      <c r="R955" s="12" t="s">
        <v>36</v>
      </c>
      <c r="S955" s="10" t="n">
        <v>1130101</v>
      </c>
      <c r="T955" s="12" t="s">
        <v>37</v>
      </c>
      <c r="U955" s="13" t="n">
        <v>523.67</v>
      </c>
      <c r="W955" s="13" t="n">
        <v>0</v>
      </c>
      <c r="X955" s="12" t="s">
        <v>1233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46233</v>
      </c>
      <c r="C956" s="11" t="n">
        <v>46234</v>
      </c>
      <c r="D956" s="10" t="n">
        <v>1683</v>
      </c>
      <c r="E956" s="12" t="s">
        <v>162</v>
      </c>
      <c r="F956" s="10" t="n">
        <v>34</v>
      </c>
      <c r="G956" s="12" t="s">
        <v>49</v>
      </c>
      <c r="H956" s="10" t="n">
        <v>2110101</v>
      </c>
      <c r="I956" s="12" t="s">
        <v>32</v>
      </c>
      <c r="J956" s="10" t="n">
        <v>1477499</v>
      </c>
      <c r="L956" s="10" t="n">
        <v>1655915</v>
      </c>
      <c r="M956" s="12" t="s">
        <v>33</v>
      </c>
      <c r="N956" s="12" t="s">
        <v>34</v>
      </c>
      <c r="P956" s="10" t="n">
        <v>104</v>
      </c>
      <c r="Q956" s="12" t="s">
        <v>50</v>
      </c>
      <c r="R956" s="12" t="s">
        <v>36</v>
      </c>
      <c r="S956" s="10" t="n">
        <v>1130101</v>
      </c>
      <c r="T956" s="12" t="s">
        <v>37</v>
      </c>
      <c r="U956" s="13" t="n">
        <v>126</v>
      </c>
      <c r="W956" s="13" t="n">
        <v>0</v>
      </c>
      <c r="X956" s="12" t="s">
        <v>1234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46233</v>
      </c>
      <c r="C957" s="11" t="n">
        <v>46234</v>
      </c>
      <c r="D957" s="10" t="n">
        <v>1683</v>
      </c>
      <c r="E957" s="12" t="s">
        <v>162</v>
      </c>
      <c r="F957" s="10" t="n">
        <v>34</v>
      </c>
      <c r="G957" s="12" t="s">
        <v>49</v>
      </c>
      <c r="H957" s="10" t="n">
        <v>2110101</v>
      </c>
      <c r="I957" s="12" t="s">
        <v>32</v>
      </c>
      <c r="J957" s="10" t="n">
        <v>1477517</v>
      </c>
      <c r="L957" s="10" t="n">
        <v>1655918</v>
      </c>
      <c r="M957" s="12" t="s">
        <v>33</v>
      </c>
      <c r="N957" s="12" t="s">
        <v>34</v>
      </c>
      <c r="P957" s="10" t="n">
        <v>104</v>
      </c>
      <c r="Q957" s="12" t="s">
        <v>50</v>
      </c>
      <c r="R957" s="12" t="s">
        <v>36</v>
      </c>
      <c r="S957" s="10" t="n">
        <v>1130101</v>
      </c>
      <c r="T957" s="12" t="s">
        <v>37</v>
      </c>
      <c r="U957" s="13" t="n">
        <v>225</v>
      </c>
      <c r="W957" s="13" t="n">
        <v>0</v>
      </c>
      <c r="X957" s="12" t="s">
        <v>1235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46233</v>
      </c>
      <c r="C958" s="11" t="n">
        <v>46234</v>
      </c>
      <c r="D958" s="10" t="n">
        <v>1683</v>
      </c>
      <c r="E958" s="12" t="s">
        <v>162</v>
      </c>
      <c r="F958" s="10" t="n">
        <v>34</v>
      </c>
      <c r="G958" s="12" t="s">
        <v>49</v>
      </c>
      <c r="H958" s="10" t="n">
        <v>2110101</v>
      </c>
      <c r="I958" s="12" t="s">
        <v>32</v>
      </c>
      <c r="J958" s="10" t="n">
        <v>1477531</v>
      </c>
      <c r="L958" s="10" t="n">
        <v>1655921</v>
      </c>
      <c r="M958" s="12" t="s">
        <v>33</v>
      </c>
      <c r="N958" s="12" t="s">
        <v>34</v>
      </c>
      <c r="P958" s="10" t="n">
        <v>104</v>
      </c>
      <c r="Q958" s="12" t="s">
        <v>50</v>
      </c>
      <c r="R958" s="12" t="s">
        <v>36</v>
      </c>
      <c r="S958" s="10" t="n">
        <v>1130101</v>
      </c>
      <c r="T958" s="12" t="s">
        <v>37</v>
      </c>
      <c r="U958" s="13" t="n">
        <v>210</v>
      </c>
      <c r="W958" s="13" t="n">
        <v>0</v>
      </c>
      <c r="X958" s="12" t="s">
        <v>1236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46233</v>
      </c>
      <c r="C959" s="11" t="n">
        <v>46234</v>
      </c>
      <c r="D959" s="10" t="n">
        <v>1683</v>
      </c>
      <c r="E959" s="12" t="s">
        <v>162</v>
      </c>
      <c r="F959" s="10" t="n">
        <v>34</v>
      </c>
      <c r="G959" s="12" t="s">
        <v>49</v>
      </c>
      <c r="H959" s="10" t="n">
        <v>2110101</v>
      </c>
      <c r="I959" s="12" t="s">
        <v>32</v>
      </c>
      <c r="J959" s="10" t="n">
        <v>1477555</v>
      </c>
      <c r="L959" s="10" t="n">
        <v>1655928</v>
      </c>
      <c r="M959" s="12" t="s">
        <v>33</v>
      </c>
      <c r="N959" s="12" t="s">
        <v>34</v>
      </c>
      <c r="P959" s="10" t="n">
        <v>104</v>
      </c>
      <c r="Q959" s="12" t="s">
        <v>50</v>
      </c>
      <c r="R959" s="12" t="s">
        <v>36</v>
      </c>
      <c r="S959" s="10" t="n">
        <v>1130101</v>
      </c>
      <c r="T959" s="12" t="s">
        <v>37</v>
      </c>
      <c r="U959" s="13" t="n">
        <v>315</v>
      </c>
      <c r="W959" s="13" t="n">
        <v>0</v>
      </c>
      <c r="X959" s="12" t="s">
        <v>1237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46233</v>
      </c>
      <c r="C960" s="11" t="n">
        <v>46234</v>
      </c>
      <c r="D960" s="10" t="n">
        <v>1683</v>
      </c>
      <c r="E960" s="12" t="s">
        <v>162</v>
      </c>
      <c r="F960" s="10" t="n">
        <v>34</v>
      </c>
      <c r="G960" s="12" t="s">
        <v>49</v>
      </c>
      <c r="H960" s="10" t="n">
        <v>2110101</v>
      </c>
      <c r="I960" s="12" t="s">
        <v>32</v>
      </c>
      <c r="J960" s="10" t="n">
        <v>1477569</v>
      </c>
      <c r="L960" s="10" t="n">
        <v>1655930</v>
      </c>
      <c r="M960" s="12" t="s">
        <v>33</v>
      </c>
      <c r="N960" s="12" t="s">
        <v>34</v>
      </c>
      <c r="P960" s="10" t="n">
        <v>104</v>
      </c>
      <c r="Q960" s="12" t="s">
        <v>50</v>
      </c>
      <c r="R960" s="12" t="s">
        <v>36</v>
      </c>
      <c r="S960" s="10" t="n">
        <v>1130101</v>
      </c>
      <c r="T960" s="12" t="s">
        <v>37</v>
      </c>
      <c r="U960" s="13" t="n">
        <v>126</v>
      </c>
      <c r="W960" s="13" t="n">
        <v>0</v>
      </c>
      <c r="X960" s="12" t="s">
        <v>1238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46233</v>
      </c>
      <c r="C961" s="11" t="n">
        <v>46234</v>
      </c>
      <c r="D961" s="10" t="n">
        <v>1683</v>
      </c>
      <c r="E961" s="12" t="s">
        <v>162</v>
      </c>
      <c r="F961" s="10" t="n">
        <v>34</v>
      </c>
      <c r="G961" s="12" t="s">
        <v>49</v>
      </c>
      <c r="H961" s="10" t="n">
        <v>2110101</v>
      </c>
      <c r="I961" s="12" t="s">
        <v>32</v>
      </c>
      <c r="J961" s="10" t="n">
        <v>1477592</v>
      </c>
      <c r="L961" s="10" t="n">
        <v>1655931</v>
      </c>
      <c r="M961" s="12" t="s">
        <v>33</v>
      </c>
      <c r="N961" s="12" t="s">
        <v>34</v>
      </c>
      <c r="P961" s="10" t="n">
        <v>104</v>
      </c>
      <c r="Q961" s="12" t="s">
        <v>50</v>
      </c>
      <c r="R961" s="12" t="s">
        <v>36</v>
      </c>
      <c r="S961" s="10" t="n">
        <v>1130101</v>
      </c>
      <c r="T961" s="12" t="s">
        <v>37</v>
      </c>
      <c r="U961" s="13" t="n">
        <v>261</v>
      </c>
      <c r="W961" s="13" t="n">
        <v>0</v>
      </c>
      <c r="X961" s="12" t="s">
        <v>1239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46233</v>
      </c>
      <c r="C962" s="11" t="n">
        <v>46234</v>
      </c>
      <c r="D962" s="10" t="n">
        <v>1683</v>
      </c>
      <c r="E962" s="12" t="s">
        <v>162</v>
      </c>
      <c r="F962" s="10" t="n">
        <v>34</v>
      </c>
      <c r="G962" s="12" t="s">
        <v>49</v>
      </c>
      <c r="H962" s="10" t="n">
        <v>2110101</v>
      </c>
      <c r="I962" s="12" t="s">
        <v>32</v>
      </c>
      <c r="J962" s="10" t="n">
        <v>1477624</v>
      </c>
      <c r="L962" s="10" t="n">
        <v>1655934</v>
      </c>
      <c r="M962" s="12" t="s">
        <v>33</v>
      </c>
      <c r="N962" s="12" t="s">
        <v>34</v>
      </c>
      <c r="P962" s="10" t="n">
        <v>104</v>
      </c>
      <c r="Q962" s="12" t="s">
        <v>50</v>
      </c>
      <c r="R962" s="12" t="s">
        <v>36</v>
      </c>
      <c r="S962" s="10" t="n">
        <v>1130101</v>
      </c>
      <c r="T962" s="12" t="s">
        <v>37</v>
      </c>
      <c r="U962" s="13" t="n">
        <v>126</v>
      </c>
      <c r="W962" s="13" t="n">
        <v>0</v>
      </c>
      <c r="X962" s="12" t="s">
        <v>1240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46233</v>
      </c>
      <c r="C963" s="11" t="n">
        <v>46234</v>
      </c>
      <c r="D963" s="10" t="n">
        <v>1683</v>
      </c>
      <c r="E963" s="12" t="s">
        <v>162</v>
      </c>
      <c r="F963" s="10" t="n">
        <v>34</v>
      </c>
      <c r="G963" s="12" t="s">
        <v>49</v>
      </c>
      <c r="H963" s="10" t="n">
        <v>2110101</v>
      </c>
      <c r="I963" s="12" t="s">
        <v>32</v>
      </c>
      <c r="J963" s="10" t="n">
        <v>1477634</v>
      </c>
      <c r="L963" s="10" t="n">
        <v>1655935</v>
      </c>
      <c r="M963" s="12" t="s">
        <v>33</v>
      </c>
      <c r="N963" s="12" t="s">
        <v>34</v>
      </c>
      <c r="P963" s="10" t="n">
        <v>104</v>
      </c>
      <c r="Q963" s="12" t="s">
        <v>50</v>
      </c>
      <c r="R963" s="12" t="s">
        <v>36</v>
      </c>
      <c r="S963" s="10" t="n">
        <v>1130101</v>
      </c>
      <c r="T963" s="12" t="s">
        <v>37</v>
      </c>
      <c r="U963" s="13" t="n">
        <v>261</v>
      </c>
      <c r="W963" s="13" t="n">
        <v>0</v>
      </c>
      <c r="X963" s="12" t="s">
        <v>1241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46234</v>
      </c>
      <c r="C964" s="11" t="n">
        <v>46234</v>
      </c>
      <c r="D964" s="10" t="n">
        <v>1683</v>
      </c>
      <c r="E964" s="12" t="s">
        <v>162</v>
      </c>
      <c r="F964" s="10" t="n">
        <v>34</v>
      </c>
      <c r="G964" s="12" t="s">
        <v>49</v>
      </c>
      <c r="H964" s="10" t="n">
        <v>2110101</v>
      </c>
      <c r="I964" s="12" t="s">
        <v>32</v>
      </c>
      <c r="J964" s="10" t="n">
        <v>1478183</v>
      </c>
      <c r="L964" s="10" t="n">
        <v>1656236</v>
      </c>
      <c r="M964" s="12" t="s">
        <v>33</v>
      </c>
      <c r="N964" s="12" t="s">
        <v>34</v>
      </c>
      <c r="P964" s="10" t="n">
        <v>104</v>
      </c>
      <c r="Q964" s="12" t="s">
        <v>50</v>
      </c>
      <c r="R964" s="12" t="s">
        <v>36</v>
      </c>
      <c r="S964" s="10" t="n">
        <v>1130101</v>
      </c>
      <c r="T964" s="12" t="s">
        <v>37</v>
      </c>
      <c r="U964" s="13" t="n">
        <v>210</v>
      </c>
      <c r="W964" s="13" t="n">
        <v>0</v>
      </c>
      <c r="X964" s="12" t="s">
        <v>1242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46234</v>
      </c>
      <c r="C965" s="11" t="n">
        <v>46234</v>
      </c>
      <c r="D965" s="10" t="n">
        <v>978</v>
      </c>
      <c r="E965" s="12" t="s">
        <v>54</v>
      </c>
      <c r="F965" s="10" t="n">
        <v>13</v>
      </c>
      <c r="G965" s="12" t="s">
        <v>55</v>
      </c>
      <c r="H965" s="10" t="n">
        <v>2110101</v>
      </c>
      <c r="I965" s="12" t="s">
        <v>32</v>
      </c>
      <c r="J965" s="10" t="n">
        <v>1479256</v>
      </c>
      <c r="L965" s="10" t="n">
        <v>413</v>
      </c>
      <c r="M965" s="12" t="s">
        <v>33</v>
      </c>
      <c r="N965" s="12" t="s">
        <v>34</v>
      </c>
      <c r="P965" s="10" t="n">
        <v>104</v>
      </c>
      <c r="Q965" s="12" t="s">
        <v>50</v>
      </c>
      <c r="R965" s="12" t="s">
        <v>36</v>
      </c>
      <c r="S965" s="10" t="n">
        <v>1130101</v>
      </c>
      <c r="T965" s="12" t="s">
        <v>37</v>
      </c>
      <c r="U965" s="13" t="n">
        <v>603</v>
      </c>
      <c r="W965" s="13" t="n">
        <v>0</v>
      </c>
      <c r="X965" s="12" t="s">
        <v>1168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46214</v>
      </c>
      <c r="C966" s="11" t="n">
        <v>46234</v>
      </c>
      <c r="D966" s="10" t="n">
        <v>1815</v>
      </c>
      <c r="E966" s="12" t="s">
        <v>175</v>
      </c>
      <c r="F966" s="10" t="n">
        <v>24</v>
      </c>
      <c r="G966" s="12" t="s">
        <v>31</v>
      </c>
      <c r="H966" s="10" t="n">
        <v>1110202</v>
      </c>
      <c r="I966" s="12" t="s">
        <v>90</v>
      </c>
      <c r="J966" s="10" t="n">
        <v>1382433</v>
      </c>
      <c r="L966" s="10" t="n">
        <v>391785</v>
      </c>
      <c r="M966" s="12" t="s">
        <v>40</v>
      </c>
      <c r="N966" s="12" t="s">
        <v>66</v>
      </c>
      <c r="P966" s="10" t="n">
        <v>103</v>
      </c>
      <c r="Q966" s="12" t="s">
        <v>35</v>
      </c>
      <c r="R966" s="12" t="s">
        <v>36</v>
      </c>
      <c r="S966" s="10" t="n">
        <v>1130101</v>
      </c>
      <c r="T966" s="12" t="s">
        <v>37</v>
      </c>
      <c r="U966" s="13" t="n">
        <v>785.66</v>
      </c>
      <c r="W966" s="13" t="n">
        <v>0</v>
      </c>
      <c r="X966" s="12" t="s">
        <v>1243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46234</v>
      </c>
      <c r="C967" s="11" t="n">
        <v>46234</v>
      </c>
      <c r="D967" s="10" t="n">
        <v>10035</v>
      </c>
      <c r="E967" s="12" t="s">
        <v>118</v>
      </c>
      <c r="F967" s="10" t="n">
        <v>13</v>
      </c>
      <c r="G967" s="12" t="s">
        <v>55</v>
      </c>
      <c r="H967" s="10" t="n">
        <v>2110101</v>
      </c>
      <c r="I967" s="12" t="s">
        <v>32</v>
      </c>
      <c r="J967" s="10" t="n">
        <v>1479487</v>
      </c>
      <c r="L967" s="10" t="n">
        <v>387</v>
      </c>
      <c r="M967" s="12" t="s">
        <v>33</v>
      </c>
      <c r="N967" s="12" t="s">
        <v>34</v>
      </c>
      <c r="P967" s="10" t="n">
        <v>104</v>
      </c>
      <c r="Q967" s="12" t="s">
        <v>50</v>
      </c>
      <c r="R967" s="12" t="s">
        <v>36</v>
      </c>
      <c r="S967" s="10" t="n">
        <v>1130101</v>
      </c>
      <c r="T967" s="12" t="s">
        <v>37</v>
      </c>
      <c r="U967" s="13" t="n">
        <v>572</v>
      </c>
      <c r="W967" s="13" t="n">
        <v>0</v>
      </c>
      <c r="X967" s="12" t="s">
        <v>1244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46225</v>
      </c>
      <c r="C968" s="11" t="n">
        <v>46234</v>
      </c>
      <c r="D968" s="10" t="n">
        <v>1270</v>
      </c>
      <c r="E968" s="12" t="s">
        <v>348</v>
      </c>
      <c r="F968" s="10" t="n">
        <v>24</v>
      </c>
      <c r="G968" s="12" t="s">
        <v>31</v>
      </c>
      <c r="H968" s="10" t="n">
        <v>1110202</v>
      </c>
      <c r="I968" s="12" t="s">
        <v>90</v>
      </c>
      <c r="J968" s="10" t="n">
        <v>1434138</v>
      </c>
      <c r="L968" s="10" t="n">
        <v>2667</v>
      </c>
      <c r="M968" s="12" t="s">
        <v>33</v>
      </c>
      <c r="N968" s="12" t="s">
        <v>66</v>
      </c>
      <c r="P968" s="10" t="n">
        <v>103</v>
      </c>
      <c r="Q968" s="12" t="s">
        <v>35</v>
      </c>
      <c r="R968" s="12" t="s">
        <v>36</v>
      </c>
      <c r="S968" s="10" t="n">
        <v>1130101</v>
      </c>
      <c r="T968" s="12" t="s">
        <v>37</v>
      </c>
      <c r="U968" s="13" t="n">
        <v>638.5</v>
      </c>
      <c r="W968" s="13" t="n">
        <v>0</v>
      </c>
      <c r="X968" s="12" t="s">
        <v>1245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46210</v>
      </c>
      <c r="C969" s="11" t="n">
        <v>46234</v>
      </c>
      <c r="D969" s="10" t="n">
        <v>967</v>
      </c>
      <c r="E969" s="12" t="s">
        <v>261</v>
      </c>
      <c r="F969" s="10" t="n">
        <v>24</v>
      </c>
      <c r="G969" s="12" t="s">
        <v>31</v>
      </c>
      <c r="H969" s="10" t="n">
        <v>1110202</v>
      </c>
      <c r="I969" s="12" t="s">
        <v>90</v>
      </c>
      <c r="J969" s="10" t="n">
        <v>1440510</v>
      </c>
      <c r="L969" s="10" t="n">
        <v>34608</v>
      </c>
      <c r="M969" s="12" t="s">
        <v>76</v>
      </c>
      <c r="N969" s="12" t="s">
        <v>66</v>
      </c>
      <c r="P969" s="10" t="n">
        <v>103</v>
      </c>
      <c r="Q969" s="12" t="s">
        <v>35</v>
      </c>
      <c r="R969" s="12" t="s">
        <v>36</v>
      </c>
      <c r="S969" s="10" t="n">
        <v>1130101</v>
      </c>
      <c r="T969" s="12" t="s">
        <v>37</v>
      </c>
      <c r="U969" s="13" t="n">
        <v>2838.97</v>
      </c>
      <c r="W969" s="13" t="n">
        <v>0</v>
      </c>
      <c r="X969" s="12" t="s">
        <v>1246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46230</v>
      </c>
      <c r="C970" s="11" t="n">
        <v>46234</v>
      </c>
      <c r="D970" s="10" t="n">
        <v>1328</v>
      </c>
      <c r="E970" s="12" t="s">
        <v>186</v>
      </c>
      <c r="F970" s="10" t="n">
        <v>24</v>
      </c>
      <c r="G970" s="12" t="s">
        <v>31</v>
      </c>
      <c r="H970" s="10" t="n">
        <v>1110202</v>
      </c>
      <c r="I970" s="12" t="s">
        <v>90</v>
      </c>
      <c r="J970" s="10" t="n">
        <v>1460129</v>
      </c>
      <c r="L970" s="10" t="n">
        <v>4183</v>
      </c>
      <c r="M970" s="12" t="s">
        <v>33</v>
      </c>
      <c r="N970" s="12" t="s">
        <v>66</v>
      </c>
      <c r="P970" s="10" t="n">
        <v>103</v>
      </c>
      <c r="Q970" s="12" t="s">
        <v>35</v>
      </c>
      <c r="R970" s="12" t="s">
        <v>36</v>
      </c>
      <c r="S970" s="10" t="n">
        <v>1130101</v>
      </c>
      <c r="T970" s="12" t="s">
        <v>37</v>
      </c>
      <c r="U970" s="13" t="n">
        <v>257</v>
      </c>
      <c r="W970" s="13" t="n">
        <v>0</v>
      </c>
      <c r="X970" s="12" t="s">
        <v>1247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46224</v>
      </c>
      <c r="C971" s="11" t="n">
        <v>46234</v>
      </c>
      <c r="D971" s="10" t="n">
        <v>1114</v>
      </c>
      <c r="E971" s="12" t="s">
        <v>128</v>
      </c>
      <c r="F971" s="10" t="n">
        <v>24</v>
      </c>
      <c r="G971" s="12" t="s">
        <v>31</v>
      </c>
      <c r="H971" s="10" t="n">
        <v>1110202</v>
      </c>
      <c r="I971" s="12" t="s">
        <v>90</v>
      </c>
      <c r="J971" s="10" t="n">
        <v>1431589</v>
      </c>
      <c r="L971" s="10" t="n">
        <v>41360</v>
      </c>
      <c r="M971" s="12" t="s">
        <v>33</v>
      </c>
      <c r="N971" s="12" t="s">
        <v>66</v>
      </c>
      <c r="P971" s="10" t="n">
        <v>103</v>
      </c>
      <c r="Q971" s="12" t="s">
        <v>35</v>
      </c>
      <c r="R971" s="12" t="s">
        <v>36</v>
      </c>
      <c r="S971" s="10" t="n">
        <v>1130101</v>
      </c>
      <c r="T971" s="12" t="s">
        <v>37</v>
      </c>
      <c r="U971" s="13" t="n">
        <v>3866.95</v>
      </c>
      <c r="W971" s="13" t="n">
        <v>0</v>
      </c>
      <c r="X971" s="12" t="s">
        <v>1248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46223</v>
      </c>
      <c r="C972" s="11" t="n">
        <v>46234</v>
      </c>
      <c r="D972" s="10" t="n">
        <v>1107</v>
      </c>
      <c r="E972" s="12" t="s">
        <v>525</v>
      </c>
      <c r="F972" s="10" t="n">
        <v>24</v>
      </c>
      <c r="G972" s="12" t="s">
        <v>31</v>
      </c>
      <c r="H972" s="10" t="n">
        <v>1110202</v>
      </c>
      <c r="I972" s="12" t="s">
        <v>90</v>
      </c>
      <c r="J972" s="10" t="n">
        <v>1423979</v>
      </c>
      <c r="L972" s="10" t="n">
        <v>430879</v>
      </c>
      <c r="M972" s="12" t="s">
        <v>33</v>
      </c>
      <c r="N972" s="12" t="s">
        <v>66</v>
      </c>
      <c r="P972" s="10" t="n">
        <v>103</v>
      </c>
      <c r="Q972" s="12" t="s">
        <v>35</v>
      </c>
      <c r="R972" s="12" t="s">
        <v>36</v>
      </c>
      <c r="S972" s="10" t="n">
        <v>1130101</v>
      </c>
      <c r="T972" s="12" t="s">
        <v>37</v>
      </c>
      <c r="U972" s="13" t="n">
        <v>1180.5</v>
      </c>
      <c r="W972" s="13" t="n">
        <v>0</v>
      </c>
      <c r="X972" s="12" t="s">
        <v>1249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46231</v>
      </c>
      <c r="C973" s="11" t="n">
        <v>46234</v>
      </c>
      <c r="D973" s="10" t="n">
        <v>1899</v>
      </c>
      <c r="E973" s="12" t="s">
        <v>131</v>
      </c>
      <c r="F973" s="10" t="n">
        <v>24</v>
      </c>
      <c r="G973" s="12" t="s">
        <v>31</v>
      </c>
      <c r="H973" s="10" t="n">
        <v>1110202</v>
      </c>
      <c r="I973" s="12" t="s">
        <v>90</v>
      </c>
      <c r="J973" s="10" t="n">
        <v>1462665</v>
      </c>
      <c r="L973" s="10" t="n">
        <v>733</v>
      </c>
      <c r="M973" s="12" t="s">
        <v>33</v>
      </c>
      <c r="N973" s="12" t="s">
        <v>66</v>
      </c>
      <c r="P973" s="10" t="n">
        <v>103</v>
      </c>
      <c r="Q973" s="12" t="s">
        <v>35</v>
      </c>
      <c r="R973" s="12" t="s">
        <v>36</v>
      </c>
      <c r="S973" s="10" t="n">
        <v>1130101</v>
      </c>
      <c r="T973" s="12" t="s">
        <v>37</v>
      </c>
      <c r="U973" s="13" t="n">
        <v>855.5</v>
      </c>
      <c r="W973" s="13" t="n">
        <v>0</v>
      </c>
      <c r="X973" s="12" t="s">
        <v>1250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46231</v>
      </c>
      <c r="C974" s="11" t="n">
        <v>46234</v>
      </c>
      <c r="D974" s="10" t="n">
        <v>1899</v>
      </c>
      <c r="E974" s="12" t="s">
        <v>131</v>
      </c>
      <c r="F974" s="10" t="n">
        <v>24</v>
      </c>
      <c r="G974" s="12" t="s">
        <v>31</v>
      </c>
      <c r="H974" s="10" t="n">
        <v>1110202</v>
      </c>
      <c r="I974" s="12" t="s">
        <v>90</v>
      </c>
      <c r="J974" s="10" t="n">
        <v>1462886</v>
      </c>
      <c r="L974" s="10" t="n">
        <v>734</v>
      </c>
      <c r="M974" s="12" t="s">
        <v>33</v>
      </c>
      <c r="N974" s="12" t="s">
        <v>66</v>
      </c>
      <c r="P974" s="10" t="n">
        <v>103</v>
      </c>
      <c r="Q974" s="12" t="s">
        <v>35</v>
      </c>
      <c r="R974" s="12" t="s">
        <v>36</v>
      </c>
      <c r="S974" s="10" t="n">
        <v>1130101</v>
      </c>
      <c r="T974" s="12" t="s">
        <v>37</v>
      </c>
      <c r="U974" s="13" t="n">
        <v>1120</v>
      </c>
      <c r="W974" s="13" t="n">
        <v>0</v>
      </c>
      <c r="X974" s="12" t="s">
        <v>1251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46225</v>
      </c>
      <c r="C975" s="11" t="n">
        <v>46234</v>
      </c>
      <c r="D975" s="10" t="n">
        <v>10017</v>
      </c>
      <c r="E975" s="12" t="s">
        <v>271</v>
      </c>
      <c r="F975" s="10" t="n">
        <v>24</v>
      </c>
      <c r="G975" s="12" t="s">
        <v>31</v>
      </c>
      <c r="H975" s="10" t="n">
        <v>1110202</v>
      </c>
      <c r="I975" s="12" t="s">
        <v>90</v>
      </c>
      <c r="J975" s="10" t="n">
        <v>1434930</v>
      </c>
      <c r="L975" s="10" t="n">
        <v>194574</v>
      </c>
      <c r="M975" s="12" t="s">
        <v>33</v>
      </c>
      <c r="N975" s="12" t="s">
        <v>66</v>
      </c>
      <c r="P975" s="10" t="n">
        <v>103</v>
      </c>
      <c r="Q975" s="12" t="s">
        <v>35</v>
      </c>
      <c r="R975" s="12" t="s">
        <v>36</v>
      </c>
      <c r="S975" s="10" t="n">
        <v>1130101</v>
      </c>
      <c r="T975" s="12" t="s">
        <v>37</v>
      </c>
      <c r="U975" s="13" t="n">
        <v>808.44</v>
      </c>
      <c r="W975" s="13" t="n">
        <v>0</v>
      </c>
      <c r="X975" s="12" t="s">
        <v>1252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46230</v>
      </c>
      <c r="C976" s="11" t="n">
        <v>46234</v>
      </c>
      <c r="D976" s="10" t="n">
        <v>218</v>
      </c>
      <c r="E976" s="12" t="s">
        <v>1152</v>
      </c>
      <c r="F976" s="10" t="n">
        <v>34</v>
      </c>
      <c r="G976" s="12" t="s">
        <v>49</v>
      </c>
      <c r="H976" s="10" t="n">
        <v>1110202</v>
      </c>
      <c r="I976" s="12" t="s">
        <v>90</v>
      </c>
      <c r="J976" s="10" t="n">
        <v>1459614</v>
      </c>
      <c r="L976" s="10" t="n">
        <v>600415</v>
      </c>
      <c r="M976" s="12" t="s">
        <v>33</v>
      </c>
      <c r="N976" s="12" t="s">
        <v>66</v>
      </c>
      <c r="P976" s="10" t="n">
        <v>101</v>
      </c>
      <c r="Q976" s="12" t="s">
        <v>84</v>
      </c>
      <c r="R976" s="12" t="s">
        <v>121</v>
      </c>
      <c r="S976" s="10" t="n">
        <v>4210301</v>
      </c>
      <c r="T976" s="12" t="s">
        <v>122</v>
      </c>
      <c r="U976" s="13" t="n">
        <v>3208.3</v>
      </c>
      <c r="W976" s="13" t="n">
        <v>0</v>
      </c>
      <c r="X976" s="12" t="s">
        <v>1253</v>
      </c>
      <c r="Z976" s="1" t="str">
        <f aca="false">IF($T976="","",IFERROR(INDEX('Resumo Grupos'!$AC$3:$AC$200,MATCH($T976,'Resumo Grupos'!$AB$3:$AB$200,0)),"n/d"))</f>
        <v>Salários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46234</v>
      </c>
      <c r="C977" s="11" t="n">
        <v>46234</v>
      </c>
      <c r="D977" s="10" t="n">
        <v>33</v>
      </c>
      <c r="E977" s="12" t="s">
        <v>64</v>
      </c>
      <c r="F977" s="10" t="n">
        <v>34</v>
      </c>
      <c r="G977" s="12" t="s">
        <v>49</v>
      </c>
      <c r="H977" s="10" t="n">
        <v>2110101</v>
      </c>
      <c r="I977" s="12" t="s">
        <v>32</v>
      </c>
      <c r="J977" s="10" t="n">
        <v>1478775</v>
      </c>
      <c r="L977" s="10" t="n">
        <v>5407</v>
      </c>
      <c r="M977" s="12" t="s">
        <v>33</v>
      </c>
      <c r="N977" s="12" t="s">
        <v>34</v>
      </c>
      <c r="P977" s="10" t="n">
        <v>104</v>
      </c>
      <c r="Q977" s="12" t="s">
        <v>50</v>
      </c>
      <c r="R977" s="12" t="s">
        <v>36</v>
      </c>
      <c r="S977" s="10" t="n">
        <v>1130101</v>
      </c>
      <c r="T977" s="12" t="s">
        <v>37</v>
      </c>
      <c r="U977" s="13" t="n">
        <v>2731</v>
      </c>
      <c r="W977" s="13" t="n">
        <v>0</v>
      </c>
      <c r="X977" s="12" t="s">
        <v>65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46234</v>
      </c>
      <c r="C978" s="11" t="n">
        <v>46234</v>
      </c>
      <c r="D978" s="10" t="n">
        <v>33</v>
      </c>
      <c r="E978" s="12" t="s">
        <v>64</v>
      </c>
      <c r="F978" s="10" t="n">
        <v>34</v>
      </c>
      <c r="G978" s="12" t="s">
        <v>49</v>
      </c>
      <c r="H978" s="10" t="n">
        <v>1110202</v>
      </c>
      <c r="I978" s="12" t="s">
        <v>90</v>
      </c>
      <c r="J978" s="10" t="n">
        <v>1478808</v>
      </c>
      <c r="L978" s="10" t="n">
        <v>607311</v>
      </c>
      <c r="M978" s="12" t="s">
        <v>33</v>
      </c>
      <c r="N978" s="12" t="s">
        <v>66</v>
      </c>
      <c r="P978" s="10" t="n">
        <v>104</v>
      </c>
      <c r="Q978" s="12" t="s">
        <v>50</v>
      </c>
      <c r="R978" s="12" t="s">
        <v>36</v>
      </c>
      <c r="S978" s="10" t="n">
        <v>1130101</v>
      </c>
      <c r="T978" s="12" t="s">
        <v>37</v>
      </c>
      <c r="U978" s="13" t="n">
        <v>35</v>
      </c>
      <c r="W978" s="13" t="n">
        <v>0</v>
      </c>
      <c r="X978" s="12" t="s">
        <v>1254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46234</v>
      </c>
      <c r="C979" s="11" t="n">
        <v>46234</v>
      </c>
      <c r="D979" s="10" t="n">
        <v>33</v>
      </c>
      <c r="E979" s="12" t="s">
        <v>64</v>
      </c>
      <c r="F979" s="10" t="n">
        <v>34</v>
      </c>
      <c r="G979" s="12" t="s">
        <v>49</v>
      </c>
      <c r="H979" s="10" t="n">
        <v>2110101</v>
      </c>
      <c r="I979" s="12" t="s">
        <v>32</v>
      </c>
      <c r="J979" s="10" t="n">
        <v>1479153</v>
      </c>
      <c r="L979" s="10" t="n">
        <v>5419</v>
      </c>
      <c r="M979" s="12" t="s">
        <v>33</v>
      </c>
      <c r="N979" s="12" t="s">
        <v>34</v>
      </c>
      <c r="P979" s="10" t="n">
        <v>104</v>
      </c>
      <c r="Q979" s="12" t="s">
        <v>50</v>
      </c>
      <c r="R979" s="12" t="s">
        <v>36</v>
      </c>
      <c r="S979" s="10" t="n">
        <v>1130101</v>
      </c>
      <c r="T979" s="12" t="s">
        <v>37</v>
      </c>
      <c r="U979" s="13" t="n">
        <v>2682.43</v>
      </c>
      <c r="W979" s="13" t="n">
        <v>0</v>
      </c>
      <c r="X979" s="12" t="s">
        <v>364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46226</v>
      </c>
      <c r="C980" s="11" t="n">
        <v>46234</v>
      </c>
      <c r="D980" s="10" t="n">
        <v>1666</v>
      </c>
      <c r="E980" s="12" t="s">
        <v>139</v>
      </c>
      <c r="F980" s="10" t="n">
        <v>24</v>
      </c>
      <c r="G980" s="12" t="s">
        <v>31</v>
      </c>
      <c r="H980" s="10" t="n">
        <v>1110202</v>
      </c>
      <c r="I980" s="12" t="s">
        <v>90</v>
      </c>
      <c r="J980" s="10" t="n">
        <v>1440189</v>
      </c>
      <c r="L980" s="10" t="n">
        <v>568312</v>
      </c>
      <c r="M980" s="12" t="s">
        <v>33</v>
      </c>
      <c r="N980" s="12" t="s">
        <v>66</v>
      </c>
      <c r="P980" s="10" t="n">
        <v>103</v>
      </c>
      <c r="Q980" s="12" t="s">
        <v>35</v>
      </c>
      <c r="R980" s="12" t="s">
        <v>36</v>
      </c>
      <c r="S980" s="10" t="n">
        <v>1130101</v>
      </c>
      <c r="T980" s="12" t="s">
        <v>37</v>
      </c>
      <c r="U980" s="13" t="n">
        <v>7635.42</v>
      </c>
      <c r="W980" s="13" t="n">
        <v>0</v>
      </c>
      <c r="X980" s="12" t="s">
        <v>1255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46227</v>
      </c>
      <c r="C981" s="11" t="n">
        <v>46234</v>
      </c>
      <c r="D981" s="10" t="n">
        <v>364</v>
      </c>
      <c r="E981" s="12" t="s">
        <v>1256</v>
      </c>
      <c r="F981" s="10" t="n">
        <v>34</v>
      </c>
      <c r="G981" s="12" t="s">
        <v>49</v>
      </c>
      <c r="H981" s="10" t="n">
        <v>1110202</v>
      </c>
      <c r="I981" s="12" t="s">
        <v>90</v>
      </c>
      <c r="J981" s="10" t="n">
        <v>1445330</v>
      </c>
      <c r="L981" s="10" t="n">
        <v>594527</v>
      </c>
      <c r="M981" s="12" t="s">
        <v>33</v>
      </c>
      <c r="N981" s="12" t="s">
        <v>66</v>
      </c>
      <c r="P981" s="10" t="n">
        <v>101</v>
      </c>
      <c r="Q981" s="12" t="s">
        <v>84</v>
      </c>
      <c r="R981" s="12" t="s">
        <v>121</v>
      </c>
      <c r="S981" s="10" t="n">
        <v>4210304</v>
      </c>
      <c r="T981" s="12" t="s">
        <v>1257</v>
      </c>
      <c r="U981" s="13" t="n">
        <v>2245.05</v>
      </c>
      <c r="W981" s="13" t="n">
        <v>0</v>
      </c>
      <c r="X981" s="12" t="s">
        <v>1258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46228</v>
      </c>
      <c r="C982" s="11" t="n">
        <v>46234</v>
      </c>
      <c r="D982" s="10" t="n">
        <v>1286</v>
      </c>
      <c r="E982" s="12" t="s">
        <v>216</v>
      </c>
      <c r="F982" s="10" t="n">
        <v>24</v>
      </c>
      <c r="G982" s="12" t="s">
        <v>31</v>
      </c>
      <c r="H982" s="10" t="n">
        <v>1110202</v>
      </c>
      <c r="I982" s="12" t="s">
        <v>90</v>
      </c>
      <c r="J982" s="10" t="n">
        <v>1450163</v>
      </c>
      <c r="L982" s="10" t="n">
        <v>10389</v>
      </c>
      <c r="M982" s="12" t="s">
        <v>33</v>
      </c>
      <c r="N982" s="12" t="s">
        <v>66</v>
      </c>
      <c r="P982" s="10" t="n">
        <v>103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1026</v>
      </c>
      <c r="W982" s="13" t="n">
        <v>0</v>
      </c>
      <c r="X982" s="12" t="s">
        <v>1259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46225</v>
      </c>
      <c r="C983" s="11" t="n">
        <v>46234</v>
      </c>
      <c r="D983" s="10" t="n">
        <v>1316</v>
      </c>
      <c r="E983" s="12" t="s">
        <v>218</v>
      </c>
      <c r="F983" s="10" t="n">
        <v>34</v>
      </c>
      <c r="G983" s="12" t="s">
        <v>49</v>
      </c>
      <c r="H983" s="10" t="n">
        <v>2110101</v>
      </c>
      <c r="I983" s="12" t="s">
        <v>32</v>
      </c>
      <c r="J983" s="10" t="n">
        <v>1459613</v>
      </c>
      <c r="L983" s="10" t="n">
        <v>3896</v>
      </c>
      <c r="M983" s="12" t="s">
        <v>33</v>
      </c>
      <c r="N983" s="12" t="s">
        <v>34</v>
      </c>
      <c r="P983" s="10" t="n">
        <v>104</v>
      </c>
      <c r="Q983" s="12" t="s">
        <v>50</v>
      </c>
      <c r="R983" s="12" t="s">
        <v>36</v>
      </c>
      <c r="S983" s="10" t="n">
        <v>1130101</v>
      </c>
      <c r="T983" s="12" t="s">
        <v>37</v>
      </c>
      <c r="U983" s="13" t="n">
        <v>176</v>
      </c>
      <c r="W983" s="13" t="n">
        <v>0</v>
      </c>
      <c r="X983" s="12" t="s">
        <v>1260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46207</v>
      </c>
      <c r="C984" s="11" t="n">
        <v>46234</v>
      </c>
      <c r="D984" s="10" t="n">
        <v>1316</v>
      </c>
      <c r="E984" s="12" t="s">
        <v>218</v>
      </c>
      <c r="F984" s="10" t="n">
        <v>34</v>
      </c>
      <c r="G984" s="12" t="s">
        <v>49</v>
      </c>
      <c r="H984" s="10" t="n">
        <v>2110101</v>
      </c>
      <c r="I984" s="12" t="s">
        <v>32</v>
      </c>
      <c r="J984" s="10" t="n">
        <v>1370367</v>
      </c>
      <c r="L984" s="10" t="n">
        <v>3742</v>
      </c>
      <c r="M984" s="12" t="s">
        <v>33</v>
      </c>
      <c r="N984" s="12" t="s">
        <v>34</v>
      </c>
      <c r="P984" s="10" t="n">
        <v>104</v>
      </c>
      <c r="Q984" s="12" t="s">
        <v>50</v>
      </c>
      <c r="R984" s="12" t="s">
        <v>36</v>
      </c>
      <c r="S984" s="10" t="n">
        <v>1130101</v>
      </c>
      <c r="T984" s="12" t="s">
        <v>37</v>
      </c>
      <c r="U984" s="13" t="n">
        <v>88</v>
      </c>
      <c r="W984" s="13" t="n">
        <v>0</v>
      </c>
      <c r="X984" s="12" t="s">
        <v>1261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46214</v>
      </c>
      <c r="C985" s="11" t="n">
        <v>46234</v>
      </c>
      <c r="D985" s="10" t="n">
        <v>1316</v>
      </c>
      <c r="E985" s="12" t="s">
        <v>218</v>
      </c>
      <c r="F985" s="10" t="n">
        <v>34</v>
      </c>
      <c r="G985" s="12" t="s">
        <v>49</v>
      </c>
      <c r="H985" s="10" t="n">
        <v>2110101</v>
      </c>
      <c r="I985" s="12" t="s">
        <v>32</v>
      </c>
      <c r="J985" s="10" t="n">
        <v>1396639</v>
      </c>
      <c r="L985" s="10" t="n">
        <v>3806</v>
      </c>
      <c r="M985" s="12" t="s">
        <v>33</v>
      </c>
      <c r="N985" s="12" t="s">
        <v>34</v>
      </c>
      <c r="P985" s="10" t="n">
        <v>104</v>
      </c>
      <c r="Q985" s="12" t="s">
        <v>50</v>
      </c>
      <c r="R985" s="12" t="s">
        <v>36</v>
      </c>
      <c r="S985" s="10" t="n">
        <v>1130101</v>
      </c>
      <c r="T985" s="12" t="s">
        <v>37</v>
      </c>
      <c r="U985" s="13" t="n">
        <v>200</v>
      </c>
      <c r="W985" s="13" t="n">
        <v>0</v>
      </c>
      <c r="X985" s="12" t="s">
        <v>1262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46228</v>
      </c>
      <c r="C986" s="11" t="n">
        <v>46234</v>
      </c>
      <c r="D986" s="10" t="n">
        <v>1316</v>
      </c>
      <c r="E986" s="12" t="s">
        <v>218</v>
      </c>
      <c r="F986" s="10" t="n">
        <v>34</v>
      </c>
      <c r="G986" s="12" t="s">
        <v>49</v>
      </c>
      <c r="H986" s="10" t="n">
        <v>2110101</v>
      </c>
      <c r="I986" s="12" t="s">
        <v>32</v>
      </c>
      <c r="J986" s="10" t="n">
        <v>1459656</v>
      </c>
      <c r="L986" s="10" t="n">
        <v>3931</v>
      </c>
      <c r="M986" s="12" t="s">
        <v>33</v>
      </c>
      <c r="N986" s="12" t="s">
        <v>34</v>
      </c>
      <c r="P986" s="10" t="n">
        <v>104</v>
      </c>
      <c r="Q986" s="12" t="s">
        <v>50</v>
      </c>
      <c r="R986" s="12" t="s">
        <v>36</v>
      </c>
      <c r="S986" s="10" t="n">
        <v>1130101</v>
      </c>
      <c r="T986" s="12" t="s">
        <v>37</v>
      </c>
      <c r="U986" s="13" t="n">
        <v>200</v>
      </c>
      <c r="W986" s="13" t="n">
        <v>0</v>
      </c>
      <c r="X986" s="12" t="s">
        <v>1263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46219</v>
      </c>
      <c r="C987" s="11" t="n">
        <v>46234</v>
      </c>
      <c r="D987" s="10" t="n">
        <v>1316</v>
      </c>
      <c r="E987" s="12" t="s">
        <v>218</v>
      </c>
      <c r="F987" s="10" t="n">
        <v>34</v>
      </c>
      <c r="G987" s="12" t="s">
        <v>49</v>
      </c>
      <c r="H987" s="10" t="n">
        <v>2110101</v>
      </c>
      <c r="I987" s="12" t="s">
        <v>32</v>
      </c>
      <c r="J987" s="10" t="n">
        <v>1425336</v>
      </c>
      <c r="L987" s="10" t="n">
        <v>3844</v>
      </c>
      <c r="M987" s="12" t="s">
        <v>33</v>
      </c>
      <c r="N987" s="12" t="s">
        <v>34</v>
      </c>
      <c r="P987" s="10" t="n">
        <v>104</v>
      </c>
      <c r="Q987" s="12" t="s">
        <v>50</v>
      </c>
      <c r="R987" s="12" t="s">
        <v>36</v>
      </c>
      <c r="S987" s="10" t="n">
        <v>1130101</v>
      </c>
      <c r="T987" s="12" t="s">
        <v>37</v>
      </c>
      <c r="U987" s="13" t="n">
        <v>200</v>
      </c>
      <c r="W987" s="13" t="n">
        <v>0</v>
      </c>
      <c r="X987" s="12" t="s">
        <v>1264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46234</v>
      </c>
      <c r="C988" s="11" t="n">
        <v>46234</v>
      </c>
      <c r="D988" s="10" t="n">
        <v>1316</v>
      </c>
      <c r="E988" s="12" t="s">
        <v>218</v>
      </c>
      <c r="F988" s="10" t="n">
        <v>34</v>
      </c>
      <c r="G988" s="12" t="s">
        <v>49</v>
      </c>
      <c r="H988" s="10" t="n">
        <v>2110101</v>
      </c>
      <c r="I988" s="12" t="s">
        <v>32</v>
      </c>
      <c r="J988" s="10" t="n">
        <v>1479627</v>
      </c>
      <c r="L988" s="10" t="n">
        <v>3978</v>
      </c>
      <c r="M988" s="12" t="s">
        <v>33</v>
      </c>
      <c r="N988" s="12" t="s">
        <v>34</v>
      </c>
      <c r="P988" s="10" t="n">
        <v>104</v>
      </c>
      <c r="Q988" s="12" t="s">
        <v>50</v>
      </c>
      <c r="R988" s="12" t="s">
        <v>36</v>
      </c>
      <c r="S988" s="10" t="n">
        <v>1130101</v>
      </c>
      <c r="T988" s="12" t="s">
        <v>37</v>
      </c>
      <c r="U988" s="13" t="n">
        <v>200</v>
      </c>
      <c r="W988" s="13" t="n">
        <v>0</v>
      </c>
      <c r="X988" s="12" t="s">
        <v>1265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46225</v>
      </c>
      <c r="C989" s="11" t="n">
        <v>46235</v>
      </c>
      <c r="D989" s="10" t="n">
        <v>1705</v>
      </c>
      <c r="E989" s="12" t="s">
        <v>46</v>
      </c>
      <c r="F989" s="10" t="n">
        <v>24</v>
      </c>
      <c r="G989" s="12" t="s">
        <v>31</v>
      </c>
      <c r="H989" s="10" t="n">
        <v>1110202</v>
      </c>
      <c r="I989" s="12" t="s">
        <v>90</v>
      </c>
      <c r="J989" s="10" t="n">
        <v>1435911</v>
      </c>
      <c r="L989" s="10" t="n">
        <v>1209351</v>
      </c>
      <c r="M989" s="12" t="s">
        <v>33</v>
      </c>
      <c r="N989" s="12" t="s">
        <v>66</v>
      </c>
      <c r="P989" s="10" t="n">
        <v>103</v>
      </c>
      <c r="Q989" s="12" t="s">
        <v>35</v>
      </c>
      <c r="R989" s="12" t="s">
        <v>36</v>
      </c>
      <c r="S989" s="10" t="n">
        <v>1130101</v>
      </c>
      <c r="T989" s="12" t="s">
        <v>37</v>
      </c>
      <c r="U989" s="13" t="n">
        <v>1459.28</v>
      </c>
      <c r="W989" s="13" t="n">
        <v>0</v>
      </c>
      <c r="X989" s="12" t="s">
        <v>1266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46225</v>
      </c>
      <c r="C990" s="11" t="n">
        <v>46235</v>
      </c>
      <c r="D990" s="10" t="n">
        <v>1705</v>
      </c>
      <c r="E990" s="12" t="s">
        <v>46</v>
      </c>
      <c r="F990" s="10" t="n">
        <v>24</v>
      </c>
      <c r="G990" s="12" t="s">
        <v>31</v>
      </c>
      <c r="H990" s="10" t="n">
        <v>1110202</v>
      </c>
      <c r="I990" s="12" t="s">
        <v>90</v>
      </c>
      <c r="J990" s="10" t="n">
        <v>1435900</v>
      </c>
      <c r="L990" s="10" t="n">
        <v>1942481</v>
      </c>
      <c r="M990" s="12" t="s">
        <v>33</v>
      </c>
      <c r="N990" s="12" t="s">
        <v>66</v>
      </c>
      <c r="P990" s="10" t="n">
        <v>103</v>
      </c>
      <c r="Q990" s="12" t="s">
        <v>35</v>
      </c>
      <c r="R990" s="12" t="s">
        <v>36</v>
      </c>
      <c r="S990" s="10" t="n">
        <v>1130101</v>
      </c>
      <c r="T990" s="12" t="s">
        <v>37</v>
      </c>
      <c r="U990" s="13" t="n">
        <v>1253.43</v>
      </c>
      <c r="W990" s="13" t="n">
        <v>0</v>
      </c>
      <c r="X990" s="12" t="s">
        <v>1267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46226</v>
      </c>
      <c r="C991" s="11" t="n">
        <v>46235</v>
      </c>
      <c r="D991" s="10" t="n">
        <v>1792</v>
      </c>
      <c r="E991" s="12" t="s">
        <v>239</v>
      </c>
      <c r="F991" s="10" t="n">
        <v>24</v>
      </c>
      <c r="G991" s="12" t="s">
        <v>31</v>
      </c>
      <c r="H991" s="10" t="n">
        <v>1110202</v>
      </c>
      <c r="I991" s="12" t="s">
        <v>90</v>
      </c>
      <c r="J991" s="10" t="n">
        <v>1440674</v>
      </c>
      <c r="L991" s="10" t="n">
        <v>592792</v>
      </c>
      <c r="M991" s="12" t="s">
        <v>33</v>
      </c>
      <c r="N991" s="12" t="s">
        <v>66</v>
      </c>
      <c r="P991" s="10" t="n">
        <v>101</v>
      </c>
      <c r="Q991" s="12" t="s">
        <v>84</v>
      </c>
      <c r="R991" s="12" t="s">
        <v>240</v>
      </c>
      <c r="S991" s="10" t="n">
        <v>1240203</v>
      </c>
      <c r="T991" s="12" t="s">
        <v>241</v>
      </c>
      <c r="U991" s="13" t="n">
        <v>486.45</v>
      </c>
      <c r="W991" s="13" t="n">
        <v>0</v>
      </c>
      <c r="X991" s="12" t="s">
        <v>1268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46225</v>
      </c>
      <c r="C992" s="11" t="n">
        <v>46235</v>
      </c>
      <c r="D992" s="10" t="n">
        <v>1723</v>
      </c>
      <c r="E992" s="12" t="s">
        <v>378</v>
      </c>
      <c r="F992" s="10" t="n">
        <v>24</v>
      </c>
      <c r="G992" s="12" t="s">
        <v>31</v>
      </c>
      <c r="H992" s="10" t="n">
        <v>1110202</v>
      </c>
      <c r="I992" s="12" t="s">
        <v>90</v>
      </c>
      <c r="J992" s="10" t="n">
        <v>1435471</v>
      </c>
      <c r="L992" s="10" t="n">
        <v>173595</v>
      </c>
      <c r="M992" s="12" t="s">
        <v>33</v>
      </c>
      <c r="N992" s="12" t="s">
        <v>66</v>
      </c>
      <c r="P992" s="10" t="n">
        <v>103</v>
      </c>
      <c r="Q992" s="12" t="s">
        <v>35</v>
      </c>
      <c r="R992" s="12" t="s">
        <v>36</v>
      </c>
      <c r="S992" s="10" t="n">
        <v>1130101</v>
      </c>
      <c r="T992" s="12" t="s">
        <v>37</v>
      </c>
      <c r="U992" s="13" t="n">
        <v>5927</v>
      </c>
      <c r="W992" s="13" t="n">
        <v>0</v>
      </c>
      <c r="X992" s="12" t="s">
        <v>1269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46206</v>
      </c>
      <c r="C993" s="11" t="n">
        <v>46235</v>
      </c>
      <c r="D993" s="10" t="n">
        <v>1608</v>
      </c>
      <c r="E993" s="12" t="s">
        <v>52</v>
      </c>
      <c r="F993" s="10" t="n">
        <v>24</v>
      </c>
      <c r="G993" s="12" t="s">
        <v>31</v>
      </c>
      <c r="H993" s="10" t="n">
        <v>2110101</v>
      </c>
      <c r="I993" s="12" t="s">
        <v>32</v>
      </c>
      <c r="J993" s="10" t="n">
        <v>1344441</v>
      </c>
      <c r="L993" s="10" t="n">
        <v>1686012</v>
      </c>
      <c r="M993" s="12" t="s">
        <v>76</v>
      </c>
      <c r="N993" s="12" t="s">
        <v>34</v>
      </c>
      <c r="P993" s="10" t="n">
        <v>103</v>
      </c>
      <c r="Q993" s="12" t="s">
        <v>35</v>
      </c>
      <c r="R993" s="12" t="s">
        <v>36</v>
      </c>
      <c r="S993" s="10" t="n">
        <v>1130101</v>
      </c>
      <c r="T993" s="12" t="s">
        <v>37</v>
      </c>
      <c r="U993" s="13" t="n">
        <v>1731.26</v>
      </c>
      <c r="W993" s="13" t="n">
        <v>0</v>
      </c>
      <c r="X993" s="12" t="s">
        <v>1270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46207</v>
      </c>
      <c r="C994" s="11" t="n">
        <v>46235</v>
      </c>
      <c r="D994" s="10" t="n">
        <v>1636</v>
      </c>
      <c r="E994" s="12" t="s">
        <v>290</v>
      </c>
      <c r="F994" s="10" t="n">
        <v>24</v>
      </c>
      <c r="G994" s="12" t="s">
        <v>31</v>
      </c>
      <c r="H994" s="10" t="n">
        <v>2110102</v>
      </c>
      <c r="I994" s="12" t="s">
        <v>197</v>
      </c>
      <c r="J994" s="10" t="n">
        <v>1348691</v>
      </c>
      <c r="L994" s="10" t="n">
        <v>3216011</v>
      </c>
      <c r="M994" s="12" t="s">
        <v>33</v>
      </c>
      <c r="N994" s="12" t="s">
        <v>34</v>
      </c>
      <c r="P994" s="10" t="n">
        <v>103</v>
      </c>
      <c r="Q994" s="12" t="s">
        <v>35</v>
      </c>
      <c r="R994" s="12" t="s">
        <v>94</v>
      </c>
      <c r="S994" s="10" t="n">
        <v>4210204</v>
      </c>
      <c r="T994" s="12" t="s">
        <v>198</v>
      </c>
      <c r="U994" s="13" t="n">
        <v>854.72</v>
      </c>
      <c r="W994" s="13" t="n">
        <v>0</v>
      </c>
      <c r="X994" s="12" t="s">
        <v>1271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46235</v>
      </c>
      <c r="C995" s="11" t="n">
        <v>46235</v>
      </c>
      <c r="D995" s="10" t="n">
        <v>1137</v>
      </c>
      <c r="E995" s="12" t="s">
        <v>252</v>
      </c>
      <c r="F995" s="10" t="n">
        <v>34</v>
      </c>
      <c r="G995" s="12" t="s">
        <v>49</v>
      </c>
      <c r="H995" s="10" t="n">
        <v>1110202</v>
      </c>
      <c r="I995" s="12" t="s">
        <v>90</v>
      </c>
      <c r="J995" s="10" t="n">
        <v>1482647</v>
      </c>
      <c r="L995" s="10" t="n">
        <v>608858</v>
      </c>
      <c r="M995" s="12" t="s">
        <v>33</v>
      </c>
      <c r="N995" s="12" t="s">
        <v>66</v>
      </c>
      <c r="P995" s="10" t="n">
        <v>101</v>
      </c>
      <c r="Q995" s="12" t="s">
        <v>84</v>
      </c>
      <c r="R995" s="12" t="s">
        <v>121</v>
      </c>
      <c r="S995" s="10" t="n">
        <v>4210309</v>
      </c>
      <c r="T995" s="12" t="s">
        <v>253</v>
      </c>
      <c r="U995" s="13" t="n">
        <v>1820</v>
      </c>
      <c r="W995" s="13" t="n">
        <v>0</v>
      </c>
      <c r="X995" s="12" t="s">
        <v>1272</v>
      </c>
      <c r="Z995" s="1" t="str">
        <f aca="false">IF($T995="","",IFERROR(INDEX('Resumo Grupos'!$AC$3:$AC$200,MATCH($T995,'Resumo Grupos'!$AB$3:$AB$200,0)),"n/d"))</f>
        <v>Salários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46235</v>
      </c>
      <c r="C996" s="11" t="n">
        <v>46235</v>
      </c>
      <c r="D996" s="10" t="n">
        <v>1137</v>
      </c>
      <c r="E996" s="12" t="s">
        <v>252</v>
      </c>
      <c r="F996" s="10" t="n">
        <v>34</v>
      </c>
      <c r="G996" s="12" t="s">
        <v>49</v>
      </c>
      <c r="H996" s="10" t="n">
        <v>1110202</v>
      </c>
      <c r="I996" s="12" t="s">
        <v>90</v>
      </c>
      <c r="J996" s="10" t="n">
        <v>1482687</v>
      </c>
      <c r="L996" s="10" t="n">
        <v>608874</v>
      </c>
      <c r="M996" s="12" t="s">
        <v>33</v>
      </c>
      <c r="N996" s="12" t="s">
        <v>66</v>
      </c>
      <c r="P996" s="10" t="n">
        <v>101</v>
      </c>
      <c r="Q996" s="12" t="s">
        <v>84</v>
      </c>
      <c r="R996" s="12" t="s">
        <v>121</v>
      </c>
      <c r="S996" s="10" t="n">
        <v>4210309</v>
      </c>
      <c r="T996" s="12" t="s">
        <v>253</v>
      </c>
      <c r="U996" s="13" t="n">
        <v>780</v>
      </c>
      <c r="W996" s="13" t="n">
        <v>0</v>
      </c>
      <c r="X996" s="12" t="s">
        <v>1273</v>
      </c>
      <c r="Z996" s="1" t="str">
        <f aca="false">IF($T996="","",IFERROR(INDEX('Resumo Grupos'!$AC$3:$AC$200,MATCH($T996,'Resumo Grupos'!$AB$3:$AB$200,0)),"n/d"))</f>
        <v>Salários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46228</v>
      </c>
      <c r="C997" s="11" t="n">
        <v>46235</v>
      </c>
      <c r="D997" s="10" t="n">
        <v>1625</v>
      </c>
      <c r="E997" s="12" t="s">
        <v>62</v>
      </c>
      <c r="F997" s="10" t="n">
        <v>24</v>
      </c>
      <c r="G997" s="12" t="s">
        <v>31</v>
      </c>
      <c r="H997" s="10" t="n">
        <v>1110202</v>
      </c>
      <c r="I997" s="12" t="s">
        <v>90</v>
      </c>
      <c r="J997" s="10" t="n">
        <v>1449957</v>
      </c>
      <c r="L997" s="10" t="n">
        <v>14815</v>
      </c>
      <c r="M997" s="12" t="s">
        <v>33</v>
      </c>
      <c r="N997" s="12" t="s">
        <v>66</v>
      </c>
      <c r="P997" s="10" t="n">
        <v>103</v>
      </c>
      <c r="Q997" s="12" t="s">
        <v>35</v>
      </c>
      <c r="R997" s="12" t="s">
        <v>36</v>
      </c>
      <c r="S997" s="10" t="n">
        <v>1130101</v>
      </c>
      <c r="T997" s="12" t="s">
        <v>37</v>
      </c>
      <c r="U997" s="13" t="n">
        <v>4716.8</v>
      </c>
      <c r="W997" s="13" t="n">
        <v>0</v>
      </c>
      <c r="X997" s="12" t="s">
        <v>1274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46235</v>
      </c>
      <c r="D998" s="10" t="n">
        <v>10011</v>
      </c>
      <c r="E998" s="12" t="s">
        <v>78</v>
      </c>
      <c r="F998" s="10" t="n">
        <v>24</v>
      </c>
      <c r="G998" s="12" t="s">
        <v>31</v>
      </c>
      <c r="H998" s="10" t="n">
        <v>2110101</v>
      </c>
      <c r="I998" s="12" t="s">
        <v>32</v>
      </c>
      <c r="J998" s="10" t="n">
        <v>1291292</v>
      </c>
      <c r="L998" s="10" t="n">
        <v>34212</v>
      </c>
      <c r="M998" s="12" t="s">
        <v>40</v>
      </c>
      <c r="N998" s="12" t="s">
        <v>34</v>
      </c>
      <c r="P998" s="10" t="n">
        <v>103</v>
      </c>
      <c r="Q998" s="12" t="s">
        <v>35</v>
      </c>
      <c r="R998" s="12" t="s">
        <v>36</v>
      </c>
      <c r="S998" s="10" t="n">
        <v>1130101</v>
      </c>
      <c r="T998" s="12" t="s">
        <v>37</v>
      </c>
      <c r="U998" s="13" t="n">
        <v>1975</v>
      </c>
      <c r="W998" s="13" t="n">
        <v>0</v>
      </c>
      <c r="X998" s="12" t="s">
        <v>1275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46235</v>
      </c>
      <c r="C999" s="11" t="n">
        <v>46235</v>
      </c>
      <c r="D999" s="10" t="n">
        <v>33</v>
      </c>
      <c r="E999" s="12" t="s">
        <v>64</v>
      </c>
      <c r="F999" s="10" t="n">
        <v>13</v>
      </c>
      <c r="G999" s="12" t="s">
        <v>55</v>
      </c>
      <c r="H999" s="10" t="n">
        <v>2110101</v>
      </c>
      <c r="I999" s="12" t="s">
        <v>32</v>
      </c>
      <c r="J999" s="10" t="n">
        <v>1482644</v>
      </c>
      <c r="L999" s="10" t="n">
        <v>5422</v>
      </c>
      <c r="M999" s="12" t="s">
        <v>33</v>
      </c>
      <c r="N999" s="12" t="s">
        <v>34</v>
      </c>
      <c r="P999" s="10" t="n">
        <v>104</v>
      </c>
      <c r="Q999" s="12" t="s">
        <v>50</v>
      </c>
      <c r="R999" s="12" t="s">
        <v>36</v>
      </c>
      <c r="S999" s="10" t="n">
        <v>1130101</v>
      </c>
      <c r="T999" s="12" t="s">
        <v>37</v>
      </c>
      <c r="U999" s="13" t="n">
        <v>280</v>
      </c>
      <c r="W999" s="13" t="n">
        <v>280</v>
      </c>
      <c r="X999" s="12" t="s">
        <v>195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46230</v>
      </c>
      <c r="C1000" s="11" t="n">
        <v>46235</v>
      </c>
      <c r="D1000" s="10" t="n">
        <v>754</v>
      </c>
      <c r="E1000" s="12" t="s">
        <v>68</v>
      </c>
      <c r="F1000" s="10" t="n">
        <v>24</v>
      </c>
      <c r="G1000" s="12" t="s">
        <v>31</v>
      </c>
      <c r="H1000" s="10" t="n">
        <v>1110202</v>
      </c>
      <c r="I1000" s="12" t="s">
        <v>90</v>
      </c>
      <c r="J1000" s="10" t="n">
        <v>1459331</v>
      </c>
      <c r="L1000" s="10" t="n">
        <v>32051</v>
      </c>
      <c r="M1000" s="12" t="s">
        <v>33</v>
      </c>
      <c r="N1000" s="12" t="s">
        <v>66</v>
      </c>
      <c r="P1000" s="10" t="n">
        <v>103</v>
      </c>
      <c r="Q1000" s="12" t="s">
        <v>35</v>
      </c>
      <c r="R1000" s="12" t="s">
        <v>36</v>
      </c>
      <c r="S1000" s="10" t="n">
        <v>1130101</v>
      </c>
      <c r="T1000" s="12" t="s">
        <v>37</v>
      </c>
      <c r="U1000" s="13" t="n">
        <v>1760</v>
      </c>
      <c r="W1000" s="13" t="n">
        <v>0</v>
      </c>
      <c r="X1000" s="12" t="s">
        <v>1276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46228</v>
      </c>
      <c r="C1001" s="11" t="n">
        <v>46235</v>
      </c>
      <c r="D1001" s="10" t="n">
        <v>754</v>
      </c>
      <c r="E1001" s="12" t="s">
        <v>68</v>
      </c>
      <c r="F1001" s="10" t="n">
        <v>24</v>
      </c>
      <c r="G1001" s="12" t="s">
        <v>31</v>
      </c>
      <c r="H1001" s="10" t="n">
        <v>1110202</v>
      </c>
      <c r="I1001" s="12" t="s">
        <v>90</v>
      </c>
      <c r="J1001" s="10" t="n">
        <v>1449964</v>
      </c>
      <c r="L1001" s="10" t="n">
        <v>32050</v>
      </c>
      <c r="M1001" s="12" t="s">
        <v>33</v>
      </c>
      <c r="N1001" s="12" t="s">
        <v>66</v>
      </c>
      <c r="P1001" s="10" t="n">
        <v>103</v>
      </c>
      <c r="Q1001" s="12" t="s">
        <v>35</v>
      </c>
      <c r="R1001" s="12" t="s">
        <v>36</v>
      </c>
      <c r="S1001" s="10" t="n">
        <v>1130101</v>
      </c>
      <c r="T1001" s="12" t="s">
        <v>37</v>
      </c>
      <c r="U1001" s="13" t="n">
        <v>2967.5</v>
      </c>
      <c r="W1001" s="13" t="n">
        <v>0</v>
      </c>
      <c r="X1001" s="12" t="s">
        <v>1277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46234</v>
      </c>
      <c r="C1002" s="11" t="n">
        <v>46236</v>
      </c>
      <c r="D1002" s="10" t="n">
        <v>49</v>
      </c>
      <c r="E1002" s="12" t="s">
        <v>279</v>
      </c>
      <c r="F1002" s="10" t="n">
        <v>34</v>
      </c>
      <c r="G1002" s="12" t="s">
        <v>49</v>
      </c>
      <c r="H1002" s="10" t="n">
        <v>1110202</v>
      </c>
      <c r="I1002" s="12" t="s">
        <v>90</v>
      </c>
      <c r="J1002" s="10" t="n">
        <v>1477906</v>
      </c>
      <c r="L1002" s="10" t="n">
        <v>607083</v>
      </c>
      <c r="M1002" s="12" t="s">
        <v>33</v>
      </c>
      <c r="N1002" s="12" t="s">
        <v>66</v>
      </c>
      <c r="P1002" s="10" t="n">
        <v>101</v>
      </c>
      <c r="Q1002" s="12" t="s">
        <v>84</v>
      </c>
      <c r="R1002" s="12" t="s">
        <v>280</v>
      </c>
      <c r="S1002" s="10" t="n">
        <v>2110901</v>
      </c>
      <c r="T1002" s="12" t="s">
        <v>281</v>
      </c>
      <c r="U1002" s="13" t="n">
        <v>16429.68</v>
      </c>
      <c r="W1002" s="13" t="n">
        <v>0</v>
      </c>
      <c r="X1002" s="12" t="s">
        <v>1278</v>
      </c>
      <c r="Z1002" s="1" t="str">
        <f aca="false">IF($T1002="","",IFERROR(INDEX('Resumo Grupos'!$AC$3:$AC$200,MATCH($T1002,'Resumo Grupos'!$AB$3:$AB$200,0)),"n/d"))</f>
        <v>Empréstimo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46114</v>
      </c>
      <c r="C1003" s="11" t="n">
        <v>46236</v>
      </c>
      <c r="D1003" s="10" t="n">
        <v>1460</v>
      </c>
      <c r="E1003" s="12" t="s">
        <v>284</v>
      </c>
      <c r="F1003" s="10" t="n">
        <v>24</v>
      </c>
      <c r="G1003" s="12" t="s">
        <v>31</v>
      </c>
      <c r="H1003" s="10" t="n">
        <v>2110405</v>
      </c>
      <c r="I1003" s="12" t="s">
        <v>153</v>
      </c>
      <c r="J1003" s="10" t="n">
        <v>920174</v>
      </c>
      <c r="L1003" s="10" t="n">
        <v>391878</v>
      </c>
      <c r="M1003" s="12" t="s">
        <v>448</v>
      </c>
      <c r="N1003" s="12" t="s">
        <v>66</v>
      </c>
      <c r="P1003" s="10" t="n">
        <v>101</v>
      </c>
      <c r="Q1003" s="12" t="s">
        <v>84</v>
      </c>
      <c r="R1003" s="12" t="s">
        <v>91</v>
      </c>
      <c r="S1003" s="10" t="n">
        <v>4220199</v>
      </c>
      <c r="T1003" s="12" t="s">
        <v>92</v>
      </c>
      <c r="U1003" s="13" t="n">
        <v>711.69</v>
      </c>
      <c r="W1003" s="13" t="n">
        <v>0</v>
      </c>
      <c r="X1003" s="12" t="s">
        <v>285</v>
      </c>
      <c r="Z1003" s="1" t="str">
        <f aca="false">IF($T1003="","",IFERROR(INDEX('Resumo Grupos'!$AC$3:$AC$200,MATCH($T1003,'Resumo Grupos'!$AB$3:$AB$200,0)),"n/d"))</f>
        <v>Pagamentos outros não operacionais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46226</v>
      </c>
      <c r="C1004" s="11" t="n">
        <v>46236</v>
      </c>
      <c r="D1004" s="10" t="n">
        <v>1723</v>
      </c>
      <c r="E1004" s="12" t="s">
        <v>378</v>
      </c>
      <c r="F1004" s="10" t="n">
        <v>24</v>
      </c>
      <c r="G1004" s="12" t="s">
        <v>31</v>
      </c>
      <c r="H1004" s="10" t="n">
        <v>1110202</v>
      </c>
      <c r="I1004" s="12" t="s">
        <v>90</v>
      </c>
      <c r="J1004" s="10" t="n">
        <v>1440234</v>
      </c>
      <c r="L1004" s="10" t="n">
        <v>173664</v>
      </c>
      <c r="M1004" s="12" t="s">
        <v>33</v>
      </c>
      <c r="N1004" s="12" t="s">
        <v>66</v>
      </c>
      <c r="P1004" s="10" t="n">
        <v>103</v>
      </c>
      <c r="Q1004" s="12" t="s">
        <v>35</v>
      </c>
      <c r="R1004" s="12" t="s">
        <v>36</v>
      </c>
      <c r="S1004" s="10" t="n">
        <v>1130101</v>
      </c>
      <c r="T1004" s="12" t="s">
        <v>37</v>
      </c>
      <c r="U1004" s="13" t="n">
        <v>3547.2</v>
      </c>
      <c r="W1004" s="13" t="n">
        <v>0</v>
      </c>
      <c r="X1004" s="12" t="s">
        <v>1279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46209</v>
      </c>
      <c r="C1005" s="11" t="n">
        <v>46236</v>
      </c>
      <c r="D1005" s="10" t="n">
        <v>10020</v>
      </c>
      <c r="E1005" s="12" t="s">
        <v>293</v>
      </c>
      <c r="F1005" s="10" t="n">
        <v>24</v>
      </c>
      <c r="G1005" s="12" t="s">
        <v>31</v>
      </c>
      <c r="H1005" s="10" t="n">
        <v>2110101</v>
      </c>
      <c r="I1005" s="12" t="s">
        <v>32</v>
      </c>
      <c r="J1005" s="10" t="n">
        <v>1360452</v>
      </c>
      <c r="L1005" s="10" t="n">
        <v>707</v>
      </c>
      <c r="M1005" s="12" t="s">
        <v>40</v>
      </c>
      <c r="N1005" s="12" t="s">
        <v>34</v>
      </c>
      <c r="P1005" s="10" t="n">
        <v>103</v>
      </c>
      <c r="Q1005" s="12" t="s">
        <v>35</v>
      </c>
      <c r="R1005" s="12" t="s">
        <v>36</v>
      </c>
      <c r="S1005" s="10" t="n">
        <v>1130101</v>
      </c>
      <c r="T1005" s="12" t="s">
        <v>37</v>
      </c>
      <c r="U1005" s="13" t="n">
        <v>410.7</v>
      </c>
      <c r="W1005" s="13" t="n">
        <v>0</v>
      </c>
      <c r="X1005" s="12" t="s">
        <v>1280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46192</v>
      </c>
      <c r="C1006" s="11" t="n">
        <v>46236</v>
      </c>
      <c r="D1006" s="10" t="n">
        <v>10037</v>
      </c>
      <c r="E1006" s="12" t="s">
        <v>340</v>
      </c>
      <c r="F1006" s="10" t="n">
        <v>24</v>
      </c>
      <c r="G1006" s="12" t="s">
        <v>31</v>
      </c>
      <c r="H1006" s="10" t="n">
        <v>2110101</v>
      </c>
      <c r="I1006" s="12" t="s">
        <v>32</v>
      </c>
      <c r="J1006" s="10" t="n">
        <v>1273218</v>
      </c>
      <c r="L1006" s="10" t="n">
        <v>2494</v>
      </c>
      <c r="M1006" s="12" t="s">
        <v>76</v>
      </c>
      <c r="N1006" s="12" t="s">
        <v>34</v>
      </c>
      <c r="P1006" s="10" t="n">
        <v>103</v>
      </c>
      <c r="Q1006" s="12" t="s">
        <v>35</v>
      </c>
      <c r="R1006" s="12" t="s">
        <v>36</v>
      </c>
      <c r="S1006" s="10" t="n">
        <v>1130101</v>
      </c>
      <c r="T1006" s="12" t="s">
        <v>37</v>
      </c>
      <c r="U1006" s="13" t="n">
        <v>1098.8</v>
      </c>
      <c r="W1006" s="13" t="n">
        <v>0</v>
      </c>
      <c r="X1006" s="12" t="s">
        <v>1281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46233</v>
      </c>
      <c r="C1007" s="11" t="n">
        <v>46237</v>
      </c>
      <c r="D1007" s="10" t="n">
        <v>10018</v>
      </c>
      <c r="E1007" s="12" t="s">
        <v>147</v>
      </c>
      <c r="F1007" s="10" t="n">
        <v>34</v>
      </c>
      <c r="G1007" s="12" t="s">
        <v>49</v>
      </c>
      <c r="H1007" s="10" t="n">
        <v>1110202</v>
      </c>
      <c r="I1007" s="12" t="s">
        <v>90</v>
      </c>
      <c r="J1007" s="10" t="n">
        <v>1474514</v>
      </c>
      <c r="L1007" s="10" t="n">
        <v>352</v>
      </c>
      <c r="M1007" s="12" t="s">
        <v>33</v>
      </c>
      <c r="N1007" s="12" t="s">
        <v>66</v>
      </c>
      <c r="P1007" s="10" t="n">
        <v>103</v>
      </c>
      <c r="Q1007" s="12" t="s">
        <v>35</v>
      </c>
      <c r="R1007" s="12" t="s">
        <v>36</v>
      </c>
      <c r="S1007" s="10" t="n">
        <v>1130101</v>
      </c>
      <c r="T1007" s="12" t="s">
        <v>37</v>
      </c>
      <c r="U1007" s="13" t="n">
        <v>4244.34</v>
      </c>
      <c r="W1007" s="13" t="n">
        <v>0</v>
      </c>
      <c r="X1007" s="12" t="s">
        <v>1282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46230</v>
      </c>
      <c r="C1008" s="11" t="n">
        <v>46237</v>
      </c>
      <c r="D1008" s="10" t="n">
        <v>1614</v>
      </c>
      <c r="E1008" s="12" t="s">
        <v>99</v>
      </c>
      <c r="F1008" s="10" t="n">
        <v>24</v>
      </c>
      <c r="G1008" s="12" t="s">
        <v>31</v>
      </c>
      <c r="H1008" s="10" t="n">
        <v>1110202</v>
      </c>
      <c r="I1008" s="12" t="s">
        <v>90</v>
      </c>
      <c r="J1008" s="10" t="n">
        <v>1460045</v>
      </c>
      <c r="L1008" s="10" t="n">
        <v>11479</v>
      </c>
      <c r="M1008" s="12" t="s">
        <v>76</v>
      </c>
      <c r="N1008" s="12" t="s">
        <v>66</v>
      </c>
      <c r="P1008" s="10" t="n">
        <v>103</v>
      </c>
      <c r="Q1008" s="12" t="s">
        <v>35</v>
      </c>
      <c r="R1008" s="12" t="s">
        <v>36</v>
      </c>
      <c r="S1008" s="10" t="n">
        <v>1130101</v>
      </c>
      <c r="T1008" s="12" t="s">
        <v>37</v>
      </c>
      <c r="U1008" s="13" t="n">
        <v>713.31</v>
      </c>
      <c r="W1008" s="13" t="n">
        <v>0</v>
      </c>
      <c r="X1008" s="12" t="s">
        <v>1283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46233</v>
      </c>
      <c r="C1009" s="11" t="n">
        <v>46237</v>
      </c>
      <c r="D1009" s="10" t="n">
        <v>1614</v>
      </c>
      <c r="E1009" s="12" t="s">
        <v>99</v>
      </c>
      <c r="F1009" s="10" t="n">
        <v>24</v>
      </c>
      <c r="G1009" s="12" t="s">
        <v>31</v>
      </c>
      <c r="H1009" s="10" t="n">
        <v>1110202</v>
      </c>
      <c r="I1009" s="12" t="s">
        <v>90</v>
      </c>
      <c r="J1009" s="10" t="n">
        <v>1473362</v>
      </c>
      <c r="L1009" s="10" t="n">
        <v>11493</v>
      </c>
      <c r="M1009" s="12" t="s">
        <v>33</v>
      </c>
      <c r="N1009" s="12" t="s">
        <v>66</v>
      </c>
      <c r="P1009" s="10" t="n">
        <v>103</v>
      </c>
      <c r="Q1009" s="12" t="s">
        <v>35</v>
      </c>
      <c r="R1009" s="12" t="s">
        <v>36</v>
      </c>
      <c r="S1009" s="10" t="n">
        <v>1130101</v>
      </c>
      <c r="T1009" s="12" t="s">
        <v>37</v>
      </c>
      <c r="U1009" s="13" t="n">
        <v>285.48</v>
      </c>
      <c r="W1009" s="13" t="n">
        <v>0</v>
      </c>
      <c r="X1009" s="12" t="s">
        <v>1284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46237</v>
      </c>
      <c r="C1010" s="11" t="n">
        <v>46237</v>
      </c>
      <c r="D1010" s="10" t="n">
        <v>103</v>
      </c>
      <c r="E1010" s="12" t="s">
        <v>1285</v>
      </c>
      <c r="F1010" s="10" t="n">
        <v>34</v>
      </c>
      <c r="G1010" s="12" t="s">
        <v>49</v>
      </c>
      <c r="H1010" s="10" t="n">
        <v>1110202</v>
      </c>
      <c r="I1010" s="12" t="s">
        <v>90</v>
      </c>
      <c r="J1010" s="10" t="n">
        <v>1495399</v>
      </c>
      <c r="L1010" s="10" t="n">
        <v>613142</v>
      </c>
      <c r="M1010" s="12" t="s">
        <v>33</v>
      </c>
      <c r="N1010" s="12" t="s">
        <v>66</v>
      </c>
      <c r="P1010" s="10" t="n">
        <v>102</v>
      </c>
      <c r="Q1010" s="12" t="s">
        <v>112</v>
      </c>
      <c r="R1010" s="12" t="s">
        <v>121</v>
      </c>
      <c r="S1010" s="10" t="n">
        <v>4210310</v>
      </c>
      <c r="T1010" s="12" t="s">
        <v>150</v>
      </c>
      <c r="U1010" s="13" t="n">
        <v>515</v>
      </c>
      <c r="W1010" s="13" t="n">
        <v>0</v>
      </c>
      <c r="X1010" s="12" t="s">
        <v>1286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46227</v>
      </c>
      <c r="C1011" s="11" t="n">
        <v>46237</v>
      </c>
      <c r="D1011" s="10" t="n">
        <v>1723</v>
      </c>
      <c r="E1011" s="12" t="s">
        <v>378</v>
      </c>
      <c r="F1011" s="10" t="n">
        <v>24</v>
      </c>
      <c r="G1011" s="12" t="s">
        <v>31</v>
      </c>
      <c r="H1011" s="10" t="n">
        <v>1110202</v>
      </c>
      <c r="I1011" s="12" t="s">
        <v>90</v>
      </c>
      <c r="J1011" s="10" t="n">
        <v>1445157</v>
      </c>
      <c r="L1011" s="10" t="n">
        <v>173742</v>
      </c>
      <c r="M1011" s="12" t="s">
        <v>33</v>
      </c>
      <c r="N1011" s="12" t="s">
        <v>66</v>
      </c>
      <c r="P1011" s="10" t="n">
        <v>103</v>
      </c>
      <c r="Q1011" s="12" t="s">
        <v>35</v>
      </c>
      <c r="R1011" s="12" t="s">
        <v>36</v>
      </c>
      <c r="S1011" s="10" t="n">
        <v>1130101</v>
      </c>
      <c r="T1011" s="12" t="s">
        <v>37</v>
      </c>
      <c r="U1011" s="13" t="n">
        <v>5892.2</v>
      </c>
      <c r="W1011" s="13" t="n">
        <v>0</v>
      </c>
      <c r="X1011" s="12" t="s">
        <v>1287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46226</v>
      </c>
      <c r="C1012" s="11" t="n">
        <v>46237</v>
      </c>
      <c r="D1012" s="10" t="n">
        <v>1287</v>
      </c>
      <c r="E1012" s="12" t="s">
        <v>432</v>
      </c>
      <c r="F1012" s="10" t="n">
        <v>24</v>
      </c>
      <c r="G1012" s="12" t="s">
        <v>31</v>
      </c>
      <c r="H1012" s="10" t="n">
        <v>1110202</v>
      </c>
      <c r="I1012" s="12" t="s">
        <v>90</v>
      </c>
      <c r="J1012" s="10" t="n">
        <v>1439598</v>
      </c>
      <c r="L1012" s="10" t="n">
        <v>281541</v>
      </c>
      <c r="M1012" s="12" t="s">
        <v>76</v>
      </c>
      <c r="N1012" s="12" t="s">
        <v>66</v>
      </c>
      <c r="P1012" s="10" t="n">
        <v>103</v>
      </c>
      <c r="Q1012" s="12" t="s">
        <v>35</v>
      </c>
      <c r="R1012" s="12" t="s">
        <v>94</v>
      </c>
      <c r="S1012" s="10" t="n">
        <v>4210228</v>
      </c>
      <c r="T1012" s="12" t="s">
        <v>471</v>
      </c>
      <c r="U1012" s="13" t="n">
        <v>175</v>
      </c>
      <c r="W1012" s="13" t="n">
        <v>0</v>
      </c>
      <c r="X1012" s="12" t="s">
        <v>1288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46216</v>
      </c>
      <c r="C1013" s="11" t="n">
        <v>46237</v>
      </c>
      <c r="D1013" s="10" t="n">
        <v>1608</v>
      </c>
      <c r="E1013" s="12" t="s">
        <v>52</v>
      </c>
      <c r="F1013" s="10" t="n">
        <v>24</v>
      </c>
      <c r="G1013" s="12" t="s">
        <v>31</v>
      </c>
      <c r="H1013" s="10" t="n">
        <v>1110202</v>
      </c>
      <c r="I1013" s="12" t="s">
        <v>90</v>
      </c>
      <c r="J1013" s="10" t="n">
        <v>1393857</v>
      </c>
      <c r="L1013" s="10" t="n">
        <v>1690878</v>
      </c>
      <c r="M1013" s="12" t="s">
        <v>76</v>
      </c>
      <c r="N1013" s="12" t="s">
        <v>66</v>
      </c>
      <c r="P1013" s="10" t="n">
        <v>103</v>
      </c>
      <c r="Q1013" s="12" t="s">
        <v>35</v>
      </c>
      <c r="R1013" s="12" t="s">
        <v>36</v>
      </c>
      <c r="S1013" s="10" t="n">
        <v>1130101</v>
      </c>
      <c r="T1013" s="12" t="s">
        <v>37</v>
      </c>
      <c r="U1013" s="13" t="n">
        <v>1039.09</v>
      </c>
      <c r="W1013" s="13" t="n">
        <v>0</v>
      </c>
      <c r="X1013" s="12" t="s">
        <v>1289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46232</v>
      </c>
      <c r="C1014" s="11" t="n">
        <v>46237</v>
      </c>
      <c r="D1014" s="10" t="n">
        <v>1658</v>
      </c>
      <c r="E1014" s="12" t="s">
        <v>738</v>
      </c>
      <c r="F1014" s="10" t="n">
        <v>24</v>
      </c>
      <c r="G1014" s="12" t="s">
        <v>31</v>
      </c>
      <c r="H1014" s="10" t="n">
        <v>1110202</v>
      </c>
      <c r="I1014" s="12" t="s">
        <v>90</v>
      </c>
      <c r="J1014" s="10" t="n">
        <v>1470157</v>
      </c>
      <c r="L1014" s="10" t="n">
        <v>145468</v>
      </c>
      <c r="M1014" s="12" t="s">
        <v>33</v>
      </c>
      <c r="N1014" s="12" t="s">
        <v>66</v>
      </c>
      <c r="P1014" s="10" t="n">
        <v>103</v>
      </c>
      <c r="Q1014" s="12" t="s">
        <v>35</v>
      </c>
      <c r="R1014" s="12" t="s">
        <v>36</v>
      </c>
      <c r="S1014" s="10" t="n">
        <v>1130101</v>
      </c>
      <c r="T1014" s="12" t="s">
        <v>37</v>
      </c>
      <c r="U1014" s="13" t="n">
        <v>728.4</v>
      </c>
      <c r="W1014" s="13" t="n">
        <v>0</v>
      </c>
      <c r="X1014" s="12" t="s">
        <v>1290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46230</v>
      </c>
      <c r="C1015" s="11" t="n">
        <v>46237</v>
      </c>
      <c r="D1015" s="10" t="n">
        <v>1650</v>
      </c>
      <c r="E1015" s="12" t="s">
        <v>108</v>
      </c>
      <c r="F1015" s="10" t="n">
        <v>24</v>
      </c>
      <c r="G1015" s="12" t="s">
        <v>31</v>
      </c>
      <c r="H1015" s="10" t="n">
        <v>1110202</v>
      </c>
      <c r="I1015" s="12" t="s">
        <v>90</v>
      </c>
      <c r="J1015" s="10" t="n">
        <v>1460090</v>
      </c>
      <c r="L1015" s="10" t="n">
        <v>227030</v>
      </c>
      <c r="M1015" s="12" t="s">
        <v>33</v>
      </c>
      <c r="N1015" s="12" t="s">
        <v>66</v>
      </c>
      <c r="P1015" s="10" t="n">
        <v>103</v>
      </c>
      <c r="Q1015" s="12" t="s">
        <v>35</v>
      </c>
      <c r="R1015" s="12" t="s">
        <v>36</v>
      </c>
      <c r="S1015" s="10" t="n">
        <v>1130101</v>
      </c>
      <c r="T1015" s="12" t="s">
        <v>37</v>
      </c>
      <c r="U1015" s="13" t="n">
        <v>331.14</v>
      </c>
      <c r="W1015" s="13" t="n">
        <v>0</v>
      </c>
      <c r="X1015" s="12" t="s">
        <v>1291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46237</v>
      </c>
      <c r="C1016" s="11" t="n">
        <v>46237</v>
      </c>
      <c r="D1016" s="10" t="n">
        <v>515</v>
      </c>
      <c r="E1016" s="12" t="s">
        <v>111</v>
      </c>
      <c r="F1016" s="10" t="n">
        <v>34</v>
      </c>
      <c r="G1016" s="12" t="s">
        <v>49</v>
      </c>
      <c r="H1016" s="10" t="n">
        <v>1110202</v>
      </c>
      <c r="I1016" s="12" t="s">
        <v>90</v>
      </c>
      <c r="J1016" s="10" t="n">
        <v>1495579</v>
      </c>
      <c r="L1016" s="10" t="n">
        <v>613197</v>
      </c>
      <c r="M1016" s="12" t="s">
        <v>33</v>
      </c>
      <c r="N1016" s="12" t="s">
        <v>66</v>
      </c>
      <c r="P1016" s="10" t="n">
        <v>102</v>
      </c>
      <c r="Q1016" s="12" t="s">
        <v>112</v>
      </c>
      <c r="R1016" s="12" t="s">
        <v>91</v>
      </c>
      <c r="S1016" s="10" t="n">
        <v>4220199</v>
      </c>
      <c r="T1016" s="12" t="s">
        <v>92</v>
      </c>
      <c r="U1016" s="13" t="n">
        <v>338</v>
      </c>
      <c r="W1016" s="13" t="n">
        <v>0</v>
      </c>
      <c r="X1016" s="12" t="s">
        <v>1292</v>
      </c>
      <c r="Z1016" s="1" t="str">
        <f aca="false">IF($T1016="","",IFERROR(INDEX('Resumo Grupos'!$AC$3:$AC$200,MATCH($T1016,'Resumo Grupos'!$AB$3:$AB$200,0)),"n/d"))</f>
        <v>Pagamentos outros não operacionais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46223</v>
      </c>
      <c r="C1017" s="11" t="n">
        <v>46237</v>
      </c>
      <c r="D1017" s="10" t="n">
        <v>1699</v>
      </c>
      <c r="E1017" s="12" t="s">
        <v>124</v>
      </c>
      <c r="F1017" s="10" t="n">
        <v>24</v>
      </c>
      <c r="G1017" s="12" t="s">
        <v>31</v>
      </c>
      <c r="H1017" s="10" t="n">
        <v>1110202</v>
      </c>
      <c r="I1017" s="12" t="s">
        <v>90</v>
      </c>
      <c r="J1017" s="10" t="n">
        <v>1424330</v>
      </c>
      <c r="L1017" s="10" t="n">
        <v>308176</v>
      </c>
      <c r="M1017" s="12" t="s">
        <v>33</v>
      </c>
      <c r="N1017" s="12" t="s">
        <v>66</v>
      </c>
      <c r="P1017" s="10" t="n">
        <v>103</v>
      </c>
      <c r="Q1017" s="12" t="s">
        <v>35</v>
      </c>
      <c r="R1017" s="12" t="s">
        <v>36</v>
      </c>
      <c r="S1017" s="10" t="n">
        <v>1130101</v>
      </c>
      <c r="T1017" s="12" t="s">
        <v>37</v>
      </c>
      <c r="U1017" s="13" t="n">
        <v>1529.2</v>
      </c>
      <c r="W1017" s="13" t="n">
        <v>0</v>
      </c>
      <c r="X1017" s="12" t="s">
        <v>1293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46220</v>
      </c>
      <c r="C1018" s="11" t="n">
        <v>46237</v>
      </c>
      <c r="D1018" s="10" t="n">
        <v>10014</v>
      </c>
      <c r="E1018" s="12" t="s">
        <v>1294</v>
      </c>
      <c r="F1018" s="10" t="n">
        <v>24</v>
      </c>
      <c r="G1018" s="12" t="s">
        <v>31</v>
      </c>
      <c r="H1018" s="10" t="n">
        <v>1110202</v>
      </c>
      <c r="I1018" s="12" t="s">
        <v>90</v>
      </c>
      <c r="J1018" s="10" t="n">
        <v>1411209</v>
      </c>
      <c r="L1018" s="10" t="n">
        <v>3541</v>
      </c>
      <c r="M1018" s="12" t="s">
        <v>33</v>
      </c>
      <c r="N1018" s="12" t="s">
        <v>66</v>
      </c>
      <c r="P1018" s="10" t="n">
        <v>103</v>
      </c>
      <c r="Q1018" s="12" t="s">
        <v>35</v>
      </c>
      <c r="R1018" s="12" t="s">
        <v>36</v>
      </c>
      <c r="S1018" s="10" t="n">
        <v>1130101</v>
      </c>
      <c r="T1018" s="12" t="s">
        <v>37</v>
      </c>
      <c r="U1018" s="13" t="n">
        <v>1630.16</v>
      </c>
      <c r="W1018" s="13" t="n">
        <v>0</v>
      </c>
      <c r="X1018" s="12" t="s">
        <v>1295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46230</v>
      </c>
      <c r="C1019" s="11" t="n">
        <v>46237</v>
      </c>
      <c r="D1019" s="10" t="n">
        <v>1625</v>
      </c>
      <c r="E1019" s="12" t="s">
        <v>62</v>
      </c>
      <c r="F1019" s="10" t="n">
        <v>24</v>
      </c>
      <c r="G1019" s="12" t="s">
        <v>31</v>
      </c>
      <c r="H1019" s="10" t="n">
        <v>1110202</v>
      </c>
      <c r="I1019" s="12" t="s">
        <v>90</v>
      </c>
      <c r="J1019" s="10" t="n">
        <v>1460223</v>
      </c>
      <c r="L1019" s="10" t="n">
        <v>14838</v>
      </c>
      <c r="M1019" s="12" t="s">
        <v>33</v>
      </c>
      <c r="N1019" s="12" t="s">
        <v>66</v>
      </c>
      <c r="P1019" s="10" t="n">
        <v>103</v>
      </c>
      <c r="Q1019" s="12" t="s">
        <v>35</v>
      </c>
      <c r="R1019" s="12" t="s">
        <v>36</v>
      </c>
      <c r="S1019" s="10" t="n">
        <v>1130101</v>
      </c>
      <c r="T1019" s="12" t="s">
        <v>37</v>
      </c>
      <c r="U1019" s="13" t="n">
        <v>2393.6</v>
      </c>
      <c r="W1019" s="13" t="n">
        <v>0</v>
      </c>
      <c r="X1019" s="12" t="s">
        <v>1296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46232</v>
      </c>
      <c r="C1020" s="11" t="n">
        <v>46237</v>
      </c>
      <c r="D1020" s="10" t="n">
        <v>1810</v>
      </c>
      <c r="E1020" s="12" t="s">
        <v>1297</v>
      </c>
      <c r="F1020" s="10" t="n">
        <v>24</v>
      </c>
      <c r="G1020" s="12" t="s">
        <v>31</v>
      </c>
      <c r="H1020" s="10" t="n">
        <v>1110202</v>
      </c>
      <c r="I1020" s="12" t="s">
        <v>90</v>
      </c>
      <c r="J1020" s="10" t="n">
        <v>1469140</v>
      </c>
      <c r="L1020" s="10" t="n">
        <v>85345</v>
      </c>
      <c r="M1020" s="12" t="s">
        <v>33</v>
      </c>
      <c r="N1020" s="12" t="s">
        <v>66</v>
      </c>
      <c r="P1020" s="10" t="n">
        <v>103</v>
      </c>
      <c r="Q1020" s="12" t="s">
        <v>35</v>
      </c>
      <c r="R1020" s="12" t="s">
        <v>36</v>
      </c>
      <c r="S1020" s="10" t="n">
        <v>1130101</v>
      </c>
      <c r="T1020" s="12" t="s">
        <v>37</v>
      </c>
      <c r="U1020" s="13" t="n">
        <v>184.5</v>
      </c>
      <c r="W1020" s="13" t="n">
        <v>0</v>
      </c>
      <c r="X1020" s="12" t="s">
        <v>1298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46230</v>
      </c>
      <c r="C1021" s="11" t="n">
        <v>46237</v>
      </c>
      <c r="D1021" s="10" t="n">
        <v>1123</v>
      </c>
      <c r="E1021" s="12" t="s">
        <v>309</v>
      </c>
      <c r="F1021" s="10" t="n">
        <v>24</v>
      </c>
      <c r="G1021" s="12" t="s">
        <v>31</v>
      </c>
      <c r="H1021" s="10" t="n">
        <v>1110202</v>
      </c>
      <c r="I1021" s="12" t="s">
        <v>90</v>
      </c>
      <c r="J1021" s="10" t="n">
        <v>1460097</v>
      </c>
      <c r="L1021" s="10" t="n">
        <v>44711</v>
      </c>
      <c r="M1021" s="12" t="s">
        <v>33</v>
      </c>
      <c r="N1021" s="12" t="s">
        <v>66</v>
      </c>
      <c r="P1021" s="10" t="n">
        <v>103</v>
      </c>
      <c r="Q1021" s="12" t="s">
        <v>35</v>
      </c>
      <c r="R1021" s="12" t="s">
        <v>36</v>
      </c>
      <c r="S1021" s="10" t="n">
        <v>1130101</v>
      </c>
      <c r="T1021" s="12" t="s">
        <v>37</v>
      </c>
      <c r="U1021" s="13" t="n">
        <v>1380</v>
      </c>
      <c r="W1021" s="13" t="n">
        <v>0</v>
      </c>
      <c r="X1021" s="12" t="s">
        <v>1299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46232</v>
      </c>
      <c r="C1022" s="11" t="n">
        <v>46237</v>
      </c>
      <c r="D1022" s="10" t="n">
        <v>1328</v>
      </c>
      <c r="E1022" s="12" t="s">
        <v>186</v>
      </c>
      <c r="F1022" s="10" t="n">
        <v>24</v>
      </c>
      <c r="G1022" s="12" t="s">
        <v>31</v>
      </c>
      <c r="H1022" s="10" t="n">
        <v>1110202</v>
      </c>
      <c r="I1022" s="12" t="s">
        <v>90</v>
      </c>
      <c r="J1022" s="10" t="n">
        <v>1469791</v>
      </c>
      <c r="L1022" s="10" t="n">
        <v>4203</v>
      </c>
      <c r="M1022" s="12" t="s">
        <v>33</v>
      </c>
      <c r="N1022" s="12" t="s">
        <v>66</v>
      </c>
      <c r="P1022" s="10" t="n">
        <v>103</v>
      </c>
      <c r="Q1022" s="12" t="s">
        <v>35</v>
      </c>
      <c r="R1022" s="12" t="s">
        <v>36</v>
      </c>
      <c r="S1022" s="10" t="n">
        <v>1130101</v>
      </c>
      <c r="T1022" s="12" t="s">
        <v>37</v>
      </c>
      <c r="U1022" s="13" t="n">
        <v>299.5</v>
      </c>
      <c r="W1022" s="13" t="n">
        <v>0</v>
      </c>
      <c r="X1022" s="12" t="s">
        <v>1300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46224</v>
      </c>
      <c r="C1023" s="11" t="n">
        <v>46237</v>
      </c>
      <c r="D1023" s="10" t="n">
        <v>1740</v>
      </c>
      <c r="E1023" s="12" t="s">
        <v>312</v>
      </c>
      <c r="F1023" s="10" t="n">
        <v>24</v>
      </c>
      <c r="G1023" s="12" t="s">
        <v>31</v>
      </c>
      <c r="H1023" s="10" t="n">
        <v>1110202</v>
      </c>
      <c r="I1023" s="12" t="s">
        <v>90</v>
      </c>
      <c r="J1023" s="10" t="n">
        <v>1431693</v>
      </c>
      <c r="L1023" s="10" t="n">
        <v>1249231</v>
      </c>
      <c r="M1023" s="12" t="s">
        <v>33</v>
      </c>
      <c r="N1023" s="12" t="s">
        <v>66</v>
      </c>
      <c r="P1023" s="10" t="n">
        <v>103</v>
      </c>
      <c r="Q1023" s="12" t="s">
        <v>35</v>
      </c>
      <c r="R1023" s="12" t="s">
        <v>36</v>
      </c>
      <c r="S1023" s="10" t="n">
        <v>1130101</v>
      </c>
      <c r="T1023" s="12" t="s">
        <v>37</v>
      </c>
      <c r="U1023" s="13" t="n">
        <v>2044.9</v>
      </c>
      <c r="W1023" s="13" t="n">
        <v>0</v>
      </c>
      <c r="X1023" s="12" t="s">
        <v>1301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46232</v>
      </c>
      <c r="C1024" s="11" t="n">
        <v>46237</v>
      </c>
      <c r="D1024" s="10" t="n">
        <v>1899</v>
      </c>
      <c r="E1024" s="12" t="s">
        <v>131</v>
      </c>
      <c r="F1024" s="10" t="n">
        <v>24</v>
      </c>
      <c r="G1024" s="12" t="s">
        <v>31</v>
      </c>
      <c r="H1024" s="10" t="n">
        <v>1110202</v>
      </c>
      <c r="I1024" s="12" t="s">
        <v>90</v>
      </c>
      <c r="J1024" s="10" t="n">
        <v>1470177</v>
      </c>
      <c r="L1024" s="10" t="n">
        <v>736</v>
      </c>
      <c r="M1024" s="12" t="s">
        <v>33</v>
      </c>
      <c r="N1024" s="12" t="s">
        <v>66</v>
      </c>
      <c r="P1024" s="10" t="n">
        <v>103</v>
      </c>
      <c r="Q1024" s="12" t="s">
        <v>35</v>
      </c>
      <c r="R1024" s="12" t="s">
        <v>36</v>
      </c>
      <c r="S1024" s="10" t="n">
        <v>1130101</v>
      </c>
      <c r="T1024" s="12" t="s">
        <v>37</v>
      </c>
      <c r="U1024" s="13" t="n">
        <v>329.7</v>
      </c>
      <c r="W1024" s="13" t="n">
        <v>0</v>
      </c>
      <c r="X1024" s="12" t="s">
        <v>1302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46230</v>
      </c>
      <c r="C1025" s="11" t="n">
        <v>46237</v>
      </c>
      <c r="D1025" s="10" t="n">
        <v>1276</v>
      </c>
      <c r="E1025" s="12" t="s">
        <v>675</v>
      </c>
      <c r="F1025" s="10" t="n">
        <v>24</v>
      </c>
      <c r="G1025" s="12" t="s">
        <v>31</v>
      </c>
      <c r="H1025" s="10" t="n">
        <v>1110202</v>
      </c>
      <c r="I1025" s="12" t="s">
        <v>90</v>
      </c>
      <c r="J1025" s="10" t="n">
        <v>1460111</v>
      </c>
      <c r="L1025" s="10" t="n">
        <v>3104</v>
      </c>
      <c r="M1025" s="12" t="s">
        <v>33</v>
      </c>
      <c r="N1025" s="12" t="s">
        <v>66</v>
      </c>
      <c r="P1025" s="10" t="n">
        <v>103</v>
      </c>
      <c r="Q1025" s="12" t="s">
        <v>35</v>
      </c>
      <c r="R1025" s="12" t="s">
        <v>36</v>
      </c>
      <c r="S1025" s="10" t="n">
        <v>1130101</v>
      </c>
      <c r="T1025" s="12" t="s">
        <v>37</v>
      </c>
      <c r="U1025" s="13" t="n">
        <v>1408.5</v>
      </c>
      <c r="W1025" s="13" t="n">
        <v>0</v>
      </c>
      <c r="X1025" s="12" t="s">
        <v>1303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46230</v>
      </c>
      <c r="C1026" s="11" t="n">
        <v>46237</v>
      </c>
      <c r="D1026" s="10" t="n">
        <v>218</v>
      </c>
      <c r="E1026" s="12" t="s">
        <v>1152</v>
      </c>
      <c r="F1026" s="10" t="n">
        <v>34</v>
      </c>
      <c r="G1026" s="12" t="s">
        <v>49</v>
      </c>
      <c r="H1026" s="10" t="n">
        <v>1110202</v>
      </c>
      <c r="I1026" s="12" t="s">
        <v>90</v>
      </c>
      <c r="J1026" s="10" t="n">
        <v>1459621</v>
      </c>
      <c r="L1026" s="10" t="n">
        <v>600416</v>
      </c>
      <c r="M1026" s="12" t="s">
        <v>33</v>
      </c>
      <c r="N1026" s="12" t="s">
        <v>66</v>
      </c>
      <c r="P1026" s="10" t="n">
        <v>101</v>
      </c>
      <c r="Q1026" s="12" t="s">
        <v>84</v>
      </c>
      <c r="R1026" s="12" t="s">
        <v>121</v>
      </c>
      <c r="S1026" s="10" t="n">
        <v>4210301</v>
      </c>
      <c r="T1026" s="12" t="s">
        <v>122</v>
      </c>
      <c r="U1026" s="13" t="n">
        <v>4296.29</v>
      </c>
      <c r="W1026" s="13" t="n">
        <v>0</v>
      </c>
      <c r="X1026" s="12" t="s">
        <v>1304</v>
      </c>
      <c r="Z1026" s="1" t="str">
        <f aca="false">IF($T1026="","",IFERROR(INDEX('Resumo Grupos'!$AC$3:$AC$200,MATCH($T1026,'Resumo Grupos'!$AB$3:$AB$200,0)),"n/d"))</f>
        <v>Salários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46234</v>
      </c>
      <c r="C1027" s="11" t="n">
        <v>46237</v>
      </c>
      <c r="D1027" s="10" t="n">
        <v>33</v>
      </c>
      <c r="E1027" s="12" t="s">
        <v>64</v>
      </c>
      <c r="F1027" s="10" t="n">
        <v>34</v>
      </c>
      <c r="G1027" s="12" t="s">
        <v>49</v>
      </c>
      <c r="H1027" s="10" t="n">
        <v>2110101</v>
      </c>
      <c r="I1027" s="12" t="s">
        <v>32</v>
      </c>
      <c r="J1027" s="10" t="n">
        <v>1479224</v>
      </c>
      <c r="L1027" s="10" t="n">
        <v>5421</v>
      </c>
      <c r="M1027" s="12" t="s">
        <v>33</v>
      </c>
      <c r="N1027" s="12" t="s">
        <v>34</v>
      </c>
      <c r="P1027" s="10" t="n">
        <v>103</v>
      </c>
      <c r="Q1027" s="12" t="s">
        <v>35</v>
      </c>
      <c r="R1027" s="12" t="s">
        <v>36</v>
      </c>
      <c r="S1027" s="10" t="n">
        <v>1130101</v>
      </c>
      <c r="T1027" s="12" t="s">
        <v>37</v>
      </c>
      <c r="U1027" s="13" t="n">
        <v>600</v>
      </c>
      <c r="W1027" s="13" t="n">
        <v>0</v>
      </c>
      <c r="X1027" s="12" t="s">
        <v>1305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46092</v>
      </c>
      <c r="C1028" s="11" t="n">
        <v>46237</v>
      </c>
      <c r="D1028" s="10" t="n">
        <v>16</v>
      </c>
      <c r="E1028" s="12" t="s">
        <v>407</v>
      </c>
      <c r="F1028" s="10" t="n">
        <v>11</v>
      </c>
      <c r="G1028" s="12" t="s">
        <v>1306</v>
      </c>
      <c r="H1028" s="10" t="n">
        <v>1110202</v>
      </c>
      <c r="I1028" s="12" t="s">
        <v>90</v>
      </c>
      <c r="J1028" s="10" t="n">
        <v>784488</v>
      </c>
      <c r="L1028" s="10" t="n">
        <v>338625</v>
      </c>
      <c r="M1028" s="12" t="s">
        <v>40</v>
      </c>
      <c r="N1028" s="12" t="s">
        <v>66</v>
      </c>
      <c r="P1028" s="10" t="n">
        <v>101</v>
      </c>
      <c r="Q1028" s="12" t="s">
        <v>84</v>
      </c>
      <c r="R1028" s="12" t="s">
        <v>91</v>
      </c>
      <c r="S1028" s="10" t="n">
        <v>4220199</v>
      </c>
      <c r="T1028" s="12" t="s">
        <v>92</v>
      </c>
      <c r="U1028" s="13" t="n">
        <v>5000</v>
      </c>
      <c r="W1028" s="13" t="n">
        <v>0</v>
      </c>
      <c r="X1028" s="12" t="s">
        <v>1307</v>
      </c>
      <c r="Z1028" s="1" t="str">
        <f aca="false">IF($T1028="","",IFERROR(INDEX('Resumo Grupos'!$AC$3:$AC$200,MATCH($T1028,'Resumo Grupos'!$AB$3:$AB$200,0)),"n/d"))</f>
        <v>Pagamentos outros não operacionais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46237</v>
      </c>
      <c r="C1029" s="11" t="n">
        <v>46237</v>
      </c>
      <c r="D1029" s="10" t="n">
        <v>10006</v>
      </c>
      <c r="E1029" s="12" t="s">
        <v>385</v>
      </c>
      <c r="F1029" s="10" t="n">
        <v>34</v>
      </c>
      <c r="G1029" s="12" t="s">
        <v>49</v>
      </c>
      <c r="H1029" s="10" t="n">
        <v>1110202</v>
      </c>
      <c r="I1029" s="12" t="s">
        <v>90</v>
      </c>
      <c r="J1029" s="10" t="n">
        <v>1495150</v>
      </c>
      <c r="L1029" s="10" t="n">
        <v>613093</v>
      </c>
      <c r="M1029" s="12" t="s">
        <v>33</v>
      </c>
      <c r="N1029" s="12" t="s">
        <v>66</v>
      </c>
      <c r="P1029" s="10" t="n">
        <v>102</v>
      </c>
      <c r="Q1029" s="12" t="s">
        <v>112</v>
      </c>
      <c r="R1029" s="12" t="s">
        <v>94</v>
      </c>
      <c r="S1029" s="10" t="n">
        <v>4210232</v>
      </c>
      <c r="T1029" s="12" t="s">
        <v>647</v>
      </c>
      <c r="U1029" s="13" t="n">
        <v>1200</v>
      </c>
      <c r="W1029" s="13" t="n">
        <v>0</v>
      </c>
      <c r="X1029" s="12" t="s">
        <v>1308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46237</v>
      </c>
      <c r="C1030" s="11" t="n">
        <v>46237</v>
      </c>
      <c r="D1030" s="10" t="n">
        <v>1936</v>
      </c>
      <c r="E1030" s="12" t="s">
        <v>316</v>
      </c>
      <c r="F1030" s="10" t="n">
        <v>24</v>
      </c>
      <c r="G1030" s="12" t="s">
        <v>31</v>
      </c>
      <c r="H1030" s="10" t="n">
        <v>1110202</v>
      </c>
      <c r="I1030" s="12" t="s">
        <v>90</v>
      </c>
      <c r="J1030" s="10" t="n">
        <v>1493456</v>
      </c>
      <c r="L1030" s="10" t="n">
        <v>612897</v>
      </c>
      <c r="M1030" s="12" t="s">
        <v>33</v>
      </c>
      <c r="N1030" s="12" t="s">
        <v>66</v>
      </c>
      <c r="P1030" s="10" t="n">
        <v>102</v>
      </c>
      <c r="Q1030" s="12" t="s">
        <v>112</v>
      </c>
      <c r="R1030" s="12" t="s">
        <v>36</v>
      </c>
      <c r="S1030" s="10" t="n">
        <v>1130101</v>
      </c>
      <c r="T1030" s="12" t="s">
        <v>37</v>
      </c>
      <c r="U1030" s="13" t="n">
        <v>600.5</v>
      </c>
      <c r="W1030" s="13" t="n">
        <v>0</v>
      </c>
      <c r="X1030" s="12" t="s">
        <v>1309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46225</v>
      </c>
      <c r="C1031" s="11" t="n">
        <v>46237</v>
      </c>
      <c r="D1031" s="10" t="n">
        <v>1666</v>
      </c>
      <c r="E1031" s="12" t="s">
        <v>139</v>
      </c>
      <c r="F1031" s="10" t="n">
        <v>24</v>
      </c>
      <c r="G1031" s="12" t="s">
        <v>31</v>
      </c>
      <c r="H1031" s="10" t="n">
        <v>1110202</v>
      </c>
      <c r="I1031" s="12" t="s">
        <v>90</v>
      </c>
      <c r="J1031" s="10" t="n">
        <v>1435035</v>
      </c>
      <c r="L1031" s="10" t="n">
        <v>567587</v>
      </c>
      <c r="M1031" s="12" t="s">
        <v>76</v>
      </c>
      <c r="N1031" s="12" t="s">
        <v>66</v>
      </c>
      <c r="P1031" s="10" t="n">
        <v>103</v>
      </c>
      <c r="Q1031" s="12" t="s">
        <v>35</v>
      </c>
      <c r="R1031" s="12" t="s">
        <v>36</v>
      </c>
      <c r="S1031" s="10" t="n">
        <v>1130101</v>
      </c>
      <c r="T1031" s="12" t="s">
        <v>37</v>
      </c>
      <c r="U1031" s="13" t="n">
        <v>5740.89</v>
      </c>
      <c r="W1031" s="13" t="n">
        <v>0</v>
      </c>
      <c r="X1031" s="12" t="s">
        <v>1310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46230</v>
      </c>
      <c r="C1032" s="11" t="n">
        <v>46237</v>
      </c>
      <c r="D1032" s="10" t="n">
        <v>1631</v>
      </c>
      <c r="E1032" s="12" t="s">
        <v>141</v>
      </c>
      <c r="F1032" s="10" t="n">
        <v>24</v>
      </c>
      <c r="G1032" s="12" t="s">
        <v>31</v>
      </c>
      <c r="H1032" s="10" t="n">
        <v>1110202</v>
      </c>
      <c r="I1032" s="12" t="s">
        <v>90</v>
      </c>
      <c r="J1032" s="10" t="n">
        <v>1460073</v>
      </c>
      <c r="L1032" s="10" t="n">
        <v>15181</v>
      </c>
      <c r="M1032" s="12" t="s">
        <v>33</v>
      </c>
      <c r="N1032" s="12" t="s">
        <v>66</v>
      </c>
      <c r="P1032" s="10" t="n">
        <v>103</v>
      </c>
      <c r="Q1032" s="12" t="s">
        <v>35</v>
      </c>
      <c r="R1032" s="12" t="s">
        <v>36</v>
      </c>
      <c r="S1032" s="10" t="n">
        <v>1130101</v>
      </c>
      <c r="T1032" s="12" t="s">
        <v>37</v>
      </c>
      <c r="U1032" s="13" t="n">
        <v>730</v>
      </c>
      <c r="W1032" s="13" t="n">
        <v>0</v>
      </c>
      <c r="X1032" s="12" t="s">
        <v>1311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46235</v>
      </c>
      <c r="C1033" s="11" t="n">
        <v>46238</v>
      </c>
      <c r="D1033" s="10" t="n">
        <v>642</v>
      </c>
      <c r="E1033" s="12" t="s">
        <v>145</v>
      </c>
      <c r="F1033" s="10" t="n">
        <v>24</v>
      </c>
      <c r="G1033" s="12" t="s">
        <v>31</v>
      </c>
      <c r="H1033" s="10" t="n">
        <v>1110202</v>
      </c>
      <c r="I1033" s="12" t="s">
        <v>90</v>
      </c>
      <c r="J1033" s="10" t="n">
        <v>1481714</v>
      </c>
      <c r="L1033" s="10" t="n">
        <v>568</v>
      </c>
      <c r="M1033" s="12" t="s">
        <v>33</v>
      </c>
      <c r="N1033" s="12" t="s">
        <v>66</v>
      </c>
      <c r="P1033" s="10" t="n">
        <v>103</v>
      </c>
      <c r="Q1033" s="12" t="s">
        <v>35</v>
      </c>
      <c r="R1033" s="12" t="s">
        <v>36</v>
      </c>
      <c r="S1033" s="10" t="n">
        <v>1130101</v>
      </c>
      <c r="T1033" s="12" t="s">
        <v>37</v>
      </c>
      <c r="U1033" s="13" t="n">
        <v>840</v>
      </c>
      <c r="W1033" s="13" t="n">
        <v>0</v>
      </c>
      <c r="X1033" s="12" t="s">
        <v>1312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46219</v>
      </c>
      <c r="C1034" s="11" t="n">
        <v>46238</v>
      </c>
      <c r="D1034" s="10" t="n">
        <v>1637</v>
      </c>
      <c r="E1034" s="12" t="s">
        <v>97</v>
      </c>
      <c r="F1034" s="10" t="n">
        <v>24</v>
      </c>
      <c r="G1034" s="12" t="s">
        <v>31</v>
      </c>
      <c r="H1034" s="10" t="n">
        <v>1110202</v>
      </c>
      <c r="I1034" s="12" t="s">
        <v>90</v>
      </c>
      <c r="J1034" s="10" t="n">
        <v>1406548</v>
      </c>
      <c r="L1034" s="10" t="n">
        <v>1905834</v>
      </c>
      <c r="M1034" s="12" t="s">
        <v>33</v>
      </c>
      <c r="N1034" s="12" t="s">
        <v>66</v>
      </c>
      <c r="P1034" s="10" t="n">
        <v>103</v>
      </c>
      <c r="Q1034" s="12" t="s">
        <v>35</v>
      </c>
      <c r="R1034" s="12" t="s">
        <v>36</v>
      </c>
      <c r="S1034" s="10" t="n">
        <v>1130101</v>
      </c>
      <c r="T1034" s="12" t="s">
        <v>37</v>
      </c>
      <c r="U1034" s="13" t="n">
        <v>479.64</v>
      </c>
      <c r="W1034" s="13" t="n">
        <v>0</v>
      </c>
      <c r="X1034" s="12" t="s">
        <v>1313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46209</v>
      </c>
      <c r="C1035" s="11" t="n">
        <v>46238</v>
      </c>
      <c r="D1035" s="10" t="n">
        <v>816</v>
      </c>
      <c r="E1035" s="12" t="s">
        <v>419</v>
      </c>
      <c r="F1035" s="10" t="n">
        <v>34</v>
      </c>
      <c r="G1035" s="12" t="s">
        <v>49</v>
      </c>
      <c r="H1035" s="10" t="n">
        <v>1110202</v>
      </c>
      <c r="I1035" s="12" t="s">
        <v>90</v>
      </c>
      <c r="J1035" s="10" t="n">
        <v>480233</v>
      </c>
      <c r="L1035" s="10" t="n">
        <v>216087</v>
      </c>
      <c r="M1035" s="12" t="s">
        <v>448</v>
      </c>
      <c r="N1035" s="12" t="s">
        <v>66</v>
      </c>
      <c r="P1035" s="10" t="n">
        <v>102</v>
      </c>
      <c r="Q1035" s="12" t="s">
        <v>112</v>
      </c>
      <c r="R1035" s="12" t="s">
        <v>91</v>
      </c>
      <c r="S1035" s="10" t="n">
        <v>4220199</v>
      </c>
      <c r="T1035" s="12" t="s">
        <v>92</v>
      </c>
      <c r="U1035" s="13" t="n">
        <v>2000</v>
      </c>
      <c r="W1035" s="13" t="n">
        <v>0</v>
      </c>
      <c r="X1035" s="12" t="s">
        <v>420</v>
      </c>
      <c r="Z1035" s="1" t="str">
        <f aca="false">IF($T1035="","",IFERROR(INDEX('Resumo Grupos'!$AC$3:$AC$200,MATCH($T1035,'Resumo Grupos'!$AB$3:$AB$200,0)),"n/d"))</f>
        <v>Pagamentos outros não operacionais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46217</v>
      </c>
      <c r="C1036" s="11" t="n">
        <v>46238</v>
      </c>
      <c r="D1036" s="10" t="n">
        <v>1458</v>
      </c>
      <c r="E1036" s="12" t="s">
        <v>1314</v>
      </c>
      <c r="F1036" s="10" t="n">
        <v>24</v>
      </c>
      <c r="G1036" s="12" t="s">
        <v>31</v>
      </c>
      <c r="H1036" s="10" t="n">
        <v>1110202</v>
      </c>
      <c r="I1036" s="12" t="s">
        <v>90</v>
      </c>
      <c r="J1036" s="10" t="n">
        <v>1397060</v>
      </c>
      <c r="L1036" s="10" t="n">
        <v>10861</v>
      </c>
      <c r="M1036" s="12" t="s">
        <v>33</v>
      </c>
      <c r="N1036" s="12" t="s">
        <v>66</v>
      </c>
      <c r="P1036" s="10" t="n">
        <v>103</v>
      </c>
      <c r="Q1036" s="12" t="s">
        <v>35</v>
      </c>
      <c r="R1036" s="12" t="s">
        <v>36</v>
      </c>
      <c r="S1036" s="10" t="n">
        <v>1130101</v>
      </c>
      <c r="T1036" s="12" t="s">
        <v>37</v>
      </c>
      <c r="U1036" s="13" t="n">
        <v>909.9</v>
      </c>
      <c r="W1036" s="13" t="n">
        <v>0</v>
      </c>
      <c r="X1036" s="12" t="s">
        <v>1315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46211</v>
      </c>
      <c r="C1037" s="11" t="n">
        <v>46238</v>
      </c>
      <c r="D1037" s="10" t="n">
        <v>1705</v>
      </c>
      <c r="E1037" s="12" t="s">
        <v>46</v>
      </c>
      <c r="F1037" s="10" t="n">
        <v>24</v>
      </c>
      <c r="G1037" s="12" t="s">
        <v>31</v>
      </c>
      <c r="H1037" s="10" t="n">
        <v>2110101</v>
      </c>
      <c r="I1037" s="12" t="s">
        <v>32</v>
      </c>
      <c r="J1037" s="10" t="n">
        <v>1369139</v>
      </c>
      <c r="L1037" s="10" t="n">
        <v>1190625</v>
      </c>
      <c r="M1037" s="12" t="s">
        <v>33</v>
      </c>
      <c r="N1037" s="12" t="s">
        <v>34</v>
      </c>
      <c r="P1037" s="10" t="n">
        <v>103</v>
      </c>
      <c r="Q1037" s="12" t="s">
        <v>35</v>
      </c>
      <c r="R1037" s="12" t="s">
        <v>36</v>
      </c>
      <c r="S1037" s="10" t="n">
        <v>1130101</v>
      </c>
      <c r="T1037" s="12" t="s">
        <v>37</v>
      </c>
      <c r="U1037" s="13" t="n">
        <v>94.32</v>
      </c>
      <c r="W1037" s="13" t="n">
        <v>0</v>
      </c>
      <c r="X1037" s="12" t="s">
        <v>1316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46232</v>
      </c>
      <c r="C1038" s="11" t="n">
        <v>46238</v>
      </c>
      <c r="D1038" s="10" t="n">
        <v>1642</v>
      </c>
      <c r="E1038" s="12" t="s">
        <v>158</v>
      </c>
      <c r="F1038" s="10" t="n">
        <v>24</v>
      </c>
      <c r="G1038" s="12" t="s">
        <v>31</v>
      </c>
      <c r="H1038" s="10" t="n">
        <v>1110202</v>
      </c>
      <c r="I1038" s="12" t="s">
        <v>90</v>
      </c>
      <c r="J1038" s="10" t="n">
        <v>1469751</v>
      </c>
      <c r="L1038" s="10" t="n">
        <v>1033944</v>
      </c>
      <c r="M1038" s="12" t="s">
        <v>33</v>
      </c>
      <c r="N1038" s="12" t="s">
        <v>66</v>
      </c>
      <c r="P1038" s="10" t="n">
        <v>103</v>
      </c>
      <c r="Q1038" s="12" t="s">
        <v>35</v>
      </c>
      <c r="R1038" s="12" t="s">
        <v>36</v>
      </c>
      <c r="S1038" s="10" t="n">
        <v>1130101</v>
      </c>
      <c r="T1038" s="12" t="s">
        <v>37</v>
      </c>
      <c r="U1038" s="13" t="n">
        <v>554.3</v>
      </c>
      <c r="W1038" s="13" t="n">
        <v>0</v>
      </c>
      <c r="X1038" s="12" t="s">
        <v>1317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46211</v>
      </c>
      <c r="C1039" s="11" t="n">
        <v>46238</v>
      </c>
      <c r="D1039" s="10" t="n">
        <v>1636</v>
      </c>
      <c r="E1039" s="12" t="s">
        <v>290</v>
      </c>
      <c r="F1039" s="10" t="n">
        <v>24</v>
      </c>
      <c r="G1039" s="12" t="s">
        <v>31</v>
      </c>
      <c r="H1039" s="10" t="n">
        <v>2110101</v>
      </c>
      <c r="I1039" s="12" t="s">
        <v>32</v>
      </c>
      <c r="J1039" s="10" t="n">
        <v>1370892</v>
      </c>
      <c r="L1039" s="10" t="n">
        <v>3216535</v>
      </c>
      <c r="M1039" s="12" t="s">
        <v>33</v>
      </c>
      <c r="N1039" s="12" t="s">
        <v>34</v>
      </c>
      <c r="P1039" s="10" t="n">
        <v>103</v>
      </c>
      <c r="Q1039" s="12" t="s">
        <v>35</v>
      </c>
      <c r="R1039" s="12" t="s">
        <v>36</v>
      </c>
      <c r="S1039" s="10" t="n">
        <v>1130101</v>
      </c>
      <c r="T1039" s="12" t="s">
        <v>37</v>
      </c>
      <c r="U1039" s="13" t="n">
        <v>2406.33</v>
      </c>
      <c r="W1039" s="13" t="n">
        <v>0</v>
      </c>
      <c r="X1039" s="12" t="s">
        <v>1318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46218</v>
      </c>
      <c r="C1040" s="11" t="n">
        <v>46238</v>
      </c>
      <c r="D1040" s="10" t="n">
        <v>1612</v>
      </c>
      <c r="E1040" s="12" t="s">
        <v>248</v>
      </c>
      <c r="F1040" s="10" t="n">
        <v>24</v>
      </c>
      <c r="G1040" s="12" t="s">
        <v>31</v>
      </c>
      <c r="H1040" s="10" t="n">
        <v>1110202</v>
      </c>
      <c r="I1040" s="12" t="s">
        <v>90</v>
      </c>
      <c r="J1040" s="10" t="n">
        <v>1401084</v>
      </c>
      <c r="L1040" s="10" t="n">
        <v>2300748</v>
      </c>
      <c r="M1040" s="12" t="s">
        <v>33</v>
      </c>
      <c r="N1040" s="12" t="s">
        <v>66</v>
      </c>
      <c r="P1040" s="10" t="n">
        <v>103</v>
      </c>
      <c r="Q1040" s="12" t="s">
        <v>35</v>
      </c>
      <c r="R1040" s="12" t="s">
        <v>36</v>
      </c>
      <c r="S1040" s="10" t="n">
        <v>1130101</v>
      </c>
      <c r="T1040" s="12" t="s">
        <v>37</v>
      </c>
      <c r="U1040" s="13" t="n">
        <v>2237.12</v>
      </c>
      <c r="W1040" s="13" t="n">
        <v>0</v>
      </c>
      <c r="X1040" s="12" t="s">
        <v>1319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46218</v>
      </c>
      <c r="C1041" s="11" t="n">
        <v>46238</v>
      </c>
      <c r="D1041" s="10" t="n">
        <v>1612</v>
      </c>
      <c r="E1041" s="12" t="s">
        <v>248</v>
      </c>
      <c r="F1041" s="10" t="n">
        <v>24</v>
      </c>
      <c r="G1041" s="12" t="s">
        <v>31</v>
      </c>
      <c r="H1041" s="10" t="n">
        <v>1110202</v>
      </c>
      <c r="I1041" s="12" t="s">
        <v>90</v>
      </c>
      <c r="J1041" s="10" t="n">
        <v>1401597</v>
      </c>
      <c r="L1041" s="10" t="n">
        <v>2300749</v>
      </c>
      <c r="M1041" s="12" t="s">
        <v>33</v>
      </c>
      <c r="N1041" s="12" t="s">
        <v>66</v>
      </c>
      <c r="P1041" s="10" t="n">
        <v>103</v>
      </c>
      <c r="Q1041" s="12" t="s">
        <v>35</v>
      </c>
      <c r="R1041" s="12" t="s">
        <v>36</v>
      </c>
      <c r="S1041" s="10" t="n">
        <v>1130101</v>
      </c>
      <c r="T1041" s="12" t="s">
        <v>37</v>
      </c>
      <c r="U1041" s="13" t="n">
        <v>555.15</v>
      </c>
      <c r="W1041" s="13" t="n">
        <v>0</v>
      </c>
      <c r="X1041" s="12" t="s">
        <v>1320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46218</v>
      </c>
      <c r="C1042" s="11" t="n">
        <v>46238</v>
      </c>
      <c r="D1042" s="10" t="n">
        <v>1667</v>
      </c>
      <c r="E1042" s="12" t="s">
        <v>250</v>
      </c>
      <c r="F1042" s="10" t="n">
        <v>24</v>
      </c>
      <c r="G1042" s="12" t="s">
        <v>31</v>
      </c>
      <c r="H1042" s="10" t="n">
        <v>1110202</v>
      </c>
      <c r="I1042" s="12" t="s">
        <v>90</v>
      </c>
      <c r="J1042" s="10" t="n">
        <v>1401680</v>
      </c>
      <c r="L1042" s="10" t="n">
        <v>396457</v>
      </c>
      <c r="M1042" s="12" t="s">
        <v>33</v>
      </c>
      <c r="N1042" s="12" t="s">
        <v>66</v>
      </c>
      <c r="P1042" s="10" t="n">
        <v>103</v>
      </c>
      <c r="Q1042" s="12" t="s">
        <v>35</v>
      </c>
      <c r="R1042" s="12" t="s">
        <v>36</v>
      </c>
      <c r="S1042" s="10" t="n">
        <v>1130101</v>
      </c>
      <c r="T1042" s="12" t="s">
        <v>37</v>
      </c>
      <c r="U1042" s="13" t="n">
        <v>1224.01</v>
      </c>
      <c r="W1042" s="13" t="n">
        <v>0</v>
      </c>
      <c r="X1042" s="12" t="s">
        <v>1321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46226</v>
      </c>
      <c r="C1043" s="11" t="n">
        <v>46238</v>
      </c>
      <c r="D1043" s="10" t="n">
        <v>1665</v>
      </c>
      <c r="E1043" s="12" t="s">
        <v>256</v>
      </c>
      <c r="F1043" s="10" t="n">
        <v>24</v>
      </c>
      <c r="G1043" s="12" t="s">
        <v>31</v>
      </c>
      <c r="H1043" s="10" t="n">
        <v>1110202</v>
      </c>
      <c r="I1043" s="12" t="s">
        <v>90</v>
      </c>
      <c r="J1043" s="10" t="n">
        <v>1439198</v>
      </c>
      <c r="L1043" s="10" t="n">
        <v>134892</v>
      </c>
      <c r="M1043" s="12" t="s">
        <v>33</v>
      </c>
      <c r="N1043" s="12" t="s">
        <v>66</v>
      </c>
      <c r="P1043" s="10" t="n">
        <v>103</v>
      </c>
      <c r="Q1043" s="12" t="s">
        <v>35</v>
      </c>
      <c r="R1043" s="12" t="s">
        <v>36</v>
      </c>
      <c r="S1043" s="10" t="n">
        <v>1130101</v>
      </c>
      <c r="T1043" s="12" t="s">
        <v>37</v>
      </c>
      <c r="U1043" s="13" t="n">
        <v>194.4</v>
      </c>
      <c r="W1043" s="13" t="n">
        <v>0</v>
      </c>
      <c r="X1043" s="12" t="s">
        <v>1322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46225</v>
      </c>
      <c r="C1044" s="11" t="n">
        <v>46238</v>
      </c>
      <c r="D1044" s="10" t="n">
        <v>1672</v>
      </c>
      <c r="E1044" s="12" t="s">
        <v>59</v>
      </c>
      <c r="F1044" s="10" t="n">
        <v>24</v>
      </c>
      <c r="G1044" s="12" t="s">
        <v>31</v>
      </c>
      <c r="H1044" s="10" t="n">
        <v>1110202</v>
      </c>
      <c r="I1044" s="12" t="s">
        <v>90</v>
      </c>
      <c r="J1044" s="10" t="n">
        <v>1435975</v>
      </c>
      <c r="L1044" s="10" t="n">
        <v>1398219</v>
      </c>
      <c r="M1044" s="12" t="s">
        <v>33</v>
      </c>
      <c r="N1044" s="12" t="s">
        <v>66</v>
      </c>
      <c r="P1044" s="10" t="n">
        <v>103</v>
      </c>
      <c r="Q1044" s="12" t="s">
        <v>35</v>
      </c>
      <c r="R1044" s="12" t="s">
        <v>36</v>
      </c>
      <c r="S1044" s="10" t="n">
        <v>1130101</v>
      </c>
      <c r="T1044" s="12" t="s">
        <v>37</v>
      </c>
      <c r="U1044" s="13" t="n">
        <v>2113.2</v>
      </c>
      <c r="W1044" s="13" t="n">
        <v>0</v>
      </c>
      <c r="X1044" s="12" t="s">
        <v>1323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46209</v>
      </c>
      <c r="C1045" s="11" t="n">
        <v>46238</v>
      </c>
      <c r="D1045" s="10" t="n">
        <v>1611</v>
      </c>
      <c r="E1045" s="12" t="s">
        <v>476</v>
      </c>
      <c r="F1045" s="10" t="n">
        <v>24</v>
      </c>
      <c r="G1045" s="12" t="s">
        <v>31</v>
      </c>
      <c r="H1045" s="10" t="n">
        <v>2110101</v>
      </c>
      <c r="I1045" s="12" t="s">
        <v>32</v>
      </c>
      <c r="J1045" s="10" t="n">
        <v>1360267</v>
      </c>
      <c r="L1045" s="10" t="n">
        <v>561687</v>
      </c>
      <c r="M1045" s="12" t="s">
        <v>40</v>
      </c>
      <c r="N1045" s="12" t="s">
        <v>66</v>
      </c>
      <c r="P1045" s="10" t="n">
        <v>103</v>
      </c>
      <c r="Q1045" s="12" t="s">
        <v>35</v>
      </c>
      <c r="R1045" s="12" t="s">
        <v>36</v>
      </c>
      <c r="S1045" s="10" t="n">
        <v>1130101</v>
      </c>
      <c r="T1045" s="12" t="s">
        <v>37</v>
      </c>
      <c r="U1045" s="13" t="n">
        <v>3184.12</v>
      </c>
      <c r="W1045" s="13" t="n">
        <v>0</v>
      </c>
      <c r="X1045" s="12" t="s">
        <v>1324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46224</v>
      </c>
      <c r="C1046" s="11" t="n">
        <v>46238</v>
      </c>
      <c r="D1046" s="10" t="n">
        <v>1114</v>
      </c>
      <c r="E1046" s="12" t="s">
        <v>128</v>
      </c>
      <c r="F1046" s="10" t="n">
        <v>24</v>
      </c>
      <c r="G1046" s="12" t="s">
        <v>31</v>
      </c>
      <c r="H1046" s="10" t="n">
        <v>1110202</v>
      </c>
      <c r="I1046" s="12" t="s">
        <v>90</v>
      </c>
      <c r="J1046" s="10" t="n">
        <v>1430968</v>
      </c>
      <c r="L1046" s="10" t="n">
        <v>41617</v>
      </c>
      <c r="M1046" s="12" t="s">
        <v>33</v>
      </c>
      <c r="N1046" s="12" t="s">
        <v>66</v>
      </c>
      <c r="P1046" s="10" t="n">
        <v>103</v>
      </c>
      <c r="Q1046" s="12" t="s">
        <v>35</v>
      </c>
      <c r="R1046" s="12" t="s">
        <v>36</v>
      </c>
      <c r="S1046" s="10" t="n">
        <v>1130101</v>
      </c>
      <c r="T1046" s="12" t="s">
        <v>37</v>
      </c>
      <c r="U1046" s="13" t="n">
        <v>3510.17</v>
      </c>
      <c r="W1046" s="13" t="n">
        <v>0</v>
      </c>
      <c r="X1046" s="12" t="s">
        <v>1325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46233</v>
      </c>
      <c r="C1047" s="11" t="n">
        <v>46238</v>
      </c>
      <c r="D1047" s="10" t="n">
        <v>1899</v>
      </c>
      <c r="E1047" s="12" t="s">
        <v>131</v>
      </c>
      <c r="F1047" s="10" t="n">
        <v>24</v>
      </c>
      <c r="G1047" s="12" t="s">
        <v>31</v>
      </c>
      <c r="H1047" s="10" t="n">
        <v>1110202</v>
      </c>
      <c r="I1047" s="12" t="s">
        <v>90</v>
      </c>
      <c r="J1047" s="10" t="n">
        <v>1474627</v>
      </c>
      <c r="L1047" s="10" t="n">
        <v>738</v>
      </c>
      <c r="M1047" s="12" t="s">
        <v>33</v>
      </c>
      <c r="N1047" s="12" t="s">
        <v>66</v>
      </c>
      <c r="P1047" s="10" t="n">
        <v>103</v>
      </c>
      <c r="Q1047" s="12" t="s">
        <v>35</v>
      </c>
      <c r="R1047" s="12" t="s">
        <v>36</v>
      </c>
      <c r="S1047" s="10" t="n">
        <v>1130101</v>
      </c>
      <c r="T1047" s="12" t="s">
        <v>37</v>
      </c>
      <c r="U1047" s="13" t="n">
        <v>700</v>
      </c>
      <c r="W1047" s="13" t="n">
        <v>0</v>
      </c>
      <c r="X1047" s="12" t="s">
        <v>1326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46204</v>
      </c>
      <c r="C1048" s="11" t="n">
        <v>46238</v>
      </c>
      <c r="D1048" s="10" t="n">
        <v>607</v>
      </c>
      <c r="E1048" s="12" t="s">
        <v>81</v>
      </c>
      <c r="F1048" s="10" t="n">
        <v>24</v>
      </c>
      <c r="G1048" s="12" t="s">
        <v>31</v>
      </c>
      <c r="H1048" s="10" t="n">
        <v>2110101</v>
      </c>
      <c r="I1048" s="12" t="s">
        <v>32</v>
      </c>
      <c r="J1048" s="10" t="n">
        <v>1335231</v>
      </c>
      <c r="L1048" s="10" t="n">
        <v>11002</v>
      </c>
      <c r="M1048" s="12" t="s">
        <v>76</v>
      </c>
      <c r="N1048" s="12" t="s">
        <v>34</v>
      </c>
      <c r="P1048" s="10" t="n">
        <v>103</v>
      </c>
      <c r="Q1048" s="12" t="s">
        <v>35</v>
      </c>
      <c r="R1048" s="12" t="s">
        <v>36</v>
      </c>
      <c r="S1048" s="10" t="n">
        <v>1130101</v>
      </c>
      <c r="T1048" s="12" t="s">
        <v>37</v>
      </c>
      <c r="U1048" s="13" t="n">
        <v>1849.57</v>
      </c>
      <c r="W1048" s="13" t="n">
        <v>0</v>
      </c>
      <c r="X1048" s="12" t="s">
        <v>1327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46216</v>
      </c>
      <c r="C1049" s="11" t="n">
        <v>46238</v>
      </c>
      <c r="D1049" s="10" t="n">
        <v>1624</v>
      </c>
      <c r="E1049" s="12" t="s">
        <v>367</v>
      </c>
      <c r="F1049" s="10" t="n">
        <v>24</v>
      </c>
      <c r="G1049" s="12" t="s">
        <v>31</v>
      </c>
      <c r="H1049" s="10" t="n">
        <v>1110202</v>
      </c>
      <c r="I1049" s="12" t="s">
        <v>90</v>
      </c>
      <c r="J1049" s="10" t="n">
        <v>1393007</v>
      </c>
      <c r="L1049" s="10" t="n">
        <v>662479</v>
      </c>
      <c r="M1049" s="12" t="s">
        <v>33</v>
      </c>
      <c r="N1049" s="12" t="s">
        <v>66</v>
      </c>
      <c r="P1049" s="10" t="n">
        <v>103</v>
      </c>
      <c r="Q1049" s="12" t="s">
        <v>35</v>
      </c>
      <c r="R1049" s="12" t="s">
        <v>36</v>
      </c>
      <c r="S1049" s="10" t="n">
        <v>1130101</v>
      </c>
      <c r="T1049" s="12" t="s">
        <v>37</v>
      </c>
      <c r="U1049" s="13" t="n">
        <v>823.64</v>
      </c>
      <c r="W1049" s="13" t="n">
        <v>0</v>
      </c>
      <c r="X1049" s="12" t="s">
        <v>1328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46226</v>
      </c>
      <c r="C1050" s="11" t="n">
        <v>46238</v>
      </c>
      <c r="D1050" s="10" t="n">
        <v>1643</v>
      </c>
      <c r="E1050" s="12" t="s">
        <v>320</v>
      </c>
      <c r="F1050" s="10" t="n">
        <v>24</v>
      </c>
      <c r="G1050" s="12" t="s">
        <v>31</v>
      </c>
      <c r="H1050" s="10" t="n">
        <v>1110202</v>
      </c>
      <c r="I1050" s="12" t="s">
        <v>90</v>
      </c>
      <c r="J1050" s="10" t="n">
        <v>1439214</v>
      </c>
      <c r="L1050" s="10" t="n">
        <v>10753</v>
      </c>
      <c r="M1050" s="12" t="s">
        <v>33</v>
      </c>
      <c r="N1050" s="12" t="s">
        <v>66</v>
      </c>
      <c r="P1050" s="10" t="n">
        <v>103</v>
      </c>
      <c r="Q1050" s="12" t="s">
        <v>35</v>
      </c>
      <c r="R1050" s="12" t="s">
        <v>36</v>
      </c>
      <c r="S1050" s="10" t="n">
        <v>1130101</v>
      </c>
      <c r="T1050" s="12" t="s">
        <v>37</v>
      </c>
      <c r="U1050" s="13" t="n">
        <v>228</v>
      </c>
      <c r="W1050" s="13" t="n">
        <v>0</v>
      </c>
      <c r="X1050" s="12" t="s">
        <v>1329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46225</v>
      </c>
      <c r="C1051" s="11" t="n">
        <v>46238</v>
      </c>
      <c r="D1051" s="10" t="n">
        <v>1671</v>
      </c>
      <c r="E1051" s="12" t="s">
        <v>83</v>
      </c>
      <c r="F1051" s="10" t="n">
        <v>24</v>
      </c>
      <c r="G1051" s="12" t="s">
        <v>31</v>
      </c>
      <c r="H1051" s="10" t="n">
        <v>1110202</v>
      </c>
      <c r="I1051" s="12" t="s">
        <v>90</v>
      </c>
      <c r="J1051" s="10" t="n">
        <v>1433691</v>
      </c>
      <c r="L1051" s="10" t="n">
        <v>581016</v>
      </c>
      <c r="M1051" s="12" t="s">
        <v>33</v>
      </c>
      <c r="N1051" s="12" t="s">
        <v>66</v>
      </c>
      <c r="P1051" s="10" t="n">
        <v>103</v>
      </c>
      <c r="Q1051" s="12" t="s">
        <v>35</v>
      </c>
      <c r="R1051" s="12" t="s">
        <v>36</v>
      </c>
      <c r="S1051" s="10" t="n">
        <v>1130101</v>
      </c>
      <c r="T1051" s="12" t="s">
        <v>37</v>
      </c>
      <c r="U1051" s="13" t="n">
        <v>621.07</v>
      </c>
      <c r="W1051" s="13" t="n">
        <v>0</v>
      </c>
      <c r="X1051" s="12" t="s">
        <v>1330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46226</v>
      </c>
      <c r="C1052" s="11" t="n">
        <v>46238</v>
      </c>
      <c r="D1052" s="10" t="n">
        <v>1402</v>
      </c>
      <c r="E1052" s="12" t="s">
        <v>214</v>
      </c>
      <c r="F1052" s="10" t="n">
        <v>24</v>
      </c>
      <c r="G1052" s="12" t="s">
        <v>31</v>
      </c>
      <c r="H1052" s="10" t="n">
        <v>2110101</v>
      </c>
      <c r="I1052" s="12" t="s">
        <v>32</v>
      </c>
      <c r="J1052" s="10" t="n">
        <v>1439539</v>
      </c>
      <c r="L1052" s="10" t="n">
        <v>3735</v>
      </c>
      <c r="M1052" s="12" t="s">
        <v>33</v>
      </c>
      <c r="N1052" s="12" t="s">
        <v>66</v>
      </c>
      <c r="P1052" s="10" t="n">
        <v>103</v>
      </c>
      <c r="Q1052" s="12" t="s">
        <v>35</v>
      </c>
      <c r="R1052" s="12" t="s">
        <v>94</v>
      </c>
      <c r="S1052" s="10" t="n">
        <v>4210299</v>
      </c>
      <c r="T1052" s="12" t="s">
        <v>1331</v>
      </c>
      <c r="U1052" s="13" t="n">
        <v>2771.05</v>
      </c>
      <c r="W1052" s="13" t="n">
        <v>0</v>
      </c>
      <c r="X1052" s="12" t="s">
        <v>1332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46232</v>
      </c>
      <c r="C1053" s="11" t="n">
        <v>46238</v>
      </c>
      <c r="D1053" s="10" t="n">
        <v>1286</v>
      </c>
      <c r="E1053" s="12" t="s">
        <v>216</v>
      </c>
      <c r="F1053" s="10" t="n">
        <v>24</v>
      </c>
      <c r="G1053" s="12" t="s">
        <v>31</v>
      </c>
      <c r="H1053" s="10" t="n">
        <v>1110202</v>
      </c>
      <c r="I1053" s="12" t="s">
        <v>90</v>
      </c>
      <c r="J1053" s="10" t="n">
        <v>1469776</v>
      </c>
      <c r="L1053" s="10" t="n">
        <v>10419</v>
      </c>
      <c r="M1053" s="12" t="s">
        <v>33</v>
      </c>
      <c r="N1053" s="12" t="s">
        <v>66</v>
      </c>
      <c r="P1053" s="10" t="n">
        <v>103</v>
      </c>
      <c r="Q1053" s="12" t="s">
        <v>35</v>
      </c>
      <c r="R1053" s="12" t="s">
        <v>36</v>
      </c>
      <c r="S1053" s="10" t="n">
        <v>1130101</v>
      </c>
      <c r="T1053" s="12" t="s">
        <v>37</v>
      </c>
      <c r="U1053" s="13" t="n">
        <v>864</v>
      </c>
      <c r="W1053" s="13" t="n">
        <v>0</v>
      </c>
      <c r="X1053" s="12" t="s">
        <v>1333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46225</v>
      </c>
      <c r="C1054" s="11" t="n">
        <v>46239</v>
      </c>
      <c r="D1054" s="10" t="n">
        <v>1659</v>
      </c>
      <c r="E1054" s="12" t="s">
        <v>39</v>
      </c>
      <c r="F1054" s="10" t="n">
        <v>24</v>
      </c>
      <c r="G1054" s="12" t="s">
        <v>31</v>
      </c>
      <c r="H1054" s="10" t="n">
        <v>1110202</v>
      </c>
      <c r="I1054" s="12" t="s">
        <v>90</v>
      </c>
      <c r="J1054" s="10" t="n">
        <v>1435386</v>
      </c>
      <c r="L1054" s="10" t="n">
        <v>886068</v>
      </c>
      <c r="M1054" s="12" t="s">
        <v>33</v>
      </c>
      <c r="N1054" s="12" t="s">
        <v>66</v>
      </c>
      <c r="P1054" s="10" t="n">
        <v>103</v>
      </c>
      <c r="Q1054" s="12" t="s">
        <v>35</v>
      </c>
      <c r="R1054" s="12" t="s">
        <v>36</v>
      </c>
      <c r="S1054" s="10" t="n">
        <v>1130101</v>
      </c>
      <c r="T1054" s="12" t="s">
        <v>37</v>
      </c>
      <c r="U1054" s="13" t="n">
        <v>1420.57</v>
      </c>
      <c r="W1054" s="13" t="n">
        <v>0</v>
      </c>
      <c r="X1054" s="12" t="s">
        <v>1334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46223</v>
      </c>
      <c r="C1055" s="11" t="n">
        <v>46239</v>
      </c>
      <c r="D1055" s="10" t="n">
        <v>1637</v>
      </c>
      <c r="E1055" s="12" t="s">
        <v>97</v>
      </c>
      <c r="F1055" s="10" t="n">
        <v>24</v>
      </c>
      <c r="G1055" s="12" t="s">
        <v>31</v>
      </c>
      <c r="H1055" s="10" t="n">
        <v>1110202</v>
      </c>
      <c r="I1055" s="12" t="s">
        <v>90</v>
      </c>
      <c r="J1055" s="10" t="n">
        <v>1424302</v>
      </c>
      <c r="L1055" s="10" t="n">
        <v>1906316</v>
      </c>
      <c r="M1055" s="12" t="s">
        <v>33</v>
      </c>
      <c r="N1055" s="12" t="s">
        <v>66</v>
      </c>
      <c r="P1055" s="10" t="n">
        <v>103</v>
      </c>
      <c r="Q1055" s="12" t="s">
        <v>35</v>
      </c>
      <c r="R1055" s="12" t="s">
        <v>36</v>
      </c>
      <c r="S1055" s="10" t="n">
        <v>1130101</v>
      </c>
      <c r="T1055" s="12" t="s">
        <v>37</v>
      </c>
      <c r="U1055" s="13" t="n">
        <v>832.4</v>
      </c>
      <c r="W1055" s="13" t="n">
        <v>0</v>
      </c>
      <c r="X1055" s="12" t="s">
        <v>1335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46227</v>
      </c>
      <c r="C1056" s="11" t="n">
        <v>46239</v>
      </c>
      <c r="D1056" s="10" t="n">
        <v>1613</v>
      </c>
      <c r="E1056" s="12" t="s">
        <v>71</v>
      </c>
      <c r="F1056" s="10" t="n">
        <v>24</v>
      </c>
      <c r="G1056" s="12" t="s">
        <v>31</v>
      </c>
      <c r="H1056" s="10" t="n">
        <v>1110202</v>
      </c>
      <c r="I1056" s="12" t="s">
        <v>90</v>
      </c>
      <c r="J1056" s="10" t="n">
        <v>1443677</v>
      </c>
      <c r="L1056" s="10" t="n">
        <v>1611343</v>
      </c>
      <c r="M1056" s="12" t="s">
        <v>33</v>
      </c>
      <c r="N1056" s="12" t="s">
        <v>66</v>
      </c>
      <c r="P1056" s="10" t="n">
        <v>103</v>
      </c>
      <c r="Q1056" s="12" t="s">
        <v>35</v>
      </c>
      <c r="R1056" s="12" t="s">
        <v>36</v>
      </c>
      <c r="S1056" s="10" t="n">
        <v>1130101</v>
      </c>
      <c r="T1056" s="12" t="s">
        <v>37</v>
      </c>
      <c r="U1056" s="13" t="n">
        <v>447.25</v>
      </c>
      <c r="W1056" s="13" t="n">
        <v>0</v>
      </c>
      <c r="X1056" s="12" t="s">
        <v>1336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46220</v>
      </c>
      <c r="C1057" s="11" t="n">
        <v>46239</v>
      </c>
      <c r="D1057" s="10" t="n">
        <v>1613</v>
      </c>
      <c r="E1057" s="12" t="s">
        <v>71</v>
      </c>
      <c r="F1057" s="10" t="n">
        <v>24</v>
      </c>
      <c r="G1057" s="12" t="s">
        <v>31</v>
      </c>
      <c r="H1057" s="10" t="n">
        <v>1110202</v>
      </c>
      <c r="I1057" s="12" t="s">
        <v>90</v>
      </c>
      <c r="J1057" s="10" t="n">
        <v>1411781</v>
      </c>
      <c r="L1057" s="10" t="n">
        <v>1608648</v>
      </c>
      <c r="M1057" s="12" t="s">
        <v>76</v>
      </c>
      <c r="N1057" s="12" t="s">
        <v>66</v>
      </c>
      <c r="P1057" s="10" t="n">
        <v>103</v>
      </c>
      <c r="Q1057" s="12" t="s">
        <v>35</v>
      </c>
      <c r="R1057" s="12" t="s">
        <v>36</v>
      </c>
      <c r="S1057" s="10" t="n">
        <v>1130101</v>
      </c>
      <c r="T1057" s="12" t="s">
        <v>37</v>
      </c>
      <c r="U1057" s="13" t="n">
        <v>4171.51</v>
      </c>
      <c r="W1057" s="13" t="n">
        <v>0</v>
      </c>
      <c r="X1057" s="12" t="s">
        <v>1337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46209</v>
      </c>
      <c r="C1058" s="11" t="n">
        <v>46239</v>
      </c>
      <c r="D1058" s="10" t="n">
        <v>714</v>
      </c>
      <c r="E1058" s="12" t="s">
        <v>425</v>
      </c>
      <c r="F1058" s="10" t="n">
        <v>34</v>
      </c>
      <c r="G1058" s="12" t="s">
        <v>49</v>
      </c>
      <c r="H1058" s="10" t="n">
        <v>1110202</v>
      </c>
      <c r="I1058" s="12" t="s">
        <v>90</v>
      </c>
      <c r="J1058" s="10" t="n">
        <v>1207135</v>
      </c>
      <c r="L1058" s="10" t="n">
        <v>502146</v>
      </c>
      <c r="M1058" s="12" t="s">
        <v>40</v>
      </c>
      <c r="N1058" s="12" t="s">
        <v>66</v>
      </c>
      <c r="P1058" s="10" t="n">
        <v>102</v>
      </c>
      <c r="Q1058" s="12" t="s">
        <v>112</v>
      </c>
      <c r="R1058" s="12" t="s">
        <v>401</v>
      </c>
      <c r="S1058" s="10" t="n">
        <v>4210111</v>
      </c>
      <c r="T1058" s="12" t="s">
        <v>402</v>
      </c>
      <c r="U1058" s="13" t="n">
        <v>6500</v>
      </c>
      <c r="W1058" s="13" t="n">
        <v>0</v>
      </c>
      <c r="X1058" s="12" t="s">
        <v>426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46232</v>
      </c>
      <c r="C1059" s="11" t="n">
        <v>46239</v>
      </c>
      <c r="D1059" s="10" t="n">
        <v>714</v>
      </c>
      <c r="E1059" s="12" t="s">
        <v>425</v>
      </c>
      <c r="F1059" s="10" t="n">
        <v>34</v>
      </c>
      <c r="G1059" s="12" t="s">
        <v>49</v>
      </c>
      <c r="H1059" s="10" t="n">
        <v>1110202</v>
      </c>
      <c r="I1059" s="12" t="s">
        <v>90</v>
      </c>
      <c r="J1059" s="10" t="n">
        <v>1470158</v>
      </c>
      <c r="L1059" s="10" t="n">
        <v>604127</v>
      </c>
      <c r="M1059" s="12" t="s">
        <v>33</v>
      </c>
      <c r="N1059" s="12" t="s">
        <v>66</v>
      </c>
      <c r="P1059" s="10" t="n">
        <v>101</v>
      </c>
      <c r="Q1059" s="12" t="s">
        <v>84</v>
      </c>
      <c r="R1059" s="12" t="s">
        <v>91</v>
      </c>
      <c r="S1059" s="10" t="n">
        <v>4220199</v>
      </c>
      <c r="T1059" s="12" t="s">
        <v>92</v>
      </c>
      <c r="U1059" s="13" t="n">
        <v>6150</v>
      </c>
      <c r="W1059" s="13" t="n">
        <v>0</v>
      </c>
      <c r="X1059" s="12" t="s">
        <v>427</v>
      </c>
      <c r="Z1059" s="1" t="str">
        <f aca="false">IF($T1059="","",IFERROR(INDEX('Resumo Grupos'!$AC$3:$AC$200,MATCH($T1059,'Resumo Grupos'!$AB$3:$AB$200,0)),"n/d"))</f>
        <v>Pagamentos outros não operacionais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46219</v>
      </c>
      <c r="C1060" s="11" t="n">
        <v>46239</v>
      </c>
      <c r="D1060" s="10" t="n">
        <v>1601</v>
      </c>
      <c r="E1060" s="12" t="s">
        <v>243</v>
      </c>
      <c r="F1060" s="10" t="n">
        <v>24</v>
      </c>
      <c r="G1060" s="12" t="s">
        <v>31</v>
      </c>
      <c r="H1060" s="10" t="n">
        <v>1110202</v>
      </c>
      <c r="I1060" s="12" t="s">
        <v>90</v>
      </c>
      <c r="J1060" s="10" t="n">
        <v>1407173</v>
      </c>
      <c r="L1060" s="10" t="n">
        <v>854259</v>
      </c>
      <c r="M1060" s="12" t="s">
        <v>33</v>
      </c>
      <c r="N1060" s="12" t="s">
        <v>66</v>
      </c>
      <c r="P1060" s="10" t="n">
        <v>103</v>
      </c>
      <c r="Q1060" s="12" t="s">
        <v>35</v>
      </c>
      <c r="R1060" s="12" t="s">
        <v>36</v>
      </c>
      <c r="S1060" s="10" t="n">
        <v>1130101</v>
      </c>
      <c r="T1060" s="12" t="s">
        <v>37</v>
      </c>
      <c r="U1060" s="13" t="n">
        <v>546.17</v>
      </c>
      <c r="W1060" s="13" t="n">
        <v>0</v>
      </c>
      <c r="X1060" s="12" t="s">
        <v>1338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46226</v>
      </c>
      <c r="C1061" s="11" t="n">
        <v>46239</v>
      </c>
      <c r="D1061" s="10" t="n">
        <v>1608</v>
      </c>
      <c r="E1061" s="12" t="s">
        <v>52</v>
      </c>
      <c r="F1061" s="10" t="n">
        <v>24</v>
      </c>
      <c r="G1061" s="12" t="s">
        <v>31</v>
      </c>
      <c r="H1061" s="10" t="n">
        <v>1110202</v>
      </c>
      <c r="I1061" s="12" t="s">
        <v>90</v>
      </c>
      <c r="J1061" s="10" t="n">
        <v>1439448</v>
      </c>
      <c r="L1061" s="10" t="n">
        <v>592413</v>
      </c>
      <c r="M1061" s="12" t="s">
        <v>33</v>
      </c>
      <c r="N1061" s="12" t="s">
        <v>66</v>
      </c>
      <c r="P1061" s="10" t="n">
        <v>104</v>
      </c>
      <c r="Q1061" s="12" t="s">
        <v>50</v>
      </c>
      <c r="R1061" s="12" t="s">
        <v>36</v>
      </c>
      <c r="S1061" s="10" t="n">
        <v>1130101</v>
      </c>
      <c r="T1061" s="12" t="s">
        <v>37</v>
      </c>
      <c r="U1061" s="13" t="n">
        <v>1790.09</v>
      </c>
      <c r="W1061" s="13" t="n">
        <v>0</v>
      </c>
      <c r="X1061" s="12" t="s">
        <v>1339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46228</v>
      </c>
      <c r="C1062" s="11" t="n">
        <v>46239</v>
      </c>
      <c r="D1062" s="10" t="n">
        <v>1061</v>
      </c>
      <c r="E1062" s="12" t="s">
        <v>393</v>
      </c>
      <c r="F1062" s="10" t="n">
        <v>34</v>
      </c>
      <c r="G1062" s="12" t="s">
        <v>49</v>
      </c>
      <c r="H1062" s="10" t="n">
        <v>1110202</v>
      </c>
      <c r="I1062" s="12" t="s">
        <v>90</v>
      </c>
      <c r="J1062" s="10" t="n">
        <v>1448839</v>
      </c>
      <c r="L1062" s="10" t="n">
        <v>596058</v>
      </c>
      <c r="M1062" s="12" t="s">
        <v>33</v>
      </c>
      <c r="N1062" s="12" t="s">
        <v>66</v>
      </c>
      <c r="P1062" s="10" t="n">
        <v>101</v>
      </c>
      <c r="Q1062" s="12" t="s">
        <v>84</v>
      </c>
      <c r="R1062" s="12" t="s">
        <v>91</v>
      </c>
      <c r="S1062" s="10" t="n">
        <v>4220199</v>
      </c>
      <c r="T1062" s="12" t="s">
        <v>92</v>
      </c>
      <c r="U1062" s="13" t="n">
        <v>1500</v>
      </c>
      <c r="W1062" s="13" t="n">
        <v>0</v>
      </c>
      <c r="X1062" s="12" t="s">
        <v>394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46219</v>
      </c>
      <c r="C1063" s="11" t="n">
        <v>46239</v>
      </c>
      <c r="D1063" s="10" t="n">
        <v>1612</v>
      </c>
      <c r="E1063" s="12" t="s">
        <v>248</v>
      </c>
      <c r="F1063" s="10" t="n">
        <v>24</v>
      </c>
      <c r="G1063" s="12" t="s">
        <v>31</v>
      </c>
      <c r="H1063" s="10" t="n">
        <v>1110202</v>
      </c>
      <c r="I1063" s="12" t="s">
        <v>90</v>
      </c>
      <c r="J1063" s="10" t="n">
        <v>1406414</v>
      </c>
      <c r="L1063" s="10" t="n">
        <v>2301161</v>
      </c>
      <c r="M1063" s="12" t="s">
        <v>33</v>
      </c>
      <c r="N1063" s="12" t="s">
        <v>66</v>
      </c>
      <c r="P1063" s="10" t="n">
        <v>103</v>
      </c>
      <c r="Q1063" s="12" t="s">
        <v>35</v>
      </c>
      <c r="R1063" s="12" t="s">
        <v>36</v>
      </c>
      <c r="S1063" s="10" t="n">
        <v>1130101</v>
      </c>
      <c r="T1063" s="12" t="s">
        <v>37</v>
      </c>
      <c r="U1063" s="13" t="n">
        <v>1828.54</v>
      </c>
      <c r="W1063" s="13" t="n">
        <v>0</v>
      </c>
      <c r="X1063" s="12" t="s">
        <v>1340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46212</v>
      </c>
      <c r="C1064" s="11" t="n">
        <v>46239</v>
      </c>
      <c r="D1064" s="10" t="n">
        <v>911</v>
      </c>
      <c r="E1064" s="12" t="s">
        <v>334</v>
      </c>
      <c r="F1064" s="10" t="n">
        <v>24</v>
      </c>
      <c r="G1064" s="12" t="s">
        <v>31</v>
      </c>
      <c r="H1064" s="10" t="n">
        <v>2110101</v>
      </c>
      <c r="I1064" s="12" t="s">
        <v>32</v>
      </c>
      <c r="J1064" s="10" t="n">
        <v>1374163</v>
      </c>
      <c r="L1064" s="10" t="n">
        <v>53383</v>
      </c>
      <c r="M1064" s="12" t="s">
        <v>33</v>
      </c>
      <c r="N1064" s="12" t="s">
        <v>34</v>
      </c>
      <c r="P1064" s="10" t="n">
        <v>103</v>
      </c>
      <c r="Q1064" s="12" t="s">
        <v>35</v>
      </c>
      <c r="R1064" s="12" t="s">
        <v>36</v>
      </c>
      <c r="S1064" s="10" t="n">
        <v>1130101</v>
      </c>
      <c r="T1064" s="12" t="s">
        <v>37</v>
      </c>
      <c r="U1064" s="13" t="n">
        <v>990.72</v>
      </c>
      <c r="W1064" s="13" t="n">
        <v>0</v>
      </c>
      <c r="X1064" s="12" t="s">
        <v>1341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46218</v>
      </c>
      <c r="C1065" s="11" t="n">
        <v>46239</v>
      </c>
      <c r="D1065" s="10" t="n">
        <v>957</v>
      </c>
      <c r="E1065" s="12" t="s">
        <v>75</v>
      </c>
      <c r="F1065" s="10" t="n">
        <v>24</v>
      </c>
      <c r="G1065" s="12" t="s">
        <v>31</v>
      </c>
      <c r="H1065" s="10" t="n">
        <v>1110202</v>
      </c>
      <c r="I1065" s="12" t="s">
        <v>90</v>
      </c>
      <c r="J1065" s="10" t="n">
        <v>1402587</v>
      </c>
      <c r="L1065" s="10" t="n">
        <v>21048</v>
      </c>
      <c r="M1065" s="12" t="s">
        <v>33</v>
      </c>
      <c r="N1065" s="12" t="s">
        <v>66</v>
      </c>
      <c r="P1065" s="10" t="n">
        <v>103</v>
      </c>
      <c r="Q1065" s="12" t="s">
        <v>35</v>
      </c>
      <c r="R1065" s="12" t="s">
        <v>36</v>
      </c>
      <c r="S1065" s="10" t="n">
        <v>1130101</v>
      </c>
      <c r="T1065" s="12" t="s">
        <v>37</v>
      </c>
      <c r="U1065" s="13" t="n">
        <v>1475.42</v>
      </c>
      <c r="W1065" s="13" t="n">
        <v>0</v>
      </c>
      <c r="X1065" s="12" t="s">
        <v>1342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46185</v>
      </c>
      <c r="C1066" s="11" t="n">
        <v>46239</v>
      </c>
      <c r="D1066" s="10" t="n">
        <v>1768</v>
      </c>
      <c r="E1066" s="12" t="s">
        <v>395</v>
      </c>
      <c r="F1066" s="10" t="n">
        <v>34</v>
      </c>
      <c r="G1066" s="12" t="s">
        <v>49</v>
      </c>
      <c r="H1066" s="10" t="n">
        <v>1110202</v>
      </c>
      <c r="I1066" s="12" t="s">
        <v>90</v>
      </c>
      <c r="J1066" s="10" t="n">
        <v>1240158</v>
      </c>
      <c r="L1066" s="10" t="n">
        <v>515079</v>
      </c>
      <c r="M1066" s="12" t="s">
        <v>76</v>
      </c>
      <c r="N1066" s="12" t="s">
        <v>66</v>
      </c>
      <c r="P1066" s="10" t="n">
        <v>102</v>
      </c>
      <c r="Q1066" s="12" t="s">
        <v>112</v>
      </c>
      <c r="R1066" s="12" t="s">
        <v>94</v>
      </c>
      <c r="S1066" s="10" t="n">
        <v>4210202</v>
      </c>
      <c r="T1066" s="12" t="s">
        <v>396</v>
      </c>
      <c r="U1066" s="13" t="n">
        <v>2431.5</v>
      </c>
      <c r="W1066" s="13" t="n">
        <v>0</v>
      </c>
      <c r="X1066" s="12" t="s">
        <v>397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46235</v>
      </c>
      <c r="C1067" s="11" t="n">
        <v>46239</v>
      </c>
      <c r="D1067" s="10" t="n">
        <v>1363</v>
      </c>
      <c r="E1067" s="12" t="s">
        <v>177</v>
      </c>
      <c r="F1067" s="10" t="n">
        <v>24</v>
      </c>
      <c r="G1067" s="12" t="s">
        <v>31</v>
      </c>
      <c r="H1067" s="10" t="n">
        <v>1110202</v>
      </c>
      <c r="I1067" s="12" t="s">
        <v>90</v>
      </c>
      <c r="J1067" s="10" t="n">
        <v>1481738</v>
      </c>
      <c r="L1067" s="10" t="n">
        <v>3624</v>
      </c>
      <c r="M1067" s="12" t="s">
        <v>33</v>
      </c>
      <c r="N1067" s="12" t="s">
        <v>66</v>
      </c>
      <c r="P1067" s="10" t="n">
        <v>103</v>
      </c>
      <c r="Q1067" s="12" t="s">
        <v>35</v>
      </c>
      <c r="R1067" s="12" t="s">
        <v>36</v>
      </c>
      <c r="S1067" s="10" t="n">
        <v>1130101</v>
      </c>
      <c r="T1067" s="12" t="s">
        <v>37</v>
      </c>
      <c r="U1067" s="13" t="n">
        <v>287</v>
      </c>
      <c r="W1067" s="13" t="n">
        <v>0</v>
      </c>
      <c r="X1067" s="12" t="s">
        <v>1343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46218</v>
      </c>
      <c r="C1068" s="11" t="n">
        <v>46239</v>
      </c>
      <c r="D1068" s="10" t="n">
        <v>1699</v>
      </c>
      <c r="E1068" s="12" t="s">
        <v>124</v>
      </c>
      <c r="F1068" s="10" t="n">
        <v>24</v>
      </c>
      <c r="G1068" s="12" t="s">
        <v>31</v>
      </c>
      <c r="H1068" s="10" t="n">
        <v>1110202</v>
      </c>
      <c r="I1068" s="12" t="s">
        <v>90</v>
      </c>
      <c r="J1068" s="10" t="n">
        <v>1401907</v>
      </c>
      <c r="L1068" s="10" t="n">
        <v>307805</v>
      </c>
      <c r="M1068" s="12" t="s">
        <v>40</v>
      </c>
      <c r="N1068" s="12" t="s">
        <v>66</v>
      </c>
      <c r="P1068" s="10" t="n">
        <v>103</v>
      </c>
      <c r="Q1068" s="12" t="s">
        <v>35</v>
      </c>
      <c r="R1068" s="12" t="s">
        <v>36</v>
      </c>
      <c r="S1068" s="10" t="n">
        <v>1130101</v>
      </c>
      <c r="T1068" s="12" t="s">
        <v>37</v>
      </c>
      <c r="U1068" s="13" t="n">
        <v>732.46</v>
      </c>
      <c r="W1068" s="13" t="n">
        <v>0</v>
      </c>
      <c r="X1068" s="12" t="s">
        <v>1344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46232</v>
      </c>
      <c r="C1069" s="11" t="n">
        <v>46239</v>
      </c>
      <c r="D1069" s="10" t="n">
        <v>1778</v>
      </c>
      <c r="E1069" s="12" t="s">
        <v>622</v>
      </c>
      <c r="F1069" s="10" t="n">
        <v>24</v>
      </c>
      <c r="G1069" s="12" t="s">
        <v>31</v>
      </c>
      <c r="H1069" s="10" t="n">
        <v>1110202</v>
      </c>
      <c r="I1069" s="12" t="s">
        <v>90</v>
      </c>
      <c r="J1069" s="10" t="n">
        <v>1469191</v>
      </c>
      <c r="L1069" s="10" t="n">
        <v>124472855</v>
      </c>
      <c r="M1069" s="12" t="s">
        <v>33</v>
      </c>
      <c r="N1069" s="12" t="s">
        <v>66</v>
      </c>
      <c r="P1069" s="10" t="n">
        <v>101</v>
      </c>
      <c r="Q1069" s="12" t="s">
        <v>84</v>
      </c>
      <c r="R1069" s="12" t="s">
        <v>94</v>
      </c>
      <c r="S1069" s="10" t="n">
        <v>4210207</v>
      </c>
      <c r="T1069" s="12" t="s">
        <v>623</v>
      </c>
      <c r="U1069" s="13" t="n">
        <v>196.58</v>
      </c>
      <c r="W1069" s="13" t="n">
        <v>0</v>
      </c>
      <c r="X1069" s="12" t="s">
        <v>1345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46208</v>
      </c>
      <c r="C1070" s="11" t="n">
        <v>46239</v>
      </c>
      <c r="D1070" s="10" t="n">
        <v>17</v>
      </c>
      <c r="E1070" s="12" t="s">
        <v>268</v>
      </c>
      <c r="F1070" s="10" t="n">
        <v>24</v>
      </c>
      <c r="G1070" s="12" t="s">
        <v>31</v>
      </c>
      <c r="H1070" s="10" t="n">
        <v>1110202</v>
      </c>
      <c r="I1070" s="12" t="s">
        <v>90</v>
      </c>
      <c r="J1070" s="10" t="n">
        <v>1359969</v>
      </c>
      <c r="L1070" s="10" t="n">
        <v>561604</v>
      </c>
      <c r="M1070" s="12" t="s">
        <v>76</v>
      </c>
      <c r="N1070" s="12" t="s">
        <v>66</v>
      </c>
      <c r="P1070" s="10" t="n">
        <v>101</v>
      </c>
      <c r="Q1070" s="12" t="s">
        <v>84</v>
      </c>
      <c r="R1070" s="12" t="s">
        <v>91</v>
      </c>
      <c r="S1070" s="10" t="n">
        <v>4220199</v>
      </c>
      <c r="T1070" s="12" t="s">
        <v>92</v>
      </c>
      <c r="U1070" s="13" t="n">
        <v>600.31</v>
      </c>
      <c r="W1070" s="13" t="n">
        <v>0</v>
      </c>
      <c r="X1070" s="12" t="s">
        <v>399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46172</v>
      </c>
      <c r="C1071" s="11" t="n">
        <v>46239</v>
      </c>
      <c r="D1071" s="10" t="n">
        <v>17</v>
      </c>
      <c r="E1071" s="12" t="s">
        <v>268</v>
      </c>
      <c r="F1071" s="10" t="n">
        <v>24</v>
      </c>
      <c r="G1071" s="12" t="s">
        <v>31</v>
      </c>
      <c r="H1071" s="10" t="n">
        <v>1110202</v>
      </c>
      <c r="I1071" s="12" t="s">
        <v>90</v>
      </c>
      <c r="J1071" s="10" t="n">
        <v>1176199</v>
      </c>
      <c r="L1071" s="10" t="n">
        <v>489996</v>
      </c>
      <c r="M1071" s="12" t="s">
        <v>33</v>
      </c>
      <c r="N1071" s="12" t="s">
        <v>66</v>
      </c>
      <c r="P1071" s="10" t="n">
        <v>101</v>
      </c>
      <c r="Q1071" s="12" t="s">
        <v>84</v>
      </c>
      <c r="R1071" s="12" t="s">
        <v>91</v>
      </c>
      <c r="S1071" s="10" t="n">
        <v>4220199</v>
      </c>
      <c r="T1071" s="12" t="s">
        <v>92</v>
      </c>
      <c r="U1071" s="13" t="n">
        <v>690.01</v>
      </c>
      <c r="W1071" s="13" t="n">
        <v>0</v>
      </c>
      <c r="X1071" s="12" t="s">
        <v>1346</v>
      </c>
      <c r="Z1071" s="1" t="str">
        <f aca="false">IF($T1071="","",IFERROR(INDEX('Resumo Grupos'!$AC$3:$AC$200,MATCH($T1071,'Resumo Grupos'!$AB$3:$AB$200,0)),"n/d"))</f>
        <v>Pagamentos outros não operacionais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46172</v>
      </c>
      <c r="C1072" s="11" t="n">
        <v>46239</v>
      </c>
      <c r="D1072" s="10" t="n">
        <v>17</v>
      </c>
      <c r="E1072" s="12" t="s">
        <v>268</v>
      </c>
      <c r="F1072" s="10" t="n">
        <v>24</v>
      </c>
      <c r="G1072" s="12" t="s">
        <v>31</v>
      </c>
      <c r="H1072" s="10" t="n">
        <v>1110202</v>
      </c>
      <c r="I1072" s="12" t="s">
        <v>90</v>
      </c>
      <c r="J1072" s="10" t="n">
        <v>1176191</v>
      </c>
      <c r="L1072" s="10" t="n">
        <v>489992</v>
      </c>
      <c r="M1072" s="12" t="s">
        <v>33</v>
      </c>
      <c r="N1072" s="12" t="s">
        <v>66</v>
      </c>
      <c r="P1072" s="10" t="n">
        <v>101</v>
      </c>
      <c r="Q1072" s="12" t="s">
        <v>84</v>
      </c>
      <c r="R1072" s="12" t="s">
        <v>91</v>
      </c>
      <c r="S1072" s="10" t="n">
        <v>4220199</v>
      </c>
      <c r="T1072" s="12" t="s">
        <v>92</v>
      </c>
      <c r="U1072" s="13" t="n">
        <v>250</v>
      </c>
      <c r="W1072" s="13" t="n">
        <v>0</v>
      </c>
      <c r="X1072" s="12" t="s">
        <v>1347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46226</v>
      </c>
      <c r="C1073" s="11" t="n">
        <v>46239</v>
      </c>
      <c r="D1073" s="10" t="n">
        <v>1749</v>
      </c>
      <c r="E1073" s="12" t="s">
        <v>188</v>
      </c>
      <c r="F1073" s="10" t="n">
        <v>24</v>
      </c>
      <c r="G1073" s="12" t="s">
        <v>31</v>
      </c>
      <c r="H1073" s="10" t="n">
        <v>1110202</v>
      </c>
      <c r="I1073" s="12" t="s">
        <v>90</v>
      </c>
      <c r="J1073" s="10" t="n">
        <v>1439282</v>
      </c>
      <c r="L1073" s="10" t="n">
        <v>2785</v>
      </c>
      <c r="M1073" s="12" t="s">
        <v>33</v>
      </c>
      <c r="N1073" s="12" t="s">
        <v>66</v>
      </c>
      <c r="P1073" s="10" t="n">
        <v>103</v>
      </c>
      <c r="Q1073" s="12" t="s">
        <v>35</v>
      </c>
      <c r="R1073" s="12" t="s">
        <v>36</v>
      </c>
      <c r="S1073" s="10" t="n">
        <v>1130101</v>
      </c>
      <c r="T1073" s="12" t="s">
        <v>37</v>
      </c>
      <c r="U1073" s="13" t="n">
        <v>2195.6</v>
      </c>
      <c r="W1073" s="13" t="n">
        <v>0</v>
      </c>
      <c r="X1073" s="12" t="s">
        <v>1348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46147</v>
      </c>
      <c r="C1074" s="11" t="n">
        <v>46239</v>
      </c>
      <c r="D1074" s="10" t="n">
        <v>956</v>
      </c>
      <c r="E1074" s="12" t="s">
        <v>400</v>
      </c>
      <c r="F1074" s="10" t="n">
        <v>34</v>
      </c>
      <c r="G1074" s="12" t="s">
        <v>49</v>
      </c>
      <c r="H1074" s="10" t="n">
        <v>1110202</v>
      </c>
      <c r="I1074" s="12" t="s">
        <v>90</v>
      </c>
      <c r="J1074" s="10" t="n">
        <v>1053484</v>
      </c>
      <c r="L1074" s="10" t="n">
        <v>443312</v>
      </c>
      <c r="M1074" s="12" t="s">
        <v>40</v>
      </c>
      <c r="N1074" s="12" t="s">
        <v>66</v>
      </c>
      <c r="P1074" s="10" t="n">
        <v>101</v>
      </c>
      <c r="Q1074" s="12" t="s">
        <v>84</v>
      </c>
      <c r="R1074" s="12" t="s">
        <v>401</v>
      </c>
      <c r="S1074" s="10" t="n">
        <v>4210111</v>
      </c>
      <c r="T1074" s="12" t="s">
        <v>402</v>
      </c>
      <c r="U1074" s="13" t="n">
        <v>4300</v>
      </c>
      <c r="W1074" s="13" t="n">
        <v>0</v>
      </c>
      <c r="X1074" s="12" t="s">
        <v>403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46142</v>
      </c>
      <c r="C1075" s="11" t="n">
        <v>46239</v>
      </c>
      <c r="D1075" s="10" t="n">
        <v>607</v>
      </c>
      <c r="E1075" s="12" t="s">
        <v>81</v>
      </c>
      <c r="F1075" s="10" t="n">
        <v>24</v>
      </c>
      <c r="G1075" s="12" t="s">
        <v>31</v>
      </c>
      <c r="H1075" s="10" t="n">
        <v>2110101</v>
      </c>
      <c r="I1075" s="12" t="s">
        <v>32</v>
      </c>
      <c r="J1075" s="10" t="n">
        <v>1028242</v>
      </c>
      <c r="L1075" s="10" t="n">
        <v>10262</v>
      </c>
      <c r="M1075" s="12" t="s">
        <v>1349</v>
      </c>
      <c r="N1075" s="12" t="s">
        <v>34</v>
      </c>
      <c r="P1075" s="10" t="n">
        <v>103</v>
      </c>
      <c r="Q1075" s="12" t="s">
        <v>35</v>
      </c>
      <c r="R1075" s="12" t="s">
        <v>36</v>
      </c>
      <c r="S1075" s="10" t="n">
        <v>1130101</v>
      </c>
      <c r="T1075" s="12" t="s">
        <v>37</v>
      </c>
      <c r="U1075" s="13" t="n">
        <v>1488.3</v>
      </c>
      <c r="W1075" s="13" t="n">
        <v>0</v>
      </c>
      <c r="X1075" s="12" t="s">
        <v>1350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46219</v>
      </c>
      <c r="C1076" s="11" t="n">
        <v>46239</v>
      </c>
      <c r="D1076" s="10" t="n">
        <v>1605</v>
      </c>
      <c r="E1076" s="12" t="s">
        <v>1351</v>
      </c>
      <c r="F1076" s="10" t="n">
        <v>24</v>
      </c>
      <c r="G1076" s="12" t="s">
        <v>31</v>
      </c>
      <c r="H1076" s="10" t="n">
        <v>1110202</v>
      </c>
      <c r="I1076" s="12" t="s">
        <v>90</v>
      </c>
      <c r="J1076" s="10" t="n">
        <v>1405688</v>
      </c>
      <c r="L1076" s="10" t="n">
        <v>218815</v>
      </c>
      <c r="M1076" s="12" t="s">
        <v>33</v>
      </c>
      <c r="N1076" s="12" t="s">
        <v>66</v>
      </c>
      <c r="P1076" s="10" t="n">
        <v>103</v>
      </c>
      <c r="Q1076" s="12" t="s">
        <v>35</v>
      </c>
      <c r="R1076" s="12" t="s">
        <v>36</v>
      </c>
      <c r="S1076" s="10" t="n">
        <v>1130101</v>
      </c>
      <c r="T1076" s="12" t="s">
        <v>37</v>
      </c>
      <c r="U1076" s="13" t="n">
        <v>527.04</v>
      </c>
      <c r="W1076" s="13" t="n">
        <v>0</v>
      </c>
      <c r="X1076" s="12" t="s">
        <v>1352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46230</v>
      </c>
      <c r="C1077" s="11" t="n">
        <v>46239</v>
      </c>
      <c r="D1077" s="10" t="n">
        <v>218</v>
      </c>
      <c r="E1077" s="12" t="s">
        <v>1152</v>
      </c>
      <c r="F1077" s="10" t="n">
        <v>34</v>
      </c>
      <c r="G1077" s="12" t="s">
        <v>49</v>
      </c>
      <c r="H1077" s="10" t="n">
        <v>1110202</v>
      </c>
      <c r="I1077" s="12" t="s">
        <v>90</v>
      </c>
      <c r="J1077" s="10" t="n">
        <v>1459638</v>
      </c>
      <c r="L1077" s="10" t="n">
        <v>600419</v>
      </c>
      <c r="M1077" s="12" t="s">
        <v>33</v>
      </c>
      <c r="N1077" s="12" t="s">
        <v>66</v>
      </c>
      <c r="P1077" s="10" t="n">
        <v>101</v>
      </c>
      <c r="Q1077" s="12" t="s">
        <v>84</v>
      </c>
      <c r="R1077" s="12" t="s">
        <v>121</v>
      </c>
      <c r="S1077" s="10" t="n">
        <v>4210301</v>
      </c>
      <c r="T1077" s="12" t="s">
        <v>122</v>
      </c>
      <c r="U1077" s="13" t="n">
        <v>4070.48</v>
      </c>
      <c r="W1077" s="13" t="n">
        <v>0</v>
      </c>
      <c r="X1077" s="12" t="s">
        <v>1353</v>
      </c>
      <c r="Z1077" s="1" t="str">
        <f aca="false">IF($T1077="","",IFERROR(INDEX('Resumo Grupos'!$AC$3:$AC$200,MATCH($T1077,'Resumo Grupos'!$AB$3:$AB$200,0)),"n/d"))</f>
        <v>Salários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46232</v>
      </c>
      <c r="C1078" s="11" t="n">
        <v>46239</v>
      </c>
      <c r="D1078" s="10" t="n">
        <v>33</v>
      </c>
      <c r="E1078" s="12" t="s">
        <v>64</v>
      </c>
      <c r="F1078" s="10" t="n">
        <v>24</v>
      </c>
      <c r="G1078" s="12" t="s">
        <v>31</v>
      </c>
      <c r="H1078" s="10" t="n">
        <v>2110101</v>
      </c>
      <c r="I1078" s="12" t="s">
        <v>32</v>
      </c>
      <c r="J1078" s="10" t="n">
        <v>1469574</v>
      </c>
      <c r="L1078" s="10" t="n">
        <v>5387</v>
      </c>
      <c r="M1078" s="12" t="s">
        <v>33</v>
      </c>
      <c r="N1078" s="12" t="s">
        <v>34</v>
      </c>
      <c r="P1078" s="10" t="n">
        <v>103</v>
      </c>
      <c r="Q1078" s="12" t="s">
        <v>35</v>
      </c>
      <c r="R1078" s="12" t="s">
        <v>36</v>
      </c>
      <c r="S1078" s="10" t="n">
        <v>1130101</v>
      </c>
      <c r="T1078" s="12" t="s">
        <v>37</v>
      </c>
      <c r="U1078" s="13" t="n">
        <v>280</v>
      </c>
      <c r="W1078" s="13" t="n">
        <v>0</v>
      </c>
      <c r="X1078" s="12" t="s">
        <v>1354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46228</v>
      </c>
      <c r="C1079" s="11" t="n">
        <v>46239</v>
      </c>
      <c r="D1079" s="10" t="n">
        <v>16</v>
      </c>
      <c r="E1079" s="12" t="s">
        <v>407</v>
      </c>
      <c r="F1079" s="10" t="n">
        <v>34</v>
      </c>
      <c r="G1079" s="12" t="s">
        <v>49</v>
      </c>
      <c r="H1079" s="10" t="n">
        <v>1110202</v>
      </c>
      <c r="I1079" s="12" t="s">
        <v>90</v>
      </c>
      <c r="J1079" s="10" t="n">
        <v>1448856</v>
      </c>
      <c r="L1079" s="10" t="n">
        <v>596062</v>
      </c>
      <c r="M1079" s="12" t="s">
        <v>33</v>
      </c>
      <c r="N1079" s="12" t="s">
        <v>66</v>
      </c>
      <c r="P1079" s="10" t="n">
        <v>101</v>
      </c>
      <c r="Q1079" s="12" t="s">
        <v>84</v>
      </c>
      <c r="R1079" s="12" t="s">
        <v>121</v>
      </c>
      <c r="S1079" s="10" t="n">
        <v>4210301</v>
      </c>
      <c r="T1079" s="12" t="s">
        <v>122</v>
      </c>
      <c r="U1079" s="13" t="n">
        <v>500</v>
      </c>
      <c r="W1079" s="13" t="n">
        <v>0</v>
      </c>
      <c r="X1079" s="12" t="s">
        <v>1355</v>
      </c>
      <c r="Z1079" s="1" t="str">
        <f aca="false">IF($T1079="","",IFERROR(INDEX('Resumo Grupos'!$AC$3:$AC$200,MATCH($T1079,'Resumo Grupos'!$AB$3:$AB$200,0)),"n/d"))</f>
        <v>Salários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46209</v>
      </c>
      <c r="C1080" s="11" t="n">
        <v>46239</v>
      </c>
      <c r="D1080" s="10" t="n">
        <v>16</v>
      </c>
      <c r="E1080" s="12" t="s">
        <v>407</v>
      </c>
      <c r="F1080" s="10" t="n">
        <v>34</v>
      </c>
      <c r="G1080" s="12" t="s">
        <v>49</v>
      </c>
      <c r="H1080" s="10" t="n">
        <v>1110202</v>
      </c>
      <c r="I1080" s="12" t="s">
        <v>90</v>
      </c>
      <c r="J1080" s="10" t="n">
        <v>1207139</v>
      </c>
      <c r="L1080" s="10" t="n">
        <v>502148</v>
      </c>
      <c r="M1080" s="12" t="s">
        <v>40</v>
      </c>
      <c r="N1080" s="12" t="s">
        <v>66</v>
      </c>
      <c r="P1080" s="10" t="n">
        <v>102</v>
      </c>
      <c r="Q1080" s="12" t="s">
        <v>112</v>
      </c>
      <c r="R1080" s="12" t="s">
        <v>91</v>
      </c>
      <c r="S1080" s="10" t="n">
        <v>4220199</v>
      </c>
      <c r="T1080" s="12" t="s">
        <v>92</v>
      </c>
      <c r="U1080" s="13" t="n">
        <v>350</v>
      </c>
      <c r="W1080" s="13" t="n">
        <v>0</v>
      </c>
      <c r="X1080" s="12" t="s">
        <v>450</v>
      </c>
      <c r="Z1080" s="1" t="str">
        <f aca="false">IF($T1080="","",IFERROR(INDEX('Resumo Grupos'!$AC$3:$AC$200,MATCH($T1080,'Resumo Grupos'!$AB$3:$AB$200,0)),"n/d"))</f>
        <v>Pagamentos outros não operacionais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46232</v>
      </c>
      <c r="C1081" s="11" t="n">
        <v>46239</v>
      </c>
      <c r="D1081" s="10" t="n">
        <v>754</v>
      </c>
      <c r="E1081" s="12" t="s">
        <v>68</v>
      </c>
      <c r="F1081" s="10" t="n">
        <v>24</v>
      </c>
      <c r="G1081" s="12" t="s">
        <v>31</v>
      </c>
      <c r="H1081" s="10" t="n">
        <v>1110202</v>
      </c>
      <c r="I1081" s="12" t="s">
        <v>90</v>
      </c>
      <c r="J1081" s="10" t="n">
        <v>1469648</v>
      </c>
      <c r="L1081" s="10" t="n">
        <v>32114</v>
      </c>
      <c r="M1081" s="12" t="s">
        <v>33</v>
      </c>
      <c r="N1081" s="12" t="s">
        <v>66</v>
      </c>
      <c r="P1081" s="10" t="n">
        <v>103</v>
      </c>
      <c r="Q1081" s="12" t="s">
        <v>35</v>
      </c>
      <c r="R1081" s="12" t="s">
        <v>36</v>
      </c>
      <c r="S1081" s="10" t="n">
        <v>1130101</v>
      </c>
      <c r="T1081" s="12" t="s">
        <v>37</v>
      </c>
      <c r="U1081" s="13" t="n">
        <v>3642.5</v>
      </c>
      <c r="W1081" s="13" t="n">
        <v>0</v>
      </c>
      <c r="X1081" s="12" t="s">
        <v>1356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46226</v>
      </c>
      <c r="C1082" s="11" t="n">
        <v>46239</v>
      </c>
      <c r="D1082" s="10" t="n">
        <v>1671</v>
      </c>
      <c r="E1082" s="12" t="s">
        <v>83</v>
      </c>
      <c r="F1082" s="10" t="n">
        <v>24</v>
      </c>
      <c r="G1082" s="12" t="s">
        <v>31</v>
      </c>
      <c r="H1082" s="10" t="n">
        <v>1110202</v>
      </c>
      <c r="I1082" s="12" t="s">
        <v>90</v>
      </c>
      <c r="J1082" s="10" t="n">
        <v>1439103</v>
      </c>
      <c r="L1082" s="10" t="n">
        <v>592343</v>
      </c>
      <c r="M1082" s="12" t="s">
        <v>33</v>
      </c>
      <c r="N1082" s="12" t="s">
        <v>66</v>
      </c>
      <c r="P1082" s="10" t="n">
        <v>104</v>
      </c>
      <c r="Q1082" s="12" t="s">
        <v>50</v>
      </c>
      <c r="R1082" s="12" t="s">
        <v>36</v>
      </c>
      <c r="S1082" s="10" t="n">
        <v>1130101</v>
      </c>
      <c r="T1082" s="12" t="s">
        <v>37</v>
      </c>
      <c r="U1082" s="13" t="n">
        <v>1471.39</v>
      </c>
      <c r="W1082" s="13" t="n">
        <v>0</v>
      </c>
      <c r="X1082" s="12" t="s">
        <v>1357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46226</v>
      </c>
      <c r="C1083" s="11" t="n">
        <v>46239</v>
      </c>
      <c r="D1083" s="10" t="n">
        <v>1745</v>
      </c>
      <c r="E1083" s="12" t="s">
        <v>212</v>
      </c>
      <c r="F1083" s="10" t="n">
        <v>24</v>
      </c>
      <c r="G1083" s="12" t="s">
        <v>31</v>
      </c>
      <c r="H1083" s="10" t="n">
        <v>1110202</v>
      </c>
      <c r="I1083" s="12" t="s">
        <v>90</v>
      </c>
      <c r="J1083" s="10" t="n">
        <v>1440158</v>
      </c>
      <c r="L1083" s="10" t="n">
        <v>353326</v>
      </c>
      <c r="M1083" s="12" t="s">
        <v>33</v>
      </c>
      <c r="N1083" s="12" t="s">
        <v>66</v>
      </c>
      <c r="P1083" s="10" t="n">
        <v>103</v>
      </c>
      <c r="Q1083" s="12" t="s">
        <v>35</v>
      </c>
      <c r="R1083" s="12" t="s">
        <v>36</v>
      </c>
      <c r="S1083" s="10" t="n">
        <v>1130101</v>
      </c>
      <c r="T1083" s="12" t="s">
        <v>37</v>
      </c>
      <c r="U1083" s="13" t="n">
        <v>2063.42</v>
      </c>
      <c r="W1083" s="13" t="n">
        <v>0</v>
      </c>
      <c r="X1083" s="12" t="s">
        <v>1358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46233</v>
      </c>
      <c r="C1084" s="11" t="n">
        <v>46240</v>
      </c>
      <c r="D1084" s="10" t="n">
        <v>1614</v>
      </c>
      <c r="E1084" s="12" t="s">
        <v>99</v>
      </c>
      <c r="F1084" s="10" t="n">
        <v>24</v>
      </c>
      <c r="G1084" s="12" t="s">
        <v>31</v>
      </c>
      <c r="H1084" s="10" t="n">
        <v>1110202</v>
      </c>
      <c r="I1084" s="12" t="s">
        <v>90</v>
      </c>
      <c r="J1084" s="10" t="n">
        <v>1473362</v>
      </c>
      <c r="L1084" s="10" t="n">
        <v>11493</v>
      </c>
      <c r="M1084" s="12" t="s">
        <v>76</v>
      </c>
      <c r="N1084" s="12" t="s">
        <v>66</v>
      </c>
      <c r="P1084" s="10" t="n">
        <v>103</v>
      </c>
      <c r="Q1084" s="12" t="s">
        <v>35</v>
      </c>
      <c r="R1084" s="12" t="s">
        <v>36</v>
      </c>
      <c r="S1084" s="10" t="n">
        <v>1130101</v>
      </c>
      <c r="T1084" s="12" t="s">
        <v>37</v>
      </c>
      <c r="U1084" s="13" t="n">
        <v>285.48</v>
      </c>
      <c r="W1084" s="13" t="n">
        <v>0</v>
      </c>
      <c r="X1084" s="12" t="s">
        <v>1359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46219</v>
      </c>
      <c r="C1085" s="11" t="n">
        <v>46240</v>
      </c>
      <c r="D1085" s="10" t="n">
        <v>1601</v>
      </c>
      <c r="E1085" s="12" t="s">
        <v>243</v>
      </c>
      <c r="F1085" s="10" t="n">
        <v>24</v>
      </c>
      <c r="G1085" s="12" t="s">
        <v>31</v>
      </c>
      <c r="H1085" s="10" t="n">
        <v>1110202</v>
      </c>
      <c r="I1085" s="12" t="s">
        <v>90</v>
      </c>
      <c r="J1085" s="10" t="n">
        <v>1407452</v>
      </c>
      <c r="L1085" s="10" t="n">
        <v>854275</v>
      </c>
      <c r="M1085" s="12" t="s">
        <v>76</v>
      </c>
      <c r="N1085" s="12" t="s">
        <v>66</v>
      </c>
      <c r="P1085" s="10" t="n">
        <v>103</v>
      </c>
      <c r="Q1085" s="12" t="s">
        <v>35</v>
      </c>
      <c r="R1085" s="12" t="s">
        <v>36</v>
      </c>
      <c r="S1085" s="10" t="n">
        <v>1130101</v>
      </c>
      <c r="T1085" s="12" t="s">
        <v>37</v>
      </c>
      <c r="U1085" s="13" t="n">
        <v>748.7</v>
      </c>
      <c r="W1085" s="13" t="n">
        <v>0</v>
      </c>
      <c r="X1085" s="12" t="s">
        <v>1360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46223</v>
      </c>
      <c r="C1086" s="11" t="n">
        <v>46240</v>
      </c>
      <c r="D1086" s="10" t="n">
        <v>1718</v>
      </c>
      <c r="E1086" s="12" t="s">
        <v>332</v>
      </c>
      <c r="F1086" s="10" t="n">
        <v>24</v>
      </c>
      <c r="G1086" s="12" t="s">
        <v>31</v>
      </c>
      <c r="H1086" s="10" t="n">
        <v>1110202</v>
      </c>
      <c r="I1086" s="12" t="s">
        <v>90</v>
      </c>
      <c r="J1086" s="10" t="n">
        <v>1425328</v>
      </c>
      <c r="L1086" s="10" t="n">
        <v>682525</v>
      </c>
      <c r="M1086" s="12" t="s">
        <v>33</v>
      </c>
      <c r="N1086" s="12" t="s">
        <v>66</v>
      </c>
      <c r="P1086" s="10" t="n">
        <v>103</v>
      </c>
      <c r="Q1086" s="12" t="s">
        <v>35</v>
      </c>
      <c r="R1086" s="12" t="s">
        <v>36</v>
      </c>
      <c r="S1086" s="10" t="n">
        <v>1130101</v>
      </c>
      <c r="T1086" s="12" t="s">
        <v>37</v>
      </c>
      <c r="U1086" s="13" t="n">
        <v>698.48</v>
      </c>
      <c r="W1086" s="13" t="n">
        <v>0</v>
      </c>
      <c r="X1086" s="12" t="s">
        <v>1361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46220</v>
      </c>
      <c r="C1087" s="11" t="n">
        <v>46240</v>
      </c>
      <c r="D1087" s="10" t="n">
        <v>1608</v>
      </c>
      <c r="E1087" s="12" t="s">
        <v>52</v>
      </c>
      <c r="F1087" s="10" t="n">
        <v>24</v>
      </c>
      <c r="G1087" s="12" t="s">
        <v>31</v>
      </c>
      <c r="H1087" s="10" t="n">
        <v>1110202</v>
      </c>
      <c r="I1087" s="12" t="s">
        <v>90</v>
      </c>
      <c r="J1087" s="10" t="n">
        <v>1410646</v>
      </c>
      <c r="L1087" s="10" t="n">
        <v>1693814</v>
      </c>
      <c r="M1087" s="12" t="s">
        <v>33</v>
      </c>
      <c r="N1087" s="12" t="s">
        <v>66</v>
      </c>
      <c r="P1087" s="10" t="n">
        <v>103</v>
      </c>
      <c r="Q1087" s="12" t="s">
        <v>35</v>
      </c>
      <c r="R1087" s="12" t="s">
        <v>36</v>
      </c>
      <c r="S1087" s="10" t="n">
        <v>1130101</v>
      </c>
      <c r="T1087" s="12" t="s">
        <v>37</v>
      </c>
      <c r="U1087" s="13" t="n">
        <v>2799.83</v>
      </c>
      <c r="W1087" s="13" t="n">
        <v>0</v>
      </c>
      <c r="X1087" s="12" t="s">
        <v>1362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46219</v>
      </c>
      <c r="C1088" s="11" t="n">
        <v>46240</v>
      </c>
      <c r="D1088" s="10" t="n">
        <v>1636</v>
      </c>
      <c r="E1088" s="12" t="s">
        <v>290</v>
      </c>
      <c r="F1088" s="10" t="n">
        <v>24</v>
      </c>
      <c r="G1088" s="12" t="s">
        <v>31</v>
      </c>
      <c r="H1088" s="10" t="n">
        <v>1110202</v>
      </c>
      <c r="I1088" s="12" t="s">
        <v>90</v>
      </c>
      <c r="J1088" s="10" t="n">
        <v>1407061</v>
      </c>
      <c r="L1088" s="10" t="n">
        <v>3220224</v>
      </c>
      <c r="M1088" s="12" t="s">
        <v>33</v>
      </c>
      <c r="N1088" s="12" t="s">
        <v>66</v>
      </c>
      <c r="P1088" s="10" t="n">
        <v>103</v>
      </c>
      <c r="Q1088" s="12" t="s">
        <v>35</v>
      </c>
      <c r="R1088" s="12" t="s">
        <v>36</v>
      </c>
      <c r="S1088" s="10" t="n">
        <v>1130101</v>
      </c>
      <c r="T1088" s="12" t="s">
        <v>37</v>
      </c>
      <c r="U1088" s="13" t="n">
        <v>1757.52</v>
      </c>
      <c r="W1088" s="13" t="n">
        <v>0</v>
      </c>
      <c r="X1088" s="12" t="s">
        <v>1363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46226</v>
      </c>
      <c r="C1089" s="11" t="n">
        <v>46240</v>
      </c>
      <c r="D1089" s="10" t="n">
        <v>1616</v>
      </c>
      <c r="E1089" s="12" t="s">
        <v>434</v>
      </c>
      <c r="F1089" s="10" t="n">
        <v>24</v>
      </c>
      <c r="G1089" s="12" t="s">
        <v>31</v>
      </c>
      <c r="H1089" s="10" t="n">
        <v>1110202</v>
      </c>
      <c r="I1089" s="12" t="s">
        <v>90</v>
      </c>
      <c r="J1089" s="10" t="n">
        <v>1440106</v>
      </c>
      <c r="L1089" s="10" t="n">
        <v>592593</v>
      </c>
      <c r="M1089" s="12" t="s">
        <v>33</v>
      </c>
      <c r="N1089" s="12" t="s">
        <v>66</v>
      </c>
      <c r="P1089" s="10" t="n">
        <v>104</v>
      </c>
      <c r="Q1089" s="12" t="s">
        <v>50</v>
      </c>
      <c r="R1089" s="12" t="s">
        <v>36</v>
      </c>
      <c r="S1089" s="10" t="n">
        <v>1130101</v>
      </c>
      <c r="T1089" s="12" t="s">
        <v>37</v>
      </c>
      <c r="U1089" s="13" t="n">
        <v>605.92</v>
      </c>
      <c r="W1089" s="13" t="n">
        <v>0</v>
      </c>
      <c r="X1089" s="12" t="s">
        <v>1364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46226</v>
      </c>
      <c r="C1090" s="11" t="n">
        <v>46240</v>
      </c>
      <c r="D1090" s="10" t="n">
        <v>1616</v>
      </c>
      <c r="E1090" s="12" t="s">
        <v>434</v>
      </c>
      <c r="F1090" s="10" t="n">
        <v>24</v>
      </c>
      <c r="G1090" s="12" t="s">
        <v>31</v>
      </c>
      <c r="H1090" s="10" t="n">
        <v>1110202</v>
      </c>
      <c r="I1090" s="12" t="s">
        <v>90</v>
      </c>
      <c r="J1090" s="10" t="n">
        <v>1440186</v>
      </c>
      <c r="L1090" s="10" t="n">
        <v>592618</v>
      </c>
      <c r="M1090" s="12" t="s">
        <v>33</v>
      </c>
      <c r="N1090" s="12" t="s">
        <v>66</v>
      </c>
      <c r="P1090" s="10" t="n">
        <v>104</v>
      </c>
      <c r="Q1090" s="12" t="s">
        <v>50</v>
      </c>
      <c r="R1090" s="12" t="s">
        <v>36</v>
      </c>
      <c r="S1090" s="10" t="n">
        <v>1130101</v>
      </c>
      <c r="T1090" s="12" t="s">
        <v>37</v>
      </c>
      <c r="U1090" s="13" t="n">
        <v>434.05</v>
      </c>
      <c r="W1090" s="13" t="n">
        <v>0</v>
      </c>
      <c r="X1090" s="12" t="s">
        <v>1365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46225</v>
      </c>
      <c r="C1091" s="11" t="n">
        <v>46240</v>
      </c>
      <c r="D1091" s="10" t="n">
        <v>794</v>
      </c>
      <c r="E1091" s="12" t="s">
        <v>160</v>
      </c>
      <c r="F1091" s="10" t="n">
        <v>24</v>
      </c>
      <c r="G1091" s="12" t="s">
        <v>31</v>
      </c>
      <c r="H1091" s="10" t="n">
        <v>1110202</v>
      </c>
      <c r="I1091" s="12" t="s">
        <v>90</v>
      </c>
      <c r="J1091" s="10" t="n">
        <v>1435872</v>
      </c>
      <c r="L1091" s="10" t="n">
        <v>8403</v>
      </c>
      <c r="M1091" s="12" t="s">
        <v>33</v>
      </c>
      <c r="N1091" s="12" t="s">
        <v>66</v>
      </c>
      <c r="P1091" s="10" t="n">
        <v>103</v>
      </c>
      <c r="Q1091" s="12" t="s">
        <v>35</v>
      </c>
      <c r="R1091" s="12" t="s">
        <v>36</v>
      </c>
      <c r="S1091" s="10" t="n">
        <v>1130101</v>
      </c>
      <c r="T1091" s="12" t="s">
        <v>37</v>
      </c>
      <c r="U1091" s="13" t="n">
        <v>2621.74</v>
      </c>
      <c r="W1091" s="13" t="n">
        <v>0</v>
      </c>
      <c r="X1091" s="12" t="s">
        <v>1366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46226</v>
      </c>
      <c r="C1092" s="11" t="n">
        <v>46240</v>
      </c>
      <c r="D1092" s="10" t="n">
        <v>1626</v>
      </c>
      <c r="E1092" s="12" t="s">
        <v>250</v>
      </c>
      <c r="F1092" s="10" t="n">
        <v>24</v>
      </c>
      <c r="G1092" s="12" t="s">
        <v>31</v>
      </c>
      <c r="H1092" s="10" t="n">
        <v>1110202</v>
      </c>
      <c r="I1092" s="12" t="s">
        <v>90</v>
      </c>
      <c r="J1092" s="10" t="n">
        <v>1440328</v>
      </c>
      <c r="L1092" s="10" t="n">
        <v>592650</v>
      </c>
      <c r="M1092" s="12" t="s">
        <v>33</v>
      </c>
      <c r="N1092" s="12" t="s">
        <v>66</v>
      </c>
      <c r="P1092" s="10" t="n">
        <v>104</v>
      </c>
      <c r="Q1092" s="12" t="s">
        <v>50</v>
      </c>
      <c r="R1092" s="12" t="s">
        <v>36</v>
      </c>
      <c r="S1092" s="10" t="n">
        <v>1130101</v>
      </c>
      <c r="T1092" s="12" t="s">
        <v>37</v>
      </c>
      <c r="U1092" s="13" t="n">
        <v>907.87</v>
      </c>
      <c r="W1092" s="13" t="n">
        <v>0</v>
      </c>
      <c r="X1092" s="12" t="s">
        <v>1367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46240</v>
      </c>
      <c r="D1093" s="10" t="n">
        <v>1626</v>
      </c>
      <c r="E1093" s="12" t="s">
        <v>250</v>
      </c>
      <c r="F1093" s="10" t="n">
        <v>24</v>
      </c>
      <c r="G1093" s="12" t="s">
        <v>31</v>
      </c>
      <c r="H1093" s="10" t="n">
        <v>1110202</v>
      </c>
      <c r="I1093" s="12" t="s">
        <v>90</v>
      </c>
      <c r="J1093" s="10" t="n">
        <v>1376626</v>
      </c>
      <c r="L1093" s="10" t="n">
        <v>312590</v>
      </c>
      <c r="M1093" s="12" t="s">
        <v>40</v>
      </c>
      <c r="N1093" s="12" t="s">
        <v>66</v>
      </c>
      <c r="P1093" s="10" t="n">
        <v>103</v>
      </c>
      <c r="Q1093" s="12" t="s">
        <v>35</v>
      </c>
      <c r="R1093" s="12" t="s">
        <v>36</v>
      </c>
      <c r="S1093" s="10" t="n">
        <v>1130101</v>
      </c>
      <c r="T1093" s="12" t="s">
        <v>37</v>
      </c>
      <c r="U1093" s="13" t="n">
        <v>1643.75</v>
      </c>
      <c r="W1093" s="13" t="n">
        <v>0</v>
      </c>
      <c r="X1093" s="12" t="s">
        <v>1368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46226</v>
      </c>
      <c r="C1094" s="11" t="n">
        <v>46240</v>
      </c>
      <c r="D1094" s="10" t="n">
        <v>1667</v>
      </c>
      <c r="E1094" s="12" t="s">
        <v>250</v>
      </c>
      <c r="F1094" s="10" t="n">
        <v>24</v>
      </c>
      <c r="G1094" s="12" t="s">
        <v>31</v>
      </c>
      <c r="H1094" s="10" t="n">
        <v>1110202</v>
      </c>
      <c r="I1094" s="12" t="s">
        <v>90</v>
      </c>
      <c r="J1094" s="10" t="n">
        <v>1439734</v>
      </c>
      <c r="L1094" s="10" t="n">
        <v>396990</v>
      </c>
      <c r="M1094" s="12" t="s">
        <v>33</v>
      </c>
      <c r="N1094" s="12" t="s">
        <v>66</v>
      </c>
      <c r="P1094" s="10" t="n">
        <v>103</v>
      </c>
      <c r="Q1094" s="12" t="s">
        <v>35</v>
      </c>
      <c r="R1094" s="12" t="s">
        <v>36</v>
      </c>
      <c r="S1094" s="10" t="n">
        <v>1130101</v>
      </c>
      <c r="T1094" s="12" t="s">
        <v>37</v>
      </c>
      <c r="U1094" s="13" t="n">
        <v>398.7</v>
      </c>
      <c r="W1094" s="13" t="n">
        <v>0</v>
      </c>
      <c r="X1094" s="12" t="s">
        <v>1369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46226</v>
      </c>
      <c r="C1095" s="11" t="n">
        <v>46240</v>
      </c>
      <c r="D1095" s="10" t="n">
        <v>10037</v>
      </c>
      <c r="E1095" s="12" t="s">
        <v>340</v>
      </c>
      <c r="F1095" s="10" t="n">
        <v>24</v>
      </c>
      <c r="G1095" s="12" t="s">
        <v>31</v>
      </c>
      <c r="H1095" s="10" t="n">
        <v>1110202</v>
      </c>
      <c r="I1095" s="12" t="s">
        <v>90</v>
      </c>
      <c r="J1095" s="10" t="n">
        <v>1440179</v>
      </c>
      <c r="L1095" s="10" t="n">
        <v>2808</v>
      </c>
      <c r="M1095" s="12" t="s">
        <v>76</v>
      </c>
      <c r="N1095" s="12" t="s">
        <v>66</v>
      </c>
      <c r="P1095" s="10" t="n">
        <v>103</v>
      </c>
      <c r="Q1095" s="12" t="s">
        <v>35</v>
      </c>
      <c r="R1095" s="12" t="s">
        <v>36</v>
      </c>
      <c r="S1095" s="10" t="n">
        <v>1130101</v>
      </c>
      <c r="T1095" s="12" t="s">
        <v>37</v>
      </c>
      <c r="U1095" s="13" t="n">
        <v>445.37</v>
      </c>
      <c r="W1095" s="13" t="n">
        <v>0</v>
      </c>
      <c r="X1095" s="12" t="s">
        <v>1370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46233</v>
      </c>
      <c r="C1096" s="11" t="n">
        <v>46240</v>
      </c>
      <c r="D1096" s="10" t="n">
        <v>1609</v>
      </c>
      <c r="E1096" s="12" t="s">
        <v>343</v>
      </c>
      <c r="F1096" s="10" t="n">
        <v>24</v>
      </c>
      <c r="G1096" s="12" t="s">
        <v>31</v>
      </c>
      <c r="H1096" s="10" t="n">
        <v>1110202</v>
      </c>
      <c r="I1096" s="12" t="s">
        <v>90</v>
      </c>
      <c r="J1096" s="10" t="n">
        <v>1474673</v>
      </c>
      <c r="L1096" s="10" t="n">
        <v>5888</v>
      </c>
      <c r="M1096" s="12" t="s">
        <v>33</v>
      </c>
      <c r="N1096" s="12" t="s">
        <v>66</v>
      </c>
      <c r="P1096" s="10" t="n">
        <v>103</v>
      </c>
      <c r="Q1096" s="12" t="s">
        <v>35</v>
      </c>
      <c r="R1096" s="12" t="s">
        <v>36</v>
      </c>
      <c r="S1096" s="10" t="n">
        <v>1130101</v>
      </c>
      <c r="T1096" s="12" t="s">
        <v>37</v>
      </c>
      <c r="U1096" s="13" t="n">
        <v>365</v>
      </c>
      <c r="W1096" s="13" t="n">
        <v>0</v>
      </c>
      <c r="X1096" s="12" t="s">
        <v>1371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46221</v>
      </c>
      <c r="C1097" s="11" t="n">
        <v>46240</v>
      </c>
      <c r="D1097" s="10" t="n">
        <v>1675</v>
      </c>
      <c r="E1097" s="12" t="s">
        <v>817</v>
      </c>
      <c r="F1097" s="10" t="n">
        <v>24</v>
      </c>
      <c r="G1097" s="12" t="s">
        <v>31</v>
      </c>
      <c r="H1097" s="10" t="n">
        <v>1110202</v>
      </c>
      <c r="I1097" s="12" t="s">
        <v>90</v>
      </c>
      <c r="J1097" s="10" t="n">
        <v>1415719</v>
      </c>
      <c r="L1097" s="10" t="n">
        <v>502189</v>
      </c>
      <c r="M1097" s="12" t="s">
        <v>33</v>
      </c>
      <c r="N1097" s="12" t="s">
        <v>66</v>
      </c>
      <c r="P1097" s="10" t="n">
        <v>103</v>
      </c>
      <c r="Q1097" s="12" t="s">
        <v>35</v>
      </c>
      <c r="R1097" s="12" t="s">
        <v>36</v>
      </c>
      <c r="S1097" s="10" t="n">
        <v>1130101</v>
      </c>
      <c r="T1097" s="12" t="s">
        <v>37</v>
      </c>
      <c r="U1097" s="13" t="n">
        <v>1181.96</v>
      </c>
      <c r="W1097" s="13" t="n">
        <v>0</v>
      </c>
      <c r="X1097" s="12" t="s">
        <v>1372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46233</v>
      </c>
      <c r="C1098" s="11" t="n">
        <v>46240</v>
      </c>
      <c r="D1098" s="10" t="n">
        <v>1625</v>
      </c>
      <c r="E1098" s="12" t="s">
        <v>62</v>
      </c>
      <c r="F1098" s="10" t="n">
        <v>24</v>
      </c>
      <c r="G1098" s="12" t="s">
        <v>31</v>
      </c>
      <c r="H1098" s="10" t="n">
        <v>1110202</v>
      </c>
      <c r="I1098" s="12" t="s">
        <v>90</v>
      </c>
      <c r="J1098" s="10" t="n">
        <v>1474777</v>
      </c>
      <c r="L1098" s="10" t="n">
        <v>14881</v>
      </c>
      <c r="M1098" s="12" t="s">
        <v>33</v>
      </c>
      <c r="N1098" s="12" t="s">
        <v>66</v>
      </c>
      <c r="P1098" s="10" t="n">
        <v>103</v>
      </c>
      <c r="Q1098" s="12" t="s">
        <v>35</v>
      </c>
      <c r="R1098" s="12" t="s">
        <v>36</v>
      </c>
      <c r="S1098" s="10" t="n">
        <v>1130101</v>
      </c>
      <c r="T1098" s="12" t="s">
        <v>37</v>
      </c>
      <c r="U1098" s="13" t="n">
        <v>4726.7</v>
      </c>
      <c r="W1098" s="13" t="n">
        <v>0</v>
      </c>
      <c r="X1098" s="12" t="s">
        <v>1373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46228</v>
      </c>
      <c r="C1099" s="11" t="n">
        <v>46240</v>
      </c>
      <c r="D1099" s="10" t="n">
        <v>1668</v>
      </c>
      <c r="E1099" s="12" t="s">
        <v>263</v>
      </c>
      <c r="F1099" s="10" t="n">
        <v>24</v>
      </c>
      <c r="G1099" s="12" t="s">
        <v>31</v>
      </c>
      <c r="H1099" s="10" t="n">
        <v>1110202</v>
      </c>
      <c r="I1099" s="12" t="s">
        <v>90</v>
      </c>
      <c r="J1099" s="10" t="n">
        <v>1449563</v>
      </c>
      <c r="L1099" s="10" t="n">
        <v>739552</v>
      </c>
      <c r="M1099" s="12" t="s">
        <v>33</v>
      </c>
      <c r="N1099" s="12" t="s">
        <v>66</v>
      </c>
      <c r="P1099" s="10" t="n">
        <v>103</v>
      </c>
      <c r="Q1099" s="12" t="s">
        <v>35</v>
      </c>
      <c r="R1099" s="12" t="s">
        <v>36</v>
      </c>
      <c r="S1099" s="10" t="n">
        <v>1130101</v>
      </c>
      <c r="T1099" s="12" t="s">
        <v>37</v>
      </c>
      <c r="U1099" s="13" t="n">
        <v>340</v>
      </c>
      <c r="W1099" s="13" t="n">
        <v>0</v>
      </c>
      <c r="X1099" s="12" t="s">
        <v>1374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46228</v>
      </c>
      <c r="C1100" s="11" t="n">
        <v>46240</v>
      </c>
      <c r="D1100" s="10" t="n">
        <v>10009</v>
      </c>
      <c r="E1100" s="12" t="s">
        <v>181</v>
      </c>
      <c r="F1100" s="10" t="n">
        <v>24</v>
      </c>
      <c r="G1100" s="12" t="s">
        <v>31</v>
      </c>
      <c r="H1100" s="10" t="n">
        <v>1110202</v>
      </c>
      <c r="I1100" s="12" t="s">
        <v>90</v>
      </c>
      <c r="J1100" s="10" t="n">
        <v>1449995</v>
      </c>
      <c r="L1100" s="10" t="n">
        <v>1431708</v>
      </c>
      <c r="M1100" s="12" t="s">
        <v>76</v>
      </c>
      <c r="N1100" s="12" t="s">
        <v>66</v>
      </c>
      <c r="P1100" s="10" t="n">
        <v>103</v>
      </c>
      <c r="Q1100" s="12" t="s">
        <v>35</v>
      </c>
      <c r="R1100" s="12" t="s">
        <v>36</v>
      </c>
      <c r="S1100" s="10" t="n">
        <v>1130101</v>
      </c>
      <c r="T1100" s="12" t="s">
        <v>37</v>
      </c>
      <c r="U1100" s="13" t="n">
        <v>1721.47</v>
      </c>
      <c r="W1100" s="13" t="n">
        <v>0</v>
      </c>
      <c r="X1100" s="12" t="s">
        <v>1375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46225</v>
      </c>
      <c r="C1101" s="11" t="n">
        <v>46240</v>
      </c>
      <c r="D1101" s="10" t="n">
        <v>10009</v>
      </c>
      <c r="E1101" s="12" t="s">
        <v>181</v>
      </c>
      <c r="F1101" s="10" t="n">
        <v>24</v>
      </c>
      <c r="G1101" s="12" t="s">
        <v>31</v>
      </c>
      <c r="H1101" s="10" t="n">
        <v>1110202</v>
      </c>
      <c r="I1101" s="12" t="s">
        <v>90</v>
      </c>
      <c r="J1101" s="10" t="n">
        <v>1434102</v>
      </c>
      <c r="L1101" s="10" t="n">
        <v>1428642</v>
      </c>
      <c r="M1101" s="12" t="s">
        <v>40</v>
      </c>
      <c r="N1101" s="12" t="s">
        <v>66</v>
      </c>
      <c r="P1101" s="10" t="n">
        <v>103</v>
      </c>
      <c r="Q1101" s="12" t="s">
        <v>35</v>
      </c>
      <c r="R1101" s="12" t="s">
        <v>36</v>
      </c>
      <c r="S1101" s="10" t="n">
        <v>1130101</v>
      </c>
      <c r="T1101" s="12" t="s">
        <v>37</v>
      </c>
      <c r="U1101" s="13" t="n">
        <v>957.84</v>
      </c>
      <c r="W1101" s="13" t="n">
        <v>0</v>
      </c>
      <c r="X1101" s="12" t="s">
        <v>1376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46211</v>
      </c>
      <c r="C1102" s="11" t="n">
        <v>46240</v>
      </c>
      <c r="D1102" s="10" t="n">
        <v>1830</v>
      </c>
      <c r="E1102" s="12" t="s">
        <v>183</v>
      </c>
      <c r="F1102" s="10" t="n">
        <v>24</v>
      </c>
      <c r="G1102" s="12" t="s">
        <v>31</v>
      </c>
      <c r="H1102" s="10" t="n">
        <v>1110202</v>
      </c>
      <c r="I1102" s="12" t="s">
        <v>90</v>
      </c>
      <c r="J1102" s="10" t="n">
        <v>1370639</v>
      </c>
      <c r="L1102" s="10" t="n">
        <v>1053</v>
      </c>
      <c r="M1102" s="12" t="s">
        <v>33</v>
      </c>
      <c r="N1102" s="12" t="s">
        <v>66</v>
      </c>
      <c r="P1102" s="10" t="n">
        <v>101</v>
      </c>
      <c r="Q1102" s="12" t="s">
        <v>84</v>
      </c>
      <c r="R1102" s="12" t="s">
        <v>121</v>
      </c>
      <c r="S1102" s="10" t="n">
        <v>4210319</v>
      </c>
      <c r="T1102" s="12" t="s">
        <v>184</v>
      </c>
      <c r="U1102" s="13" t="n">
        <v>209</v>
      </c>
      <c r="W1102" s="13" t="n">
        <v>0</v>
      </c>
      <c r="X1102" s="12" t="s">
        <v>1377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46225</v>
      </c>
      <c r="C1103" s="11" t="n">
        <v>46240</v>
      </c>
      <c r="D1103" s="10" t="n">
        <v>1740</v>
      </c>
      <c r="E1103" s="12" t="s">
        <v>312</v>
      </c>
      <c r="F1103" s="10" t="n">
        <v>24</v>
      </c>
      <c r="G1103" s="12" t="s">
        <v>31</v>
      </c>
      <c r="H1103" s="10" t="n">
        <v>1110202</v>
      </c>
      <c r="I1103" s="12" t="s">
        <v>90</v>
      </c>
      <c r="J1103" s="10" t="n">
        <v>1435938</v>
      </c>
      <c r="L1103" s="10" t="n">
        <v>1248470</v>
      </c>
      <c r="M1103" s="12" t="s">
        <v>33</v>
      </c>
      <c r="N1103" s="12" t="s">
        <v>66</v>
      </c>
      <c r="P1103" s="10" t="n">
        <v>103</v>
      </c>
      <c r="Q1103" s="12" t="s">
        <v>35</v>
      </c>
      <c r="R1103" s="12" t="s">
        <v>36</v>
      </c>
      <c r="S1103" s="10" t="n">
        <v>1130101</v>
      </c>
      <c r="T1103" s="12" t="s">
        <v>37</v>
      </c>
      <c r="U1103" s="13" t="n">
        <v>662.72</v>
      </c>
      <c r="W1103" s="13" t="n">
        <v>0</v>
      </c>
      <c r="X1103" s="12" t="s">
        <v>1378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46213</v>
      </c>
      <c r="C1104" s="11" t="n">
        <v>46240</v>
      </c>
      <c r="D1104" s="10" t="n">
        <v>1740</v>
      </c>
      <c r="E1104" s="12" t="s">
        <v>312</v>
      </c>
      <c r="F1104" s="10" t="n">
        <v>24</v>
      </c>
      <c r="G1104" s="12" t="s">
        <v>31</v>
      </c>
      <c r="H1104" s="10" t="n">
        <v>1110202</v>
      </c>
      <c r="I1104" s="12" t="s">
        <v>90</v>
      </c>
      <c r="J1104" s="10" t="n">
        <v>1376989</v>
      </c>
      <c r="L1104" s="10" t="n">
        <v>1245715</v>
      </c>
      <c r="M1104" s="12" t="s">
        <v>76</v>
      </c>
      <c r="N1104" s="12" t="s">
        <v>66</v>
      </c>
      <c r="P1104" s="10" t="n">
        <v>103</v>
      </c>
      <c r="Q1104" s="12" t="s">
        <v>35</v>
      </c>
      <c r="R1104" s="12" t="s">
        <v>36</v>
      </c>
      <c r="S1104" s="10" t="n">
        <v>1130101</v>
      </c>
      <c r="T1104" s="12" t="s">
        <v>37</v>
      </c>
      <c r="U1104" s="13" t="n">
        <v>828.44</v>
      </c>
      <c r="W1104" s="13" t="n">
        <v>0</v>
      </c>
      <c r="X1104" s="12" t="s">
        <v>1379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46235</v>
      </c>
      <c r="C1105" s="11" t="n">
        <v>46240</v>
      </c>
      <c r="D1105" s="10" t="n">
        <v>1899</v>
      </c>
      <c r="E1105" s="12" t="s">
        <v>131</v>
      </c>
      <c r="F1105" s="10" t="n">
        <v>24</v>
      </c>
      <c r="G1105" s="12" t="s">
        <v>31</v>
      </c>
      <c r="H1105" s="10" t="n">
        <v>1110202</v>
      </c>
      <c r="I1105" s="12" t="s">
        <v>90</v>
      </c>
      <c r="J1105" s="10" t="n">
        <v>1481751</v>
      </c>
      <c r="L1105" s="10" t="n">
        <v>739</v>
      </c>
      <c r="M1105" s="12" t="s">
        <v>33</v>
      </c>
      <c r="N1105" s="12" t="s">
        <v>66</v>
      </c>
      <c r="P1105" s="10" t="n">
        <v>103</v>
      </c>
      <c r="Q1105" s="12" t="s">
        <v>35</v>
      </c>
      <c r="R1105" s="12" t="s">
        <v>36</v>
      </c>
      <c r="S1105" s="10" t="n">
        <v>1130101</v>
      </c>
      <c r="T1105" s="12" t="s">
        <v>37</v>
      </c>
      <c r="U1105" s="13" t="n">
        <v>739.15</v>
      </c>
      <c r="W1105" s="13" t="n">
        <v>0</v>
      </c>
      <c r="X1105" s="12" t="s">
        <v>1380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46223</v>
      </c>
      <c r="C1106" s="11" t="n">
        <v>46240</v>
      </c>
      <c r="D1106" s="10" t="n">
        <v>1676</v>
      </c>
      <c r="E1106" s="12" t="s">
        <v>1381</v>
      </c>
      <c r="F1106" s="10" t="n">
        <v>24</v>
      </c>
      <c r="G1106" s="12" t="s">
        <v>31</v>
      </c>
      <c r="H1106" s="10" t="n">
        <v>1110202</v>
      </c>
      <c r="I1106" s="12" t="s">
        <v>90</v>
      </c>
      <c r="J1106" s="10" t="n">
        <v>1424767</v>
      </c>
      <c r="L1106" s="10" t="n">
        <v>10857</v>
      </c>
      <c r="M1106" s="12" t="s">
        <v>33</v>
      </c>
      <c r="N1106" s="12" t="s">
        <v>66</v>
      </c>
      <c r="P1106" s="10" t="n">
        <v>103</v>
      </c>
      <c r="Q1106" s="12" t="s">
        <v>35</v>
      </c>
      <c r="R1106" s="12" t="s">
        <v>36</v>
      </c>
      <c r="S1106" s="10" t="n">
        <v>1130101</v>
      </c>
      <c r="T1106" s="12" t="s">
        <v>37</v>
      </c>
      <c r="U1106" s="13" t="n">
        <v>1608.44</v>
      </c>
      <c r="W1106" s="13" t="n">
        <v>0</v>
      </c>
      <c r="X1106" s="12" t="s">
        <v>1382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46230</v>
      </c>
      <c r="C1107" s="11" t="n">
        <v>46241</v>
      </c>
      <c r="D1107" s="10" t="n">
        <v>1705</v>
      </c>
      <c r="E1107" s="12" t="s">
        <v>46</v>
      </c>
      <c r="F1107" s="10" t="n">
        <v>24</v>
      </c>
      <c r="G1107" s="12" t="s">
        <v>31</v>
      </c>
      <c r="H1107" s="10" t="n">
        <v>1110202</v>
      </c>
      <c r="I1107" s="12" t="s">
        <v>90</v>
      </c>
      <c r="J1107" s="10" t="n">
        <v>1457905</v>
      </c>
      <c r="L1107" s="10" t="n">
        <v>1951962</v>
      </c>
      <c r="M1107" s="12" t="s">
        <v>33</v>
      </c>
      <c r="N1107" s="12" t="s">
        <v>66</v>
      </c>
      <c r="P1107" s="10" t="n">
        <v>103</v>
      </c>
      <c r="Q1107" s="12" t="s">
        <v>35</v>
      </c>
      <c r="R1107" s="12" t="s">
        <v>36</v>
      </c>
      <c r="S1107" s="10" t="n">
        <v>1130101</v>
      </c>
      <c r="T1107" s="12" t="s">
        <v>37</v>
      </c>
      <c r="U1107" s="13" t="n">
        <v>5518.6</v>
      </c>
      <c r="W1107" s="13" t="n">
        <v>0</v>
      </c>
      <c r="X1107" s="12" t="s">
        <v>1383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46230</v>
      </c>
      <c r="C1108" s="11" t="n">
        <v>46241</v>
      </c>
      <c r="D1108" s="10" t="n">
        <v>1705</v>
      </c>
      <c r="E1108" s="12" t="s">
        <v>46</v>
      </c>
      <c r="F1108" s="10" t="n">
        <v>24</v>
      </c>
      <c r="G1108" s="12" t="s">
        <v>31</v>
      </c>
      <c r="H1108" s="10" t="n">
        <v>1110202</v>
      </c>
      <c r="I1108" s="12" t="s">
        <v>90</v>
      </c>
      <c r="J1108" s="10" t="n">
        <v>1458410</v>
      </c>
      <c r="L1108" s="10" t="n">
        <v>1216466</v>
      </c>
      <c r="M1108" s="12" t="s">
        <v>33</v>
      </c>
      <c r="N1108" s="12" t="s">
        <v>66</v>
      </c>
      <c r="P1108" s="10" t="n">
        <v>103</v>
      </c>
      <c r="Q1108" s="12" t="s">
        <v>35</v>
      </c>
      <c r="R1108" s="12" t="s">
        <v>36</v>
      </c>
      <c r="S1108" s="10" t="n">
        <v>1130101</v>
      </c>
      <c r="T1108" s="12" t="s">
        <v>37</v>
      </c>
      <c r="U1108" s="13" t="n">
        <v>152.38</v>
      </c>
      <c r="W1108" s="13" t="n">
        <v>0</v>
      </c>
      <c r="X1108" s="12" t="s">
        <v>1384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46230</v>
      </c>
      <c r="C1109" s="11" t="n">
        <v>46241</v>
      </c>
      <c r="D1109" s="10" t="n">
        <v>1705</v>
      </c>
      <c r="E1109" s="12" t="s">
        <v>46</v>
      </c>
      <c r="F1109" s="10" t="n">
        <v>24</v>
      </c>
      <c r="G1109" s="12" t="s">
        <v>31</v>
      </c>
      <c r="H1109" s="10" t="n">
        <v>1110202</v>
      </c>
      <c r="I1109" s="12" t="s">
        <v>90</v>
      </c>
      <c r="J1109" s="10" t="n">
        <v>1458370</v>
      </c>
      <c r="L1109" s="10" t="n">
        <v>1217731</v>
      </c>
      <c r="M1109" s="12" t="s">
        <v>33</v>
      </c>
      <c r="N1109" s="12" t="s">
        <v>66</v>
      </c>
      <c r="P1109" s="10" t="n">
        <v>103</v>
      </c>
      <c r="Q1109" s="12" t="s">
        <v>35</v>
      </c>
      <c r="R1109" s="12" t="s">
        <v>36</v>
      </c>
      <c r="S1109" s="10" t="n">
        <v>1130101</v>
      </c>
      <c r="T1109" s="12" t="s">
        <v>37</v>
      </c>
      <c r="U1109" s="13" t="n">
        <v>3459.51</v>
      </c>
      <c r="W1109" s="13" t="n">
        <v>0</v>
      </c>
      <c r="X1109" s="12" t="s">
        <v>1385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46216</v>
      </c>
      <c r="C1110" s="11" t="n">
        <v>46241</v>
      </c>
      <c r="D1110" s="10" t="n">
        <v>1705</v>
      </c>
      <c r="E1110" s="12" t="s">
        <v>46</v>
      </c>
      <c r="F1110" s="10" t="n">
        <v>24</v>
      </c>
      <c r="G1110" s="12" t="s">
        <v>31</v>
      </c>
      <c r="H1110" s="10" t="n">
        <v>1110202</v>
      </c>
      <c r="I1110" s="12" t="s">
        <v>90</v>
      </c>
      <c r="J1110" s="10" t="n">
        <v>1392743</v>
      </c>
      <c r="L1110" s="10" t="n">
        <v>1197029</v>
      </c>
      <c r="M1110" s="12" t="s">
        <v>33</v>
      </c>
      <c r="N1110" s="12" t="s">
        <v>66</v>
      </c>
      <c r="P1110" s="10" t="n">
        <v>103</v>
      </c>
      <c r="Q1110" s="12" t="s">
        <v>35</v>
      </c>
      <c r="R1110" s="12" t="s">
        <v>36</v>
      </c>
      <c r="S1110" s="10" t="n">
        <v>1130101</v>
      </c>
      <c r="T1110" s="12" t="s">
        <v>37</v>
      </c>
      <c r="U1110" s="13" t="n">
        <v>215.52</v>
      </c>
      <c r="W1110" s="13" t="n">
        <v>0</v>
      </c>
      <c r="X1110" s="12" t="s">
        <v>1386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46230</v>
      </c>
      <c r="C1111" s="11" t="n">
        <v>46241</v>
      </c>
      <c r="D1111" s="10" t="n">
        <v>1705</v>
      </c>
      <c r="E1111" s="12" t="s">
        <v>46</v>
      </c>
      <c r="F1111" s="10" t="n">
        <v>24</v>
      </c>
      <c r="G1111" s="12" t="s">
        <v>31</v>
      </c>
      <c r="H1111" s="10" t="n">
        <v>1110202</v>
      </c>
      <c r="I1111" s="12" t="s">
        <v>90</v>
      </c>
      <c r="J1111" s="10" t="n">
        <v>1458857</v>
      </c>
      <c r="L1111" s="10" t="n">
        <v>1950823</v>
      </c>
      <c r="M1111" s="12" t="s">
        <v>33</v>
      </c>
      <c r="N1111" s="12" t="s">
        <v>66</v>
      </c>
      <c r="P1111" s="10" t="n">
        <v>103</v>
      </c>
      <c r="Q1111" s="12" t="s">
        <v>35</v>
      </c>
      <c r="R1111" s="12" t="s">
        <v>36</v>
      </c>
      <c r="S1111" s="10" t="n">
        <v>1130101</v>
      </c>
      <c r="T1111" s="12" t="s">
        <v>37</v>
      </c>
      <c r="U1111" s="13" t="n">
        <v>65.93</v>
      </c>
      <c r="W1111" s="13" t="n">
        <v>0</v>
      </c>
      <c r="X1111" s="12" t="s">
        <v>1387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46230</v>
      </c>
      <c r="C1112" s="11" t="n">
        <v>46241</v>
      </c>
      <c r="D1112" s="10" t="n">
        <v>1613</v>
      </c>
      <c r="E1112" s="12" t="s">
        <v>71</v>
      </c>
      <c r="F1112" s="10" t="n">
        <v>24</v>
      </c>
      <c r="G1112" s="12" t="s">
        <v>31</v>
      </c>
      <c r="H1112" s="10" t="n">
        <v>1110202</v>
      </c>
      <c r="I1112" s="12" t="s">
        <v>90</v>
      </c>
      <c r="J1112" s="10" t="n">
        <v>1460199</v>
      </c>
      <c r="L1112" s="10" t="n">
        <v>1611963</v>
      </c>
      <c r="M1112" s="12" t="s">
        <v>33</v>
      </c>
      <c r="N1112" s="12" t="s">
        <v>66</v>
      </c>
      <c r="P1112" s="10" t="n">
        <v>103</v>
      </c>
      <c r="Q1112" s="12" t="s">
        <v>35</v>
      </c>
      <c r="R1112" s="12" t="s">
        <v>36</v>
      </c>
      <c r="S1112" s="10" t="n">
        <v>1130101</v>
      </c>
      <c r="T1112" s="12" t="s">
        <v>37</v>
      </c>
      <c r="U1112" s="13" t="n">
        <v>676.2</v>
      </c>
      <c r="W1112" s="13" t="n">
        <v>0</v>
      </c>
      <c r="X1112" s="12" t="s">
        <v>1388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46235</v>
      </c>
      <c r="C1113" s="11" t="n">
        <v>46241</v>
      </c>
      <c r="D1113" s="10" t="n">
        <v>1642</v>
      </c>
      <c r="E1113" s="12" t="s">
        <v>158</v>
      </c>
      <c r="F1113" s="10" t="n">
        <v>24</v>
      </c>
      <c r="G1113" s="12" t="s">
        <v>31</v>
      </c>
      <c r="H1113" s="10" t="n">
        <v>1110202</v>
      </c>
      <c r="I1113" s="12" t="s">
        <v>90</v>
      </c>
      <c r="J1113" s="10" t="n">
        <v>1481798</v>
      </c>
      <c r="L1113" s="10" t="n">
        <v>1034623</v>
      </c>
      <c r="M1113" s="12" t="s">
        <v>33</v>
      </c>
      <c r="N1113" s="12" t="s">
        <v>66</v>
      </c>
      <c r="P1113" s="10" t="n">
        <v>103</v>
      </c>
      <c r="Q1113" s="12" t="s">
        <v>35</v>
      </c>
      <c r="R1113" s="12" t="s">
        <v>36</v>
      </c>
      <c r="S1113" s="10" t="n">
        <v>1130101</v>
      </c>
      <c r="T1113" s="12" t="s">
        <v>37</v>
      </c>
      <c r="U1113" s="13" t="n">
        <v>556.5</v>
      </c>
      <c r="W1113" s="13" t="n">
        <v>0</v>
      </c>
      <c r="X1113" s="12" t="s">
        <v>1389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46232</v>
      </c>
      <c r="C1114" s="11" t="n">
        <v>46241</v>
      </c>
      <c r="D1114" s="10" t="n">
        <v>1723</v>
      </c>
      <c r="E1114" s="12" t="s">
        <v>378</v>
      </c>
      <c r="F1114" s="10" t="n">
        <v>24</v>
      </c>
      <c r="G1114" s="12" t="s">
        <v>31</v>
      </c>
      <c r="H1114" s="10" t="n">
        <v>1110202</v>
      </c>
      <c r="I1114" s="12" t="s">
        <v>90</v>
      </c>
      <c r="J1114" s="10" t="n">
        <v>1469410</v>
      </c>
      <c r="L1114" s="10" t="n">
        <v>173886</v>
      </c>
      <c r="M1114" s="12" t="s">
        <v>33</v>
      </c>
      <c r="N1114" s="12" t="s">
        <v>66</v>
      </c>
      <c r="P1114" s="10" t="n">
        <v>103</v>
      </c>
      <c r="Q1114" s="12" t="s">
        <v>35</v>
      </c>
      <c r="R1114" s="12" t="s">
        <v>36</v>
      </c>
      <c r="S1114" s="10" t="n">
        <v>1130101</v>
      </c>
      <c r="T1114" s="12" t="s">
        <v>37</v>
      </c>
      <c r="U1114" s="13" t="n">
        <v>5242.4</v>
      </c>
      <c r="W1114" s="13" t="n">
        <v>0</v>
      </c>
      <c r="X1114" s="12" t="s">
        <v>1390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46241</v>
      </c>
      <c r="D1115" s="10" t="n">
        <v>1718</v>
      </c>
      <c r="E1115" s="12" t="s">
        <v>332</v>
      </c>
      <c r="F1115" s="10" t="n">
        <v>24</v>
      </c>
      <c r="G1115" s="12" t="s">
        <v>31</v>
      </c>
      <c r="H1115" s="10" t="n">
        <v>1110202</v>
      </c>
      <c r="I1115" s="12" t="s">
        <v>90</v>
      </c>
      <c r="J1115" s="10" t="n">
        <v>1375395</v>
      </c>
      <c r="L1115" s="10" t="n">
        <v>681131</v>
      </c>
      <c r="M1115" s="12" t="s">
        <v>40</v>
      </c>
      <c r="N1115" s="12" t="s">
        <v>66</v>
      </c>
      <c r="P1115" s="10" t="n">
        <v>103</v>
      </c>
      <c r="Q1115" s="12" t="s">
        <v>35</v>
      </c>
      <c r="R1115" s="12" t="s">
        <v>36</v>
      </c>
      <c r="S1115" s="10" t="n">
        <v>1130101</v>
      </c>
      <c r="T1115" s="12" t="s">
        <v>37</v>
      </c>
      <c r="U1115" s="13" t="n">
        <v>871.12</v>
      </c>
      <c r="W1115" s="13" t="n">
        <v>0</v>
      </c>
      <c r="X1115" s="12" t="s">
        <v>1391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46214</v>
      </c>
      <c r="C1116" s="11" t="n">
        <v>46241</v>
      </c>
      <c r="D1116" s="10" t="n">
        <v>794</v>
      </c>
      <c r="E1116" s="12" t="s">
        <v>160</v>
      </c>
      <c r="F1116" s="10" t="n">
        <v>24</v>
      </c>
      <c r="G1116" s="12" t="s">
        <v>31</v>
      </c>
      <c r="H1116" s="10" t="n">
        <v>1110202</v>
      </c>
      <c r="I1116" s="12" t="s">
        <v>90</v>
      </c>
      <c r="J1116" s="10" t="n">
        <v>1381993</v>
      </c>
      <c r="L1116" s="10" t="n">
        <v>8364</v>
      </c>
      <c r="M1116" s="12" t="s">
        <v>76</v>
      </c>
      <c r="N1116" s="12" t="s">
        <v>66</v>
      </c>
      <c r="P1116" s="10" t="n">
        <v>103</v>
      </c>
      <c r="Q1116" s="12" t="s">
        <v>35</v>
      </c>
      <c r="R1116" s="12" t="s">
        <v>36</v>
      </c>
      <c r="S1116" s="10" t="n">
        <v>1130101</v>
      </c>
      <c r="T1116" s="12" t="s">
        <v>37</v>
      </c>
      <c r="U1116" s="13" t="n">
        <v>523.67</v>
      </c>
      <c r="W1116" s="13" t="n">
        <v>0</v>
      </c>
      <c r="X1116" s="12" t="s">
        <v>1392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46228</v>
      </c>
      <c r="C1117" s="11" t="n">
        <v>46241</v>
      </c>
      <c r="D1117" s="10" t="n">
        <v>1657</v>
      </c>
      <c r="E1117" s="12" t="s">
        <v>300</v>
      </c>
      <c r="F1117" s="10" t="n">
        <v>24</v>
      </c>
      <c r="G1117" s="12" t="s">
        <v>31</v>
      </c>
      <c r="H1117" s="10" t="n">
        <v>1110202</v>
      </c>
      <c r="I1117" s="12" t="s">
        <v>90</v>
      </c>
      <c r="J1117" s="10" t="n">
        <v>1450043</v>
      </c>
      <c r="L1117" s="10" t="n">
        <v>296100</v>
      </c>
      <c r="M1117" s="12" t="s">
        <v>33</v>
      </c>
      <c r="N1117" s="12" t="s">
        <v>66</v>
      </c>
      <c r="P1117" s="10" t="n">
        <v>103</v>
      </c>
      <c r="Q1117" s="12" t="s">
        <v>35</v>
      </c>
      <c r="R1117" s="12" t="s">
        <v>36</v>
      </c>
      <c r="S1117" s="10" t="n">
        <v>1130101</v>
      </c>
      <c r="T1117" s="12" t="s">
        <v>37</v>
      </c>
      <c r="U1117" s="13" t="n">
        <v>925.97</v>
      </c>
      <c r="W1117" s="13" t="n">
        <v>0</v>
      </c>
      <c r="X1117" s="12" t="s">
        <v>1393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46228</v>
      </c>
      <c r="C1118" s="11" t="n">
        <v>46241</v>
      </c>
      <c r="D1118" s="10" t="n">
        <v>1270</v>
      </c>
      <c r="E1118" s="12" t="s">
        <v>348</v>
      </c>
      <c r="F1118" s="10" t="n">
        <v>24</v>
      </c>
      <c r="G1118" s="12" t="s">
        <v>31</v>
      </c>
      <c r="H1118" s="10" t="n">
        <v>1110202</v>
      </c>
      <c r="I1118" s="12" t="s">
        <v>90</v>
      </c>
      <c r="J1118" s="10" t="n">
        <v>1450031</v>
      </c>
      <c r="L1118" s="10" t="n">
        <v>2702</v>
      </c>
      <c r="M1118" s="12" t="s">
        <v>33</v>
      </c>
      <c r="N1118" s="12" t="s">
        <v>66</v>
      </c>
      <c r="P1118" s="10" t="n">
        <v>103</v>
      </c>
      <c r="Q1118" s="12" t="s">
        <v>35</v>
      </c>
      <c r="R1118" s="12" t="s">
        <v>36</v>
      </c>
      <c r="S1118" s="10" t="n">
        <v>1130101</v>
      </c>
      <c r="T1118" s="12" t="s">
        <v>37</v>
      </c>
      <c r="U1118" s="13" t="n">
        <v>581.5</v>
      </c>
      <c r="W1118" s="13" t="n">
        <v>0</v>
      </c>
      <c r="X1118" s="12" t="s">
        <v>1394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46228</v>
      </c>
      <c r="C1119" s="11" t="n">
        <v>46241</v>
      </c>
      <c r="D1119" s="10" t="n">
        <v>1114</v>
      </c>
      <c r="E1119" s="12" t="s">
        <v>128</v>
      </c>
      <c r="F1119" s="10" t="n">
        <v>24</v>
      </c>
      <c r="G1119" s="12" t="s">
        <v>31</v>
      </c>
      <c r="H1119" s="10" t="n">
        <v>1110202</v>
      </c>
      <c r="I1119" s="12" t="s">
        <v>90</v>
      </c>
      <c r="J1119" s="10" t="n">
        <v>1450174</v>
      </c>
      <c r="L1119" s="10" t="n">
        <v>41958</v>
      </c>
      <c r="M1119" s="12" t="s">
        <v>33</v>
      </c>
      <c r="N1119" s="12" t="s">
        <v>66</v>
      </c>
      <c r="P1119" s="10" t="n">
        <v>103</v>
      </c>
      <c r="Q1119" s="12" t="s">
        <v>35</v>
      </c>
      <c r="R1119" s="12" t="s">
        <v>36</v>
      </c>
      <c r="S1119" s="10" t="n">
        <v>1130101</v>
      </c>
      <c r="T1119" s="12" t="s">
        <v>37</v>
      </c>
      <c r="U1119" s="13" t="n">
        <v>5054.39</v>
      </c>
      <c r="W1119" s="13" t="n">
        <v>0</v>
      </c>
      <c r="X1119" s="12" t="s">
        <v>1395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46223</v>
      </c>
      <c r="C1120" s="11" t="n">
        <v>46241</v>
      </c>
      <c r="D1120" s="10" t="n">
        <v>1107</v>
      </c>
      <c r="E1120" s="12" t="s">
        <v>525</v>
      </c>
      <c r="F1120" s="10" t="n">
        <v>24</v>
      </c>
      <c r="G1120" s="12" t="s">
        <v>31</v>
      </c>
      <c r="H1120" s="10" t="n">
        <v>1110202</v>
      </c>
      <c r="I1120" s="12" t="s">
        <v>90</v>
      </c>
      <c r="J1120" s="10" t="n">
        <v>1423979</v>
      </c>
      <c r="L1120" s="10" t="n">
        <v>430879</v>
      </c>
      <c r="M1120" s="12" t="s">
        <v>76</v>
      </c>
      <c r="N1120" s="12" t="s">
        <v>66</v>
      </c>
      <c r="P1120" s="10" t="n">
        <v>103</v>
      </c>
      <c r="Q1120" s="12" t="s">
        <v>35</v>
      </c>
      <c r="R1120" s="12" t="s">
        <v>36</v>
      </c>
      <c r="S1120" s="10" t="n">
        <v>1130101</v>
      </c>
      <c r="T1120" s="12" t="s">
        <v>37</v>
      </c>
      <c r="U1120" s="13" t="n">
        <v>1180.51</v>
      </c>
      <c r="W1120" s="13" t="n">
        <v>0</v>
      </c>
      <c r="X1120" s="12" t="s">
        <v>1396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46218</v>
      </c>
      <c r="C1121" s="11" t="n">
        <v>46241</v>
      </c>
      <c r="D1121" s="10" t="n">
        <v>10011</v>
      </c>
      <c r="E1121" s="12" t="s">
        <v>78</v>
      </c>
      <c r="F1121" s="10" t="n">
        <v>24</v>
      </c>
      <c r="G1121" s="12" t="s">
        <v>31</v>
      </c>
      <c r="H1121" s="10" t="n">
        <v>1110202</v>
      </c>
      <c r="I1121" s="12" t="s">
        <v>90</v>
      </c>
      <c r="J1121" s="10" t="n">
        <v>1401989</v>
      </c>
      <c r="L1121" s="10" t="n">
        <v>34663</v>
      </c>
      <c r="M1121" s="12" t="s">
        <v>33</v>
      </c>
      <c r="N1121" s="12" t="s">
        <v>66</v>
      </c>
      <c r="P1121" s="10" t="n">
        <v>103</v>
      </c>
      <c r="Q1121" s="12" t="s">
        <v>35</v>
      </c>
      <c r="R1121" s="12" t="s">
        <v>36</v>
      </c>
      <c r="S1121" s="10" t="n">
        <v>1130101</v>
      </c>
      <c r="T1121" s="12" t="s">
        <v>37</v>
      </c>
      <c r="U1121" s="13" t="n">
        <v>2006</v>
      </c>
      <c r="W1121" s="13" t="n">
        <v>0</v>
      </c>
      <c r="X1121" s="12" t="s">
        <v>1397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46212</v>
      </c>
      <c r="C1122" s="11" t="n">
        <v>46241</v>
      </c>
      <c r="D1122" s="10" t="n">
        <v>10011</v>
      </c>
      <c r="E1122" s="12" t="s">
        <v>78</v>
      </c>
      <c r="F1122" s="10" t="n">
        <v>24</v>
      </c>
      <c r="G1122" s="12" t="s">
        <v>31</v>
      </c>
      <c r="H1122" s="10" t="n">
        <v>1110202</v>
      </c>
      <c r="I1122" s="12" t="s">
        <v>90</v>
      </c>
      <c r="J1122" s="10" t="n">
        <v>1375344</v>
      </c>
      <c r="L1122" s="10" t="n">
        <v>34611</v>
      </c>
      <c r="M1122" s="12" t="s">
        <v>33</v>
      </c>
      <c r="N1122" s="12" t="s">
        <v>66</v>
      </c>
      <c r="P1122" s="10" t="n">
        <v>103</v>
      </c>
      <c r="Q1122" s="12" t="s">
        <v>35</v>
      </c>
      <c r="R1122" s="12" t="s">
        <v>36</v>
      </c>
      <c r="S1122" s="10" t="n">
        <v>1130101</v>
      </c>
      <c r="T1122" s="12" t="s">
        <v>37</v>
      </c>
      <c r="U1122" s="13" t="n">
        <v>1091.08</v>
      </c>
      <c r="W1122" s="13" t="n">
        <v>0</v>
      </c>
      <c r="X1122" s="12" t="s">
        <v>1398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46237</v>
      </c>
      <c r="C1123" s="11" t="n">
        <v>46241</v>
      </c>
      <c r="D1123" s="10" t="n">
        <v>1899</v>
      </c>
      <c r="E1123" s="12" t="s">
        <v>131</v>
      </c>
      <c r="F1123" s="10" t="n">
        <v>24</v>
      </c>
      <c r="G1123" s="12" t="s">
        <v>31</v>
      </c>
      <c r="H1123" s="10" t="n">
        <v>1110202</v>
      </c>
      <c r="I1123" s="12" t="s">
        <v>90</v>
      </c>
      <c r="J1123" s="10" t="n">
        <v>1495710</v>
      </c>
      <c r="L1123" s="10" t="n">
        <v>741</v>
      </c>
      <c r="M1123" s="12" t="s">
        <v>33</v>
      </c>
      <c r="N1123" s="12" t="s">
        <v>66</v>
      </c>
      <c r="P1123" s="10" t="n">
        <v>103</v>
      </c>
      <c r="Q1123" s="12" t="s">
        <v>35</v>
      </c>
      <c r="R1123" s="12" t="s">
        <v>36</v>
      </c>
      <c r="S1123" s="10" t="n">
        <v>1130101</v>
      </c>
      <c r="T1123" s="12" t="s">
        <v>37</v>
      </c>
      <c r="U1123" s="13" t="n">
        <v>700</v>
      </c>
      <c r="W1123" s="13" t="n">
        <v>0</v>
      </c>
      <c r="X1123" s="12" t="s">
        <v>1399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46237</v>
      </c>
      <c r="C1124" s="11" t="n">
        <v>46241</v>
      </c>
      <c r="D1124" s="10" t="n">
        <v>1899</v>
      </c>
      <c r="E1124" s="12" t="s">
        <v>131</v>
      </c>
      <c r="F1124" s="10" t="n">
        <v>24</v>
      </c>
      <c r="G1124" s="12" t="s">
        <v>31</v>
      </c>
      <c r="H1124" s="10" t="n">
        <v>1110202</v>
      </c>
      <c r="I1124" s="12" t="s">
        <v>90</v>
      </c>
      <c r="J1124" s="10" t="n">
        <v>1495726</v>
      </c>
      <c r="L1124" s="10" t="n">
        <v>742</v>
      </c>
      <c r="M1124" s="12" t="s">
        <v>33</v>
      </c>
      <c r="N1124" s="12" t="s">
        <v>66</v>
      </c>
      <c r="P1124" s="10" t="n">
        <v>103</v>
      </c>
      <c r="Q1124" s="12" t="s">
        <v>35</v>
      </c>
      <c r="R1124" s="12" t="s">
        <v>36</v>
      </c>
      <c r="S1124" s="10" t="n">
        <v>1130101</v>
      </c>
      <c r="T1124" s="12" t="s">
        <v>37</v>
      </c>
      <c r="U1124" s="13" t="n">
        <v>474.5</v>
      </c>
      <c r="W1124" s="13" t="n">
        <v>0</v>
      </c>
      <c r="X1124" s="12" t="s">
        <v>1400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46225</v>
      </c>
      <c r="C1125" s="11" t="n">
        <v>46241</v>
      </c>
      <c r="D1125" s="10" t="n">
        <v>10017</v>
      </c>
      <c r="E1125" s="12" t="s">
        <v>271</v>
      </c>
      <c r="F1125" s="10" t="n">
        <v>24</v>
      </c>
      <c r="G1125" s="12" t="s">
        <v>31</v>
      </c>
      <c r="H1125" s="10" t="n">
        <v>1110202</v>
      </c>
      <c r="I1125" s="12" t="s">
        <v>90</v>
      </c>
      <c r="J1125" s="10" t="n">
        <v>1434930</v>
      </c>
      <c r="L1125" s="10" t="n">
        <v>194574</v>
      </c>
      <c r="M1125" s="12" t="s">
        <v>76</v>
      </c>
      <c r="N1125" s="12" t="s">
        <v>66</v>
      </c>
      <c r="P1125" s="10" t="n">
        <v>103</v>
      </c>
      <c r="Q1125" s="12" t="s">
        <v>35</v>
      </c>
      <c r="R1125" s="12" t="s">
        <v>36</v>
      </c>
      <c r="S1125" s="10" t="n">
        <v>1130101</v>
      </c>
      <c r="T1125" s="12" t="s">
        <v>37</v>
      </c>
      <c r="U1125" s="13" t="n">
        <v>808.45</v>
      </c>
      <c r="W1125" s="13" t="n">
        <v>0</v>
      </c>
      <c r="X1125" s="12" t="s">
        <v>1401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46226</v>
      </c>
      <c r="C1126" s="11" t="n">
        <v>46241</v>
      </c>
      <c r="D1126" s="10" t="n">
        <v>10017</v>
      </c>
      <c r="E1126" s="12" t="s">
        <v>271</v>
      </c>
      <c r="F1126" s="10" t="n">
        <v>24</v>
      </c>
      <c r="G1126" s="12" t="s">
        <v>31</v>
      </c>
      <c r="H1126" s="10" t="n">
        <v>1110202</v>
      </c>
      <c r="I1126" s="12" t="s">
        <v>90</v>
      </c>
      <c r="J1126" s="10" t="n">
        <v>1440211</v>
      </c>
      <c r="L1126" s="10" t="n">
        <v>592622</v>
      </c>
      <c r="M1126" s="12" t="s">
        <v>33</v>
      </c>
      <c r="N1126" s="12" t="s">
        <v>66</v>
      </c>
      <c r="P1126" s="10" t="n">
        <v>104</v>
      </c>
      <c r="Q1126" s="12" t="s">
        <v>50</v>
      </c>
      <c r="R1126" s="12" t="s">
        <v>36</v>
      </c>
      <c r="S1126" s="10" t="n">
        <v>1130101</v>
      </c>
      <c r="T1126" s="12" t="s">
        <v>37</v>
      </c>
      <c r="U1126" s="13" t="n">
        <v>868.36</v>
      </c>
      <c r="W1126" s="13" t="n">
        <v>0</v>
      </c>
      <c r="X1126" s="12" t="s">
        <v>1402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46148</v>
      </c>
      <c r="C1127" s="11" t="n">
        <v>46241</v>
      </c>
      <c r="D1127" s="10" t="n">
        <v>607</v>
      </c>
      <c r="E1127" s="12" t="s">
        <v>81</v>
      </c>
      <c r="F1127" s="10" t="n">
        <v>24</v>
      </c>
      <c r="G1127" s="12" t="s">
        <v>31</v>
      </c>
      <c r="H1127" s="10" t="n">
        <v>2110101</v>
      </c>
      <c r="I1127" s="12" t="s">
        <v>32</v>
      </c>
      <c r="J1127" s="10" t="n">
        <v>1057743</v>
      </c>
      <c r="L1127" s="10" t="n">
        <v>10336</v>
      </c>
      <c r="M1127" s="12" t="s">
        <v>1349</v>
      </c>
      <c r="N1127" s="12" t="s">
        <v>34</v>
      </c>
      <c r="P1127" s="10" t="n">
        <v>103</v>
      </c>
      <c r="Q1127" s="12" t="s">
        <v>35</v>
      </c>
      <c r="R1127" s="12" t="s">
        <v>36</v>
      </c>
      <c r="S1127" s="10" t="n">
        <v>1130101</v>
      </c>
      <c r="T1127" s="12" t="s">
        <v>37</v>
      </c>
      <c r="U1127" s="13" t="n">
        <v>250.38</v>
      </c>
      <c r="W1127" s="13" t="n">
        <v>0</v>
      </c>
      <c r="X1127" s="12" t="s">
        <v>1403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46234</v>
      </c>
      <c r="C1128" s="11" t="n">
        <v>46241</v>
      </c>
      <c r="D1128" s="10" t="n">
        <v>33</v>
      </c>
      <c r="E1128" s="12" t="s">
        <v>64</v>
      </c>
      <c r="F1128" s="10" t="n">
        <v>34</v>
      </c>
      <c r="G1128" s="12" t="s">
        <v>49</v>
      </c>
      <c r="H1128" s="10" t="n">
        <v>2110101</v>
      </c>
      <c r="I1128" s="12" t="s">
        <v>32</v>
      </c>
      <c r="J1128" s="10" t="n">
        <v>1478271</v>
      </c>
      <c r="L1128" s="10" t="n">
        <v>5400</v>
      </c>
      <c r="M1128" s="12" t="s">
        <v>33</v>
      </c>
      <c r="N1128" s="12" t="s">
        <v>34</v>
      </c>
      <c r="P1128" s="10" t="n">
        <v>103</v>
      </c>
      <c r="Q1128" s="12" t="s">
        <v>35</v>
      </c>
      <c r="R1128" s="12" t="s">
        <v>36</v>
      </c>
      <c r="S1128" s="10" t="n">
        <v>1130101</v>
      </c>
      <c r="T1128" s="12" t="s">
        <v>37</v>
      </c>
      <c r="U1128" s="13" t="n">
        <v>1560</v>
      </c>
      <c r="W1128" s="13" t="n">
        <v>0</v>
      </c>
      <c r="X1128" s="12" t="s">
        <v>1404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46226</v>
      </c>
      <c r="C1129" s="11" t="n">
        <v>46241</v>
      </c>
      <c r="D1129" s="10" t="n">
        <v>1666</v>
      </c>
      <c r="E1129" s="12" t="s">
        <v>139</v>
      </c>
      <c r="F1129" s="10" t="n">
        <v>24</v>
      </c>
      <c r="G1129" s="12" t="s">
        <v>31</v>
      </c>
      <c r="H1129" s="10" t="n">
        <v>1110202</v>
      </c>
      <c r="I1129" s="12" t="s">
        <v>90</v>
      </c>
      <c r="J1129" s="10" t="n">
        <v>1440189</v>
      </c>
      <c r="L1129" s="10" t="n">
        <v>568312</v>
      </c>
      <c r="M1129" s="12" t="s">
        <v>76</v>
      </c>
      <c r="N1129" s="12" t="s">
        <v>66</v>
      </c>
      <c r="P1129" s="10" t="n">
        <v>103</v>
      </c>
      <c r="Q1129" s="12" t="s">
        <v>35</v>
      </c>
      <c r="R1129" s="12" t="s">
        <v>36</v>
      </c>
      <c r="S1129" s="10" t="n">
        <v>1130101</v>
      </c>
      <c r="T1129" s="12" t="s">
        <v>37</v>
      </c>
      <c r="U1129" s="13" t="n">
        <v>7635.42</v>
      </c>
      <c r="W1129" s="13" t="n">
        <v>0</v>
      </c>
      <c r="X1129" s="12" t="s">
        <v>1405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46226</v>
      </c>
      <c r="C1130" s="11" t="n">
        <v>46241</v>
      </c>
      <c r="D1130" s="10" t="n">
        <v>1402</v>
      </c>
      <c r="E1130" s="12" t="s">
        <v>214</v>
      </c>
      <c r="F1130" s="10" t="n">
        <v>24</v>
      </c>
      <c r="G1130" s="12" t="s">
        <v>31</v>
      </c>
      <c r="H1130" s="10" t="n">
        <v>1110202</v>
      </c>
      <c r="I1130" s="12" t="s">
        <v>90</v>
      </c>
      <c r="J1130" s="10" t="n">
        <v>1439563</v>
      </c>
      <c r="L1130" s="10" t="n">
        <v>3858</v>
      </c>
      <c r="M1130" s="12" t="s">
        <v>33</v>
      </c>
      <c r="N1130" s="12" t="s">
        <v>66</v>
      </c>
      <c r="P1130" s="10" t="n">
        <v>103</v>
      </c>
      <c r="Q1130" s="12" t="s">
        <v>35</v>
      </c>
      <c r="R1130" s="12" t="s">
        <v>94</v>
      </c>
      <c r="S1130" s="10" t="n">
        <v>4210227</v>
      </c>
      <c r="T1130" s="12" t="s">
        <v>573</v>
      </c>
      <c r="U1130" s="13" t="n">
        <v>994.74</v>
      </c>
      <c r="W1130" s="13" t="n">
        <v>0</v>
      </c>
      <c r="X1130" s="12" t="s">
        <v>1406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46235</v>
      </c>
      <c r="C1131" s="11" t="n">
        <v>46241</v>
      </c>
      <c r="D1131" s="10" t="n">
        <v>1286</v>
      </c>
      <c r="E1131" s="12" t="s">
        <v>216</v>
      </c>
      <c r="F1131" s="10" t="n">
        <v>24</v>
      </c>
      <c r="G1131" s="12" t="s">
        <v>31</v>
      </c>
      <c r="H1131" s="10" t="n">
        <v>1110202</v>
      </c>
      <c r="I1131" s="12" t="s">
        <v>90</v>
      </c>
      <c r="J1131" s="10" t="n">
        <v>1482229</v>
      </c>
      <c r="L1131" s="10" t="n">
        <v>10438</v>
      </c>
      <c r="M1131" s="12" t="s">
        <v>33</v>
      </c>
      <c r="N1131" s="12" t="s">
        <v>66</v>
      </c>
      <c r="P1131" s="10" t="n">
        <v>103</v>
      </c>
      <c r="Q1131" s="12" t="s">
        <v>35</v>
      </c>
      <c r="R1131" s="12" t="s">
        <v>36</v>
      </c>
      <c r="S1131" s="10" t="n">
        <v>1130101</v>
      </c>
      <c r="T1131" s="12" t="s">
        <v>37</v>
      </c>
      <c r="U1131" s="13" t="n">
        <v>1026</v>
      </c>
      <c r="W1131" s="13" t="n">
        <v>0</v>
      </c>
      <c r="X1131" s="12" t="s">
        <v>1407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46212</v>
      </c>
      <c r="C1132" s="11" t="n">
        <v>46242</v>
      </c>
      <c r="D1132" s="10" t="n">
        <v>10037</v>
      </c>
      <c r="E1132" s="12" t="s">
        <v>340</v>
      </c>
      <c r="F1132" s="10" t="n">
        <v>24</v>
      </c>
      <c r="G1132" s="12" t="s">
        <v>31</v>
      </c>
      <c r="H1132" s="10" t="n">
        <v>1110202</v>
      </c>
      <c r="I1132" s="12" t="s">
        <v>90</v>
      </c>
      <c r="J1132" s="10" t="n">
        <v>1374662</v>
      </c>
      <c r="L1132" s="10" t="n">
        <v>2737</v>
      </c>
      <c r="M1132" s="12" t="s">
        <v>76</v>
      </c>
      <c r="N1132" s="12" t="s">
        <v>66</v>
      </c>
      <c r="P1132" s="10" t="n">
        <v>103</v>
      </c>
      <c r="Q1132" s="12" t="s">
        <v>35</v>
      </c>
      <c r="R1132" s="12" t="s">
        <v>36</v>
      </c>
      <c r="S1132" s="10" t="n">
        <v>1130101</v>
      </c>
      <c r="T1132" s="12" t="s">
        <v>37</v>
      </c>
      <c r="U1132" s="13" t="n">
        <v>527.3</v>
      </c>
      <c r="W1132" s="13" t="n">
        <v>0</v>
      </c>
      <c r="X1132" s="12" t="s">
        <v>1408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46237</v>
      </c>
      <c r="C1133" s="11" t="n">
        <v>46242</v>
      </c>
      <c r="D1133" s="10" t="n">
        <v>1625</v>
      </c>
      <c r="E1133" s="12" t="s">
        <v>62</v>
      </c>
      <c r="F1133" s="10" t="n">
        <v>24</v>
      </c>
      <c r="G1133" s="12" t="s">
        <v>31</v>
      </c>
      <c r="H1133" s="10" t="n">
        <v>1110202</v>
      </c>
      <c r="I1133" s="12" t="s">
        <v>90</v>
      </c>
      <c r="J1133" s="10" t="n">
        <v>1495532</v>
      </c>
      <c r="L1133" s="10" t="n">
        <v>14907</v>
      </c>
      <c r="M1133" s="12" t="s">
        <v>33</v>
      </c>
      <c r="N1133" s="12" t="s">
        <v>66</v>
      </c>
      <c r="P1133" s="10" t="n">
        <v>103</v>
      </c>
      <c r="Q1133" s="12" t="s">
        <v>35</v>
      </c>
      <c r="R1133" s="12" t="s">
        <v>36</v>
      </c>
      <c r="S1133" s="10" t="n">
        <v>1130101</v>
      </c>
      <c r="T1133" s="12" t="s">
        <v>37</v>
      </c>
      <c r="U1133" s="13" t="n">
        <v>4044.8</v>
      </c>
      <c r="W1133" s="13" t="n">
        <v>0</v>
      </c>
      <c r="X1133" s="12" t="s">
        <v>1409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46202</v>
      </c>
      <c r="C1134" s="11" t="n">
        <v>46242</v>
      </c>
      <c r="D1134" s="10" t="n">
        <v>1624</v>
      </c>
      <c r="E1134" s="12" t="s">
        <v>367</v>
      </c>
      <c r="F1134" s="10" t="n">
        <v>24</v>
      </c>
      <c r="G1134" s="12" t="s">
        <v>31</v>
      </c>
      <c r="H1134" s="10" t="n">
        <v>2110101</v>
      </c>
      <c r="I1134" s="12" t="s">
        <v>32</v>
      </c>
      <c r="J1134" s="10" t="n">
        <v>1322405</v>
      </c>
      <c r="L1134" s="10" t="n">
        <v>660505</v>
      </c>
      <c r="M1134" s="12" t="s">
        <v>76</v>
      </c>
      <c r="N1134" s="12" t="s">
        <v>34</v>
      </c>
      <c r="P1134" s="10" t="n">
        <v>103</v>
      </c>
      <c r="Q1134" s="12" t="s">
        <v>35</v>
      </c>
      <c r="R1134" s="12" t="s">
        <v>36</v>
      </c>
      <c r="S1134" s="10" t="n">
        <v>1130101</v>
      </c>
      <c r="T1134" s="12" t="s">
        <v>37</v>
      </c>
      <c r="U1134" s="13" t="n">
        <v>660</v>
      </c>
      <c r="W1134" s="13" t="n">
        <v>0</v>
      </c>
      <c r="X1134" s="12" t="s">
        <v>1410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46237</v>
      </c>
      <c r="C1135" s="11" t="n">
        <v>46242</v>
      </c>
      <c r="D1135" s="10" t="n">
        <v>754</v>
      </c>
      <c r="E1135" s="12" t="s">
        <v>68</v>
      </c>
      <c r="F1135" s="10" t="n">
        <v>24</v>
      </c>
      <c r="G1135" s="12" t="s">
        <v>31</v>
      </c>
      <c r="H1135" s="10" t="n">
        <v>1110202</v>
      </c>
      <c r="I1135" s="12" t="s">
        <v>90</v>
      </c>
      <c r="J1135" s="10" t="n">
        <v>1495440</v>
      </c>
      <c r="L1135" s="10" t="n">
        <v>32187</v>
      </c>
      <c r="M1135" s="12" t="s">
        <v>33</v>
      </c>
      <c r="N1135" s="12" t="s">
        <v>66</v>
      </c>
      <c r="P1135" s="10" t="n">
        <v>103</v>
      </c>
      <c r="Q1135" s="12" t="s">
        <v>35</v>
      </c>
      <c r="R1135" s="12" t="s">
        <v>36</v>
      </c>
      <c r="S1135" s="10" t="n">
        <v>1130101</v>
      </c>
      <c r="T1135" s="12" t="s">
        <v>37</v>
      </c>
      <c r="U1135" s="13" t="n">
        <v>3557.5</v>
      </c>
      <c r="W1135" s="13" t="n">
        <v>0</v>
      </c>
      <c r="X1135" s="12" t="s">
        <v>1411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46209</v>
      </c>
      <c r="C1136" s="11" t="n">
        <v>46243</v>
      </c>
      <c r="D1136" s="10" t="n">
        <v>10020</v>
      </c>
      <c r="E1136" s="12" t="s">
        <v>293</v>
      </c>
      <c r="F1136" s="10" t="n">
        <v>24</v>
      </c>
      <c r="G1136" s="12" t="s">
        <v>31</v>
      </c>
      <c r="H1136" s="10" t="n">
        <v>2110101</v>
      </c>
      <c r="I1136" s="12" t="s">
        <v>32</v>
      </c>
      <c r="J1136" s="10" t="n">
        <v>1360452</v>
      </c>
      <c r="L1136" s="10" t="n">
        <v>707</v>
      </c>
      <c r="M1136" s="12" t="s">
        <v>79</v>
      </c>
      <c r="N1136" s="12" t="s">
        <v>34</v>
      </c>
      <c r="P1136" s="10" t="n">
        <v>103</v>
      </c>
      <c r="Q1136" s="12" t="s">
        <v>35</v>
      </c>
      <c r="R1136" s="12" t="s">
        <v>36</v>
      </c>
      <c r="S1136" s="10" t="n">
        <v>1130101</v>
      </c>
      <c r="T1136" s="12" t="s">
        <v>37</v>
      </c>
      <c r="U1136" s="13" t="n">
        <v>410.7</v>
      </c>
      <c r="W1136" s="13" t="n">
        <v>0</v>
      </c>
      <c r="X1136" s="12" t="s">
        <v>1412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46203</v>
      </c>
      <c r="C1137" s="11" t="n">
        <v>46243</v>
      </c>
      <c r="D1137" s="10" t="n">
        <v>10011</v>
      </c>
      <c r="E1137" s="12" t="s">
        <v>78</v>
      </c>
      <c r="F1137" s="10" t="n">
        <v>24</v>
      </c>
      <c r="G1137" s="12" t="s">
        <v>31</v>
      </c>
      <c r="H1137" s="10" t="n">
        <v>2110101</v>
      </c>
      <c r="I1137" s="12" t="s">
        <v>32</v>
      </c>
      <c r="J1137" s="10" t="n">
        <v>1330475</v>
      </c>
      <c r="L1137" s="10" t="n">
        <v>34300</v>
      </c>
      <c r="M1137" s="12" t="s">
        <v>40</v>
      </c>
      <c r="N1137" s="12" t="s">
        <v>34</v>
      </c>
      <c r="P1137" s="10" t="n">
        <v>103</v>
      </c>
      <c r="Q1137" s="12" t="s">
        <v>35</v>
      </c>
      <c r="R1137" s="12" t="s">
        <v>36</v>
      </c>
      <c r="S1137" s="10" t="n">
        <v>1130101</v>
      </c>
      <c r="T1137" s="12" t="s">
        <v>37</v>
      </c>
      <c r="U1137" s="13" t="n">
        <v>3377.6</v>
      </c>
      <c r="W1137" s="13" t="n">
        <v>0</v>
      </c>
      <c r="X1137" s="12" t="s">
        <v>1413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46204</v>
      </c>
      <c r="C1138" s="11" t="n">
        <v>46244</v>
      </c>
      <c r="D1138" s="10" t="n">
        <v>1008</v>
      </c>
      <c r="E1138" s="12" t="s">
        <v>1414</v>
      </c>
      <c r="F1138" s="10" t="n">
        <v>46</v>
      </c>
      <c r="G1138" s="12" t="s">
        <v>565</v>
      </c>
      <c r="H1138" s="10" t="n">
        <v>2110405</v>
      </c>
      <c r="I1138" s="12" t="s">
        <v>153</v>
      </c>
      <c r="J1138" s="10" t="n">
        <v>1336323</v>
      </c>
      <c r="L1138" s="10" t="n">
        <v>1657</v>
      </c>
      <c r="M1138" s="12" t="s">
        <v>33</v>
      </c>
      <c r="N1138" s="12" t="s">
        <v>66</v>
      </c>
      <c r="P1138" s="10" t="n">
        <v>101</v>
      </c>
      <c r="Q1138" s="12" t="s">
        <v>84</v>
      </c>
      <c r="R1138" s="12" t="s">
        <v>94</v>
      </c>
      <c r="S1138" s="10" t="n">
        <v>4210232</v>
      </c>
      <c r="T1138" s="12" t="s">
        <v>647</v>
      </c>
      <c r="U1138" s="13" t="n">
        <v>208</v>
      </c>
      <c r="W1138" s="13" t="n">
        <v>0</v>
      </c>
      <c r="X1138" s="12" t="s">
        <v>1415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46029</v>
      </c>
      <c r="C1139" s="11" t="n">
        <v>46244</v>
      </c>
      <c r="D1139" s="10" t="n">
        <v>105</v>
      </c>
      <c r="E1139" s="12" t="s">
        <v>564</v>
      </c>
      <c r="F1139" s="10" t="n">
        <v>46</v>
      </c>
      <c r="G1139" s="12" t="s">
        <v>565</v>
      </c>
      <c r="H1139" s="10" t="n">
        <v>2110405</v>
      </c>
      <c r="I1139" s="12" t="s">
        <v>153</v>
      </c>
      <c r="J1139" s="10" t="n">
        <v>651504</v>
      </c>
      <c r="L1139" s="10" t="n">
        <v>287048</v>
      </c>
      <c r="M1139" s="12" t="s">
        <v>1079</v>
      </c>
      <c r="N1139" s="12" t="s">
        <v>66</v>
      </c>
      <c r="P1139" s="10" t="n">
        <v>101</v>
      </c>
      <c r="Q1139" s="12" t="s">
        <v>84</v>
      </c>
      <c r="R1139" s="12" t="s">
        <v>91</v>
      </c>
      <c r="S1139" s="10" t="n">
        <v>4220199</v>
      </c>
      <c r="T1139" s="12" t="s">
        <v>92</v>
      </c>
      <c r="U1139" s="13" t="n">
        <v>1567.08</v>
      </c>
      <c r="W1139" s="13" t="n">
        <v>0</v>
      </c>
      <c r="X1139" s="12" t="s">
        <v>1416</v>
      </c>
      <c r="Z1139" s="1" t="str">
        <f aca="false">IF($T1139="","",IFERROR(INDEX('Resumo Grupos'!$AC$3:$AC$200,MATCH($T1139,'Resumo Grupos'!$AB$3:$AB$200,0)),"n/d"))</f>
        <v>Pagamentos outros não operacionais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46234</v>
      </c>
      <c r="C1140" s="11" t="n">
        <v>46244</v>
      </c>
      <c r="D1140" s="10" t="n">
        <v>608</v>
      </c>
      <c r="E1140" s="12" t="s">
        <v>1417</v>
      </c>
      <c r="F1140" s="10" t="n">
        <v>46</v>
      </c>
      <c r="G1140" s="12" t="s">
        <v>565</v>
      </c>
      <c r="H1140" s="10" t="n">
        <v>1110202</v>
      </c>
      <c r="I1140" s="12" t="s">
        <v>90</v>
      </c>
      <c r="J1140" s="10" t="n">
        <v>1477562</v>
      </c>
      <c r="L1140" s="10" t="n">
        <v>1681242</v>
      </c>
      <c r="M1140" s="12" t="s">
        <v>33</v>
      </c>
      <c r="N1140" s="12" t="s">
        <v>66</v>
      </c>
      <c r="P1140" s="10" t="n">
        <v>101</v>
      </c>
      <c r="Q1140" s="12" t="s">
        <v>84</v>
      </c>
      <c r="R1140" s="12" t="s">
        <v>94</v>
      </c>
      <c r="S1140" s="10" t="n">
        <v>4210232</v>
      </c>
      <c r="T1140" s="12" t="s">
        <v>647</v>
      </c>
      <c r="U1140" s="13" t="n">
        <v>315.62</v>
      </c>
      <c r="W1140" s="13" t="n">
        <v>0</v>
      </c>
      <c r="X1140" s="12" t="s">
        <v>1418</v>
      </c>
      <c r="Z1140" s="1" t="str">
        <f aca="false">IF($T1140="","",IFERROR(INDEX('Resumo Grupos'!$AC$3:$AC$200,MATCH($T1140,'Resumo Grupos'!$AB$3:$AB$200,0)),"n/d"))</f>
        <v>Despesa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46182</v>
      </c>
      <c r="C1141" s="11" t="n">
        <v>46244</v>
      </c>
      <c r="D1141" s="10" t="n">
        <v>1898</v>
      </c>
      <c r="E1141" s="12" t="s">
        <v>575</v>
      </c>
      <c r="F1141" s="10" t="n">
        <v>46</v>
      </c>
      <c r="G1141" s="12" t="s">
        <v>565</v>
      </c>
      <c r="H1141" s="10" t="n">
        <v>2110405</v>
      </c>
      <c r="I1141" s="12" t="s">
        <v>153</v>
      </c>
      <c r="J1141" s="10" t="n">
        <v>1226797</v>
      </c>
      <c r="L1141" s="10" t="n">
        <v>5536</v>
      </c>
      <c r="M1141" s="12" t="s">
        <v>76</v>
      </c>
      <c r="N1141" s="12" t="s">
        <v>66</v>
      </c>
      <c r="P1141" s="10" t="n">
        <v>101</v>
      </c>
      <c r="Q1141" s="12" t="s">
        <v>84</v>
      </c>
      <c r="R1141" s="12" t="s">
        <v>94</v>
      </c>
      <c r="S1141" s="10" t="n">
        <v>4210226</v>
      </c>
      <c r="T1141" s="12" t="s">
        <v>576</v>
      </c>
      <c r="U1141" s="13" t="n">
        <v>157.89</v>
      </c>
      <c r="W1141" s="13" t="n">
        <v>0</v>
      </c>
      <c r="X1141" s="12" t="s">
        <v>1419</v>
      </c>
      <c r="Z1141" s="1" t="str">
        <f aca="false">IF($T1141="","",IFERROR(INDEX('Resumo Grupos'!$AC$3:$AC$200,MATCH($T1141,'Resumo Grupos'!$AB$3:$AB$200,0)),"n/d"))</f>
        <v>Despesa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46153</v>
      </c>
      <c r="C1142" s="11" t="n">
        <v>46244</v>
      </c>
      <c r="D1142" s="10" t="n">
        <v>1898</v>
      </c>
      <c r="E1142" s="12" t="s">
        <v>575</v>
      </c>
      <c r="F1142" s="10" t="n">
        <v>46</v>
      </c>
      <c r="G1142" s="12" t="s">
        <v>565</v>
      </c>
      <c r="H1142" s="10" t="n">
        <v>2110405</v>
      </c>
      <c r="I1142" s="12" t="s">
        <v>153</v>
      </c>
      <c r="J1142" s="10" t="n">
        <v>1230688</v>
      </c>
      <c r="L1142" s="10" t="n">
        <v>5484</v>
      </c>
      <c r="M1142" s="12" t="s">
        <v>40</v>
      </c>
      <c r="N1142" s="12" t="s">
        <v>66</v>
      </c>
      <c r="P1142" s="10" t="n">
        <v>101</v>
      </c>
      <c r="Q1142" s="12" t="s">
        <v>84</v>
      </c>
      <c r="R1142" s="12" t="s">
        <v>94</v>
      </c>
      <c r="S1142" s="10" t="n">
        <v>4210205</v>
      </c>
      <c r="T1142" s="12" t="s">
        <v>380</v>
      </c>
      <c r="U1142" s="13" t="n">
        <v>120.13</v>
      </c>
      <c r="W1142" s="13" t="n">
        <v>0</v>
      </c>
      <c r="X1142" s="12" t="s">
        <v>1420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46213</v>
      </c>
      <c r="C1143" s="11" t="n">
        <v>46244</v>
      </c>
      <c r="D1143" s="10" t="n">
        <v>1914</v>
      </c>
      <c r="E1143" s="12" t="s">
        <v>1421</v>
      </c>
      <c r="F1143" s="10" t="n">
        <v>46</v>
      </c>
      <c r="G1143" s="12" t="s">
        <v>565</v>
      </c>
      <c r="H1143" s="10" t="n">
        <v>1110202</v>
      </c>
      <c r="I1143" s="12" t="s">
        <v>90</v>
      </c>
      <c r="J1143" s="10" t="n">
        <v>1377369</v>
      </c>
      <c r="L1143" s="10" t="n">
        <v>28968</v>
      </c>
      <c r="M1143" s="12" t="s">
        <v>33</v>
      </c>
      <c r="N1143" s="12" t="s">
        <v>66</v>
      </c>
      <c r="P1143" s="10" t="n">
        <v>101</v>
      </c>
      <c r="Q1143" s="12" t="s">
        <v>84</v>
      </c>
      <c r="R1143" s="12" t="s">
        <v>94</v>
      </c>
      <c r="S1143" s="10" t="n">
        <v>4210232</v>
      </c>
      <c r="T1143" s="12" t="s">
        <v>647</v>
      </c>
      <c r="U1143" s="13" t="n">
        <v>935.28</v>
      </c>
      <c r="W1143" s="13" t="n">
        <v>0</v>
      </c>
      <c r="X1143" s="12" t="s">
        <v>1422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46234</v>
      </c>
      <c r="C1144" s="11" t="n">
        <v>46244</v>
      </c>
      <c r="D1144" s="10" t="n">
        <v>1723</v>
      </c>
      <c r="E1144" s="12" t="s">
        <v>378</v>
      </c>
      <c r="F1144" s="10" t="n">
        <v>24</v>
      </c>
      <c r="G1144" s="12" t="s">
        <v>31</v>
      </c>
      <c r="H1144" s="10" t="n">
        <v>1110202</v>
      </c>
      <c r="I1144" s="12" t="s">
        <v>90</v>
      </c>
      <c r="J1144" s="10" t="n">
        <v>1478789</v>
      </c>
      <c r="L1144" s="10" t="n">
        <v>174095</v>
      </c>
      <c r="M1144" s="12" t="s">
        <v>33</v>
      </c>
      <c r="N1144" s="12" t="s">
        <v>66</v>
      </c>
      <c r="P1144" s="10" t="n">
        <v>103</v>
      </c>
      <c r="Q1144" s="12" t="s">
        <v>35</v>
      </c>
      <c r="R1144" s="12" t="s">
        <v>36</v>
      </c>
      <c r="S1144" s="10" t="n">
        <v>1130101</v>
      </c>
      <c r="T1144" s="12" t="s">
        <v>37</v>
      </c>
      <c r="U1144" s="13" t="n">
        <v>3288.4</v>
      </c>
      <c r="W1144" s="13" t="n">
        <v>0</v>
      </c>
      <c r="X1144" s="12" t="s">
        <v>1423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46233</v>
      </c>
      <c r="C1145" s="11" t="n">
        <v>46244</v>
      </c>
      <c r="D1145" s="10" t="n">
        <v>1621</v>
      </c>
      <c r="E1145" s="12" t="s">
        <v>286</v>
      </c>
      <c r="F1145" s="10" t="n">
        <v>24</v>
      </c>
      <c r="G1145" s="12" t="s">
        <v>31</v>
      </c>
      <c r="H1145" s="10" t="n">
        <v>1110202</v>
      </c>
      <c r="I1145" s="12" t="s">
        <v>90</v>
      </c>
      <c r="J1145" s="10" t="n">
        <v>1474720</v>
      </c>
      <c r="L1145" s="10" t="n">
        <v>931981</v>
      </c>
      <c r="M1145" s="12" t="s">
        <v>33</v>
      </c>
      <c r="N1145" s="12" t="s">
        <v>66</v>
      </c>
      <c r="P1145" s="10" t="n">
        <v>103</v>
      </c>
      <c r="Q1145" s="12" t="s">
        <v>35</v>
      </c>
      <c r="R1145" s="12" t="s">
        <v>36</v>
      </c>
      <c r="S1145" s="10" t="n">
        <v>1130101</v>
      </c>
      <c r="T1145" s="12" t="s">
        <v>37</v>
      </c>
      <c r="U1145" s="13" t="n">
        <v>4669.12</v>
      </c>
      <c r="W1145" s="13" t="n">
        <v>0</v>
      </c>
      <c r="X1145" s="12" t="s">
        <v>1424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46234</v>
      </c>
      <c r="C1146" s="11" t="n">
        <v>46244</v>
      </c>
      <c r="D1146" s="10" t="n">
        <v>1621</v>
      </c>
      <c r="E1146" s="12" t="s">
        <v>286</v>
      </c>
      <c r="F1146" s="10" t="n">
        <v>24</v>
      </c>
      <c r="G1146" s="12" t="s">
        <v>31</v>
      </c>
      <c r="H1146" s="10" t="n">
        <v>1110202</v>
      </c>
      <c r="I1146" s="12" t="s">
        <v>90</v>
      </c>
      <c r="J1146" s="10" t="n">
        <v>1479582</v>
      </c>
      <c r="L1146" s="10" t="n">
        <v>933625</v>
      </c>
      <c r="M1146" s="12" t="s">
        <v>33</v>
      </c>
      <c r="N1146" s="12" t="s">
        <v>66</v>
      </c>
      <c r="P1146" s="10" t="n">
        <v>103</v>
      </c>
      <c r="Q1146" s="12" t="s">
        <v>35</v>
      </c>
      <c r="R1146" s="12" t="s">
        <v>36</v>
      </c>
      <c r="S1146" s="10" t="n">
        <v>1130101</v>
      </c>
      <c r="T1146" s="12" t="s">
        <v>37</v>
      </c>
      <c r="U1146" s="13" t="n">
        <v>242.43</v>
      </c>
      <c r="W1146" s="13" t="n">
        <v>0</v>
      </c>
      <c r="X1146" s="12" t="s">
        <v>1425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46234</v>
      </c>
      <c r="C1147" s="11" t="n">
        <v>46244</v>
      </c>
      <c r="D1147" s="10" t="n">
        <v>1621</v>
      </c>
      <c r="E1147" s="12" t="s">
        <v>286</v>
      </c>
      <c r="F1147" s="10" t="n">
        <v>24</v>
      </c>
      <c r="G1147" s="12" t="s">
        <v>31</v>
      </c>
      <c r="H1147" s="10" t="n">
        <v>1110202</v>
      </c>
      <c r="I1147" s="12" t="s">
        <v>90</v>
      </c>
      <c r="J1147" s="10" t="n">
        <v>1479622</v>
      </c>
      <c r="L1147" s="10" t="n">
        <v>933624</v>
      </c>
      <c r="M1147" s="12" t="s">
        <v>33</v>
      </c>
      <c r="N1147" s="12" t="s">
        <v>66</v>
      </c>
      <c r="P1147" s="10" t="n">
        <v>103</v>
      </c>
      <c r="Q1147" s="12" t="s">
        <v>35</v>
      </c>
      <c r="R1147" s="12" t="s">
        <v>36</v>
      </c>
      <c r="S1147" s="10" t="n">
        <v>1130101</v>
      </c>
      <c r="T1147" s="12" t="s">
        <v>37</v>
      </c>
      <c r="U1147" s="13" t="n">
        <v>938.92</v>
      </c>
      <c r="W1147" s="13" t="n">
        <v>0</v>
      </c>
      <c r="X1147" s="12" t="s">
        <v>1426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46233</v>
      </c>
      <c r="C1148" s="11" t="n">
        <v>46244</v>
      </c>
      <c r="D1148" s="10" t="n">
        <v>1621</v>
      </c>
      <c r="E1148" s="12" t="s">
        <v>286</v>
      </c>
      <c r="F1148" s="10" t="n">
        <v>24</v>
      </c>
      <c r="G1148" s="12" t="s">
        <v>31</v>
      </c>
      <c r="H1148" s="10" t="n">
        <v>1110202</v>
      </c>
      <c r="I1148" s="12" t="s">
        <v>90</v>
      </c>
      <c r="J1148" s="10" t="n">
        <v>1474752</v>
      </c>
      <c r="L1148" s="10" t="n">
        <v>931983</v>
      </c>
      <c r="M1148" s="12" t="s">
        <v>33</v>
      </c>
      <c r="N1148" s="12" t="s">
        <v>66</v>
      </c>
      <c r="P1148" s="10" t="n">
        <v>103</v>
      </c>
      <c r="Q1148" s="12" t="s">
        <v>35</v>
      </c>
      <c r="R1148" s="12" t="s">
        <v>36</v>
      </c>
      <c r="S1148" s="10" t="n">
        <v>1130101</v>
      </c>
      <c r="T1148" s="12" t="s">
        <v>37</v>
      </c>
      <c r="U1148" s="13" t="n">
        <v>157.71</v>
      </c>
      <c r="W1148" s="13" t="n">
        <v>0</v>
      </c>
      <c r="X1148" s="12" t="s">
        <v>1427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46233</v>
      </c>
      <c r="C1149" s="11" t="n">
        <v>46244</v>
      </c>
      <c r="D1149" s="10" t="n">
        <v>1621</v>
      </c>
      <c r="E1149" s="12" t="s">
        <v>286</v>
      </c>
      <c r="F1149" s="10" t="n">
        <v>24</v>
      </c>
      <c r="G1149" s="12" t="s">
        <v>31</v>
      </c>
      <c r="H1149" s="10" t="n">
        <v>1110202</v>
      </c>
      <c r="I1149" s="12" t="s">
        <v>90</v>
      </c>
      <c r="J1149" s="10" t="n">
        <v>1474734</v>
      </c>
      <c r="L1149" s="10" t="n">
        <v>931982</v>
      </c>
      <c r="M1149" s="12" t="s">
        <v>33</v>
      </c>
      <c r="N1149" s="12" t="s">
        <v>66</v>
      </c>
      <c r="P1149" s="10" t="n">
        <v>103</v>
      </c>
      <c r="Q1149" s="12" t="s">
        <v>35</v>
      </c>
      <c r="R1149" s="12" t="s">
        <v>36</v>
      </c>
      <c r="S1149" s="10" t="n">
        <v>1130101</v>
      </c>
      <c r="T1149" s="12" t="s">
        <v>37</v>
      </c>
      <c r="U1149" s="13" t="n">
        <v>223.09</v>
      </c>
      <c r="W1149" s="13" t="n">
        <v>0</v>
      </c>
      <c r="X1149" s="12" t="s">
        <v>1428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46135</v>
      </c>
      <c r="C1150" s="11" t="n">
        <v>46244</v>
      </c>
      <c r="D1150" s="10" t="n">
        <v>1758</v>
      </c>
      <c r="E1150" s="12" t="s">
        <v>584</v>
      </c>
      <c r="F1150" s="10" t="n">
        <v>46</v>
      </c>
      <c r="G1150" s="12" t="s">
        <v>565</v>
      </c>
      <c r="H1150" s="10" t="n">
        <v>2110405</v>
      </c>
      <c r="I1150" s="12" t="s">
        <v>153</v>
      </c>
      <c r="J1150" s="10" t="n">
        <v>993744</v>
      </c>
      <c r="L1150" s="10" t="n">
        <v>420093</v>
      </c>
      <c r="M1150" s="12" t="s">
        <v>79</v>
      </c>
      <c r="N1150" s="12" t="s">
        <v>66</v>
      </c>
      <c r="P1150" s="10" t="n">
        <v>101</v>
      </c>
      <c r="Q1150" s="12" t="s">
        <v>84</v>
      </c>
      <c r="R1150" s="12" t="s">
        <v>91</v>
      </c>
      <c r="S1150" s="10" t="n">
        <v>4220199</v>
      </c>
      <c r="T1150" s="12" t="s">
        <v>92</v>
      </c>
      <c r="U1150" s="13" t="n">
        <v>130</v>
      </c>
      <c r="W1150" s="13" t="n">
        <v>0</v>
      </c>
      <c r="X1150" s="12" t="s">
        <v>1429</v>
      </c>
      <c r="Z1150" s="1" t="str">
        <f aca="false">IF($T1150="","",IFERROR(INDEX('Resumo Grupos'!$AC$3:$AC$200,MATCH($T1150,'Resumo Grupos'!$AB$3:$AB$200,0)),"n/d"))</f>
        <v>Pagamentos outros não operacionais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46199</v>
      </c>
      <c r="C1151" s="11" t="n">
        <v>46244</v>
      </c>
      <c r="D1151" s="10" t="n">
        <v>1758</v>
      </c>
      <c r="E1151" s="12" t="s">
        <v>584</v>
      </c>
      <c r="F1151" s="10" t="n">
        <v>46</v>
      </c>
      <c r="G1151" s="12" t="s">
        <v>565</v>
      </c>
      <c r="H1151" s="10" t="n">
        <v>1110202</v>
      </c>
      <c r="I1151" s="12" t="s">
        <v>90</v>
      </c>
      <c r="J1151" s="10" t="n">
        <v>1378055</v>
      </c>
      <c r="L1151" s="10" t="n">
        <v>568065</v>
      </c>
      <c r="M1151" s="12" t="s">
        <v>76</v>
      </c>
      <c r="N1151" s="12" t="s">
        <v>66</v>
      </c>
      <c r="P1151" s="10" t="n">
        <v>101</v>
      </c>
      <c r="Q1151" s="12" t="s">
        <v>84</v>
      </c>
      <c r="R1151" s="12" t="s">
        <v>94</v>
      </c>
      <c r="S1151" s="10" t="n">
        <v>4210227</v>
      </c>
      <c r="T1151" s="12" t="s">
        <v>573</v>
      </c>
      <c r="U1151" s="13" t="n">
        <v>429.64</v>
      </c>
      <c r="W1151" s="13" t="n">
        <v>0</v>
      </c>
      <c r="X1151" s="12" t="s">
        <v>1430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46216</v>
      </c>
      <c r="C1152" s="11" t="n">
        <v>46244</v>
      </c>
      <c r="D1152" s="10" t="n">
        <v>1608</v>
      </c>
      <c r="E1152" s="12" t="s">
        <v>52</v>
      </c>
      <c r="F1152" s="10" t="n">
        <v>24</v>
      </c>
      <c r="G1152" s="12" t="s">
        <v>31</v>
      </c>
      <c r="H1152" s="10" t="n">
        <v>1110202</v>
      </c>
      <c r="I1152" s="12" t="s">
        <v>90</v>
      </c>
      <c r="J1152" s="10" t="n">
        <v>1393462</v>
      </c>
      <c r="L1152" s="10" t="n">
        <v>1690976</v>
      </c>
      <c r="M1152" s="12" t="s">
        <v>33</v>
      </c>
      <c r="N1152" s="12" t="s">
        <v>66</v>
      </c>
      <c r="P1152" s="10" t="n">
        <v>103</v>
      </c>
      <c r="Q1152" s="12" t="s">
        <v>35</v>
      </c>
      <c r="R1152" s="12" t="s">
        <v>36</v>
      </c>
      <c r="S1152" s="10" t="n">
        <v>1130101</v>
      </c>
      <c r="T1152" s="12" t="s">
        <v>37</v>
      </c>
      <c r="U1152" s="13" t="n">
        <v>2819.44</v>
      </c>
      <c r="W1152" s="13" t="n">
        <v>0</v>
      </c>
      <c r="X1152" s="12" t="s">
        <v>1431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46216</v>
      </c>
      <c r="C1153" s="11" t="n">
        <v>46244</v>
      </c>
      <c r="D1153" s="10" t="n">
        <v>1608</v>
      </c>
      <c r="E1153" s="12" t="s">
        <v>52</v>
      </c>
      <c r="F1153" s="10" t="n">
        <v>24</v>
      </c>
      <c r="G1153" s="12" t="s">
        <v>31</v>
      </c>
      <c r="H1153" s="10" t="n">
        <v>1110202</v>
      </c>
      <c r="I1153" s="12" t="s">
        <v>90</v>
      </c>
      <c r="J1153" s="10" t="n">
        <v>1393857</v>
      </c>
      <c r="L1153" s="10" t="n">
        <v>1690878</v>
      </c>
      <c r="M1153" s="12" t="s">
        <v>40</v>
      </c>
      <c r="N1153" s="12" t="s">
        <v>66</v>
      </c>
      <c r="P1153" s="10" t="n">
        <v>103</v>
      </c>
      <c r="Q1153" s="12" t="s">
        <v>35</v>
      </c>
      <c r="R1153" s="12" t="s">
        <v>36</v>
      </c>
      <c r="S1153" s="10" t="n">
        <v>1130101</v>
      </c>
      <c r="T1153" s="12" t="s">
        <v>37</v>
      </c>
      <c r="U1153" s="13" t="n">
        <v>1039.09</v>
      </c>
      <c r="W1153" s="13" t="n">
        <v>0</v>
      </c>
      <c r="X1153" s="12" t="s">
        <v>1432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46219</v>
      </c>
      <c r="C1154" s="11" t="n">
        <v>46244</v>
      </c>
      <c r="D1154" s="10" t="n">
        <v>1280</v>
      </c>
      <c r="E1154" s="12" t="s">
        <v>1433</v>
      </c>
      <c r="F1154" s="10" t="n">
        <v>46</v>
      </c>
      <c r="G1154" s="12" t="s">
        <v>565</v>
      </c>
      <c r="H1154" s="10" t="n">
        <v>1110202</v>
      </c>
      <c r="I1154" s="12" t="s">
        <v>90</v>
      </c>
      <c r="J1154" s="10" t="n">
        <v>1407597</v>
      </c>
      <c r="L1154" s="10" t="n">
        <v>580167</v>
      </c>
      <c r="M1154" s="12" t="s">
        <v>33</v>
      </c>
      <c r="N1154" s="12" t="s">
        <v>66</v>
      </c>
      <c r="P1154" s="10" t="n">
        <v>101</v>
      </c>
      <c r="Q1154" s="12" t="s">
        <v>84</v>
      </c>
      <c r="R1154" s="12" t="s">
        <v>94</v>
      </c>
      <c r="S1154" s="10" t="n">
        <v>4210228</v>
      </c>
      <c r="T1154" s="12" t="s">
        <v>471</v>
      </c>
      <c r="U1154" s="13" t="n">
        <v>13.98</v>
      </c>
      <c r="W1154" s="13" t="n">
        <v>0</v>
      </c>
      <c r="X1154" s="12" t="s">
        <v>1434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46218</v>
      </c>
      <c r="C1155" s="11" t="n">
        <v>46244</v>
      </c>
      <c r="D1155" s="10" t="n">
        <v>957</v>
      </c>
      <c r="E1155" s="12" t="s">
        <v>75</v>
      </c>
      <c r="F1155" s="10" t="n">
        <v>24</v>
      </c>
      <c r="G1155" s="12" t="s">
        <v>31</v>
      </c>
      <c r="H1155" s="10" t="n">
        <v>1110202</v>
      </c>
      <c r="I1155" s="12" t="s">
        <v>90</v>
      </c>
      <c r="J1155" s="10" t="n">
        <v>1402047</v>
      </c>
      <c r="L1155" s="10" t="n">
        <v>21047</v>
      </c>
      <c r="M1155" s="12" t="s">
        <v>33</v>
      </c>
      <c r="N1155" s="12" t="s">
        <v>66</v>
      </c>
      <c r="P1155" s="10" t="n">
        <v>103</v>
      </c>
      <c r="Q1155" s="12" t="s">
        <v>35</v>
      </c>
      <c r="R1155" s="12" t="s">
        <v>36</v>
      </c>
      <c r="S1155" s="10" t="n">
        <v>1130101</v>
      </c>
      <c r="T1155" s="12" t="s">
        <v>37</v>
      </c>
      <c r="U1155" s="13" t="n">
        <v>2186.18</v>
      </c>
      <c r="W1155" s="13" t="n">
        <v>0</v>
      </c>
      <c r="X1155" s="12" t="s">
        <v>1435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46213</v>
      </c>
      <c r="C1156" s="11" t="n">
        <v>46244</v>
      </c>
      <c r="D1156" s="10" t="n">
        <v>1465</v>
      </c>
      <c r="E1156" s="12" t="s">
        <v>601</v>
      </c>
      <c r="F1156" s="10" t="n">
        <v>46</v>
      </c>
      <c r="G1156" s="12" t="s">
        <v>565</v>
      </c>
      <c r="H1156" s="10" t="n">
        <v>1110202</v>
      </c>
      <c r="I1156" s="12" t="s">
        <v>90</v>
      </c>
      <c r="J1156" s="10" t="n">
        <v>1378075</v>
      </c>
      <c r="L1156" s="10" t="n">
        <v>568085</v>
      </c>
      <c r="M1156" s="12" t="s">
        <v>33</v>
      </c>
      <c r="N1156" s="12" t="s">
        <v>66</v>
      </c>
      <c r="P1156" s="10" t="n">
        <v>101</v>
      </c>
      <c r="Q1156" s="12" t="s">
        <v>84</v>
      </c>
      <c r="R1156" s="12" t="s">
        <v>94</v>
      </c>
      <c r="S1156" s="10" t="n">
        <v>4210228</v>
      </c>
      <c r="T1156" s="12" t="s">
        <v>471</v>
      </c>
      <c r="U1156" s="13" t="n">
        <v>86.76</v>
      </c>
      <c r="W1156" s="13" t="n">
        <v>0</v>
      </c>
      <c r="X1156" s="12" t="s">
        <v>1436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46169</v>
      </c>
      <c r="C1157" s="11" t="n">
        <v>46244</v>
      </c>
      <c r="D1157" s="10" t="n">
        <v>546</v>
      </c>
      <c r="E1157" s="12" t="s">
        <v>603</v>
      </c>
      <c r="F1157" s="10" t="n">
        <v>46</v>
      </c>
      <c r="G1157" s="12" t="s">
        <v>565</v>
      </c>
      <c r="H1157" s="10" t="n">
        <v>2110405</v>
      </c>
      <c r="I1157" s="12" t="s">
        <v>153</v>
      </c>
      <c r="J1157" s="10" t="n">
        <v>1176263</v>
      </c>
      <c r="L1157" s="10" t="n">
        <v>2639</v>
      </c>
      <c r="M1157" s="12" t="s">
        <v>76</v>
      </c>
      <c r="N1157" s="12" t="s">
        <v>66</v>
      </c>
      <c r="P1157" s="10" t="n">
        <v>101</v>
      </c>
      <c r="Q1157" s="12" t="s">
        <v>84</v>
      </c>
      <c r="R1157" s="12" t="s">
        <v>94</v>
      </c>
      <c r="S1157" s="10" t="n">
        <v>4210227</v>
      </c>
      <c r="T1157" s="12" t="s">
        <v>573</v>
      </c>
      <c r="U1157" s="13" t="n">
        <v>158.85</v>
      </c>
      <c r="W1157" s="13" t="n">
        <v>0</v>
      </c>
      <c r="X1157" s="12" t="s">
        <v>1437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46226</v>
      </c>
      <c r="C1158" s="11" t="n">
        <v>46244</v>
      </c>
      <c r="D1158" s="10" t="n">
        <v>10033</v>
      </c>
      <c r="E1158" s="12" t="s">
        <v>1175</v>
      </c>
      <c r="F1158" s="10" t="n">
        <v>24</v>
      </c>
      <c r="G1158" s="12" t="s">
        <v>31</v>
      </c>
      <c r="H1158" s="10" t="n">
        <v>1110202</v>
      </c>
      <c r="I1158" s="12" t="s">
        <v>90</v>
      </c>
      <c r="J1158" s="10" t="n">
        <v>1439582</v>
      </c>
      <c r="L1158" s="10" t="n">
        <v>592457</v>
      </c>
      <c r="M1158" s="12" t="s">
        <v>33</v>
      </c>
      <c r="N1158" s="12" t="s">
        <v>66</v>
      </c>
      <c r="P1158" s="10" t="n">
        <v>104</v>
      </c>
      <c r="Q1158" s="12" t="s">
        <v>50</v>
      </c>
      <c r="R1158" s="12" t="s">
        <v>36</v>
      </c>
      <c r="S1158" s="10" t="n">
        <v>1130101</v>
      </c>
      <c r="T1158" s="12" t="s">
        <v>37</v>
      </c>
      <c r="U1158" s="13" t="n">
        <v>1958.46</v>
      </c>
      <c r="W1158" s="13" t="n">
        <v>0</v>
      </c>
      <c r="X1158" s="12" t="s">
        <v>1438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46237</v>
      </c>
      <c r="C1159" s="11" t="n">
        <v>46244</v>
      </c>
      <c r="D1159" s="10" t="n">
        <v>581</v>
      </c>
      <c r="E1159" s="12" t="s">
        <v>554</v>
      </c>
      <c r="F1159" s="10" t="n">
        <v>24</v>
      </c>
      <c r="G1159" s="12" t="s">
        <v>31</v>
      </c>
      <c r="H1159" s="10" t="n">
        <v>1110202</v>
      </c>
      <c r="I1159" s="12" t="s">
        <v>90</v>
      </c>
      <c r="J1159" s="10" t="n">
        <v>1495739</v>
      </c>
      <c r="L1159" s="10" t="n">
        <v>31724</v>
      </c>
      <c r="M1159" s="12" t="s">
        <v>33</v>
      </c>
      <c r="N1159" s="12" t="s">
        <v>66</v>
      </c>
      <c r="P1159" s="10" t="n">
        <v>103</v>
      </c>
      <c r="Q1159" s="12" t="s">
        <v>35</v>
      </c>
      <c r="R1159" s="12" t="s">
        <v>36</v>
      </c>
      <c r="S1159" s="10" t="n">
        <v>1130101</v>
      </c>
      <c r="T1159" s="12" t="s">
        <v>37</v>
      </c>
      <c r="U1159" s="13" t="n">
        <v>363.5</v>
      </c>
      <c r="W1159" s="13" t="n">
        <v>0</v>
      </c>
      <c r="X1159" s="12" t="s">
        <v>1439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46092</v>
      </c>
      <c r="C1160" s="11" t="n">
        <v>46244</v>
      </c>
      <c r="D1160" s="10" t="n">
        <v>1835</v>
      </c>
      <c r="E1160" s="12" t="s">
        <v>615</v>
      </c>
      <c r="F1160" s="10" t="n">
        <v>46</v>
      </c>
      <c r="G1160" s="12" t="s">
        <v>565</v>
      </c>
      <c r="H1160" s="10" t="n">
        <v>2110405</v>
      </c>
      <c r="I1160" s="12" t="s">
        <v>153</v>
      </c>
      <c r="J1160" s="10" t="n">
        <v>927300</v>
      </c>
      <c r="L1160" s="10" t="n">
        <v>99886</v>
      </c>
      <c r="M1160" s="12" t="s">
        <v>448</v>
      </c>
      <c r="N1160" s="12" t="s">
        <v>66</v>
      </c>
      <c r="P1160" s="10" t="n">
        <v>101</v>
      </c>
      <c r="Q1160" s="12" t="s">
        <v>84</v>
      </c>
      <c r="R1160" s="12" t="s">
        <v>94</v>
      </c>
      <c r="S1160" s="10" t="n">
        <v>4210228</v>
      </c>
      <c r="T1160" s="12" t="s">
        <v>471</v>
      </c>
      <c r="U1160" s="13" t="n">
        <v>225.13</v>
      </c>
      <c r="W1160" s="13" t="n">
        <v>0</v>
      </c>
      <c r="X1160" s="12" t="s">
        <v>1440</v>
      </c>
      <c r="Z1160" s="1" t="str">
        <f aca="false">IF($T1160="","",IFERROR(INDEX('Resumo Grupos'!$AC$3:$AC$200,MATCH($T1160,'Resumo Grupos'!$AB$3:$AB$200,0)),"n/d"))</f>
        <v>Despesa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46231</v>
      </c>
      <c r="C1161" s="11" t="n">
        <v>46244</v>
      </c>
      <c r="D1161" s="10" t="n">
        <v>1835</v>
      </c>
      <c r="E1161" s="12" t="s">
        <v>615</v>
      </c>
      <c r="F1161" s="10" t="n">
        <v>46</v>
      </c>
      <c r="G1161" s="12" t="s">
        <v>565</v>
      </c>
      <c r="H1161" s="10" t="n">
        <v>1110202</v>
      </c>
      <c r="I1161" s="12" t="s">
        <v>90</v>
      </c>
      <c r="J1161" s="10" t="n">
        <v>1464175</v>
      </c>
      <c r="L1161" s="10" t="n">
        <v>108113</v>
      </c>
      <c r="M1161" s="12" t="s">
        <v>33</v>
      </c>
      <c r="N1161" s="12" t="s">
        <v>66</v>
      </c>
      <c r="P1161" s="10" t="n">
        <v>103</v>
      </c>
      <c r="Q1161" s="12" t="s">
        <v>35</v>
      </c>
      <c r="R1161" s="12" t="s">
        <v>94</v>
      </c>
      <c r="S1161" s="10" t="n">
        <v>4210228</v>
      </c>
      <c r="T1161" s="12" t="s">
        <v>471</v>
      </c>
      <c r="U1161" s="13" t="n">
        <v>13.76</v>
      </c>
      <c r="W1161" s="13" t="n">
        <v>0</v>
      </c>
      <c r="X1161" s="12" t="s">
        <v>1441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46139</v>
      </c>
      <c r="C1162" s="11" t="n">
        <v>46244</v>
      </c>
      <c r="D1162" s="10" t="n">
        <v>1835</v>
      </c>
      <c r="E1162" s="12" t="s">
        <v>615</v>
      </c>
      <c r="F1162" s="10" t="n">
        <v>46</v>
      </c>
      <c r="G1162" s="12" t="s">
        <v>565</v>
      </c>
      <c r="H1162" s="10" t="n">
        <v>2110405</v>
      </c>
      <c r="I1162" s="12" t="s">
        <v>153</v>
      </c>
      <c r="J1162" s="10" t="n">
        <v>1014538</v>
      </c>
      <c r="L1162" s="10" t="n">
        <v>102658</v>
      </c>
      <c r="M1162" s="12" t="s">
        <v>40</v>
      </c>
      <c r="N1162" s="12" t="s">
        <v>66</v>
      </c>
      <c r="P1162" s="10" t="n">
        <v>101</v>
      </c>
      <c r="Q1162" s="12" t="s">
        <v>84</v>
      </c>
      <c r="R1162" s="12" t="s">
        <v>94</v>
      </c>
      <c r="S1162" s="10" t="n">
        <v>4210227</v>
      </c>
      <c r="T1162" s="12" t="s">
        <v>573</v>
      </c>
      <c r="U1162" s="13" t="n">
        <v>103.11</v>
      </c>
      <c r="W1162" s="13" t="n">
        <v>0</v>
      </c>
      <c r="X1162" s="12" t="s">
        <v>1442</v>
      </c>
      <c r="Z1162" s="1" t="str">
        <f aca="false">IF($T1162="","",IFERROR(INDEX('Resumo Grupos'!$AC$3:$AC$200,MATCH($T1162,'Resumo Grupos'!$AB$3:$AB$200,0)),"n/d"))</f>
        <v>Despesa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46232</v>
      </c>
      <c r="C1163" s="11" t="n">
        <v>46244</v>
      </c>
      <c r="D1163" s="10" t="n">
        <v>1778</v>
      </c>
      <c r="E1163" s="12" t="s">
        <v>622</v>
      </c>
      <c r="F1163" s="10" t="n">
        <v>24</v>
      </c>
      <c r="G1163" s="12" t="s">
        <v>31</v>
      </c>
      <c r="H1163" s="10" t="n">
        <v>1110202</v>
      </c>
      <c r="I1163" s="12" t="s">
        <v>90</v>
      </c>
      <c r="J1163" s="10" t="n">
        <v>1469303</v>
      </c>
      <c r="L1163" s="10" t="n">
        <v>124473366</v>
      </c>
      <c r="M1163" s="12" t="s">
        <v>33</v>
      </c>
      <c r="N1163" s="12" t="s">
        <v>66</v>
      </c>
      <c r="P1163" s="10" t="n">
        <v>101</v>
      </c>
      <c r="Q1163" s="12" t="s">
        <v>84</v>
      </c>
      <c r="R1163" s="12" t="s">
        <v>94</v>
      </c>
      <c r="S1163" s="10" t="n">
        <v>4210207</v>
      </c>
      <c r="T1163" s="12" t="s">
        <v>623</v>
      </c>
      <c r="U1163" s="13" t="n">
        <v>273.13</v>
      </c>
      <c r="W1163" s="13" t="n">
        <v>0</v>
      </c>
      <c r="X1163" s="12" t="s">
        <v>1443</v>
      </c>
      <c r="Z1163" s="1" t="str">
        <f aca="false">IF($T1163="","",IFERROR(INDEX('Resumo Grupos'!$AC$3:$AC$200,MATCH($T1163,'Resumo Grupos'!$AB$3:$AB$200,0)),"n/d"))</f>
        <v>Despesa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46174</v>
      </c>
      <c r="C1164" s="11" t="n">
        <v>46244</v>
      </c>
      <c r="D1164" s="10" t="n">
        <v>1933</v>
      </c>
      <c r="E1164" s="12" t="s">
        <v>630</v>
      </c>
      <c r="F1164" s="10" t="n">
        <v>46</v>
      </c>
      <c r="G1164" s="12" t="s">
        <v>565</v>
      </c>
      <c r="H1164" s="10" t="n">
        <v>1110202</v>
      </c>
      <c r="I1164" s="12" t="s">
        <v>90</v>
      </c>
      <c r="J1164" s="10" t="n">
        <v>1382032</v>
      </c>
      <c r="L1164" s="10" t="n">
        <v>570381</v>
      </c>
      <c r="M1164" s="12" t="s">
        <v>76</v>
      </c>
      <c r="N1164" s="12" t="s">
        <v>66</v>
      </c>
      <c r="P1164" s="10" t="n">
        <v>101</v>
      </c>
      <c r="Q1164" s="12" t="s">
        <v>84</v>
      </c>
      <c r="R1164" s="12" t="s">
        <v>94</v>
      </c>
      <c r="S1164" s="10" t="n">
        <v>4210227</v>
      </c>
      <c r="T1164" s="12" t="s">
        <v>573</v>
      </c>
      <c r="U1164" s="13" t="n">
        <v>600</v>
      </c>
      <c r="W1164" s="13" t="n">
        <v>0</v>
      </c>
      <c r="X1164" s="12" t="s">
        <v>1444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46232</v>
      </c>
      <c r="C1165" s="11" t="n">
        <v>46244</v>
      </c>
      <c r="D1165" s="10" t="n">
        <v>1810</v>
      </c>
      <c r="E1165" s="12" t="s">
        <v>1297</v>
      </c>
      <c r="F1165" s="10" t="n">
        <v>24</v>
      </c>
      <c r="G1165" s="12" t="s">
        <v>31</v>
      </c>
      <c r="H1165" s="10" t="n">
        <v>1110202</v>
      </c>
      <c r="I1165" s="12" t="s">
        <v>90</v>
      </c>
      <c r="J1165" s="10" t="n">
        <v>1469179</v>
      </c>
      <c r="L1165" s="10" t="n">
        <v>85346</v>
      </c>
      <c r="M1165" s="12" t="s">
        <v>33</v>
      </c>
      <c r="N1165" s="12" t="s">
        <v>66</v>
      </c>
      <c r="P1165" s="10" t="n">
        <v>103</v>
      </c>
      <c r="Q1165" s="12" t="s">
        <v>35</v>
      </c>
      <c r="R1165" s="12" t="s">
        <v>36</v>
      </c>
      <c r="S1165" s="10" t="n">
        <v>1130101</v>
      </c>
      <c r="T1165" s="12" t="s">
        <v>37</v>
      </c>
      <c r="U1165" s="13" t="n">
        <v>1164.5</v>
      </c>
      <c r="W1165" s="13" t="n">
        <v>0</v>
      </c>
      <c r="X1165" s="12" t="s">
        <v>1445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46232</v>
      </c>
      <c r="C1166" s="11" t="n">
        <v>46244</v>
      </c>
      <c r="D1166" s="10" t="n">
        <v>1810</v>
      </c>
      <c r="E1166" s="12" t="s">
        <v>1297</v>
      </c>
      <c r="F1166" s="10" t="n">
        <v>24</v>
      </c>
      <c r="G1166" s="12" t="s">
        <v>31</v>
      </c>
      <c r="H1166" s="10" t="n">
        <v>1110202</v>
      </c>
      <c r="I1166" s="12" t="s">
        <v>90</v>
      </c>
      <c r="J1166" s="10" t="n">
        <v>1469140</v>
      </c>
      <c r="L1166" s="10" t="n">
        <v>85345</v>
      </c>
      <c r="M1166" s="12" t="s">
        <v>76</v>
      </c>
      <c r="N1166" s="12" t="s">
        <v>66</v>
      </c>
      <c r="P1166" s="10" t="n">
        <v>103</v>
      </c>
      <c r="Q1166" s="12" t="s">
        <v>35</v>
      </c>
      <c r="R1166" s="12" t="s">
        <v>36</v>
      </c>
      <c r="S1166" s="10" t="n">
        <v>1130101</v>
      </c>
      <c r="T1166" s="12" t="s">
        <v>37</v>
      </c>
      <c r="U1166" s="13" t="n">
        <v>184.5</v>
      </c>
      <c r="W1166" s="13" t="n">
        <v>0</v>
      </c>
      <c r="X1166" s="12" t="s">
        <v>1446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46224</v>
      </c>
      <c r="C1167" s="11" t="n">
        <v>46244</v>
      </c>
      <c r="D1167" s="10" t="n">
        <v>1740</v>
      </c>
      <c r="E1167" s="12" t="s">
        <v>312</v>
      </c>
      <c r="F1167" s="10" t="n">
        <v>24</v>
      </c>
      <c r="G1167" s="12" t="s">
        <v>31</v>
      </c>
      <c r="H1167" s="10" t="n">
        <v>1110202</v>
      </c>
      <c r="I1167" s="12" t="s">
        <v>90</v>
      </c>
      <c r="J1167" s="10" t="n">
        <v>1431693</v>
      </c>
      <c r="L1167" s="10" t="n">
        <v>1249231</v>
      </c>
      <c r="M1167" s="12" t="s">
        <v>76</v>
      </c>
      <c r="N1167" s="12" t="s">
        <v>66</v>
      </c>
      <c r="P1167" s="10" t="n">
        <v>103</v>
      </c>
      <c r="Q1167" s="12" t="s">
        <v>35</v>
      </c>
      <c r="R1167" s="12" t="s">
        <v>36</v>
      </c>
      <c r="S1167" s="10" t="n">
        <v>1130101</v>
      </c>
      <c r="T1167" s="12" t="s">
        <v>37</v>
      </c>
      <c r="U1167" s="13" t="n">
        <v>2044.89</v>
      </c>
      <c r="W1167" s="13" t="n">
        <v>0</v>
      </c>
      <c r="X1167" s="12" t="s">
        <v>1447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46227</v>
      </c>
      <c r="C1168" s="11" t="n">
        <v>46244</v>
      </c>
      <c r="D1168" s="10" t="n">
        <v>1878</v>
      </c>
      <c r="E1168" s="12" t="s">
        <v>1448</v>
      </c>
      <c r="F1168" s="10" t="n">
        <v>46</v>
      </c>
      <c r="G1168" s="12" t="s">
        <v>565</v>
      </c>
      <c r="H1168" s="10" t="n">
        <v>1110202</v>
      </c>
      <c r="I1168" s="12" t="s">
        <v>90</v>
      </c>
      <c r="J1168" s="10" t="n">
        <v>1444896</v>
      </c>
      <c r="L1168" s="10" t="n">
        <v>594406</v>
      </c>
      <c r="M1168" s="12" t="s">
        <v>33</v>
      </c>
      <c r="N1168" s="12" t="s">
        <v>66</v>
      </c>
      <c r="P1168" s="10" t="n">
        <v>102</v>
      </c>
      <c r="Q1168" s="12" t="s">
        <v>112</v>
      </c>
      <c r="R1168" s="12" t="s">
        <v>94</v>
      </c>
      <c r="S1168" s="10" t="n">
        <v>4210227</v>
      </c>
      <c r="T1168" s="12" t="s">
        <v>573</v>
      </c>
      <c r="U1168" s="13" t="n">
        <v>44</v>
      </c>
      <c r="W1168" s="13" t="n">
        <v>0</v>
      </c>
      <c r="X1168" s="12" t="s">
        <v>1449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46209</v>
      </c>
      <c r="C1169" s="11" t="n">
        <v>46244</v>
      </c>
      <c r="D1169" s="10" t="n">
        <v>930</v>
      </c>
      <c r="E1169" s="12" t="s">
        <v>1450</v>
      </c>
      <c r="F1169" s="10" t="n">
        <v>46</v>
      </c>
      <c r="G1169" s="12" t="s">
        <v>565</v>
      </c>
      <c r="H1169" s="10" t="n">
        <v>1110202</v>
      </c>
      <c r="I1169" s="12" t="s">
        <v>90</v>
      </c>
      <c r="J1169" s="10" t="n">
        <v>1382123</v>
      </c>
      <c r="L1169" s="10" t="n">
        <v>570412</v>
      </c>
      <c r="M1169" s="12" t="s">
        <v>33</v>
      </c>
      <c r="N1169" s="12" t="s">
        <v>66</v>
      </c>
      <c r="P1169" s="10" t="n">
        <v>101</v>
      </c>
      <c r="Q1169" s="12" t="s">
        <v>84</v>
      </c>
      <c r="R1169" s="12" t="s">
        <v>94</v>
      </c>
      <c r="S1169" s="10" t="n">
        <v>4210232</v>
      </c>
      <c r="T1169" s="12" t="s">
        <v>647</v>
      </c>
      <c r="U1169" s="13" t="n">
        <v>44</v>
      </c>
      <c r="W1169" s="13" t="n">
        <v>0</v>
      </c>
      <c r="X1169" s="12" t="s">
        <v>1451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46183</v>
      </c>
      <c r="C1170" s="11" t="n">
        <v>46244</v>
      </c>
      <c r="D1170" s="10" t="n">
        <v>16</v>
      </c>
      <c r="E1170" s="12" t="s">
        <v>407</v>
      </c>
      <c r="F1170" s="10" t="n">
        <v>46</v>
      </c>
      <c r="G1170" s="12" t="s">
        <v>565</v>
      </c>
      <c r="H1170" s="10" t="n">
        <v>1110202</v>
      </c>
      <c r="I1170" s="12" t="s">
        <v>90</v>
      </c>
      <c r="J1170" s="10" t="n">
        <v>1378230</v>
      </c>
      <c r="L1170" s="10" t="n">
        <v>568166</v>
      </c>
      <c r="M1170" s="12" t="s">
        <v>40</v>
      </c>
      <c r="N1170" s="12" t="s">
        <v>66</v>
      </c>
      <c r="P1170" s="10" t="n">
        <v>101</v>
      </c>
      <c r="Q1170" s="12" t="s">
        <v>84</v>
      </c>
      <c r="R1170" s="12" t="s">
        <v>91</v>
      </c>
      <c r="S1170" s="10" t="n">
        <v>4220199</v>
      </c>
      <c r="T1170" s="12" t="s">
        <v>92</v>
      </c>
      <c r="U1170" s="13" t="n">
        <v>331.61</v>
      </c>
      <c r="W1170" s="13" t="n">
        <v>0</v>
      </c>
      <c r="X1170" s="12" t="s">
        <v>1452</v>
      </c>
      <c r="Z1170" s="1" t="str">
        <f aca="false">IF($T1170="","",IFERROR(INDEX('Resumo Grupos'!$AC$3:$AC$200,MATCH($T1170,'Resumo Grupos'!$AB$3:$AB$200,0)),"n/d"))</f>
        <v>Pagamentos outros não operacionais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46112</v>
      </c>
      <c r="C1171" s="11" t="n">
        <v>46244</v>
      </c>
      <c r="D1171" s="10" t="n">
        <v>10006</v>
      </c>
      <c r="E1171" s="12" t="s">
        <v>385</v>
      </c>
      <c r="F1171" s="10" t="n">
        <v>46</v>
      </c>
      <c r="G1171" s="12" t="s">
        <v>565</v>
      </c>
      <c r="H1171" s="10" t="n">
        <v>2110405</v>
      </c>
      <c r="I1171" s="12" t="s">
        <v>153</v>
      </c>
      <c r="J1171" s="10" t="n">
        <v>1085756</v>
      </c>
      <c r="L1171" s="10" t="n">
        <v>455404</v>
      </c>
      <c r="M1171" s="12" t="s">
        <v>79</v>
      </c>
      <c r="N1171" s="12" t="s">
        <v>66</v>
      </c>
      <c r="P1171" s="10" t="n">
        <v>101</v>
      </c>
      <c r="Q1171" s="12" t="s">
        <v>84</v>
      </c>
      <c r="R1171" s="12" t="s">
        <v>94</v>
      </c>
      <c r="S1171" s="10" t="n">
        <v>4210232</v>
      </c>
      <c r="T1171" s="12" t="s">
        <v>647</v>
      </c>
      <c r="U1171" s="13" t="n">
        <v>375</v>
      </c>
      <c r="W1171" s="13" t="n">
        <v>0</v>
      </c>
      <c r="X1171" s="12" t="s">
        <v>1453</v>
      </c>
      <c r="Z1171" s="1" t="str">
        <f aca="false">IF($T1171="","",IFERROR(INDEX('Resumo Grupos'!$AC$3:$AC$200,MATCH($T1171,'Resumo Grupos'!$AB$3:$AB$200,0)),"n/d"))</f>
        <v>Despesa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46232</v>
      </c>
      <c r="C1172" s="11" t="n">
        <v>46244</v>
      </c>
      <c r="D1172" s="10" t="n">
        <v>514</v>
      </c>
      <c r="E1172" s="12" t="s">
        <v>652</v>
      </c>
      <c r="F1172" s="10" t="n">
        <v>45</v>
      </c>
      <c r="G1172" s="12" t="s">
        <v>653</v>
      </c>
      <c r="H1172" s="10" t="n">
        <v>1110202</v>
      </c>
      <c r="I1172" s="12" t="s">
        <v>90</v>
      </c>
      <c r="J1172" s="10" t="n">
        <v>1469577</v>
      </c>
      <c r="L1172" s="10" t="n">
        <v>603909</v>
      </c>
      <c r="M1172" s="12" t="s">
        <v>33</v>
      </c>
      <c r="N1172" s="12" t="s">
        <v>66</v>
      </c>
      <c r="P1172" s="10" t="n">
        <v>101</v>
      </c>
      <c r="Q1172" s="12" t="s">
        <v>84</v>
      </c>
      <c r="R1172" s="12" t="s">
        <v>91</v>
      </c>
      <c r="S1172" s="10" t="n">
        <v>4220199</v>
      </c>
      <c r="T1172" s="12" t="s">
        <v>92</v>
      </c>
      <c r="U1172" s="13" t="n">
        <v>383.13</v>
      </c>
      <c r="W1172" s="13" t="n">
        <v>0</v>
      </c>
      <c r="X1172" s="12" t="s">
        <v>1454</v>
      </c>
      <c r="Z1172" s="1" t="str">
        <f aca="false">IF($T1172="","",IFERROR(INDEX('Resumo Grupos'!$AC$3:$AC$200,MATCH($T1172,'Resumo Grupos'!$AB$3:$AB$200,0)),"n/d"))</f>
        <v>Pagamentos outros não operacionais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46237</v>
      </c>
      <c r="C1173" s="11" t="n">
        <v>46244</v>
      </c>
      <c r="D1173" s="10" t="n">
        <v>1292</v>
      </c>
      <c r="E1173" s="12" t="s">
        <v>369</v>
      </c>
      <c r="F1173" s="10" t="n">
        <v>24</v>
      </c>
      <c r="G1173" s="12" t="s">
        <v>31</v>
      </c>
      <c r="H1173" s="10" t="n">
        <v>1110202</v>
      </c>
      <c r="I1173" s="12" t="s">
        <v>90</v>
      </c>
      <c r="J1173" s="10" t="n">
        <v>1495679</v>
      </c>
      <c r="L1173" s="10" t="n">
        <v>3752</v>
      </c>
      <c r="M1173" s="12" t="s">
        <v>33</v>
      </c>
      <c r="N1173" s="12" t="s">
        <v>66</v>
      </c>
      <c r="P1173" s="10" t="n">
        <v>103</v>
      </c>
      <c r="Q1173" s="12" t="s">
        <v>35</v>
      </c>
      <c r="R1173" s="12" t="s">
        <v>36</v>
      </c>
      <c r="S1173" s="10" t="n">
        <v>1130101</v>
      </c>
      <c r="T1173" s="12" t="s">
        <v>37</v>
      </c>
      <c r="U1173" s="13" t="n">
        <v>965</v>
      </c>
      <c r="W1173" s="13" t="n">
        <v>0</v>
      </c>
      <c r="X1173" s="12" t="s">
        <v>1455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46216</v>
      </c>
      <c r="C1174" s="11" t="n">
        <v>46244</v>
      </c>
      <c r="D1174" s="10" t="n">
        <v>1717</v>
      </c>
      <c r="E1174" s="12" t="s">
        <v>1456</v>
      </c>
      <c r="F1174" s="10" t="n">
        <v>46</v>
      </c>
      <c r="G1174" s="12" t="s">
        <v>565</v>
      </c>
      <c r="H1174" s="10" t="n">
        <v>1110202</v>
      </c>
      <c r="I1174" s="12" t="s">
        <v>90</v>
      </c>
      <c r="J1174" s="10" t="n">
        <v>1394062</v>
      </c>
      <c r="L1174" s="10" t="n">
        <v>51412</v>
      </c>
      <c r="M1174" s="12" t="s">
        <v>33</v>
      </c>
      <c r="N1174" s="12" t="s">
        <v>66</v>
      </c>
      <c r="P1174" s="10" t="n">
        <v>103</v>
      </c>
      <c r="Q1174" s="12" t="s">
        <v>35</v>
      </c>
      <c r="R1174" s="12" t="s">
        <v>36</v>
      </c>
      <c r="S1174" s="10" t="n">
        <v>1130101</v>
      </c>
      <c r="T1174" s="12" t="s">
        <v>37</v>
      </c>
      <c r="U1174" s="13" t="n">
        <v>319.2</v>
      </c>
      <c r="W1174" s="13" t="n">
        <v>0</v>
      </c>
      <c r="X1174" s="12" t="s">
        <v>1457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46183</v>
      </c>
      <c r="C1175" s="11" t="n">
        <v>46244</v>
      </c>
      <c r="D1175" s="10" t="n">
        <v>1747</v>
      </c>
      <c r="E1175" s="12" t="s">
        <v>657</v>
      </c>
      <c r="F1175" s="10" t="n">
        <v>46</v>
      </c>
      <c r="G1175" s="12" t="s">
        <v>565</v>
      </c>
      <c r="H1175" s="10" t="n">
        <v>2110405</v>
      </c>
      <c r="I1175" s="12" t="s">
        <v>153</v>
      </c>
      <c r="J1175" s="10" t="n">
        <v>1231737</v>
      </c>
      <c r="L1175" s="10" t="n">
        <v>1529878</v>
      </c>
      <c r="M1175" s="12" t="s">
        <v>76</v>
      </c>
      <c r="N1175" s="12" t="s">
        <v>66</v>
      </c>
      <c r="P1175" s="10" t="n">
        <v>101</v>
      </c>
      <c r="Q1175" s="12" t="s">
        <v>84</v>
      </c>
      <c r="R1175" s="12" t="s">
        <v>121</v>
      </c>
      <c r="S1175" s="10" t="n">
        <v>4210317</v>
      </c>
      <c r="T1175" s="12" t="s">
        <v>599</v>
      </c>
      <c r="U1175" s="13" t="n">
        <v>116.07</v>
      </c>
      <c r="W1175" s="13" t="n">
        <v>0</v>
      </c>
      <c r="X1175" s="12" t="s">
        <v>658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46192</v>
      </c>
      <c r="C1176" s="11" t="n">
        <v>46244</v>
      </c>
      <c r="D1176" s="10" t="n">
        <v>10026</v>
      </c>
      <c r="E1176" s="12" t="s">
        <v>659</v>
      </c>
      <c r="F1176" s="10" t="n">
        <v>24</v>
      </c>
      <c r="G1176" s="12" t="s">
        <v>31</v>
      </c>
      <c r="H1176" s="10" t="n">
        <v>2110405</v>
      </c>
      <c r="I1176" s="12" t="s">
        <v>153</v>
      </c>
      <c r="J1176" s="10" t="n">
        <v>1273703</v>
      </c>
      <c r="L1176" s="10" t="n">
        <v>528630</v>
      </c>
      <c r="M1176" s="12" t="s">
        <v>40</v>
      </c>
      <c r="N1176" s="12" t="s">
        <v>66</v>
      </c>
      <c r="P1176" s="10" t="n">
        <v>101</v>
      </c>
      <c r="Q1176" s="12" t="s">
        <v>84</v>
      </c>
      <c r="R1176" s="12" t="s">
        <v>240</v>
      </c>
      <c r="S1176" s="10" t="n">
        <v>1240203</v>
      </c>
      <c r="T1176" s="12" t="s">
        <v>241</v>
      </c>
      <c r="U1176" s="13" t="n">
        <v>666.66</v>
      </c>
      <c r="W1176" s="13" t="n">
        <v>0</v>
      </c>
      <c r="X1176" s="12" t="s">
        <v>660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46211</v>
      </c>
      <c r="C1177" s="11" t="n">
        <v>46244</v>
      </c>
      <c r="D1177" s="10" t="n">
        <v>10026</v>
      </c>
      <c r="E1177" s="12" t="s">
        <v>659</v>
      </c>
      <c r="F1177" s="10" t="n">
        <v>24</v>
      </c>
      <c r="G1177" s="12" t="s">
        <v>31</v>
      </c>
      <c r="H1177" s="10" t="n">
        <v>1110202</v>
      </c>
      <c r="I1177" s="12" t="s">
        <v>90</v>
      </c>
      <c r="J1177" s="10" t="n">
        <v>1370737</v>
      </c>
      <c r="L1177" s="10" t="n">
        <v>565779</v>
      </c>
      <c r="M1177" s="12" t="s">
        <v>33</v>
      </c>
      <c r="N1177" s="12" t="s">
        <v>66</v>
      </c>
      <c r="P1177" s="10" t="n">
        <v>101</v>
      </c>
      <c r="Q1177" s="12" t="s">
        <v>84</v>
      </c>
      <c r="R1177" s="12" t="s">
        <v>94</v>
      </c>
      <c r="S1177" s="10" t="n">
        <v>4210222</v>
      </c>
      <c r="T1177" s="12" t="s">
        <v>1458</v>
      </c>
      <c r="U1177" s="13" t="n">
        <v>666.67</v>
      </c>
      <c r="W1177" s="13" t="n">
        <v>0</v>
      </c>
      <c r="X1177" s="12" t="s">
        <v>1459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46211</v>
      </c>
      <c r="C1178" s="11" t="n">
        <v>46244</v>
      </c>
      <c r="D1178" s="10" t="n">
        <v>10026</v>
      </c>
      <c r="E1178" s="12" t="s">
        <v>659</v>
      </c>
      <c r="F1178" s="10" t="n">
        <v>24</v>
      </c>
      <c r="G1178" s="12" t="s">
        <v>31</v>
      </c>
      <c r="H1178" s="10" t="n">
        <v>1110202</v>
      </c>
      <c r="I1178" s="12" t="s">
        <v>90</v>
      </c>
      <c r="J1178" s="10" t="n">
        <v>1370749</v>
      </c>
      <c r="L1178" s="10" t="n">
        <v>565780</v>
      </c>
      <c r="M1178" s="12" t="s">
        <v>33</v>
      </c>
      <c r="N1178" s="12" t="s">
        <v>66</v>
      </c>
      <c r="P1178" s="10" t="n">
        <v>101</v>
      </c>
      <c r="Q1178" s="12" t="s">
        <v>84</v>
      </c>
      <c r="R1178" s="12" t="s">
        <v>91</v>
      </c>
      <c r="S1178" s="10" t="n">
        <v>4220199</v>
      </c>
      <c r="T1178" s="12" t="s">
        <v>92</v>
      </c>
      <c r="U1178" s="13" t="n">
        <v>2000</v>
      </c>
      <c r="W1178" s="13" t="n">
        <v>0</v>
      </c>
      <c r="X1178" s="12" t="s">
        <v>1460</v>
      </c>
      <c r="Z1178" s="1" t="str">
        <f aca="false">IF($T1178="","",IFERROR(INDEX('Resumo Grupos'!$AC$3:$AC$200,MATCH($T1178,'Resumo Grupos'!$AB$3:$AB$200,0)),"n/d"))</f>
        <v>Pagamentos outros não operacionais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46192</v>
      </c>
      <c r="C1179" s="11" t="n">
        <v>46244</v>
      </c>
      <c r="D1179" s="10" t="n">
        <v>10026</v>
      </c>
      <c r="E1179" s="12" t="s">
        <v>659</v>
      </c>
      <c r="F1179" s="10" t="n">
        <v>24</v>
      </c>
      <c r="G1179" s="12" t="s">
        <v>31</v>
      </c>
      <c r="H1179" s="10" t="n">
        <v>2110405</v>
      </c>
      <c r="I1179" s="12" t="s">
        <v>153</v>
      </c>
      <c r="J1179" s="10" t="n">
        <v>1273723</v>
      </c>
      <c r="L1179" s="10" t="n">
        <v>528632</v>
      </c>
      <c r="M1179" s="12" t="s">
        <v>40</v>
      </c>
      <c r="N1179" s="12" t="s">
        <v>66</v>
      </c>
      <c r="P1179" s="10" t="n">
        <v>101</v>
      </c>
      <c r="Q1179" s="12" t="s">
        <v>84</v>
      </c>
      <c r="R1179" s="12" t="s">
        <v>91</v>
      </c>
      <c r="S1179" s="10" t="n">
        <v>4220199</v>
      </c>
      <c r="T1179" s="12" t="s">
        <v>92</v>
      </c>
      <c r="U1179" s="13" t="n">
        <v>2000</v>
      </c>
      <c r="W1179" s="13" t="n">
        <v>0</v>
      </c>
      <c r="X1179" s="12" t="s">
        <v>661</v>
      </c>
      <c r="Z1179" s="1" t="str">
        <f aca="false">IF($T1179="","",IFERROR(INDEX('Resumo Grupos'!$AC$3:$AC$200,MATCH($T1179,'Resumo Grupos'!$AB$3:$AB$200,0)),"n/d"))</f>
        <v>Pagamentos outros não operacionais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46237</v>
      </c>
      <c r="C1180" s="11" t="n">
        <v>46244</v>
      </c>
      <c r="D1180" s="10" t="n">
        <v>1631</v>
      </c>
      <c r="E1180" s="12" t="s">
        <v>141</v>
      </c>
      <c r="F1180" s="10" t="n">
        <v>24</v>
      </c>
      <c r="G1180" s="12" t="s">
        <v>31</v>
      </c>
      <c r="H1180" s="10" t="n">
        <v>1110202</v>
      </c>
      <c r="I1180" s="12" t="s">
        <v>90</v>
      </c>
      <c r="J1180" s="10" t="n">
        <v>1495666</v>
      </c>
      <c r="L1180" s="10" t="n">
        <v>15204</v>
      </c>
      <c r="M1180" s="12" t="s">
        <v>33</v>
      </c>
      <c r="N1180" s="12" t="s">
        <v>66</v>
      </c>
      <c r="P1180" s="10" t="n">
        <v>103</v>
      </c>
      <c r="Q1180" s="12" t="s">
        <v>35</v>
      </c>
      <c r="R1180" s="12" t="s">
        <v>36</v>
      </c>
      <c r="S1180" s="10" t="n">
        <v>1130101</v>
      </c>
      <c r="T1180" s="12" t="s">
        <v>37</v>
      </c>
      <c r="U1180" s="13" t="n">
        <v>659.7</v>
      </c>
      <c r="W1180" s="13" t="n">
        <v>0</v>
      </c>
      <c r="X1180" s="12" t="s">
        <v>1461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46226</v>
      </c>
      <c r="C1181" s="11" t="n">
        <v>46244</v>
      </c>
      <c r="D1181" s="10" t="n">
        <v>1893</v>
      </c>
      <c r="E1181" s="12" t="s">
        <v>1462</v>
      </c>
      <c r="F1181" s="10" t="n">
        <v>34</v>
      </c>
      <c r="G1181" s="12" t="s">
        <v>49</v>
      </c>
      <c r="H1181" s="10" t="n">
        <v>1110202</v>
      </c>
      <c r="I1181" s="12" t="s">
        <v>90</v>
      </c>
      <c r="J1181" s="10" t="n">
        <v>1440493</v>
      </c>
      <c r="L1181" s="10" t="n">
        <v>592715</v>
      </c>
      <c r="M1181" s="12" t="s">
        <v>33</v>
      </c>
      <c r="N1181" s="12" t="s">
        <v>66</v>
      </c>
      <c r="P1181" s="10" t="n">
        <v>101</v>
      </c>
      <c r="Q1181" s="12" t="s">
        <v>84</v>
      </c>
      <c r="R1181" s="12" t="s">
        <v>121</v>
      </c>
      <c r="S1181" s="10" t="n">
        <v>4210315</v>
      </c>
      <c r="T1181" s="12" t="s">
        <v>708</v>
      </c>
      <c r="U1181" s="13" t="n">
        <v>209.99</v>
      </c>
      <c r="W1181" s="13" t="n">
        <v>0</v>
      </c>
      <c r="X1181" s="12" t="s">
        <v>1463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46219</v>
      </c>
      <c r="C1182" s="11" t="n">
        <v>46245</v>
      </c>
      <c r="D1182" s="10" t="n">
        <v>1637</v>
      </c>
      <c r="E1182" s="12" t="s">
        <v>97</v>
      </c>
      <c r="F1182" s="10" t="n">
        <v>24</v>
      </c>
      <c r="G1182" s="12" t="s">
        <v>31</v>
      </c>
      <c r="H1182" s="10" t="n">
        <v>1110202</v>
      </c>
      <c r="I1182" s="12" t="s">
        <v>90</v>
      </c>
      <c r="J1182" s="10" t="n">
        <v>1406479</v>
      </c>
      <c r="L1182" s="10" t="n">
        <v>1905835</v>
      </c>
      <c r="M1182" s="12" t="s">
        <v>33</v>
      </c>
      <c r="N1182" s="12" t="s">
        <v>66</v>
      </c>
      <c r="P1182" s="10" t="n">
        <v>103</v>
      </c>
      <c r="Q1182" s="12" t="s">
        <v>35</v>
      </c>
      <c r="R1182" s="12" t="s">
        <v>36</v>
      </c>
      <c r="S1182" s="10" t="n">
        <v>1130101</v>
      </c>
      <c r="T1182" s="12" t="s">
        <v>37</v>
      </c>
      <c r="U1182" s="13" t="n">
        <v>639.52</v>
      </c>
      <c r="W1182" s="13" t="n">
        <v>0</v>
      </c>
      <c r="X1182" s="12" t="s">
        <v>1464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46226</v>
      </c>
      <c r="C1183" s="11" t="n">
        <v>46245</v>
      </c>
      <c r="D1183" s="10" t="n">
        <v>1612</v>
      </c>
      <c r="E1183" s="12" t="s">
        <v>248</v>
      </c>
      <c r="F1183" s="10" t="n">
        <v>24</v>
      </c>
      <c r="G1183" s="12" t="s">
        <v>31</v>
      </c>
      <c r="H1183" s="10" t="n">
        <v>1110202</v>
      </c>
      <c r="I1183" s="12" t="s">
        <v>90</v>
      </c>
      <c r="J1183" s="10" t="n">
        <v>1439513</v>
      </c>
      <c r="L1183" s="10" t="n">
        <v>592437</v>
      </c>
      <c r="M1183" s="12" t="s">
        <v>33</v>
      </c>
      <c r="N1183" s="12" t="s">
        <v>66</v>
      </c>
      <c r="P1183" s="10" t="n">
        <v>104</v>
      </c>
      <c r="Q1183" s="12" t="s">
        <v>50</v>
      </c>
      <c r="R1183" s="12" t="s">
        <v>36</v>
      </c>
      <c r="S1183" s="10" t="n">
        <v>1130101</v>
      </c>
      <c r="T1183" s="12" t="s">
        <v>37</v>
      </c>
      <c r="U1183" s="13" t="n">
        <v>683.04</v>
      </c>
      <c r="W1183" s="13" t="n">
        <v>0</v>
      </c>
      <c r="X1183" s="12" t="s">
        <v>1465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46226</v>
      </c>
      <c r="C1184" s="11" t="n">
        <v>46245</v>
      </c>
      <c r="D1184" s="10" t="n">
        <v>1668</v>
      </c>
      <c r="E1184" s="12" t="s">
        <v>263</v>
      </c>
      <c r="F1184" s="10" t="n">
        <v>24</v>
      </c>
      <c r="G1184" s="12" t="s">
        <v>31</v>
      </c>
      <c r="H1184" s="10" t="n">
        <v>1110202</v>
      </c>
      <c r="I1184" s="12" t="s">
        <v>90</v>
      </c>
      <c r="J1184" s="10" t="n">
        <v>1439664</v>
      </c>
      <c r="L1184" s="10" t="n">
        <v>740926</v>
      </c>
      <c r="M1184" s="12" t="s">
        <v>33</v>
      </c>
      <c r="N1184" s="12" t="s">
        <v>66</v>
      </c>
      <c r="P1184" s="10" t="n">
        <v>103</v>
      </c>
      <c r="Q1184" s="12" t="s">
        <v>35</v>
      </c>
      <c r="R1184" s="12" t="s">
        <v>94</v>
      </c>
      <c r="S1184" s="10" t="n">
        <v>4210299</v>
      </c>
      <c r="T1184" s="12" t="s">
        <v>1331</v>
      </c>
      <c r="U1184" s="13" t="n">
        <v>451.39</v>
      </c>
      <c r="W1184" s="13" t="n">
        <v>0</v>
      </c>
      <c r="X1184" s="12" t="s">
        <v>1466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46226</v>
      </c>
      <c r="C1185" s="11" t="n">
        <v>46245</v>
      </c>
      <c r="D1185" s="10" t="n">
        <v>1668</v>
      </c>
      <c r="E1185" s="12" t="s">
        <v>263</v>
      </c>
      <c r="F1185" s="10" t="n">
        <v>24</v>
      </c>
      <c r="G1185" s="12" t="s">
        <v>31</v>
      </c>
      <c r="H1185" s="10" t="n">
        <v>1110202</v>
      </c>
      <c r="I1185" s="12" t="s">
        <v>90</v>
      </c>
      <c r="J1185" s="10" t="n">
        <v>1439648</v>
      </c>
      <c r="L1185" s="10" t="n">
        <v>740924</v>
      </c>
      <c r="M1185" s="12" t="s">
        <v>33</v>
      </c>
      <c r="N1185" s="12" t="s">
        <v>66</v>
      </c>
      <c r="P1185" s="10" t="n">
        <v>103</v>
      </c>
      <c r="Q1185" s="12" t="s">
        <v>35</v>
      </c>
      <c r="R1185" s="12" t="s">
        <v>94</v>
      </c>
      <c r="S1185" s="10" t="n">
        <v>4210299</v>
      </c>
      <c r="T1185" s="12" t="s">
        <v>1331</v>
      </c>
      <c r="U1185" s="13" t="n">
        <v>1662.92</v>
      </c>
      <c r="W1185" s="13" t="n">
        <v>0</v>
      </c>
      <c r="X1185" s="12" t="s">
        <v>1467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46232</v>
      </c>
      <c r="C1186" s="11" t="n">
        <v>46245</v>
      </c>
      <c r="D1186" s="10" t="n">
        <v>1114</v>
      </c>
      <c r="E1186" s="12" t="s">
        <v>128</v>
      </c>
      <c r="F1186" s="10" t="n">
        <v>24</v>
      </c>
      <c r="G1186" s="12" t="s">
        <v>31</v>
      </c>
      <c r="H1186" s="10" t="n">
        <v>1110202</v>
      </c>
      <c r="I1186" s="12" t="s">
        <v>90</v>
      </c>
      <c r="J1186" s="10" t="n">
        <v>1469780</v>
      </c>
      <c r="L1186" s="10" t="n">
        <v>42217</v>
      </c>
      <c r="M1186" s="12" t="s">
        <v>33</v>
      </c>
      <c r="N1186" s="12" t="s">
        <v>66</v>
      </c>
      <c r="P1186" s="10" t="n">
        <v>103</v>
      </c>
      <c r="Q1186" s="12" t="s">
        <v>35</v>
      </c>
      <c r="R1186" s="12" t="s">
        <v>36</v>
      </c>
      <c r="S1186" s="10" t="n">
        <v>1130101</v>
      </c>
      <c r="T1186" s="12" t="s">
        <v>37</v>
      </c>
      <c r="U1186" s="13" t="n">
        <v>3523.17</v>
      </c>
      <c r="W1186" s="13" t="n">
        <v>0</v>
      </c>
      <c r="X1186" s="12" t="s">
        <v>1468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46232</v>
      </c>
      <c r="C1187" s="11" t="n">
        <v>46245</v>
      </c>
      <c r="D1187" s="10" t="n">
        <v>630</v>
      </c>
      <c r="E1187" s="12" t="s">
        <v>673</v>
      </c>
      <c r="F1187" s="10" t="n">
        <v>24</v>
      </c>
      <c r="G1187" s="12" t="s">
        <v>31</v>
      </c>
      <c r="H1187" s="10" t="n">
        <v>1110202</v>
      </c>
      <c r="I1187" s="12" t="s">
        <v>90</v>
      </c>
      <c r="J1187" s="10" t="n">
        <v>1469203</v>
      </c>
      <c r="L1187" s="10" t="n">
        <v>603817</v>
      </c>
      <c r="M1187" s="12" t="s">
        <v>33</v>
      </c>
      <c r="N1187" s="12" t="s">
        <v>66</v>
      </c>
      <c r="P1187" s="10" t="n">
        <v>101</v>
      </c>
      <c r="Q1187" s="12" t="s">
        <v>84</v>
      </c>
      <c r="R1187" s="12" t="s">
        <v>121</v>
      </c>
      <c r="S1187" s="10" t="n">
        <v>4210311</v>
      </c>
      <c r="T1187" s="12" t="s">
        <v>405</v>
      </c>
      <c r="U1187" s="13" t="n">
        <v>130.84</v>
      </c>
      <c r="W1187" s="13" t="n">
        <v>0</v>
      </c>
      <c r="X1187" s="12" t="s">
        <v>1469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46216</v>
      </c>
      <c r="C1188" s="11" t="n">
        <v>46245</v>
      </c>
      <c r="D1188" s="10" t="n">
        <v>1624</v>
      </c>
      <c r="E1188" s="12" t="s">
        <v>367</v>
      </c>
      <c r="F1188" s="10" t="n">
        <v>24</v>
      </c>
      <c r="G1188" s="12" t="s">
        <v>31</v>
      </c>
      <c r="H1188" s="10" t="n">
        <v>1110202</v>
      </c>
      <c r="I1188" s="12" t="s">
        <v>90</v>
      </c>
      <c r="J1188" s="10" t="n">
        <v>1393007</v>
      </c>
      <c r="L1188" s="10" t="n">
        <v>662479</v>
      </c>
      <c r="M1188" s="12" t="s">
        <v>76</v>
      </c>
      <c r="N1188" s="12" t="s">
        <v>66</v>
      </c>
      <c r="P1188" s="10" t="n">
        <v>103</v>
      </c>
      <c r="Q1188" s="12" t="s">
        <v>35</v>
      </c>
      <c r="R1188" s="12" t="s">
        <v>36</v>
      </c>
      <c r="S1188" s="10" t="n">
        <v>1130101</v>
      </c>
      <c r="T1188" s="12" t="s">
        <v>37</v>
      </c>
      <c r="U1188" s="13" t="n">
        <v>823.62</v>
      </c>
      <c r="W1188" s="13" t="n">
        <v>0</v>
      </c>
      <c r="X1188" s="12" t="s">
        <v>1470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46223</v>
      </c>
      <c r="C1189" s="11" t="n">
        <v>46245</v>
      </c>
      <c r="D1189" s="10" t="n">
        <v>1671</v>
      </c>
      <c r="E1189" s="12" t="s">
        <v>83</v>
      </c>
      <c r="F1189" s="10" t="n">
        <v>24</v>
      </c>
      <c r="G1189" s="12" t="s">
        <v>31</v>
      </c>
      <c r="H1189" s="10" t="n">
        <v>1110202</v>
      </c>
      <c r="I1189" s="12" t="s">
        <v>90</v>
      </c>
      <c r="J1189" s="10" t="n">
        <v>1424628</v>
      </c>
      <c r="L1189" s="10" t="n">
        <v>581015</v>
      </c>
      <c r="M1189" s="12" t="s">
        <v>33</v>
      </c>
      <c r="N1189" s="12" t="s">
        <v>66</v>
      </c>
      <c r="P1189" s="10" t="n">
        <v>103</v>
      </c>
      <c r="Q1189" s="12" t="s">
        <v>35</v>
      </c>
      <c r="R1189" s="12" t="s">
        <v>36</v>
      </c>
      <c r="S1189" s="10" t="n">
        <v>1130101</v>
      </c>
      <c r="T1189" s="12" t="s">
        <v>37</v>
      </c>
      <c r="U1189" s="13" t="n">
        <v>612.71</v>
      </c>
      <c r="W1189" s="13" t="n">
        <v>0</v>
      </c>
      <c r="X1189" s="12" t="s">
        <v>1471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46225</v>
      </c>
      <c r="C1190" s="11" t="n">
        <v>46246</v>
      </c>
      <c r="D1190" s="10" t="n">
        <v>1659</v>
      </c>
      <c r="E1190" s="12" t="s">
        <v>39</v>
      </c>
      <c r="F1190" s="10" t="n">
        <v>24</v>
      </c>
      <c r="G1190" s="12" t="s">
        <v>31</v>
      </c>
      <c r="H1190" s="10" t="n">
        <v>1110202</v>
      </c>
      <c r="I1190" s="12" t="s">
        <v>90</v>
      </c>
      <c r="J1190" s="10" t="n">
        <v>1435386</v>
      </c>
      <c r="L1190" s="10" t="n">
        <v>886068</v>
      </c>
      <c r="M1190" s="12" t="s">
        <v>76</v>
      </c>
      <c r="N1190" s="12" t="s">
        <v>66</v>
      </c>
      <c r="P1190" s="10" t="n">
        <v>103</v>
      </c>
      <c r="Q1190" s="12" t="s">
        <v>35</v>
      </c>
      <c r="R1190" s="12" t="s">
        <v>36</v>
      </c>
      <c r="S1190" s="10" t="n">
        <v>1130101</v>
      </c>
      <c r="T1190" s="12" t="s">
        <v>37</v>
      </c>
      <c r="U1190" s="13" t="n">
        <v>1420.58</v>
      </c>
      <c r="W1190" s="13" t="n">
        <v>0</v>
      </c>
      <c r="X1190" s="12" t="s">
        <v>1472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46223</v>
      </c>
      <c r="C1191" s="11" t="n">
        <v>46246</v>
      </c>
      <c r="D1191" s="10" t="n">
        <v>1637</v>
      </c>
      <c r="E1191" s="12" t="s">
        <v>97</v>
      </c>
      <c r="F1191" s="10" t="n">
        <v>24</v>
      </c>
      <c r="G1191" s="12" t="s">
        <v>31</v>
      </c>
      <c r="H1191" s="10" t="n">
        <v>1110202</v>
      </c>
      <c r="I1191" s="12" t="s">
        <v>90</v>
      </c>
      <c r="J1191" s="10" t="n">
        <v>1424145</v>
      </c>
      <c r="L1191" s="10" t="n">
        <v>1906317</v>
      </c>
      <c r="M1191" s="12" t="s">
        <v>33</v>
      </c>
      <c r="N1191" s="12" t="s">
        <v>66</v>
      </c>
      <c r="P1191" s="10" t="n">
        <v>103</v>
      </c>
      <c r="Q1191" s="12" t="s">
        <v>35</v>
      </c>
      <c r="R1191" s="12" t="s">
        <v>36</v>
      </c>
      <c r="S1191" s="10" t="n">
        <v>1130101</v>
      </c>
      <c r="T1191" s="12" t="s">
        <v>37</v>
      </c>
      <c r="U1191" s="13" t="n">
        <v>958.5</v>
      </c>
      <c r="W1191" s="13" t="n">
        <v>0</v>
      </c>
      <c r="X1191" s="12" t="s">
        <v>1473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46235</v>
      </c>
      <c r="C1192" s="11" t="n">
        <v>46246</v>
      </c>
      <c r="D1192" s="10" t="n">
        <v>1613</v>
      </c>
      <c r="E1192" s="12" t="s">
        <v>71</v>
      </c>
      <c r="F1192" s="10" t="n">
        <v>24</v>
      </c>
      <c r="G1192" s="12" t="s">
        <v>31</v>
      </c>
      <c r="H1192" s="10" t="n">
        <v>1110202</v>
      </c>
      <c r="I1192" s="12" t="s">
        <v>90</v>
      </c>
      <c r="J1192" s="10" t="n">
        <v>1482290</v>
      </c>
      <c r="L1192" s="10" t="n">
        <v>1614419</v>
      </c>
      <c r="M1192" s="12" t="s">
        <v>33</v>
      </c>
      <c r="N1192" s="12" t="s">
        <v>66</v>
      </c>
      <c r="P1192" s="10" t="n">
        <v>103</v>
      </c>
      <c r="Q1192" s="12" t="s">
        <v>35</v>
      </c>
      <c r="R1192" s="12" t="s">
        <v>36</v>
      </c>
      <c r="S1192" s="10" t="n">
        <v>1130101</v>
      </c>
      <c r="T1192" s="12" t="s">
        <v>37</v>
      </c>
      <c r="U1192" s="13" t="n">
        <v>1798.15</v>
      </c>
      <c r="W1192" s="13" t="n">
        <v>0</v>
      </c>
      <c r="X1192" s="12" t="s">
        <v>1474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46227</v>
      </c>
      <c r="C1193" s="11" t="n">
        <v>46246</v>
      </c>
      <c r="D1193" s="10" t="n">
        <v>1613</v>
      </c>
      <c r="E1193" s="12" t="s">
        <v>71</v>
      </c>
      <c r="F1193" s="10" t="n">
        <v>24</v>
      </c>
      <c r="G1193" s="12" t="s">
        <v>31</v>
      </c>
      <c r="H1193" s="10" t="n">
        <v>1110202</v>
      </c>
      <c r="I1193" s="12" t="s">
        <v>90</v>
      </c>
      <c r="J1193" s="10" t="n">
        <v>1443677</v>
      </c>
      <c r="L1193" s="10" t="n">
        <v>1611343</v>
      </c>
      <c r="M1193" s="12" t="s">
        <v>76</v>
      </c>
      <c r="N1193" s="12" t="s">
        <v>66</v>
      </c>
      <c r="P1193" s="10" t="n">
        <v>103</v>
      </c>
      <c r="Q1193" s="12" t="s">
        <v>35</v>
      </c>
      <c r="R1193" s="12" t="s">
        <v>36</v>
      </c>
      <c r="S1193" s="10" t="n">
        <v>1130101</v>
      </c>
      <c r="T1193" s="12" t="s">
        <v>37</v>
      </c>
      <c r="U1193" s="13" t="n">
        <v>447.25</v>
      </c>
      <c r="W1193" s="13" t="n">
        <v>0</v>
      </c>
      <c r="X1193" s="12" t="s">
        <v>1475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46226</v>
      </c>
      <c r="C1194" s="11" t="n">
        <v>46246</v>
      </c>
      <c r="D1194" s="10" t="n">
        <v>1608</v>
      </c>
      <c r="E1194" s="12" t="s">
        <v>52</v>
      </c>
      <c r="F1194" s="10" t="n">
        <v>24</v>
      </c>
      <c r="G1194" s="12" t="s">
        <v>31</v>
      </c>
      <c r="H1194" s="10" t="n">
        <v>1110202</v>
      </c>
      <c r="I1194" s="12" t="s">
        <v>90</v>
      </c>
      <c r="J1194" s="10" t="n">
        <v>1439448</v>
      </c>
      <c r="L1194" s="10" t="n">
        <v>592413</v>
      </c>
      <c r="M1194" s="12" t="s">
        <v>76</v>
      </c>
      <c r="N1194" s="12" t="s">
        <v>66</v>
      </c>
      <c r="P1194" s="10" t="n">
        <v>104</v>
      </c>
      <c r="Q1194" s="12" t="s">
        <v>50</v>
      </c>
      <c r="R1194" s="12" t="s">
        <v>36</v>
      </c>
      <c r="S1194" s="10" t="n">
        <v>1130101</v>
      </c>
      <c r="T1194" s="12" t="s">
        <v>37</v>
      </c>
      <c r="U1194" s="13" t="n">
        <v>1790.11</v>
      </c>
      <c r="W1194" s="13" t="n">
        <v>0</v>
      </c>
      <c r="X1194" s="12" t="s">
        <v>1339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46228</v>
      </c>
      <c r="C1195" s="11" t="n">
        <v>46246</v>
      </c>
      <c r="D1195" s="10" t="n">
        <v>1636</v>
      </c>
      <c r="E1195" s="12" t="s">
        <v>290</v>
      </c>
      <c r="F1195" s="10" t="n">
        <v>24</v>
      </c>
      <c r="G1195" s="12" t="s">
        <v>31</v>
      </c>
      <c r="H1195" s="10" t="n">
        <v>1110202</v>
      </c>
      <c r="I1195" s="12" t="s">
        <v>90</v>
      </c>
      <c r="J1195" s="10" t="n">
        <v>1449938</v>
      </c>
      <c r="L1195" s="10" t="n">
        <v>3223292</v>
      </c>
      <c r="M1195" s="12" t="s">
        <v>33</v>
      </c>
      <c r="N1195" s="12" t="s">
        <v>66</v>
      </c>
      <c r="P1195" s="10" t="n">
        <v>103</v>
      </c>
      <c r="Q1195" s="12" t="s">
        <v>35</v>
      </c>
      <c r="R1195" s="12" t="s">
        <v>36</v>
      </c>
      <c r="S1195" s="10" t="n">
        <v>1130101</v>
      </c>
      <c r="T1195" s="12" t="s">
        <v>37</v>
      </c>
      <c r="U1195" s="13" t="n">
        <v>1641.4</v>
      </c>
      <c r="W1195" s="13" t="n">
        <v>0</v>
      </c>
      <c r="X1195" s="12" t="s">
        <v>1476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46226</v>
      </c>
      <c r="C1196" s="11" t="n">
        <v>46246</v>
      </c>
      <c r="D1196" s="10" t="n">
        <v>957</v>
      </c>
      <c r="E1196" s="12" t="s">
        <v>75</v>
      </c>
      <c r="F1196" s="10" t="n">
        <v>24</v>
      </c>
      <c r="G1196" s="12" t="s">
        <v>31</v>
      </c>
      <c r="H1196" s="10" t="n">
        <v>1110202</v>
      </c>
      <c r="I1196" s="12" t="s">
        <v>90</v>
      </c>
      <c r="J1196" s="10" t="n">
        <v>1439137</v>
      </c>
      <c r="L1196" s="10" t="n">
        <v>21188</v>
      </c>
      <c r="M1196" s="12" t="s">
        <v>33</v>
      </c>
      <c r="N1196" s="12" t="s">
        <v>66</v>
      </c>
      <c r="P1196" s="10" t="n">
        <v>103</v>
      </c>
      <c r="Q1196" s="12" t="s">
        <v>35</v>
      </c>
      <c r="R1196" s="12" t="s">
        <v>36</v>
      </c>
      <c r="S1196" s="10" t="n">
        <v>1130101</v>
      </c>
      <c r="T1196" s="12" t="s">
        <v>37</v>
      </c>
      <c r="U1196" s="13" t="n">
        <v>3458.9</v>
      </c>
      <c r="W1196" s="13" t="n">
        <v>0</v>
      </c>
      <c r="X1196" s="12" t="s">
        <v>1477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46192</v>
      </c>
      <c r="C1197" s="11" t="n">
        <v>46246</v>
      </c>
      <c r="D1197" s="10" t="n">
        <v>957</v>
      </c>
      <c r="E1197" s="12" t="s">
        <v>75</v>
      </c>
      <c r="F1197" s="10" t="n">
        <v>24</v>
      </c>
      <c r="G1197" s="12" t="s">
        <v>31</v>
      </c>
      <c r="H1197" s="10" t="n">
        <v>2110101</v>
      </c>
      <c r="I1197" s="12" t="s">
        <v>32</v>
      </c>
      <c r="J1197" s="10" t="n">
        <v>1273051</v>
      </c>
      <c r="L1197" s="10" t="n">
        <v>20498</v>
      </c>
      <c r="M1197" s="12" t="s">
        <v>76</v>
      </c>
      <c r="N1197" s="12" t="s">
        <v>34</v>
      </c>
      <c r="P1197" s="10" t="n">
        <v>103</v>
      </c>
      <c r="Q1197" s="12" t="s">
        <v>35</v>
      </c>
      <c r="R1197" s="12" t="s">
        <v>36</v>
      </c>
      <c r="S1197" s="10" t="n">
        <v>1130101</v>
      </c>
      <c r="T1197" s="12" t="s">
        <v>37</v>
      </c>
      <c r="U1197" s="13" t="n">
        <v>8427.07</v>
      </c>
      <c r="W1197" s="13" t="n">
        <v>0</v>
      </c>
      <c r="X1197" s="12" t="s">
        <v>1478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46225</v>
      </c>
      <c r="C1198" s="11" t="n">
        <v>46246</v>
      </c>
      <c r="D1198" s="10" t="n">
        <v>10011</v>
      </c>
      <c r="E1198" s="12" t="s">
        <v>78</v>
      </c>
      <c r="F1198" s="10" t="n">
        <v>24</v>
      </c>
      <c r="G1198" s="12" t="s">
        <v>31</v>
      </c>
      <c r="H1198" s="10" t="n">
        <v>1110202</v>
      </c>
      <c r="I1198" s="12" t="s">
        <v>90</v>
      </c>
      <c r="J1198" s="10" t="n">
        <v>1435119</v>
      </c>
      <c r="L1198" s="10" t="n">
        <v>34737</v>
      </c>
      <c r="M1198" s="12" t="s">
        <v>33</v>
      </c>
      <c r="N1198" s="12" t="s">
        <v>66</v>
      </c>
      <c r="P1198" s="10" t="n">
        <v>103</v>
      </c>
      <c r="Q1198" s="12" t="s">
        <v>35</v>
      </c>
      <c r="R1198" s="12" t="s">
        <v>36</v>
      </c>
      <c r="S1198" s="10" t="n">
        <v>1130101</v>
      </c>
      <c r="T1198" s="12" t="s">
        <v>37</v>
      </c>
      <c r="U1198" s="13" t="n">
        <v>807.05</v>
      </c>
      <c r="W1198" s="13" t="n">
        <v>0</v>
      </c>
      <c r="X1198" s="12" t="s">
        <v>1479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46226</v>
      </c>
      <c r="C1199" s="11" t="n">
        <v>46246</v>
      </c>
      <c r="D1199" s="10" t="n">
        <v>1749</v>
      </c>
      <c r="E1199" s="12" t="s">
        <v>188</v>
      </c>
      <c r="F1199" s="10" t="n">
        <v>24</v>
      </c>
      <c r="G1199" s="12" t="s">
        <v>31</v>
      </c>
      <c r="H1199" s="10" t="n">
        <v>1110202</v>
      </c>
      <c r="I1199" s="12" t="s">
        <v>90</v>
      </c>
      <c r="J1199" s="10" t="n">
        <v>1439282</v>
      </c>
      <c r="L1199" s="10" t="n">
        <v>2785</v>
      </c>
      <c r="M1199" s="12" t="s">
        <v>76</v>
      </c>
      <c r="N1199" s="12" t="s">
        <v>66</v>
      </c>
      <c r="P1199" s="10" t="n">
        <v>103</v>
      </c>
      <c r="Q1199" s="12" t="s">
        <v>35</v>
      </c>
      <c r="R1199" s="12" t="s">
        <v>36</v>
      </c>
      <c r="S1199" s="10" t="n">
        <v>1130101</v>
      </c>
      <c r="T1199" s="12" t="s">
        <v>37</v>
      </c>
      <c r="U1199" s="13" t="n">
        <v>2195.6</v>
      </c>
      <c r="W1199" s="13" t="n">
        <v>0</v>
      </c>
      <c r="X1199" s="12" t="s">
        <v>1480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46227</v>
      </c>
      <c r="C1200" s="11" t="n">
        <v>46246</v>
      </c>
      <c r="D1200" s="10" t="n">
        <v>1624</v>
      </c>
      <c r="E1200" s="12" t="s">
        <v>367</v>
      </c>
      <c r="F1200" s="10" t="n">
        <v>24</v>
      </c>
      <c r="G1200" s="12" t="s">
        <v>31</v>
      </c>
      <c r="H1200" s="10" t="n">
        <v>1110202</v>
      </c>
      <c r="I1200" s="12" t="s">
        <v>90</v>
      </c>
      <c r="J1200" s="10" t="n">
        <v>1443647</v>
      </c>
      <c r="L1200" s="10" t="n">
        <v>665164</v>
      </c>
      <c r="M1200" s="12" t="s">
        <v>33</v>
      </c>
      <c r="N1200" s="12" t="s">
        <v>66</v>
      </c>
      <c r="P1200" s="10" t="n">
        <v>103</v>
      </c>
      <c r="Q1200" s="12" t="s">
        <v>35</v>
      </c>
      <c r="R1200" s="12" t="s">
        <v>36</v>
      </c>
      <c r="S1200" s="10" t="n">
        <v>1130101</v>
      </c>
      <c r="T1200" s="12" t="s">
        <v>37</v>
      </c>
      <c r="U1200" s="13" t="n">
        <v>853.9</v>
      </c>
      <c r="W1200" s="13" t="n">
        <v>0</v>
      </c>
      <c r="X1200" s="12" t="s">
        <v>1481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46218</v>
      </c>
      <c r="C1201" s="11" t="n">
        <v>46246</v>
      </c>
      <c r="D1201" s="10" t="n">
        <v>1390</v>
      </c>
      <c r="E1201" s="12" t="s">
        <v>757</v>
      </c>
      <c r="F1201" s="10" t="n">
        <v>24</v>
      </c>
      <c r="G1201" s="12" t="s">
        <v>31</v>
      </c>
      <c r="H1201" s="10" t="n">
        <v>1110202</v>
      </c>
      <c r="I1201" s="12" t="s">
        <v>90</v>
      </c>
      <c r="J1201" s="10" t="n">
        <v>1401827</v>
      </c>
      <c r="L1201" s="10" t="n">
        <v>6933</v>
      </c>
      <c r="M1201" s="12" t="s">
        <v>33</v>
      </c>
      <c r="N1201" s="12" t="s">
        <v>66</v>
      </c>
      <c r="P1201" s="10" t="n">
        <v>103</v>
      </c>
      <c r="Q1201" s="12" t="s">
        <v>35</v>
      </c>
      <c r="R1201" s="12" t="s">
        <v>36</v>
      </c>
      <c r="S1201" s="10" t="n">
        <v>1130101</v>
      </c>
      <c r="T1201" s="12" t="s">
        <v>37</v>
      </c>
      <c r="U1201" s="13" t="n">
        <v>548.94</v>
      </c>
      <c r="W1201" s="13" t="n">
        <v>0</v>
      </c>
      <c r="X1201" s="12" t="s">
        <v>1482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46226</v>
      </c>
      <c r="C1202" s="11" t="n">
        <v>46246</v>
      </c>
      <c r="D1202" s="10" t="n">
        <v>1671</v>
      </c>
      <c r="E1202" s="12" t="s">
        <v>83</v>
      </c>
      <c r="F1202" s="10" t="n">
        <v>24</v>
      </c>
      <c r="G1202" s="12" t="s">
        <v>31</v>
      </c>
      <c r="H1202" s="10" t="n">
        <v>1110202</v>
      </c>
      <c r="I1202" s="12" t="s">
        <v>90</v>
      </c>
      <c r="J1202" s="10" t="n">
        <v>1439103</v>
      </c>
      <c r="L1202" s="10" t="n">
        <v>592343</v>
      </c>
      <c r="M1202" s="12" t="s">
        <v>76</v>
      </c>
      <c r="N1202" s="12" t="s">
        <v>66</v>
      </c>
      <c r="P1202" s="10" t="n">
        <v>104</v>
      </c>
      <c r="Q1202" s="12" t="s">
        <v>50</v>
      </c>
      <c r="R1202" s="12" t="s">
        <v>36</v>
      </c>
      <c r="S1202" s="10" t="n">
        <v>1130101</v>
      </c>
      <c r="T1202" s="12" t="s">
        <v>37</v>
      </c>
      <c r="U1202" s="13" t="n">
        <v>1473.38</v>
      </c>
      <c r="W1202" s="13" t="n">
        <v>0</v>
      </c>
      <c r="X1202" s="12" t="s">
        <v>1483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46226</v>
      </c>
      <c r="C1203" s="11" t="n">
        <v>46246</v>
      </c>
      <c r="D1203" s="10" t="n">
        <v>1745</v>
      </c>
      <c r="E1203" s="12" t="s">
        <v>212</v>
      </c>
      <c r="F1203" s="10" t="n">
        <v>24</v>
      </c>
      <c r="G1203" s="12" t="s">
        <v>31</v>
      </c>
      <c r="H1203" s="10" t="n">
        <v>1110202</v>
      </c>
      <c r="I1203" s="12" t="s">
        <v>90</v>
      </c>
      <c r="J1203" s="10" t="n">
        <v>1440158</v>
      </c>
      <c r="L1203" s="10" t="n">
        <v>353326</v>
      </c>
      <c r="M1203" s="12" t="s">
        <v>76</v>
      </c>
      <c r="N1203" s="12" t="s">
        <v>66</v>
      </c>
      <c r="P1203" s="10" t="n">
        <v>103</v>
      </c>
      <c r="Q1203" s="12" t="s">
        <v>35</v>
      </c>
      <c r="R1203" s="12" t="s">
        <v>36</v>
      </c>
      <c r="S1203" s="10" t="n">
        <v>1130101</v>
      </c>
      <c r="T1203" s="12" t="s">
        <v>37</v>
      </c>
      <c r="U1203" s="13" t="n">
        <v>2063.42</v>
      </c>
      <c r="W1203" s="13" t="n">
        <v>0</v>
      </c>
      <c r="X1203" s="12" t="s">
        <v>1484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46226</v>
      </c>
      <c r="C1204" s="11" t="n">
        <v>46246</v>
      </c>
      <c r="D1204" s="10" t="n">
        <v>1402</v>
      </c>
      <c r="E1204" s="12" t="s">
        <v>214</v>
      </c>
      <c r="F1204" s="10" t="n">
        <v>24</v>
      </c>
      <c r="G1204" s="12" t="s">
        <v>31</v>
      </c>
      <c r="H1204" s="10" t="n">
        <v>1110202</v>
      </c>
      <c r="I1204" s="12" t="s">
        <v>90</v>
      </c>
      <c r="J1204" s="10" t="n">
        <v>1439699</v>
      </c>
      <c r="L1204" s="10" t="n">
        <v>3899</v>
      </c>
      <c r="M1204" s="12" t="s">
        <v>33</v>
      </c>
      <c r="N1204" s="12" t="s">
        <v>66</v>
      </c>
      <c r="P1204" s="10" t="n">
        <v>103</v>
      </c>
      <c r="Q1204" s="12" t="s">
        <v>35</v>
      </c>
      <c r="R1204" s="12" t="s">
        <v>94</v>
      </c>
      <c r="S1204" s="10" t="n">
        <v>4210299</v>
      </c>
      <c r="T1204" s="12" t="s">
        <v>1331</v>
      </c>
      <c r="U1204" s="13" t="n">
        <v>1478.5</v>
      </c>
      <c r="W1204" s="13" t="n">
        <v>0</v>
      </c>
      <c r="X1204" s="12" t="s">
        <v>1485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46232</v>
      </c>
      <c r="C1205" s="11" t="n">
        <v>46247</v>
      </c>
      <c r="D1205" s="10" t="n">
        <v>1664</v>
      </c>
      <c r="E1205" s="12" t="s">
        <v>233</v>
      </c>
      <c r="F1205" s="10" t="n">
        <v>24</v>
      </c>
      <c r="G1205" s="12" t="s">
        <v>31</v>
      </c>
      <c r="H1205" s="10" t="n">
        <v>1110202</v>
      </c>
      <c r="I1205" s="12" t="s">
        <v>90</v>
      </c>
      <c r="J1205" s="10" t="n">
        <v>1469025</v>
      </c>
      <c r="L1205" s="10" t="n">
        <v>79231</v>
      </c>
      <c r="M1205" s="12" t="s">
        <v>33</v>
      </c>
      <c r="N1205" s="12" t="s">
        <v>66</v>
      </c>
      <c r="P1205" s="10" t="n">
        <v>103</v>
      </c>
      <c r="Q1205" s="12" t="s">
        <v>35</v>
      </c>
      <c r="R1205" s="12" t="s">
        <v>36</v>
      </c>
      <c r="S1205" s="10" t="n">
        <v>1130101</v>
      </c>
      <c r="T1205" s="12" t="s">
        <v>37</v>
      </c>
      <c r="U1205" s="13" t="n">
        <v>3261.6</v>
      </c>
      <c r="W1205" s="13" t="n">
        <v>0</v>
      </c>
      <c r="X1205" s="12" t="s">
        <v>1486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46228</v>
      </c>
      <c r="C1206" s="11" t="n">
        <v>46247</v>
      </c>
      <c r="D1206" s="10" t="n">
        <v>1637</v>
      </c>
      <c r="E1206" s="12" t="s">
        <v>97</v>
      </c>
      <c r="F1206" s="10" t="n">
        <v>24</v>
      </c>
      <c r="G1206" s="12" t="s">
        <v>31</v>
      </c>
      <c r="H1206" s="10" t="n">
        <v>1110202</v>
      </c>
      <c r="I1206" s="12" t="s">
        <v>90</v>
      </c>
      <c r="J1206" s="10" t="n">
        <v>1450076</v>
      </c>
      <c r="L1206" s="10" t="n">
        <v>1910465</v>
      </c>
      <c r="M1206" s="12" t="s">
        <v>33</v>
      </c>
      <c r="N1206" s="12" t="s">
        <v>66</v>
      </c>
      <c r="P1206" s="10" t="n">
        <v>103</v>
      </c>
      <c r="Q1206" s="12" t="s">
        <v>35</v>
      </c>
      <c r="R1206" s="12" t="s">
        <v>36</v>
      </c>
      <c r="S1206" s="10" t="n">
        <v>1130101</v>
      </c>
      <c r="T1206" s="12" t="s">
        <v>37</v>
      </c>
      <c r="U1206" s="13" t="n">
        <v>1009.05</v>
      </c>
      <c r="W1206" s="13" t="n">
        <v>0</v>
      </c>
      <c r="X1206" s="12" t="s">
        <v>1487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46105</v>
      </c>
      <c r="C1207" s="11" t="n">
        <v>46247</v>
      </c>
      <c r="D1207" s="10" t="n">
        <v>10056</v>
      </c>
      <c r="E1207" s="12" t="s">
        <v>691</v>
      </c>
      <c r="F1207" s="10" t="n">
        <v>42</v>
      </c>
      <c r="G1207" s="12" t="s">
        <v>692</v>
      </c>
      <c r="H1207" s="10" t="n">
        <v>2110405</v>
      </c>
      <c r="I1207" s="12" t="s">
        <v>153</v>
      </c>
      <c r="J1207" s="10" t="n">
        <v>848843</v>
      </c>
      <c r="L1207" s="10" t="n">
        <v>363960</v>
      </c>
      <c r="M1207" s="12" t="s">
        <v>448</v>
      </c>
      <c r="N1207" s="12" t="s">
        <v>66</v>
      </c>
      <c r="P1207" s="10" t="n">
        <v>101</v>
      </c>
      <c r="Q1207" s="12" t="s">
        <v>84</v>
      </c>
      <c r="R1207" s="12" t="s">
        <v>91</v>
      </c>
      <c r="S1207" s="10" t="n">
        <v>4220199</v>
      </c>
      <c r="T1207" s="12" t="s">
        <v>92</v>
      </c>
      <c r="U1207" s="13" t="n">
        <v>333.33</v>
      </c>
      <c r="W1207" s="13" t="n">
        <v>0</v>
      </c>
      <c r="X1207" s="12" t="s">
        <v>693</v>
      </c>
      <c r="Z1207" s="1" t="str">
        <f aca="false">IF($T1207="","",IFERROR(INDEX('Resumo Grupos'!$AC$3:$AC$200,MATCH($T1207,'Resumo Grupos'!$AB$3:$AB$200,0)),"n/d"))</f>
        <v>Pagamentos outros não operacionais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46233</v>
      </c>
      <c r="C1208" s="11" t="n">
        <v>46247</v>
      </c>
      <c r="D1208" s="10" t="n">
        <v>1705</v>
      </c>
      <c r="E1208" s="12" t="s">
        <v>46</v>
      </c>
      <c r="F1208" s="10" t="n">
        <v>24</v>
      </c>
      <c r="G1208" s="12" t="s">
        <v>31</v>
      </c>
      <c r="H1208" s="10" t="n">
        <v>1110202</v>
      </c>
      <c r="I1208" s="12" t="s">
        <v>90</v>
      </c>
      <c r="J1208" s="10" t="n">
        <v>1472992</v>
      </c>
      <c r="L1208" s="10" t="n">
        <v>1959703</v>
      </c>
      <c r="M1208" s="12" t="s">
        <v>33</v>
      </c>
      <c r="N1208" s="12" t="s">
        <v>66</v>
      </c>
      <c r="P1208" s="10" t="n">
        <v>103</v>
      </c>
      <c r="Q1208" s="12" t="s">
        <v>35</v>
      </c>
      <c r="R1208" s="12" t="s">
        <v>36</v>
      </c>
      <c r="S1208" s="10" t="n">
        <v>1130101</v>
      </c>
      <c r="T1208" s="12" t="s">
        <v>37</v>
      </c>
      <c r="U1208" s="13" t="n">
        <v>7097.53</v>
      </c>
      <c r="W1208" s="13" t="n">
        <v>0</v>
      </c>
      <c r="X1208" s="12" t="s">
        <v>1488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46233</v>
      </c>
      <c r="C1209" s="11" t="n">
        <v>46247</v>
      </c>
      <c r="D1209" s="10" t="n">
        <v>1705</v>
      </c>
      <c r="E1209" s="12" t="s">
        <v>46</v>
      </c>
      <c r="F1209" s="10" t="n">
        <v>24</v>
      </c>
      <c r="G1209" s="12" t="s">
        <v>31</v>
      </c>
      <c r="H1209" s="10" t="n">
        <v>1110202</v>
      </c>
      <c r="I1209" s="12" t="s">
        <v>90</v>
      </c>
      <c r="J1209" s="10" t="n">
        <v>1472670</v>
      </c>
      <c r="L1209" s="10" t="n">
        <v>1224519</v>
      </c>
      <c r="M1209" s="12" t="s">
        <v>33</v>
      </c>
      <c r="N1209" s="12" t="s">
        <v>66</v>
      </c>
      <c r="P1209" s="10" t="n">
        <v>103</v>
      </c>
      <c r="Q1209" s="12" t="s">
        <v>35</v>
      </c>
      <c r="R1209" s="12" t="s">
        <v>36</v>
      </c>
      <c r="S1209" s="10" t="n">
        <v>1130101</v>
      </c>
      <c r="T1209" s="12" t="s">
        <v>37</v>
      </c>
      <c r="U1209" s="13" t="n">
        <v>291.66</v>
      </c>
      <c r="W1209" s="13" t="n">
        <v>0</v>
      </c>
      <c r="X1209" s="12" t="s">
        <v>1489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46233</v>
      </c>
      <c r="C1210" s="11" t="n">
        <v>46247</v>
      </c>
      <c r="D1210" s="10" t="n">
        <v>1705</v>
      </c>
      <c r="E1210" s="12" t="s">
        <v>46</v>
      </c>
      <c r="F1210" s="10" t="n">
        <v>24</v>
      </c>
      <c r="G1210" s="12" t="s">
        <v>31</v>
      </c>
      <c r="H1210" s="10" t="n">
        <v>1110202</v>
      </c>
      <c r="I1210" s="12" t="s">
        <v>90</v>
      </c>
      <c r="J1210" s="10" t="n">
        <v>1472741</v>
      </c>
      <c r="L1210" s="10" t="n">
        <v>1225932</v>
      </c>
      <c r="M1210" s="12" t="s">
        <v>33</v>
      </c>
      <c r="N1210" s="12" t="s">
        <v>66</v>
      </c>
      <c r="P1210" s="10" t="n">
        <v>103</v>
      </c>
      <c r="Q1210" s="12" t="s">
        <v>35</v>
      </c>
      <c r="R1210" s="12" t="s">
        <v>36</v>
      </c>
      <c r="S1210" s="10" t="n">
        <v>1130101</v>
      </c>
      <c r="T1210" s="12" t="s">
        <v>37</v>
      </c>
      <c r="U1210" s="13" t="n">
        <v>2841.78</v>
      </c>
      <c r="W1210" s="13" t="n">
        <v>0</v>
      </c>
      <c r="X1210" s="12" t="s">
        <v>1490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46219</v>
      </c>
      <c r="C1211" s="11" t="n">
        <v>46247</v>
      </c>
      <c r="D1211" s="10" t="n">
        <v>1601</v>
      </c>
      <c r="E1211" s="12" t="s">
        <v>243</v>
      </c>
      <c r="F1211" s="10" t="n">
        <v>24</v>
      </c>
      <c r="G1211" s="12" t="s">
        <v>31</v>
      </c>
      <c r="H1211" s="10" t="n">
        <v>1110202</v>
      </c>
      <c r="I1211" s="12" t="s">
        <v>90</v>
      </c>
      <c r="J1211" s="10" t="n">
        <v>1407452</v>
      </c>
      <c r="L1211" s="10" t="n">
        <v>854275</v>
      </c>
      <c r="M1211" s="12" t="s">
        <v>40</v>
      </c>
      <c r="N1211" s="12" t="s">
        <v>66</v>
      </c>
      <c r="P1211" s="10" t="n">
        <v>103</v>
      </c>
      <c r="Q1211" s="12" t="s">
        <v>35</v>
      </c>
      <c r="R1211" s="12" t="s">
        <v>36</v>
      </c>
      <c r="S1211" s="10" t="n">
        <v>1130101</v>
      </c>
      <c r="T1211" s="12" t="s">
        <v>37</v>
      </c>
      <c r="U1211" s="13" t="n">
        <v>748.69</v>
      </c>
      <c r="W1211" s="13" t="n">
        <v>0</v>
      </c>
      <c r="X1211" s="12" t="s">
        <v>1491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46226</v>
      </c>
      <c r="C1212" s="11" t="n">
        <v>46247</v>
      </c>
      <c r="D1212" s="10" t="n">
        <v>1608</v>
      </c>
      <c r="E1212" s="12" t="s">
        <v>52</v>
      </c>
      <c r="F1212" s="10" t="n">
        <v>24</v>
      </c>
      <c r="G1212" s="12" t="s">
        <v>31</v>
      </c>
      <c r="H1212" s="10" t="n">
        <v>1110202</v>
      </c>
      <c r="I1212" s="12" t="s">
        <v>90</v>
      </c>
      <c r="J1212" s="10" t="n">
        <v>1440285</v>
      </c>
      <c r="L1212" s="10" t="n">
        <v>1697798</v>
      </c>
      <c r="M1212" s="12" t="s">
        <v>33</v>
      </c>
      <c r="N1212" s="12" t="s">
        <v>66</v>
      </c>
      <c r="P1212" s="10" t="n">
        <v>103</v>
      </c>
      <c r="Q1212" s="12" t="s">
        <v>35</v>
      </c>
      <c r="R1212" s="12" t="s">
        <v>94</v>
      </c>
      <c r="S1212" s="10" t="n">
        <v>4210228</v>
      </c>
      <c r="T1212" s="12" t="s">
        <v>471</v>
      </c>
      <c r="U1212" s="13" t="n">
        <v>1571.92</v>
      </c>
      <c r="W1212" s="13" t="n">
        <v>0</v>
      </c>
      <c r="X1212" s="12" t="s">
        <v>1492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46226</v>
      </c>
      <c r="C1213" s="11" t="n">
        <v>46247</v>
      </c>
      <c r="D1213" s="10" t="n">
        <v>10021</v>
      </c>
      <c r="E1213" s="12" t="s">
        <v>1493</v>
      </c>
      <c r="F1213" s="10" t="n">
        <v>24</v>
      </c>
      <c r="G1213" s="12" t="s">
        <v>31</v>
      </c>
      <c r="H1213" s="10" t="n">
        <v>1110202</v>
      </c>
      <c r="I1213" s="12" t="s">
        <v>90</v>
      </c>
      <c r="J1213" s="10" t="n">
        <v>1440166</v>
      </c>
      <c r="L1213" s="10" t="n">
        <v>134703</v>
      </c>
      <c r="M1213" s="12" t="s">
        <v>33</v>
      </c>
      <c r="N1213" s="12" t="s">
        <v>66</v>
      </c>
      <c r="P1213" s="10" t="n">
        <v>103</v>
      </c>
      <c r="Q1213" s="12" t="s">
        <v>35</v>
      </c>
      <c r="R1213" s="12" t="s">
        <v>36</v>
      </c>
      <c r="S1213" s="10" t="n">
        <v>1130101</v>
      </c>
      <c r="T1213" s="12" t="s">
        <v>37</v>
      </c>
      <c r="U1213" s="13" t="n">
        <v>774.49</v>
      </c>
      <c r="W1213" s="13" t="n">
        <v>0</v>
      </c>
      <c r="X1213" s="12" t="s">
        <v>1494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46226</v>
      </c>
      <c r="C1214" s="11" t="n">
        <v>46247</v>
      </c>
      <c r="D1214" s="10" t="n">
        <v>1616</v>
      </c>
      <c r="E1214" s="12" t="s">
        <v>434</v>
      </c>
      <c r="F1214" s="10" t="n">
        <v>24</v>
      </c>
      <c r="G1214" s="12" t="s">
        <v>31</v>
      </c>
      <c r="H1214" s="10" t="n">
        <v>1110202</v>
      </c>
      <c r="I1214" s="12" t="s">
        <v>90</v>
      </c>
      <c r="J1214" s="10" t="n">
        <v>1440186</v>
      </c>
      <c r="L1214" s="10" t="n">
        <v>592618</v>
      </c>
      <c r="M1214" s="12" t="s">
        <v>76</v>
      </c>
      <c r="N1214" s="12" t="s">
        <v>66</v>
      </c>
      <c r="P1214" s="10" t="n">
        <v>104</v>
      </c>
      <c r="Q1214" s="12" t="s">
        <v>50</v>
      </c>
      <c r="R1214" s="12" t="s">
        <v>36</v>
      </c>
      <c r="S1214" s="10" t="n">
        <v>1130101</v>
      </c>
      <c r="T1214" s="12" t="s">
        <v>37</v>
      </c>
      <c r="U1214" s="13" t="n">
        <v>434.06</v>
      </c>
      <c r="W1214" s="13" t="n">
        <v>0</v>
      </c>
      <c r="X1214" s="12" t="s">
        <v>1365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46226</v>
      </c>
      <c r="C1215" s="11" t="n">
        <v>46247</v>
      </c>
      <c r="D1215" s="10" t="n">
        <v>1616</v>
      </c>
      <c r="E1215" s="12" t="s">
        <v>434</v>
      </c>
      <c r="F1215" s="10" t="n">
        <v>24</v>
      </c>
      <c r="G1215" s="12" t="s">
        <v>31</v>
      </c>
      <c r="H1215" s="10" t="n">
        <v>1110202</v>
      </c>
      <c r="I1215" s="12" t="s">
        <v>90</v>
      </c>
      <c r="J1215" s="10" t="n">
        <v>1440106</v>
      </c>
      <c r="L1215" s="10" t="n">
        <v>592593</v>
      </c>
      <c r="M1215" s="12" t="s">
        <v>76</v>
      </c>
      <c r="N1215" s="12" t="s">
        <v>66</v>
      </c>
      <c r="P1215" s="10" t="n">
        <v>104</v>
      </c>
      <c r="Q1215" s="12" t="s">
        <v>50</v>
      </c>
      <c r="R1215" s="12" t="s">
        <v>36</v>
      </c>
      <c r="S1215" s="10" t="n">
        <v>1130101</v>
      </c>
      <c r="T1215" s="12" t="s">
        <v>37</v>
      </c>
      <c r="U1215" s="13" t="n">
        <v>605.93</v>
      </c>
      <c r="W1215" s="13" t="n">
        <v>0</v>
      </c>
      <c r="X1215" s="12" t="s">
        <v>1495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46225</v>
      </c>
      <c r="C1216" s="11" t="n">
        <v>46247</v>
      </c>
      <c r="D1216" s="10" t="n">
        <v>794</v>
      </c>
      <c r="E1216" s="12" t="s">
        <v>160</v>
      </c>
      <c r="F1216" s="10" t="n">
        <v>24</v>
      </c>
      <c r="G1216" s="12" t="s">
        <v>31</v>
      </c>
      <c r="H1216" s="10" t="n">
        <v>1110202</v>
      </c>
      <c r="I1216" s="12" t="s">
        <v>90</v>
      </c>
      <c r="J1216" s="10" t="n">
        <v>1435872</v>
      </c>
      <c r="L1216" s="10" t="n">
        <v>8403</v>
      </c>
      <c r="M1216" s="12" t="s">
        <v>76</v>
      </c>
      <c r="N1216" s="12" t="s">
        <v>66</v>
      </c>
      <c r="P1216" s="10" t="n">
        <v>103</v>
      </c>
      <c r="Q1216" s="12" t="s">
        <v>35</v>
      </c>
      <c r="R1216" s="12" t="s">
        <v>36</v>
      </c>
      <c r="S1216" s="10" t="n">
        <v>1130101</v>
      </c>
      <c r="T1216" s="12" t="s">
        <v>37</v>
      </c>
      <c r="U1216" s="13" t="n">
        <v>2621.74</v>
      </c>
      <c r="W1216" s="13" t="n">
        <v>0</v>
      </c>
      <c r="X1216" s="12" t="s">
        <v>1496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46226</v>
      </c>
      <c r="C1217" s="11" t="n">
        <v>46247</v>
      </c>
      <c r="D1217" s="10" t="n">
        <v>1626</v>
      </c>
      <c r="E1217" s="12" t="s">
        <v>250</v>
      </c>
      <c r="F1217" s="10" t="n">
        <v>24</v>
      </c>
      <c r="G1217" s="12" t="s">
        <v>31</v>
      </c>
      <c r="H1217" s="10" t="n">
        <v>1110202</v>
      </c>
      <c r="I1217" s="12" t="s">
        <v>90</v>
      </c>
      <c r="J1217" s="10" t="n">
        <v>1440328</v>
      </c>
      <c r="L1217" s="10" t="n">
        <v>592650</v>
      </c>
      <c r="M1217" s="12" t="s">
        <v>76</v>
      </c>
      <c r="N1217" s="12" t="s">
        <v>66</v>
      </c>
      <c r="P1217" s="10" t="n">
        <v>104</v>
      </c>
      <c r="Q1217" s="12" t="s">
        <v>50</v>
      </c>
      <c r="R1217" s="12" t="s">
        <v>36</v>
      </c>
      <c r="S1217" s="10" t="n">
        <v>1130101</v>
      </c>
      <c r="T1217" s="12" t="s">
        <v>37</v>
      </c>
      <c r="U1217" s="13" t="n">
        <v>907.88</v>
      </c>
      <c r="W1217" s="13" t="n">
        <v>0</v>
      </c>
      <c r="X1217" s="12" t="s">
        <v>1367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46226</v>
      </c>
      <c r="C1218" s="11" t="n">
        <v>46247</v>
      </c>
      <c r="D1218" s="10" t="n">
        <v>10099</v>
      </c>
      <c r="E1218" s="12" t="s">
        <v>1497</v>
      </c>
      <c r="F1218" s="10" t="n">
        <v>42</v>
      </c>
      <c r="G1218" s="12" t="s">
        <v>692</v>
      </c>
      <c r="H1218" s="10" t="n">
        <v>1110202</v>
      </c>
      <c r="I1218" s="12" t="s">
        <v>90</v>
      </c>
      <c r="J1218" s="10" t="n">
        <v>1441040</v>
      </c>
      <c r="L1218" s="10" t="n">
        <v>19144</v>
      </c>
      <c r="M1218" s="12" t="s">
        <v>33</v>
      </c>
      <c r="N1218" s="12" t="s">
        <v>66</v>
      </c>
      <c r="P1218" s="10" t="n">
        <v>101</v>
      </c>
      <c r="Q1218" s="12" t="s">
        <v>84</v>
      </c>
      <c r="R1218" s="12" t="s">
        <v>36</v>
      </c>
      <c r="S1218" s="10" t="n">
        <v>1130101</v>
      </c>
      <c r="T1218" s="12" t="s">
        <v>37</v>
      </c>
      <c r="U1218" s="13" t="n">
        <v>518.41</v>
      </c>
      <c r="W1218" s="13" t="n">
        <v>0</v>
      </c>
      <c r="X1218" s="12" t="s">
        <v>1498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46221</v>
      </c>
      <c r="C1219" s="11" t="n">
        <v>46247</v>
      </c>
      <c r="D1219" s="10" t="n">
        <v>1675</v>
      </c>
      <c r="E1219" s="12" t="s">
        <v>817</v>
      </c>
      <c r="F1219" s="10" t="n">
        <v>24</v>
      </c>
      <c r="G1219" s="12" t="s">
        <v>31</v>
      </c>
      <c r="H1219" s="10" t="n">
        <v>1110202</v>
      </c>
      <c r="I1219" s="12" t="s">
        <v>90</v>
      </c>
      <c r="J1219" s="10" t="n">
        <v>1415719</v>
      </c>
      <c r="L1219" s="10" t="n">
        <v>502189</v>
      </c>
      <c r="M1219" s="12" t="s">
        <v>76</v>
      </c>
      <c r="N1219" s="12" t="s">
        <v>66</v>
      </c>
      <c r="P1219" s="10" t="n">
        <v>103</v>
      </c>
      <c r="Q1219" s="12" t="s">
        <v>35</v>
      </c>
      <c r="R1219" s="12" t="s">
        <v>36</v>
      </c>
      <c r="S1219" s="10" t="n">
        <v>1130101</v>
      </c>
      <c r="T1219" s="12" t="s">
        <v>37</v>
      </c>
      <c r="U1219" s="13" t="n">
        <v>1181.96</v>
      </c>
      <c r="W1219" s="13" t="n">
        <v>0</v>
      </c>
      <c r="X1219" s="12" t="s">
        <v>1499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46231</v>
      </c>
      <c r="C1220" s="11" t="n">
        <v>46247</v>
      </c>
      <c r="D1220" s="10" t="n">
        <v>1611</v>
      </c>
      <c r="E1220" s="12" t="s">
        <v>476</v>
      </c>
      <c r="F1220" s="10" t="n">
        <v>24</v>
      </c>
      <c r="G1220" s="12" t="s">
        <v>31</v>
      </c>
      <c r="H1220" s="10" t="n">
        <v>1110202</v>
      </c>
      <c r="I1220" s="12" t="s">
        <v>90</v>
      </c>
      <c r="J1220" s="10" t="n">
        <v>1462932</v>
      </c>
      <c r="L1220" s="10" t="n">
        <v>1784397</v>
      </c>
      <c r="M1220" s="12" t="s">
        <v>33</v>
      </c>
      <c r="N1220" s="12" t="s">
        <v>66</v>
      </c>
      <c r="P1220" s="10" t="n">
        <v>103</v>
      </c>
      <c r="Q1220" s="12" t="s">
        <v>35</v>
      </c>
      <c r="R1220" s="12" t="s">
        <v>36</v>
      </c>
      <c r="S1220" s="10" t="n">
        <v>1130101</v>
      </c>
      <c r="T1220" s="12" t="s">
        <v>37</v>
      </c>
      <c r="U1220" s="13" t="n">
        <v>955.52</v>
      </c>
      <c r="W1220" s="13" t="n">
        <v>0</v>
      </c>
      <c r="X1220" s="12" t="s">
        <v>1500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46226</v>
      </c>
      <c r="C1221" s="11" t="n">
        <v>46247</v>
      </c>
      <c r="D1221" s="10" t="n">
        <v>1668</v>
      </c>
      <c r="E1221" s="12" t="s">
        <v>263</v>
      </c>
      <c r="F1221" s="10" t="n">
        <v>24</v>
      </c>
      <c r="G1221" s="12" t="s">
        <v>31</v>
      </c>
      <c r="H1221" s="10" t="n">
        <v>1110202</v>
      </c>
      <c r="I1221" s="12" t="s">
        <v>90</v>
      </c>
      <c r="J1221" s="10" t="n">
        <v>1439478</v>
      </c>
      <c r="L1221" s="10" t="n">
        <v>739551</v>
      </c>
      <c r="M1221" s="12" t="s">
        <v>33</v>
      </c>
      <c r="N1221" s="12" t="s">
        <v>66</v>
      </c>
      <c r="P1221" s="10" t="n">
        <v>103</v>
      </c>
      <c r="Q1221" s="12" t="s">
        <v>35</v>
      </c>
      <c r="R1221" s="12" t="s">
        <v>94</v>
      </c>
      <c r="S1221" s="10" t="n">
        <v>4210299</v>
      </c>
      <c r="T1221" s="12" t="s">
        <v>1331</v>
      </c>
      <c r="U1221" s="13" t="n">
        <v>544.02</v>
      </c>
      <c r="W1221" s="13" t="n">
        <v>0</v>
      </c>
      <c r="X1221" s="12" t="s">
        <v>1501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46228</v>
      </c>
      <c r="C1222" s="11" t="n">
        <v>46247</v>
      </c>
      <c r="D1222" s="10" t="n">
        <v>10009</v>
      </c>
      <c r="E1222" s="12" t="s">
        <v>181</v>
      </c>
      <c r="F1222" s="10" t="n">
        <v>24</v>
      </c>
      <c r="G1222" s="12" t="s">
        <v>31</v>
      </c>
      <c r="H1222" s="10" t="n">
        <v>1110202</v>
      </c>
      <c r="I1222" s="12" t="s">
        <v>90</v>
      </c>
      <c r="J1222" s="10" t="n">
        <v>1450017</v>
      </c>
      <c r="L1222" s="10" t="n">
        <v>1431398</v>
      </c>
      <c r="M1222" s="12" t="s">
        <v>33</v>
      </c>
      <c r="N1222" s="12" t="s">
        <v>66</v>
      </c>
      <c r="P1222" s="10" t="n">
        <v>103</v>
      </c>
      <c r="Q1222" s="12" t="s">
        <v>35</v>
      </c>
      <c r="R1222" s="12" t="s">
        <v>36</v>
      </c>
      <c r="S1222" s="10" t="n">
        <v>1130101</v>
      </c>
      <c r="T1222" s="12" t="s">
        <v>37</v>
      </c>
      <c r="U1222" s="13" t="n">
        <v>637.5</v>
      </c>
      <c r="W1222" s="13" t="n">
        <v>0</v>
      </c>
      <c r="X1222" s="12" t="s">
        <v>1502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46228</v>
      </c>
      <c r="C1223" s="11" t="n">
        <v>46247</v>
      </c>
      <c r="D1223" s="10" t="n">
        <v>10009</v>
      </c>
      <c r="E1223" s="12" t="s">
        <v>181</v>
      </c>
      <c r="F1223" s="10" t="n">
        <v>24</v>
      </c>
      <c r="G1223" s="12" t="s">
        <v>31</v>
      </c>
      <c r="H1223" s="10" t="n">
        <v>1110202</v>
      </c>
      <c r="I1223" s="12" t="s">
        <v>90</v>
      </c>
      <c r="J1223" s="10" t="n">
        <v>1449995</v>
      </c>
      <c r="L1223" s="10" t="n">
        <v>1431708</v>
      </c>
      <c r="M1223" s="12" t="s">
        <v>40</v>
      </c>
      <c r="N1223" s="12" t="s">
        <v>66</v>
      </c>
      <c r="P1223" s="10" t="n">
        <v>103</v>
      </c>
      <c r="Q1223" s="12" t="s">
        <v>35</v>
      </c>
      <c r="R1223" s="12" t="s">
        <v>36</v>
      </c>
      <c r="S1223" s="10" t="n">
        <v>1130101</v>
      </c>
      <c r="T1223" s="12" t="s">
        <v>37</v>
      </c>
      <c r="U1223" s="13" t="n">
        <v>1721.47</v>
      </c>
      <c r="W1223" s="13" t="n">
        <v>0</v>
      </c>
      <c r="X1223" s="12" t="s">
        <v>1503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46227</v>
      </c>
      <c r="C1224" s="11" t="n">
        <v>46247</v>
      </c>
      <c r="D1224" s="10" t="n">
        <v>1740</v>
      </c>
      <c r="E1224" s="12" t="s">
        <v>312</v>
      </c>
      <c r="F1224" s="10" t="n">
        <v>24</v>
      </c>
      <c r="G1224" s="12" t="s">
        <v>31</v>
      </c>
      <c r="H1224" s="10" t="n">
        <v>1110202</v>
      </c>
      <c r="I1224" s="12" t="s">
        <v>90</v>
      </c>
      <c r="J1224" s="10" t="n">
        <v>1443664</v>
      </c>
      <c r="L1224" s="10" t="n">
        <v>1250798</v>
      </c>
      <c r="M1224" s="12" t="s">
        <v>33</v>
      </c>
      <c r="N1224" s="12" t="s">
        <v>66</v>
      </c>
      <c r="P1224" s="10" t="n">
        <v>103</v>
      </c>
      <c r="Q1224" s="12" t="s">
        <v>35</v>
      </c>
      <c r="R1224" s="12" t="s">
        <v>36</v>
      </c>
      <c r="S1224" s="10" t="n">
        <v>1130101</v>
      </c>
      <c r="T1224" s="12" t="s">
        <v>37</v>
      </c>
      <c r="U1224" s="13" t="n">
        <v>762.96</v>
      </c>
      <c r="W1224" s="13" t="n">
        <v>0</v>
      </c>
      <c r="X1224" s="12" t="s">
        <v>1504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46225</v>
      </c>
      <c r="C1225" s="11" t="n">
        <v>46247</v>
      </c>
      <c r="D1225" s="10" t="n">
        <v>1740</v>
      </c>
      <c r="E1225" s="12" t="s">
        <v>312</v>
      </c>
      <c r="F1225" s="10" t="n">
        <v>24</v>
      </c>
      <c r="G1225" s="12" t="s">
        <v>31</v>
      </c>
      <c r="H1225" s="10" t="n">
        <v>1110202</v>
      </c>
      <c r="I1225" s="12" t="s">
        <v>90</v>
      </c>
      <c r="J1225" s="10" t="n">
        <v>1435938</v>
      </c>
      <c r="L1225" s="10" t="n">
        <v>1248470</v>
      </c>
      <c r="M1225" s="12" t="s">
        <v>76</v>
      </c>
      <c r="N1225" s="12" t="s">
        <v>66</v>
      </c>
      <c r="P1225" s="10" t="n">
        <v>103</v>
      </c>
      <c r="Q1225" s="12" t="s">
        <v>35</v>
      </c>
      <c r="R1225" s="12" t="s">
        <v>36</v>
      </c>
      <c r="S1225" s="10" t="n">
        <v>1130101</v>
      </c>
      <c r="T1225" s="12" t="s">
        <v>37</v>
      </c>
      <c r="U1225" s="13" t="n">
        <v>662.72</v>
      </c>
      <c r="W1225" s="13" t="n">
        <v>0</v>
      </c>
      <c r="X1225" s="12" t="s">
        <v>1505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46247</v>
      </c>
      <c r="D1226" s="10" t="n">
        <v>16</v>
      </c>
      <c r="E1226" s="12" t="s">
        <v>407</v>
      </c>
      <c r="F1226" s="10" t="n">
        <v>34</v>
      </c>
      <c r="G1226" s="12" t="s">
        <v>49</v>
      </c>
      <c r="H1226" s="10" t="n">
        <v>1110202</v>
      </c>
      <c r="I1226" s="12" t="s">
        <v>90</v>
      </c>
      <c r="J1226" s="10" t="n">
        <v>784488</v>
      </c>
      <c r="L1226" s="10" t="n">
        <v>338625</v>
      </c>
      <c r="M1226" s="12" t="s">
        <v>79</v>
      </c>
      <c r="N1226" s="12" t="s">
        <v>66</v>
      </c>
      <c r="P1226" s="10" t="n">
        <v>102</v>
      </c>
      <c r="Q1226" s="12" t="s">
        <v>112</v>
      </c>
      <c r="R1226" s="12" t="s">
        <v>91</v>
      </c>
      <c r="S1226" s="10" t="n">
        <v>4220199</v>
      </c>
      <c r="T1226" s="12" t="s">
        <v>92</v>
      </c>
      <c r="U1226" s="13" t="n">
        <v>8000</v>
      </c>
      <c r="W1226" s="13" t="n">
        <v>0</v>
      </c>
      <c r="X1226" s="12" t="s">
        <v>1307</v>
      </c>
      <c r="Z1226" s="1" t="str">
        <f aca="false">IF($T1226="","",IFERROR(INDEX('Resumo Grupos'!$AC$3:$AC$200,MATCH($T1226,'Resumo Grupos'!$AB$3:$AB$200,0)),"n/d"))</f>
        <v>Pagamentos outros não operacionais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46220</v>
      </c>
      <c r="C1227" s="11" t="n">
        <v>46247</v>
      </c>
      <c r="D1227" s="10" t="n">
        <v>10012</v>
      </c>
      <c r="E1227" s="12" t="s">
        <v>318</v>
      </c>
      <c r="F1227" s="10" t="n">
        <v>24</v>
      </c>
      <c r="G1227" s="12" t="s">
        <v>31</v>
      </c>
      <c r="H1227" s="10" t="n">
        <v>1110202</v>
      </c>
      <c r="I1227" s="12" t="s">
        <v>90</v>
      </c>
      <c r="J1227" s="10" t="n">
        <v>1411310</v>
      </c>
      <c r="L1227" s="10" t="n">
        <v>1964147</v>
      </c>
      <c r="M1227" s="12" t="s">
        <v>33</v>
      </c>
      <c r="N1227" s="12" t="s">
        <v>66</v>
      </c>
      <c r="P1227" s="10" t="n">
        <v>103</v>
      </c>
      <c r="Q1227" s="12" t="s">
        <v>35</v>
      </c>
      <c r="R1227" s="12" t="s">
        <v>36</v>
      </c>
      <c r="S1227" s="10" t="n">
        <v>1130101</v>
      </c>
      <c r="T1227" s="12" t="s">
        <v>37</v>
      </c>
      <c r="U1227" s="13" t="n">
        <v>1129.22</v>
      </c>
      <c r="W1227" s="13" t="n">
        <v>0</v>
      </c>
      <c r="X1227" s="12" t="s">
        <v>1506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46183</v>
      </c>
      <c r="C1228" s="11" t="n">
        <v>46248</v>
      </c>
      <c r="D1228" s="10" t="n">
        <v>49</v>
      </c>
      <c r="E1228" s="12" t="s">
        <v>279</v>
      </c>
      <c r="F1228" s="10" t="n">
        <v>34</v>
      </c>
      <c r="G1228" s="12" t="s">
        <v>49</v>
      </c>
      <c r="H1228" s="10" t="n">
        <v>2110405</v>
      </c>
      <c r="I1228" s="12" t="s">
        <v>153</v>
      </c>
      <c r="J1228" s="10" t="n">
        <v>1232017</v>
      </c>
      <c r="L1228" s="10" t="n">
        <v>511836</v>
      </c>
      <c r="M1228" s="12" t="s">
        <v>33</v>
      </c>
      <c r="N1228" s="12" t="s">
        <v>66</v>
      </c>
      <c r="P1228" s="10" t="n">
        <v>101</v>
      </c>
      <c r="Q1228" s="12" t="s">
        <v>84</v>
      </c>
      <c r="R1228" s="12" t="s">
        <v>1507</v>
      </c>
      <c r="S1228" s="10" t="n">
        <v>2210202</v>
      </c>
      <c r="T1228" s="12" t="s">
        <v>1507</v>
      </c>
      <c r="U1228" s="13" t="n">
        <v>100000</v>
      </c>
      <c r="W1228" s="13" t="n">
        <v>0</v>
      </c>
      <c r="X1228" s="12" t="s">
        <v>1508</v>
      </c>
      <c r="Z1228" s="1" t="str">
        <f aca="false">IF($T1228="","",IFERROR(INDEX('Resumo Grupos'!$AC$3:$AC$200,MATCH($T1228,'Resumo Grupos'!$AB$3:$AB$200,0)),"n/d"))</f>
        <v>Empréstimo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46230</v>
      </c>
      <c r="C1229" s="11" t="n">
        <v>46248</v>
      </c>
      <c r="D1229" s="10" t="n">
        <v>1613</v>
      </c>
      <c r="E1229" s="12" t="s">
        <v>71</v>
      </c>
      <c r="F1229" s="10" t="n">
        <v>24</v>
      </c>
      <c r="G1229" s="12" t="s">
        <v>31</v>
      </c>
      <c r="H1229" s="10" t="n">
        <v>1110202</v>
      </c>
      <c r="I1229" s="12" t="s">
        <v>90</v>
      </c>
      <c r="J1229" s="10" t="n">
        <v>1460199</v>
      </c>
      <c r="L1229" s="10" t="n">
        <v>1611963</v>
      </c>
      <c r="M1229" s="12" t="s">
        <v>76</v>
      </c>
      <c r="N1229" s="12" t="s">
        <v>66</v>
      </c>
      <c r="P1229" s="10" t="n">
        <v>103</v>
      </c>
      <c r="Q1229" s="12" t="s">
        <v>35</v>
      </c>
      <c r="R1229" s="12" t="s">
        <v>36</v>
      </c>
      <c r="S1229" s="10" t="n">
        <v>1130101</v>
      </c>
      <c r="T1229" s="12" t="s">
        <v>37</v>
      </c>
      <c r="U1229" s="13" t="n">
        <v>676.2</v>
      </c>
      <c r="W1229" s="13" t="n">
        <v>0</v>
      </c>
      <c r="X1229" s="12" t="s">
        <v>1509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46226</v>
      </c>
      <c r="C1230" s="11" t="n">
        <v>46248</v>
      </c>
      <c r="D1230" s="10" t="n">
        <v>1608</v>
      </c>
      <c r="E1230" s="12" t="s">
        <v>52</v>
      </c>
      <c r="F1230" s="10" t="n">
        <v>24</v>
      </c>
      <c r="G1230" s="12" t="s">
        <v>31</v>
      </c>
      <c r="H1230" s="10" t="n">
        <v>1110202</v>
      </c>
      <c r="I1230" s="12" t="s">
        <v>90</v>
      </c>
      <c r="J1230" s="10" t="n">
        <v>1439247</v>
      </c>
      <c r="L1230" s="10" t="n">
        <v>1698036</v>
      </c>
      <c r="M1230" s="12" t="s">
        <v>33</v>
      </c>
      <c r="N1230" s="12" t="s">
        <v>66</v>
      </c>
      <c r="P1230" s="10" t="n">
        <v>103</v>
      </c>
      <c r="Q1230" s="12" t="s">
        <v>35</v>
      </c>
      <c r="R1230" s="12" t="s">
        <v>36</v>
      </c>
      <c r="S1230" s="10" t="n">
        <v>1130101</v>
      </c>
      <c r="T1230" s="12" t="s">
        <v>37</v>
      </c>
      <c r="U1230" s="13" t="n">
        <v>2010.78</v>
      </c>
      <c r="W1230" s="13" t="n">
        <v>0</v>
      </c>
      <c r="X1230" s="12" t="s">
        <v>1510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46214</v>
      </c>
      <c r="C1231" s="11" t="n">
        <v>46248</v>
      </c>
      <c r="D1231" s="10" t="n">
        <v>794</v>
      </c>
      <c r="E1231" s="12" t="s">
        <v>160</v>
      </c>
      <c r="F1231" s="10" t="n">
        <v>24</v>
      </c>
      <c r="G1231" s="12" t="s">
        <v>31</v>
      </c>
      <c r="H1231" s="10" t="n">
        <v>1110202</v>
      </c>
      <c r="I1231" s="12" t="s">
        <v>90</v>
      </c>
      <c r="J1231" s="10" t="n">
        <v>1381993</v>
      </c>
      <c r="L1231" s="10" t="n">
        <v>8364</v>
      </c>
      <c r="M1231" s="12" t="s">
        <v>40</v>
      </c>
      <c r="N1231" s="12" t="s">
        <v>66</v>
      </c>
      <c r="P1231" s="10" t="n">
        <v>103</v>
      </c>
      <c r="Q1231" s="12" t="s">
        <v>35</v>
      </c>
      <c r="R1231" s="12" t="s">
        <v>36</v>
      </c>
      <c r="S1231" s="10" t="n">
        <v>1130101</v>
      </c>
      <c r="T1231" s="12" t="s">
        <v>37</v>
      </c>
      <c r="U1231" s="13" t="n">
        <v>523.66</v>
      </c>
      <c r="W1231" s="13" t="n">
        <v>0</v>
      </c>
      <c r="X1231" s="12" t="s">
        <v>1511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46228</v>
      </c>
      <c r="C1232" s="11" t="n">
        <v>46248</v>
      </c>
      <c r="D1232" s="10" t="n">
        <v>1657</v>
      </c>
      <c r="E1232" s="12" t="s">
        <v>300</v>
      </c>
      <c r="F1232" s="10" t="n">
        <v>24</v>
      </c>
      <c r="G1232" s="12" t="s">
        <v>31</v>
      </c>
      <c r="H1232" s="10" t="n">
        <v>1110202</v>
      </c>
      <c r="I1232" s="12" t="s">
        <v>90</v>
      </c>
      <c r="J1232" s="10" t="n">
        <v>1450043</v>
      </c>
      <c r="L1232" s="10" t="n">
        <v>296100</v>
      </c>
      <c r="M1232" s="12" t="s">
        <v>76</v>
      </c>
      <c r="N1232" s="12" t="s">
        <v>66</v>
      </c>
      <c r="P1232" s="10" t="n">
        <v>103</v>
      </c>
      <c r="Q1232" s="12" t="s">
        <v>35</v>
      </c>
      <c r="R1232" s="12" t="s">
        <v>36</v>
      </c>
      <c r="S1232" s="10" t="n">
        <v>1130101</v>
      </c>
      <c r="T1232" s="12" t="s">
        <v>37</v>
      </c>
      <c r="U1232" s="13" t="n">
        <v>925.97</v>
      </c>
      <c r="W1232" s="13" t="n">
        <v>0</v>
      </c>
      <c r="X1232" s="12" t="s">
        <v>1512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46235</v>
      </c>
      <c r="C1233" s="11" t="n">
        <v>46248</v>
      </c>
      <c r="D1233" s="10" t="n">
        <v>1815</v>
      </c>
      <c r="E1233" s="12" t="s">
        <v>175</v>
      </c>
      <c r="F1233" s="10" t="n">
        <v>24</v>
      </c>
      <c r="G1233" s="12" t="s">
        <v>31</v>
      </c>
      <c r="H1233" s="10" t="n">
        <v>1110202</v>
      </c>
      <c r="I1233" s="12" t="s">
        <v>90</v>
      </c>
      <c r="J1233" s="10" t="n">
        <v>1482383</v>
      </c>
      <c r="L1233" s="10" t="n">
        <v>395526</v>
      </c>
      <c r="M1233" s="12" t="s">
        <v>33</v>
      </c>
      <c r="N1233" s="12" t="s">
        <v>66</v>
      </c>
      <c r="P1233" s="10" t="n">
        <v>103</v>
      </c>
      <c r="Q1233" s="12" t="s">
        <v>35</v>
      </c>
      <c r="R1233" s="12" t="s">
        <v>36</v>
      </c>
      <c r="S1233" s="10" t="n">
        <v>1130101</v>
      </c>
      <c r="T1233" s="12" t="s">
        <v>37</v>
      </c>
      <c r="U1233" s="13" t="n">
        <v>1143.83</v>
      </c>
      <c r="W1233" s="13" t="n">
        <v>0</v>
      </c>
      <c r="X1233" s="12" t="s">
        <v>1513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46234</v>
      </c>
      <c r="C1234" s="11" t="n">
        <v>46248</v>
      </c>
      <c r="D1234" s="10" t="n">
        <v>1270</v>
      </c>
      <c r="E1234" s="12" t="s">
        <v>348</v>
      </c>
      <c r="F1234" s="10" t="n">
        <v>24</v>
      </c>
      <c r="G1234" s="12" t="s">
        <v>31</v>
      </c>
      <c r="H1234" s="10" t="n">
        <v>1110202</v>
      </c>
      <c r="I1234" s="12" t="s">
        <v>90</v>
      </c>
      <c r="J1234" s="10" t="n">
        <v>1478225</v>
      </c>
      <c r="L1234" s="10" t="n">
        <v>2736</v>
      </c>
      <c r="M1234" s="12" t="s">
        <v>33</v>
      </c>
      <c r="N1234" s="12" t="s">
        <v>66</v>
      </c>
      <c r="P1234" s="10" t="n">
        <v>103</v>
      </c>
      <c r="Q1234" s="12" t="s">
        <v>35</v>
      </c>
      <c r="R1234" s="12" t="s">
        <v>36</v>
      </c>
      <c r="S1234" s="10" t="n">
        <v>1130101</v>
      </c>
      <c r="T1234" s="12" t="s">
        <v>37</v>
      </c>
      <c r="U1234" s="13" t="n">
        <v>555</v>
      </c>
      <c r="W1234" s="13" t="n">
        <v>0</v>
      </c>
      <c r="X1234" s="12" t="s">
        <v>1514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46235</v>
      </c>
      <c r="C1235" s="11" t="n">
        <v>46248</v>
      </c>
      <c r="D1235" s="10" t="n">
        <v>1114</v>
      </c>
      <c r="E1235" s="12" t="s">
        <v>128</v>
      </c>
      <c r="F1235" s="10" t="n">
        <v>24</v>
      </c>
      <c r="G1235" s="12" t="s">
        <v>31</v>
      </c>
      <c r="H1235" s="10" t="n">
        <v>1110202</v>
      </c>
      <c r="I1235" s="12" t="s">
        <v>90</v>
      </c>
      <c r="J1235" s="10" t="n">
        <v>1482214</v>
      </c>
      <c r="L1235" s="10" t="n">
        <v>42703</v>
      </c>
      <c r="M1235" s="12" t="s">
        <v>33</v>
      </c>
      <c r="N1235" s="12" t="s">
        <v>66</v>
      </c>
      <c r="P1235" s="10" t="n">
        <v>103</v>
      </c>
      <c r="Q1235" s="12" t="s">
        <v>35</v>
      </c>
      <c r="R1235" s="12" t="s">
        <v>36</v>
      </c>
      <c r="S1235" s="10" t="n">
        <v>1130101</v>
      </c>
      <c r="T1235" s="12" t="s">
        <v>37</v>
      </c>
      <c r="U1235" s="13" t="n">
        <v>4614.83</v>
      </c>
      <c r="W1235" s="13" t="n">
        <v>0</v>
      </c>
      <c r="X1235" s="12" t="s">
        <v>1515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46226</v>
      </c>
      <c r="C1236" s="11" t="n">
        <v>46248</v>
      </c>
      <c r="D1236" s="10" t="n">
        <v>10017</v>
      </c>
      <c r="E1236" s="12" t="s">
        <v>271</v>
      </c>
      <c r="F1236" s="10" t="n">
        <v>24</v>
      </c>
      <c r="G1236" s="12" t="s">
        <v>31</v>
      </c>
      <c r="H1236" s="10" t="n">
        <v>1110202</v>
      </c>
      <c r="I1236" s="12" t="s">
        <v>90</v>
      </c>
      <c r="J1236" s="10" t="n">
        <v>1440211</v>
      </c>
      <c r="L1236" s="10" t="n">
        <v>592622</v>
      </c>
      <c r="M1236" s="12" t="s">
        <v>76</v>
      </c>
      <c r="N1236" s="12" t="s">
        <v>66</v>
      </c>
      <c r="P1236" s="10" t="n">
        <v>104</v>
      </c>
      <c r="Q1236" s="12" t="s">
        <v>50</v>
      </c>
      <c r="R1236" s="12" t="s">
        <v>36</v>
      </c>
      <c r="S1236" s="10" t="n">
        <v>1130101</v>
      </c>
      <c r="T1236" s="12" t="s">
        <v>37</v>
      </c>
      <c r="U1236" s="13" t="n">
        <v>868.36</v>
      </c>
      <c r="W1236" s="13" t="n">
        <v>0</v>
      </c>
      <c r="X1236" s="12" t="s">
        <v>1402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46204</v>
      </c>
      <c r="C1237" s="11" t="n">
        <v>46248</v>
      </c>
      <c r="D1237" s="10" t="n">
        <v>607</v>
      </c>
      <c r="E1237" s="12" t="s">
        <v>81</v>
      </c>
      <c r="F1237" s="10" t="n">
        <v>24</v>
      </c>
      <c r="G1237" s="12" t="s">
        <v>31</v>
      </c>
      <c r="H1237" s="10" t="n">
        <v>2110101</v>
      </c>
      <c r="I1237" s="12" t="s">
        <v>32</v>
      </c>
      <c r="J1237" s="10" t="n">
        <v>1335231</v>
      </c>
      <c r="L1237" s="10" t="n">
        <v>11002</v>
      </c>
      <c r="M1237" s="12" t="s">
        <v>40</v>
      </c>
      <c r="N1237" s="12" t="s">
        <v>34</v>
      </c>
      <c r="P1237" s="10" t="n">
        <v>103</v>
      </c>
      <c r="Q1237" s="12" t="s">
        <v>35</v>
      </c>
      <c r="R1237" s="12" t="s">
        <v>36</v>
      </c>
      <c r="S1237" s="10" t="n">
        <v>1130101</v>
      </c>
      <c r="T1237" s="12" t="s">
        <v>37</v>
      </c>
      <c r="U1237" s="13" t="n">
        <v>1849.57</v>
      </c>
      <c r="W1237" s="13" t="n">
        <v>0</v>
      </c>
      <c r="X1237" s="12" t="s">
        <v>1516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46225</v>
      </c>
      <c r="C1238" s="11" t="n">
        <v>46248</v>
      </c>
      <c r="D1238" s="10" t="n">
        <v>10012</v>
      </c>
      <c r="E1238" s="12" t="s">
        <v>318</v>
      </c>
      <c r="F1238" s="10" t="n">
        <v>24</v>
      </c>
      <c r="G1238" s="12" t="s">
        <v>31</v>
      </c>
      <c r="H1238" s="10" t="n">
        <v>1110202</v>
      </c>
      <c r="I1238" s="12" t="s">
        <v>90</v>
      </c>
      <c r="J1238" s="10" t="n">
        <v>1434176</v>
      </c>
      <c r="L1238" s="10" t="n">
        <v>1964247</v>
      </c>
      <c r="M1238" s="12" t="s">
        <v>33</v>
      </c>
      <c r="N1238" s="12" t="s">
        <v>66</v>
      </c>
      <c r="P1238" s="10" t="n">
        <v>103</v>
      </c>
      <c r="Q1238" s="12" t="s">
        <v>35</v>
      </c>
      <c r="R1238" s="12" t="s">
        <v>36</v>
      </c>
      <c r="S1238" s="10" t="n">
        <v>1130101</v>
      </c>
      <c r="T1238" s="12" t="s">
        <v>37</v>
      </c>
      <c r="U1238" s="13" t="n">
        <v>945.12</v>
      </c>
      <c r="W1238" s="13" t="n">
        <v>0</v>
      </c>
      <c r="X1238" s="12" t="s">
        <v>1517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46226</v>
      </c>
      <c r="C1239" s="11" t="n">
        <v>46248</v>
      </c>
      <c r="D1239" s="10" t="n">
        <v>1666</v>
      </c>
      <c r="E1239" s="12" t="s">
        <v>139</v>
      </c>
      <c r="F1239" s="10" t="n">
        <v>24</v>
      </c>
      <c r="G1239" s="12" t="s">
        <v>31</v>
      </c>
      <c r="H1239" s="10" t="n">
        <v>1110202</v>
      </c>
      <c r="I1239" s="12" t="s">
        <v>90</v>
      </c>
      <c r="J1239" s="10" t="n">
        <v>1440189</v>
      </c>
      <c r="L1239" s="10" t="n">
        <v>568312</v>
      </c>
      <c r="M1239" s="12" t="s">
        <v>40</v>
      </c>
      <c r="N1239" s="12" t="s">
        <v>66</v>
      </c>
      <c r="P1239" s="10" t="n">
        <v>103</v>
      </c>
      <c r="Q1239" s="12" t="s">
        <v>35</v>
      </c>
      <c r="R1239" s="12" t="s">
        <v>36</v>
      </c>
      <c r="S1239" s="10" t="n">
        <v>1130101</v>
      </c>
      <c r="T1239" s="12" t="s">
        <v>37</v>
      </c>
      <c r="U1239" s="13" t="n">
        <v>7866.8</v>
      </c>
      <c r="W1239" s="13" t="n">
        <v>0</v>
      </c>
      <c r="X1239" s="12" t="s">
        <v>1518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46218</v>
      </c>
      <c r="C1240" s="11" t="n">
        <v>46249</v>
      </c>
      <c r="D1240" s="10" t="n">
        <v>957</v>
      </c>
      <c r="E1240" s="12" t="s">
        <v>75</v>
      </c>
      <c r="F1240" s="10" t="n">
        <v>24</v>
      </c>
      <c r="G1240" s="12" t="s">
        <v>31</v>
      </c>
      <c r="H1240" s="10" t="n">
        <v>1110202</v>
      </c>
      <c r="I1240" s="12" t="s">
        <v>90</v>
      </c>
      <c r="J1240" s="10" t="n">
        <v>1402587</v>
      </c>
      <c r="L1240" s="10" t="n">
        <v>21048</v>
      </c>
      <c r="M1240" s="12" t="s">
        <v>76</v>
      </c>
      <c r="N1240" s="12" t="s">
        <v>66</v>
      </c>
      <c r="P1240" s="10" t="n">
        <v>103</v>
      </c>
      <c r="Q1240" s="12" t="s">
        <v>35</v>
      </c>
      <c r="R1240" s="12" t="s">
        <v>36</v>
      </c>
      <c r="S1240" s="10" t="n">
        <v>1130101</v>
      </c>
      <c r="T1240" s="12" t="s">
        <v>37</v>
      </c>
      <c r="U1240" s="13" t="n">
        <v>1475.42</v>
      </c>
      <c r="W1240" s="13" t="n">
        <v>0</v>
      </c>
      <c r="X1240" s="12" t="s">
        <v>1519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46164</v>
      </c>
      <c r="C1241" s="11" t="n">
        <v>46249</v>
      </c>
      <c r="D1241" s="10" t="n">
        <v>515</v>
      </c>
      <c r="E1241" s="12" t="s">
        <v>111</v>
      </c>
      <c r="F1241" s="10" t="n">
        <v>34</v>
      </c>
      <c r="G1241" s="12" t="s">
        <v>49</v>
      </c>
      <c r="H1241" s="10" t="n">
        <v>2110405</v>
      </c>
      <c r="I1241" s="12" t="s">
        <v>153</v>
      </c>
      <c r="J1241" s="10" t="n">
        <v>1137849</v>
      </c>
      <c r="L1241" s="10" t="n">
        <v>474941</v>
      </c>
      <c r="M1241" s="12" t="s">
        <v>40</v>
      </c>
      <c r="N1241" s="12" t="s">
        <v>66</v>
      </c>
      <c r="P1241" s="10" t="n">
        <v>101</v>
      </c>
      <c r="Q1241" s="12" t="s">
        <v>84</v>
      </c>
      <c r="R1241" s="12" t="s">
        <v>280</v>
      </c>
      <c r="S1241" s="10" t="n">
        <v>2110901</v>
      </c>
      <c r="T1241" s="12" t="s">
        <v>281</v>
      </c>
      <c r="U1241" s="13" t="n">
        <v>15770.14</v>
      </c>
      <c r="W1241" s="13" t="n">
        <v>0</v>
      </c>
      <c r="X1241" s="12" t="s">
        <v>1520</v>
      </c>
      <c r="Z1241" s="1" t="str">
        <f aca="false">IF($T1241="","",IFERROR(INDEX('Resumo Grupos'!$AC$3:$AC$200,MATCH($T1241,'Resumo Grupos'!$AB$3:$AB$200,0)),"n/d"))</f>
        <v>Empréstimo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46237</v>
      </c>
      <c r="C1242" s="11" t="n">
        <v>46249</v>
      </c>
      <c r="D1242" s="10" t="n">
        <v>1672</v>
      </c>
      <c r="E1242" s="12" t="s">
        <v>59</v>
      </c>
      <c r="F1242" s="10" t="n">
        <v>24</v>
      </c>
      <c r="G1242" s="12" t="s">
        <v>31</v>
      </c>
      <c r="H1242" s="10" t="n">
        <v>1110202</v>
      </c>
      <c r="I1242" s="12" t="s">
        <v>90</v>
      </c>
      <c r="J1242" s="10" t="n">
        <v>1495575</v>
      </c>
      <c r="L1242" s="10" t="n">
        <v>1408028</v>
      </c>
      <c r="M1242" s="12" t="s">
        <v>33</v>
      </c>
      <c r="N1242" s="12" t="s">
        <v>66</v>
      </c>
      <c r="P1242" s="10" t="n">
        <v>103</v>
      </c>
      <c r="Q1242" s="12" t="s">
        <v>35</v>
      </c>
      <c r="R1242" s="12" t="s">
        <v>36</v>
      </c>
      <c r="S1242" s="10" t="n">
        <v>1130101</v>
      </c>
      <c r="T1242" s="12" t="s">
        <v>37</v>
      </c>
      <c r="U1242" s="13" t="n">
        <v>2781.8</v>
      </c>
      <c r="W1242" s="13" t="n">
        <v>0</v>
      </c>
      <c r="X1242" s="12" t="s">
        <v>1521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46234</v>
      </c>
      <c r="C1243" s="11" t="n">
        <v>46249</v>
      </c>
      <c r="D1243" s="10" t="n">
        <v>513</v>
      </c>
      <c r="E1243" s="12" t="s">
        <v>787</v>
      </c>
      <c r="F1243" s="10" t="n">
        <v>24</v>
      </c>
      <c r="G1243" s="12" t="s">
        <v>31</v>
      </c>
      <c r="H1243" s="10" t="n">
        <v>1110202</v>
      </c>
      <c r="I1243" s="12" t="s">
        <v>90</v>
      </c>
      <c r="J1243" s="10" t="n">
        <v>1478026</v>
      </c>
      <c r="L1243" s="10" t="n">
        <v>607111</v>
      </c>
      <c r="M1243" s="12" t="s">
        <v>33</v>
      </c>
      <c r="N1243" s="12" t="s">
        <v>66</v>
      </c>
      <c r="P1243" s="10" t="n">
        <v>101</v>
      </c>
      <c r="Q1243" s="12" t="s">
        <v>84</v>
      </c>
      <c r="R1243" s="12" t="s">
        <v>121</v>
      </c>
      <c r="S1243" s="10" t="n">
        <v>4210315</v>
      </c>
      <c r="T1243" s="12" t="s">
        <v>708</v>
      </c>
      <c r="U1243" s="13" t="n">
        <v>179.32</v>
      </c>
      <c r="W1243" s="13" t="n">
        <v>0</v>
      </c>
      <c r="X1243" s="12" t="s">
        <v>1522</v>
      </c>
      <c r="Z1243" s="1" t="str">
        <f aca="false">IF($T1243="","",IFERROR(INDEX('Resumo Grupos'!$AC$3:$AC$200,MATCH($T1243,'Resumo Grupos'!$AB$3:$AB$200,0)),"n/d"))</f>
        <v>Despesa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46097</v>
      </c>
      <c r="C1244" s="11" t="n">
        <v>46249</v>
      </c>
      <c r="D1244" s="10" t="n">
        <v>17</v>
      </c>
      <c r="E1244" s="12" t="s">
        <v>268</v>
      </c>
      <c r="F1244" s="10" t="n">
        <v>24</v>
      </c>
      <c r="G1244" s="12" t="s">
        <v>31</v>
      </c>
      <c r="H1244" s="10" t="n">
        <v>2110405</v>
      </c>
      <c r="I1244" s="12" t="s">
        <v>153</v>
      </c>
      <c r="J1244" s="10" t="n">
        <v>809413</v>
      </c>
      <c r="L1244" s="10" t="n">
        <v>2115476</v>
      </c>
      <c r="M1244" s="12" t="s">
        <v>116</v>
      </c>
      <c r="N1244" s="12" t="s">
        <v>66</v>
      </c>
      <c r="P1244" s="10" t="n">
        <v>101</v>
      </c>
      <c r="Q1244" s="12" t="s">
        <v>84</v>
      </c>
      <c r="R1244" s="12" t="s">
        <v>91</v>
      </c>
      <c r="S1244" s="10" t="n">
        <v>4220199</v>
      </c>
      <c r="T1244" s="12" t="s">
        <v>92</v>
      </c>
      <c r="U1244" s="13" t="n">
        <v>102.14</v>
      </c>
      <c r="W1244" s="13" t="n">
        <v>0</v>
      </c>
      <c r="X1244" s="12" t="s">
        <v>789</v>
      </c>
      <c r="Z1244" s="1" t="str">
        <f aca="false">IF($T1244="","",IFERROR(INDEX('Resumo Grupos'!$AC$3:$AC$200,MATCH($T1244,'Resumo Grupos'!$AB$3:$AB$200,0)),"n/d"))</f>
        <v>Pagamentos outros não operacionais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46097</v>
      </c>
      <c r="C1245" s="11" t="n">
        <v>46249</v>
      </c>
      <c r="D1245" s="10" t="n">
        <v>1867</v>
      </c>
      <c r="E1245" s="12" t="s">
        <v>791</v>
      </c>
      <c r="F1245" s="10" t="n">
        <v>24</v>
      </c>
      <c r="G1245" s="12" t="s">
        <v>31</v>
      </c>
      <c r="H1245" s="10" t="n">
        <v>2110405</v>
      </c>
      <c r="I1245" s="12" t="s">
        <v>153</v>
      </c>
      <c r="J1245" s="10" t="n">
        <v>809298</v>
      </c>
      <c r="L1245" s="10" t="n">
        <v>100914</v>
      </c>
      <c r="M1245" s="12" t="s">
        <v>116</v>
      </c>
      <c r="N1245" s="12" t="s">
        <v>66</v>
      </c>
      <c r="P1245" s="10" t="n">
        <v>101</v>
      </c>
      <c r="Q1245" s="12" t="s">
        <v>84</v>
      </c>
      <c r="R1245" s="12" t="s">
        <v>792</v>
      </c>
      <c r="S1245" s="10" t="n">
        <v>4210401</v>
      </c>
      <c r="T1245" s="12" t="s">
        <v>793</v>
      </c>
      <c r="U1245" s="13" t="n">
        <v>134.55</v>
      </c>
      <c r="W1245" s="13" t="n">
        <v>0</v>
      </c>
      <c r="X1245" s="12" t="s">
        <v>1523</v>
      </c>
      <c r="Z1245" s="1" t="str">
        <f aca="false">IF($T1245="","",IFERROR(INDEX('Resumo Grupos'!$AC$3:$AC$200,MATCH($T1245,'Resumo Grupos'!$AB$3:$AB$200,0)),"n/d"))</f>
        <v>Impostos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46097</v>
      </c>
      <c r="C1246" s="11" t="n">
        <v>46249</v>
      </c>
      <c r="D1246" s="10" t="n">
        <v>1867</v>
      </c>
      <c r="E1246" s="12" t="s">
        <v>791</v>
      </c>
      <c r="F1246" s="10" t="n">
        <v>24</v>
      </c>
      <c r="G1246" s="12" t="s">
        <v>31</v>
      </c>
      <c r="H1246" s="10" t="n">
        <v>2110405</v>
      </c>
      <c r="I1246" s="12" t="s">
        <v>153</v>
      </c>
      <c r="J1246" s="10" t="n">
        <v>809315</v>
      </c>
      <c r="L1246" s="10" t="n">
        <v>100910</v>
      </c>
      <c r="M1246" s="12" t="s">
        <v>116</v>
      </c>
      <c r="N1246" s="12" t="s">
        <v>66</v>
      </c>
      <c r="P1246" s="10" t="n">
        <v>101</v>
      </c>
      <c r="Q1246" s="12" t="s">
        <v>84</v>
      </c>
      <c r="R1246" s="12" t="s">
        <v>792</v>
      </c>
      <c r="S1246" s="10" t="n">
        <v>4210401</v>
      </c>
      <c r="T1246" s="12" t="s">
        <v>793</v>
      </c>
      <c r="U1246" s="13" t="n">
        <v>185.89</v>
      </c>
      <c r="W1246" s="13" t="n">
        <v>0</v>
      </c>
      <c r="X1246" s="12" t="s">
        <v>1524</v>
      </c>
      <c r="Z1246" s="1" t="str">
        <f aca="false">IF($T1246="","",IFERROR(INDEX('Resumo Grupos'!$AC$3:$AC$200,MATCH($T1246,'Resumo Grupos'!$AB$3:$AB$200,0)),"n/d"))</f>
        <v>Impostos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46142</v>
      </c>
      <c r="C1247" s="11" t="n">
        <v>46249</v>
      </c>
      <c r="D1247" s="10" t="n">
        <v>607</v>
      </c>
      <c r="E1247" s="12" t="s">
        <v>81</v>
      </c>
      <c r="F1247" s="10" t="n">
        <v>24</v>
      </c>
      <c r="G1247" s="12" t="s">
        <v>31</v>
      </c>
      <c r="H1247" s="10" t="n">
        <v>2110101</v>
      </c>
      <c r="I1247" s="12" t="s">
        <v>32</v>
      </c>
      <c r="J1247" s="10" t="n">
        <v>1028242</v>
      </c>
      <c r="L1247" s="10" t="n">
        <v>10262</v>
      </c>
      <c r="M1247" s="12" t="s">
        <v>1525</v>
      </c>
      <c r="N1247" s="12" t="s">
        <v>34</v>
      </c>
      <c r="P1247" s="10" t="n">
        <v>103</v>
      </c>
      <c r="Q1247" s="12" t="s">
        <v>35</v>
      </c>
      <c r="R1247" s="12" t="s">
        <v>36</v>
      </c>
      <c r="S1247" s="10" t="n">
        <v>1130101</v>
      </c>
      <c r="T1247" s="12" t="s">
        <v>37</v>
      </c>
      <c r="U1247" s="13" t="n">
        <v>1488.41</v>
      </c>
      <c r="W1247" s="13" t="n">
        <v>0</v>
      </c>
      <c r="X1247" s="12" t="s">
        <v>1526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46196</v>
      </c>
      <c r="C1248" s="11" t="n">
        <v>46250</v>
      </c>
      <c r="D1248" s="10" t="n">
        <v>1611</v>
      </c>
      <c r="E1248" s="12" t="s">
        <v>476</v>
      </c>
      <c r="F1248" s="10" t="n">
        <v>24</v>
      </c>
      <c r="G1248" s="12" t="s">
        <v>31</v>
      </c>
      <c r="H1248" s="10" t="n">
        <v>2110101</v>
      </c>
      <c r="I1248" s="12" t="s">
        <v>32</v>
      </c>
      <c r="J1248" s="10" t="n">
        <v>1294640</v>
      </c>
      <c r="L1248" s="10" t="n">
        <v>536311</v>
      </c>
      <c r="M1248" s="12" t="s">
        <v>40</v>
      </c>
      <c r="N1248" s="12" t="s">
        <v>66</v>
      </c>
      <c r="P1248" s="10" t="n">
        <v>103</v>
      </c>
      <c r="Q1248" s="12" t="s">
        <v>35</v>
      </c>
      <c r="R1248" s="12" t="s">
        <v>36</v>
      </c>
      <c r="S1248" s="10" t="n">
        <v>1130101</v>
      </c>
      <c r="T1248" s="12" t="s">
        <v>37</v>
      </c>
      <c r="U1248" s="13" t="n">
        <v>3224.65</v>
      </c>
      <c r="W1248" s="13" t="n">
        <v>0</v>
      </c>
      <c r="X1248" s="12" t="s">
        <v>1527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46226</v>
      </c>
      <c r="C1249" s="11" t="n">
        <v>46250</v>
      </c>
      <c r="D1249" s="10" t="n">
        <v>10011</v>
      </c>
      <c r="E1249" s="12" t="s">
        <v>78</v>
      </c>
      <c r="F1249" s="10" t="n">
        <v>24</v>
      </c>
      <c r="G1249" s="12" t="s">
        <v>31</v>
      </c>
      <c r="H1249" s="10" t="n">
        <v>1110202</v>
      </c>
      <c r="I1249" s="12" t="s">
        <v>90</v>
      </c>
      <c r="J1249" s="10" t="n">
        <v>1440273</v>
      </c>
      <c r="L1249" s="10" t="n">
        <v>592643</v>
      </c>
      <c r="M1249" s="12" t="s">
        <v>33</v>
      </c>
      <c r="N1249" s="12" t="s">
        <v>66</v>
      </c>
      <c r="P1249" s="10" t="n">
        <v>104</v>
      </c>
      <c r="Q1249" s="12" t="s">
        <v>50</v>
      </c>
      <c r="R1249" s="12" t="s">
        <v>36</v>
      </c>
      <c r="S1249" s="10" t="n">
        <v>1130101</v>
      </c>
      <c r="T1249" s="12" t="s">
        <v>37</v>
      </c>
      <c r="U1249" s="13" t="n">
        <v>562.94</v>
      </c>
      <c r="W1249" s="13" t="n">
        <v>0</v>
      </c>
      <c r="X1249" s="12" t="s">
        <v>1528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46230</v>
      </c>
      <c r="C1250" s="11" t="n">
        <v>46251</v>
      </c>
      <c r="D1250" s="10" t="n">
        <v>1634</v>
      </c>
      <c r="E1250" s="12" t="s">
        <v>1529</v>
      </c>
      <c r="F1250" s="10" t="n">
        <v>24</v>
      </c>
      <c r="G1250" s="12" t="s">
        <v>31</v>
      </c>
      <c r="H1250" s="10" t="n">
        <v>1110202</v>
      </c>
      <c r="I1250" s="12" t="s">
        <v>90</v>
      </c>
      <c r="J1250" s="10" t="n">
        <v>1460028</v>
      </c>
      <c r="L1250" s="10" t="n">
        <v>329028</v>
      </c>
      <c r="M1250" s="12" t="s">
        <v>33</v>
      </c>
      <c r="N1250" s="12" t="s">
        <v>66</v>
      </c>
      <c r="P1250" s="10" t="n">
        <v>103</v>
      </c>
      <c r="Q1250" s="12" t="s">
        <v>35</v>
      </c>
      <c r="R1250" s="12" t="s">
        <v>36</v>
      </c>
      <c r="S1250" s="10" t="n">
        <v>1130101</v>
      </c>
      <c r="T1250" s="12" t="s">
        <v>37</v>
      </c>
      <c r="U1250" s="13" t="n">
        <v>810.35</v>
      </c>
      <c r="W1250" s="13" t="n">
        <v>0</v>
      </c>
      <c r="X1250" s="12" t="s">
        <v>1530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46234</v>
      </c>
      <c r="C1251" s="11" t="n">
        <v>46251</v>
      </c>
      <c r="D1251" s="10" t="n">
        <v>1699</v>
      </c>
      <c r="E1251" s="12" t="s">
        <v>124</v>
      </c>
      <c r="F1251" s="10" t="n">
        <v>24</v>
      </c>
      <c r="G1251" s="12" t="s">
        <v>31</v>
      </c>
      <c r="H1251" s="10" t="n">
        <v>1110202</v>
      </c>
      <c r="I1251" s="12" t="s">
        <v>90</v>
      </c>
      <c r="J1251" s="10" t="n">
        <v>1478171</v>
      </c>
      <c r="L1251" s="10" t="n">
        <v>309642</v>
      </c>
      <c r="M1251" s="12" t="s">
        <v>33</v>
      </c>
      <c r="N1251" s="12" t="s">
        <v>66</v>
      </c>
      <c r="P1251" s="10" t="n">
        <v>103</v>
      </c>
      <c r="Q1251" s="12" t="s">
        <v>35</v>
      </c>
      <c r="R1251" s="12" t="s">
        <v>36</v>
      </c>
      <c r="S1251" s="10" t="n">
        <v>1130101</v>
      </c>
      <c r="T1251" s="12" t="s">
        <v>37</v>
      </c>
      <c r="U1251" s="13" t="n">
        <v>1633.1</v>
      </c>
      <c r="W1251" s="13" t="n">
        <v>0</v>
      </c>
      <c r="X1251" s="12" t="s">
        <v>1531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46237</v>
      </c>
      <c r="C1252" s="11" t="n">
        <v>46251</v>
      </c>
      <c r="D1252" s="10" t="n">
        <v>1699</v>
      </c>
      <c r="E1252" s="12" t="s">
        <v>124</v>
      </c>
      <c r="F1252" s="10" t="n">
        <v>24</v>
      </c>
      <c r="G1252" s="12" t="s">
        <v>31</v>
      </c>
      <c r="H1252" s="10" t="n">
        <v>1110202</v>
      </c>
      <c r="I1252" s="12" t="s">
        <v>90</v>
      </c>
      <c r="J1252" s="10" t="n">
        <v>1495640</v>
      </c>
      <c r="L1252" s="10" t="n">
        <v>309757</v>
      </c>
      <c r="M1252" s="12" t="s">
        <v>33</v>
      </c>
      <c r="N1252" s="12" t="s">
        <v>66</v>
      </c>
      <c r="P1252" s="10" t="n">
        <v>103</v>
      </c>
      <c r="Q1252" s="12" t="s">
        <v>35</v>
      </c>
      <c r="R1252" s="12" t="s">
        <v>36</v>
      </c>
      <c r="S1252" s="10" t="n">
        <v>1130101</v>
      </c>
      <c r="T1252" s="12" t="s">
        <v>37</v>
      </c>
      <c r="U1252" s="13" t="n">
        <v>403.5</v>
      </c>
      <c r="W1252" s="13" t="n">
        <v>0</v>
      </c>
      <c r="X1252" s="12" t="s">
        <v>1532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46232</v>
      </c>
      <c r="C1253" s="11" t="n">
        <v>46251</v>
      </c>
      <c r="D1253" s="10" t="n">
        <v>1810</v>
      </c>
      <c r="E1253" s="12" t="s">
        <v>1297</v>
      </c>
      <c r="F1253" s="10" t="n">
        <v>24</v>
      </c>
      <c r="G1253" s="12" t="s">
        <v>31</v>
      </c>
      <c r="H1253" s="10" t="n">
        <v>1110202</v>
      </c>
      <c r="I1253" s="12" t="s">
        <v>90</v>
      </c>
      <c r="J1253" s="10" t="n">
        <v>1469179</v>
      </c>
      <c r="L1253" s="10" t="n">
        <v>85346</v>
      </c>
      <c r="M1253" s="12" t="s">
        <v>76</v>
      </c>
      <c r="N1253" s="12" t="s">
        <v>66</v>
      </c>
      <c r="P1253" s="10" t="n">
        <v>103</v>
      </c>
      <c r="Q1253" s="12" t="s">
        <v>35</v>
      </c>
      <c r="R1253" s="12" t="s">
        <v>36</v>
      </c>
      <c r="S1253" s="10" t="n">
        <v>1130101</v>
      </c>
      <c r="T1253" s="12" t="s">
        <v>37</v>
      </c>
      <c r="U1253" s="13" t="n">
        <v>1164.5</v>
      </c>
      <c r="W1253" s="13" t="n">
        <v>0</v>
      </c>
      <c r="X1253" s="12" t="s">
        <v>1533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46224</v>
      </c>
      <c r="C1254" s="11" t="n">
        <v>46251</v>
      </c>
      <c r="D1254" s="10" t="n">
        <v>1740</v>
      </c>
      <c r="E1254" s="12" t="s">
        <v>312</v>
      </c>
      <c r="F1254" s="10" t="n">
        <v>24</v>
      </c>
      <c r="G1254" s="12" t="s">
        <v>31</v>
      </c>
      <c r="H1254" s="10" t="n">
        <v>1110202</v>
      </c>
      <c r="I1254" s="12" t="s">
        <v>90</v>
      </c>
      <c r="J1254" s="10" t="n">
        <v>1431693</v>
      </c>
      <c r="L1254" s="10" t="n">
        <v>1249231</v>
      </c>
      <c r="M1254" s="12" t="s">
        <v>40</v>
      </c>
      <c r="N1254" s="12" t="s">
        <v>66</v>
      </c>
      <c r="P1254" s="10" t="n">
        <v>103</v>
      </c>
      <c r="Q1254" s="12" t="s">
        <v>35</v>
      </c>
      <c r="R1254" s="12" t="s">
        <v>36</v>
      </c>
      <c r="S1254" s="10" t="n">
        <v>1130101</v>
      </c>
      <c r="T1254" s="12" t="s">
        <v>37</v>
      </c>
      <c r="U1254" s="13" t="n">
        <v>2044.89</v>
      </c>
      <c r="W1254" s="13" t="n">
        <v>0</v>
      </c>
      <c r="X1254" s="12" t="s">
        <v>1534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46218</v>
      </c>
      <c r="C1255" s="11" t="n">
        <v>46251</v>
      </c>
      <c r="D1255" s="10" t="n">
        <v>10011</v>
      </c>
      <c r="E1255" s="12" t="s">
        <v>78</v>
      </c>
      <c r="F1255" s="10" t="n">
        <v>24</v>
      </c>
      <c r="G1255" s="12" t="s">
        <v>31</v>
      </c>
      <c r="H1255" s="10" t="n">
        <v>1110202</v>
      </c>
      <c r="I1255" s="12" t="s">
        <v>90</v>
      </c>
      <c r="J1255" s="10" t="n">
        <v>1401989</v>
      </c>
      <c r="L1255" s="10" t="n">
        <v>34663</v>
      </c>
      <c r="M1255" s="12" t="s">
        <v>76</v>
      </c>
      <c r="N1255" s="12" t="s">
        <v>66</v>
      </c>
      <c r="P1255" s="10" t="n">
        <v>103</v>
      </c>
      <c r="Q1255" s="12" t="s">
        <v>35</v>
      </c>
      <c r="R1255" s="12" t="s">
        <v>36</v>
      </c>
      <c r="S1255" s="10" t="n">
        <v>1130101</v>
      </c>
      <c r="T1255" s="12" t="s">
        <v>37</v>
      </c>
      <c r="U1255" s="13" t="n">
        <v>2006</v>
      </c>
      <c r="W1255" s="13" t="n">
        <v>0</v>
      </c>
      <c r="X1255" s="12" t="s">
        <v>1535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46224</v>
      </c>
      <c r="C1256" s="11" t="n">
        <v>46251</v>
      </c>
      <c r="D1256" s="10" t="n">
        <v>607</v>
      </c>
      <c r="E1256" s="12" t="s">
        <v>81</v>
      </c>
      <c r="F1256" s="10" t="n">
        <v>24</v>
      </c>
      <c r="G1256" s="12" t="s">
        <v>31</v>
      </c>
      <c r="H1256" s="10" t="n">
        <v>1110202</v>
      </c>
      <c r="I1256" s="12" t="s">
        <v>90</v>
      </c>
      <c r="J1256" s="10" t="n">
        <v>1429152</v>
      </c>
      <c r="L1256" s="10" t="n">
        <v>11134</v>
      </c>
      <c r="M1256" s="12" t="s">
        <v>33</v>
      </c>
      <c r="N1256" s="12" t="s">
        <v>66</v>
      </c>
      <c r="P1256" s="10" t="n">
        <v>103</v>
      </c>
      <c r="Q1256" s="12" t="s">
        <v>35</v>
      </c>
      <c r="R1256" s="12" t="s">
        <v>36</v>
      </c>
      <c r="S1256" s="10" t="n">
        <v>1130101</v>
      </c>
      <c r="T1256" s="12" t="s">
        <v>37</v>
      </c>
      <c r="U1256" s="13" t="n">
        <v>911.85</v>
      </c>
      <c r="W1256" s="13" t="n">
        <v>0</v>
      </c>
      <c r="X1256" s="12" t="s">
        <v>1536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46237</v>
      </c>
      <c r="C1257" s="11" t="n">
        <v>46251</v>
      </c>
      <c r="D1257" s="10" t="n">
        <v>815</v>
      </c>
      <c r="E1257" s="12" t="s">
        <v>136</v>
      </c>
      <c r="F1257" s="10" t="n">
        <v>34</v>
      </c>
      <c r="G1257" s="12" t="s">
        <v>49</v>
      </c>
      <c r="H1257" s="10" t="n">
        <v>1110202</v>
      </c>
      <c r="I1257" s="12" t="s">
        <v>90</v>
      </c>
      <c r="J1257" s="10" t="n">
        <v>1493520</v>
      </c>
      <c r="L1257" s="10" t="n">
        <v>612910</v>
      </c>
      <c r="M1257" s="12" t="s">
        <v>33</v>
      </c>
      <c r="N1257" s="12" t="s">
        <v>66</v>
      </c>
      <c r="P1257" s="10" t="n">
        <v>101</v>
      </c>
      <c r="Q1257" s="12" t="s">
        <v>84</v>
      </c>
      <c r="R1257" s="12" t="s">
        <v>1507</v>
      </c>
      <c r="S1257" s="10" t="n">
        <v>2210202</v>
      </c>
      <c r="T1257" s="12" t="s">
        <v>1507</v>
      </c>
      <c r="U1257" s="13" t="n">
        <v>6000</v>
      </c>
      <c r="W1257" s="13" t="n">
        <v>0</v>
      </c>
      <c r="X1257" s="12" t="s">
        <v>870</v>
      </c>
      <c r="Z1257" s="1" t="str">
        <f aca="false">IF($T1257="","",IFERROR(INDEX('Resumo Grupos'!$AC$3:$AC$200,MATCH($T1257,'Resumo Grupos'!$AB$3:$AB$200,0)),"n/d"))</f>
        <v>Empréstimo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46219</v>
      </c>
      <c r="C1258" s="11" t="n">
        <v>46252</v>
      </c>
      <c r="D1258" s="10" t="n">
        <v>1637</v>
      </c>
      <c r="E1258" s="12" t="s">
        <v>97</v>
      </c>
      <c r="F1258" s="10" t="n">
        <v>24</v>
      </c>
      <c r="G1258" s="12" t="s">
        <v>31</v>
      </c>
      <c r="H1258" s="10" t="n">
        <v>1110202</v>
      </c>
      <c r="I1258" s="12" t="s">
        <v>90</v>
      </c>
      <c r="J1258" s="10" t="n">
        <v>1406521</v>
      </c>
      <c r="L1258" s="10" t="n">
        <v>1905836</v>
      </c>
      <c r="M1258" s="12" t="s">
        <v>33</v>
      </c>
      <c r="N1258" s="12" t="s">
        <v>66</v>
      </c>
      <c r="P1258" s="10" t="n">
        <v>103</v>
      </c>
      <c r="Q1258" s="12" t="s">
        <v>35</v>
      </c>
      <c r="R1258" s="12" t="s">
        <v>36</v>
      </c>
      <c r="S1258" s="10" t="n">
        <v>1130101</v>
      </c>
      <c r="T1258" s="12" t="s">
        <v>37</v>
      </c>
      <c r="U1258" s="13" t="n">
        <v>479.64</v>
      </c>
      <c r="W1258" s="13" t="n">
        <v>0</v>
      </c>
      <c r="X1258" s="12" t="s">
        <v>1537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46237</v>
      </c>
      <c r="C1259" s="11" t="n">
        <v>46252</v>
      </c>
      <c r="D1259" s="10" t="n">
        <v>1705</v>
      </c>
      <c r="E1259" s="12" t="s">
        <v>46</v>
      </c>
      <c r="F1259" s="10" t="n">
        <v>24</v>
      </c>
      <c r="G1259" s="12" t="s">
        <v>31</v>
      </c>
      <c r="H1259" s="10" t="n">
        <v>1110202</v>
      </c>
      <c r="I1259" s="12" t="s">
        <v>90</v>
      </c>
      <c r="J1259" s="10" t="n">
        <v>1495590</v>
      </c>
      <c r="L1259" s="10" t="n">
        <v>1966628</v>
      </c>
      <c r="M1259" s="12" t="s">
        <v>33</v>
      </c>
      <c r="N1259" s="12" t="s">
        <v>66</v>
      </c>
      <c r="P1259" s="10" t="n">
        <v>103</v>
      </c>
      <c r="Q1259" s="12" t="s">
        <v>35</v>
      </c>
      <c r="R1259" s="12" t="s">
        <v>36</v>
      </c>
      <c r="S1259" s="10" t="n">
        <v>1130101</v>
      </c>
      <c r="T1259" s="12" t="s">
        <v>37</v>
      </c>
      <c r="U1259" s="13" t="n">
        <v>4547.54</v>
      </c>
      <c r="W1259" s="13" t="n">
        <v>0</v>
      </c>
      <c r="X1259" s="12" t="s">
        <v>1538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46237</v>
      </c>
      <c r="C1260" s="11" t="n">
        <v>46252</v>
      </c>
      <c r="D1260" s="10" t="n">
        <v>1705</v>
      </c>
      <c r="E1260" s="12" t="s">
        <v>46</v>
      </c>
      <c r="F1260" s="10" t="n">
        <v>24</v>
      </c>
      <c r="G1260" s="12" t="s">
        <v>31</v>
      </c>
      <c r="H1260" s="10" t="n">
        <v>1110202</v>
      </c>
      <c r="I1260" s="12" t="s">
        <v>90</v>
      </c>
      <c r="J1260" s="10" t="n">
        <v>1495603</v>
      </c>
      <c r="L1260" s="10" t="n">
        <v>1230481</v>
      </c>
      <c r="M1260" s="12" t="s">
        <v>33</v>
      </c>
      <c r="N1260" s="12" t="s">
        <v>66</v>
      </c>
      <c r="P1260" s="10" t="n">
        <v>103</v>
      </c>
      <c r="Q1260" s="12" t="s">
        <v>35</v>
      </c>
      <c r="R1260" s="12" t="s">
        <v>36</v>
      </c>
      <c r="S1260" s="10" t="n">
        <v>1130101</v>
      </c>
      <c r="T1260" s="12" t="s">
        <v>37</v>
      </c>
      <c r="U1260" s="13" t="n">
        <v>1736.36</v>
      </c>
      <c r="W1260" s="13" t="n">
        <v>0</v>
      </c>
      <c r="X1260" s="12" t="s">
        <v>1539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46226</v>
      </c>
      <c r="C1261" s="11" t="n">
        <v>46252</v>
      </c>
      <c r="D1261" s="10" t="n">
        <v>1608</v>
      </c>
      <c r="E1261" s="12" t="s">
        <v>52</v>
      </c>
      <c r="F1261" s="10" t="n">
        <v>24</v>
      </c>
      <c r="G1261" s="12" t="s">
        <v>31</v>
      </c>
      <c r="H1261" s="10" t="n">
        <v>1110202</v>
      </c>
      <c r="I1261" s="12" t="s">
        <v>90</v>
      </c>
      <c r="J1261" s="10" t="n">
        <v>1439646</v>
      </c>
      <c r="L1261" s="10" t="n">
        <v>592474</v>
      </c>
      <c r="M1261" s="12" t="s">
        <v>33</v>
      </c>
      <c r="N1261" s="12" t="s">
        <v>66</v>
      </c>
      <c r="P1261" s="10" t="n">
        <v>104</v>
      </c>
      <c r="Q1261" s="12" t="s">
        <v>50</v>
      </c>
      <c r="R1261" s="12" t="s">
        <v>36</v>
      </c>
      <c r="S1261" s="10" t="n">
        <v>1130101</v>
      </c>
      <c r="T1261" s="12" t="s">
        <v>37</v>
      </c>
      <c r="U1261" s="13" t="n">
        <v>1610.06</v>
      </c>
      <c r="W1261" s="13" t="n">
        <v>0</v>
      </c>
      <c r="X1261" s="12" t="s">
        <v>1540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46232</v>
      </c>
      <c r="C1262" s="11" t="n">
        <v>46252</v>
      </c>
      <c r="D1262" s="10" t="n">
        <v>1636</v>
      </c>
      <c r="E1262" s="12" t="s">
        <v>290</v>
      </c>
      <c r="F1262" s="10" t="n">
        <v>24</v>
      </c>
      <c r="G1262" s="12" t="s">
        <v>31</v>
      </c>
      <c r="H1262" s="10" t="n">
        <v>1110202</v>
      </c>
      <c r="I1262" s="12" t="s">
        <v>90</v>
      </c>
      <c r="J1262" s="10" t="n">
        <v>1469726</v>
      </c>
      <c r="L1262" s="10" t="n">
        <v>3226195</v>
      </c>
      <c r="M1262" s="12" t="s">
        <v>33</v>
      </c>
      <c r="N1262" s="12" t="s">
        <v>66</v>
      </c>
      <c r="P1262" s="10" t="n">
        <v>103</v>
      </c>
      <c r="Q1262" s="12" t="s">
        <v>35</v>
      </c>
      <c r="R1262" s="12" t="s">
        <v>36</v>
      </c>
      <c r="S1262" s="10" t="n">
        <v>1130101</v>
      </c>
      <c r="T1262" s="12" t="s">
        <v>37</v>
      </c>
      <c r="U1262" s="13" t="n">
        <v>1399.98</v>
      </c>
      <c r="W1262" s="13" t="n">
        <v>0</v>
      </c>
      <c r="X1262" s="12" t="s">
        <v>1541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46226</v>
      </c>
      <c r="C1263" s="11" t="n">
        <v>46252</v>
      </c>
      <c r="D1263" s="10" t="n">
        <v>1078</v>
      </c>
      <c r="E1263" s="12" t="s">
        <v>263</v>
      </c>
      <c r="F1263" s="10" t="n">
        <v>24</v>
      </c>
      <c r="G1263" s="12" t="s">
        <v>31</v>
      </c>
      <c r="H1263" s="10" t="n">
        <v>1110202</v>
      </c>
      <c r="I1263" s="12" t="s">
        <v>90</v>
      </c>
      <c r="J1263" s="10" t="n">
        <v>1439355</v>
      </c>
      <c r="L1263" s="10" t="n">
        <v>29536</v>
      </c>
      <c r="M1263" s="12" t="s">
        <v>33</v>
      </c>
      <c r="N1263" s="12" t="s">
        <v>66</v>
      </c>
      <c r="P1263" s="10" t="n">
        <v>103</v>
      </c>
      <c r="Q1263" s="12" t="s">
        <v>35</v>
      </c>
      <c r="R1263" s="12" t="s">
        <v>36</v>
      </c>
      <c r="S1263" s="10" t="n">
        <v>1130101</v>
      </c>
      <c r="T1263" s="12" t="s">
        <v>37</v>
      </c>
      <c r="U1263" s="13" t="n">
        <v>425.94</v>
      </c>
      <c r="W1263" s="13" t="n">
        <v>0</v>
      </c>
      <c r="X1263" s="12" t="s">
        <v>1542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46226</v>
      </c>
      <c r="C1264" s="11" t="n">
        <v>46252</v>
      </c>
      <c r="D1264" s="10" t="n">
        <v>1668</v>
      </c>
      <c r="E1264" s="12" t="s">
        <v>263</v>
      </c>
      <c r="F1264" s="10" t="n">
        <v>24</v>
      </c>
      <c r="G1264" s="12" t="s">
        <v>31</v>
      </c>
      <c r="H1264" s="10" t="n">
        <v>1110202</v>
      </c>
      <c r="I1264" s="12" t="s">
        <v>90</v>
      </c>
      <c r="J1264" s="10" t="n">
        <v>1440125</v>
      </c>
      <c r="L1264" s="10" t="n">
        <v>740923</v>
      </c>
      <c r="M1264" s="12" t="s">
        <v>33</v>
      </c>
      <c r="N1264" s="12" t="s">
        <v>66</v>
      </c>
      <c r="P1264" s="10" t="n">
        <v>103</v>
      </c>
      <c r="Q1264" s="12" t="s">
        <v>35</v>
      </c>
      <c r="R1264" s="12" t="s">
        <v>36</v>
      </c>
      <c r="S1264" s="10" t="n">
        <v>1130101</v>
      </c>
      <c r="T1264" s="12" t="s">
        <v>37</v>
      </c>
      <c r="U1264" s="13" t="n">
        <v>1437.93</v>
      </c>
      <c r="W1264" s="13" t="n">
        <v>0</v>
      </c>
      <c r="X1264" s="12" t="s">
        <v>1543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46252</v>
      </c>
      <c r="D1265" s="10" t="n">
        <v>804</v>
      </c>
      <c r="E1265" s="12" t="s">
        <v>360</v>
      </c>
      <c r="F1265" s="10" t="n">
        <v>34</v>
      </c>
      <c r="G1265" s="12" t="s">
        <v>49</v>
      </c>
      <c r="H1265" s="10" t="n">
        <v>1110202</v>
      </c>
      <c r="I1265" s="12" t="s">
        <v>90</v>
      </c>
      <c r="J1265" s="10" t="n">
        <v>1345479</v>
      </c>
      <c r="L1265" s="10" t="n">
        <v>555726</v>
      </c>
      <c r="M1265" s="12" t="s">
        <v>76</v>
      </c>
      <c r="N1265" s="12" t="s">
        <v>66</v>
      </c>
      <c r="P1265" s="10" t="n">
        <v>101</v>
      </c>
      <c r="Q1265" s="12" t="s">
        <v>84</v>
      </c>
      <c r="R1265" s="12" t="s">
        <v>94</v>
      </c>
      <c r="S1265" s="10" t="n">
        <v>4210203</v>
      </c>
      <c r="T1265" s="12" t="s">
        <v>362</v>
      </c>
      <c r="U1265" s="13" t="n">
        <v>764.43</v>
      </c>
      <c r="W1265" s="13" t="n">
        <v>0</v>
      </c>
      <c r="X1265" s="12" t="s">
        <v>884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46252</v>
      </c>
      <c r="D1266" s="10" t="n">
        <v>804</v>
      </c>
      <c r="E1266" s="12" t="s">
        <v>360</v>
      </c>
      <c r="F1266" s="10" t="n">
        <v>34</v>
      </c>
      <c r="G1266" s="12" t="s">
        <v>49</v>
      </c>
      <c r="H1266" s="10" t="n">
        <v>1110202</v>
      </c>
      <c r="I1266" s="12" t="s">
        <v>90</v>
      </c>
      <c r="J1266" s="10" t="n">
        <v>1345494</v>
      </c>
      <c r="L1266" s="10" t="n">
        <v>555731</v>
      </c>
      <c r="M1266" s="12" t="s">
        <v>76</v>
      </c>
      <c r="N1266" s="12" t="s">
        <v>66</v>
      </c>
      <c r="P1266" s="10" t="n">
        <v>101</v>
      </c>
      <c r="Q1266" s="12" t="s">
        <v>84</v>
      </c>
      <c r="R1266" s="12" t="s">
        <v>91</v>
      </c>
      <c r="S1266" s="10" t="n">
        <v>4220199</v>
      </c>
      <c r="T1266" s="12" t="s">
        <v>92</v>
      </c>
      <c r="U1266" s="13" t="n">
        <v>1621</v>
      </c>
      <c r="W1266" s="13" t="n">
        <v>0</v>
      </c>
      <c r="X1266" s="12" t="s">
        <v>885</v>
      </c>
      <c r="Z1266" s="1" t="str">
        <f aca="false">IF($T1266="","",IFERROR(INDEX('Resumo Grupos'!$AC$3:$AC$200,MATCH($T1266,'Resumo Grupos'!$AB$3:$AB$200,0)),"n/d"))</f>
        <v>Pagamentos outros não operacionais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46216</v>
      </c>
      <c r="C1267" s="11" t="n">
        <v>46252</v>
      </c>
      <c r="D1267" s="10" t="n">
        <v>1624</v>
      </c>
      <c r="E1267" s="12" t="s">
        <v>367</v>
      </c>
      <c r="F1267" s="10" t="n">
        <v>24</v>
      </c>
      <c r="G1267" s="12" t="s">
        <v>31</v>
      </c>
      <c r="H1267" s="10" t="n">
        <v>1110202</v>
      </c>
      <c r="I1267" s="12" t="s">
        <v>90</v>
      </c>
      <c r="J1267" s="10" t="n">
        <v>1393007</v>
      </c>
      <c r="L1267" s="10" t="n">
        <v>662479</v>
      </c>
      <c r="M1267" s="12" t="s">
        <v>40</v>
      </c>
      <c r="N1267" s="12" t="s">
        <v>66</v>
      </c>
      <c r="P1267" s="10" t="n">
        <v>103</v>
      </c>
      <c r="Q1267" s="12" t="s">
        <v>35</v>
      </c>
      <c r="R1267" s="12" t="s">
        <v>36</v>
      </c>
      <c r="S1267" s="10" t="n">
        <v>1130101</v>
      </c>
      <c r="T1267" s="12" t="s">
        <v>37</v>
      </c>
      <c r="U1267" s="13" t="n">
        <v>823.62</v>
      </c>
      <c r="W1267" s="13" t="n">
        <v>0</v>
      </c>
      <c r="X1267" s="12" t="s">
        <v>1544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46191</v>
      </c>
      <c r="C1268" s="11" t="n">
        <v>46252</v>
      </c>
      <c r="D1268" s="10" t="n">
        <v>514</v>
      </c>
      <c r="E1268" s="12" t="s">
        <v>652</v>
      </c>
      <c r="F1268" s="10" t="n">
        <v>34</v>
      </c>
      <c r="G1268" s="12" t="s">
        <v>49</v>
      </c>
      <c r="H1268" s="10" t="n">
        <v>2110405</v>
      </c>
      <c r="I1268" s="12" t="s">
        <v>153</v>
      </c>
      <c r="J1268" s="10" t="n">
        <v>1309516</v>
      </c>
      <c r="L1268" s="10" t="n">
        <v>541968</v>
      </c>
      <c r="M1268" s="12" t="s">
        <v>40</v>
      </c>
      <c r="N1268" s="12" t="s">
        <v>66</v>
      </c>
      <c r="P1268" s="10" t="n">
        <v>101</v>
      </c>
      <c r="Q1268" s="12" t="s">
        <v>84</v>
      </c>
      <c r="R1268" s="12" t="s">
        <v>280</v>
      </c>
      <c r="S1268" s="10" t="n">
        <v>2110901</v>
      </c>
      <c r="T1268" s="12" t="s">
        <v>281</v>
      </c>
      <c r="U1268" s="13" t="n">
        <v>3370.37</v>
      </c>
      <c r="W1268" s="13" t="n">
        <v>0</v>
      </c>
      <c r="X1268" s="12" t="s">
        <v>972</v>
      </c>
      <c r="Z1268" s="1" t="str">
        <f aca="false">IF($T1268="","",IFERROR(INDEX('Resumo Grupos'!$AC$3:$AC$200,MATCH($T1268,'Resumo Grupos'!$AB$3:$AB$200,0)),"n/d"))</f>
        <v>Empréstimo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46225</v>
      </c>
      <c r="C1269" s="11" t="n">
        <v>46252</v>
      </c>
      <c r="D1269" s="10" t="n">
        <v>1671</v>
      </c>
      <c r="E1269" s="12" t="s">
        <v>83</v>
      </c>
      <c r="F1269" s="10" t="n">
        <v>24</v>
      </c>
      <c r="G1269" s="12" t="s">
        <v>31</v>
      </c>
      <c r="H1269" s="10" t="n">
        <v>1110202</v>
      </c>
      <c r="I1269" s="12" t="s">
        <v>90</v>
      </c>
      <c r="J1269" s="10" t="n">
        <v>1433691</v>
      </c>
      <c r="L1269" s="10" t="n">
        <v>581016</v>
      </c>
      <c r="M1269" s="12" t="s">
        <v>76</v>
      </c>
      <c r="N1269" s="12" t="s">
        <v>66</v>
      </c>
      <c r="P1269" s="10" t="n">
        <v>103</v>
      </c>
      <c r="Q1269" s="12" t="s">
        <v>35</v>
      </c>
      <c r="R1269" s="12" t="s">
        <v>36</v>
      </c>
      <c r="S1269" s="10" t="n">
        <v>1130101</v>
      </c>
      <c r="T1269" s="12" t="s">
        <v>37</v>
      </c>
      <c r="U1269" s="13" t="n">
        <v>623.07</v>
      </c>
      <c r="W1269" s="13" t="n">
        <v>0</v>
      </c>
      <c r="X1269" s="12" t="s">
        <v>1545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46223</v>
      </c>
      <c r="C1270" s="11" t="n">
        <v>46252</v>
      </c>
      <c r="D1270" s="10" t="n">
        <v>1671</v>
      </c>
      <c r="E1270" s="12" t="s">
        <v>83</v>
      </c>
      <c r="F1270" s="10" t="n">
        <v>24</v>
      </c>
      <c r="G1270" s="12" t="s">
        <v>31</v>
      </c>
      <c r="H1270" s="10" t="n">
        <v>1110202</v>
      </c>
      <c r="I1270" s="12" t="s">
        <v>90</v>
      </c>
      <c r="J1270" s="10" t="n">
        <v>1424628</v>
      </c>
      <c r="L1270" s="10" t="n">
        <v>581015</v>
      </c>
      <c r="M1270" s="12" t="s">
        <v>76</v>
      </c>
      <c r="N1270" s="12" t="s">
        <v>66</v>
      </c>
      <c r="P1270" s="10" t="n">
        <v>103</v>
      </c>
      <c r="Q1270" s="12" t="s">
        <v>35</v>
      </c>
      <c r="R1270" s="12" t="s">
        <v>36</v>
      </c>
      <c r="S1270" s="10" t="n">
        <v>1130101</v>
      </c>
      <c r="T1270" s="12" t="s">
        <v>37</v>
      </c>
      <c r="U1270" s="13" t="n">
        <v>614.72</v>
      </c>
      <c r="W1270" s="13" t="n">
        <v>0</v>
      </c>
      <c r="X1270" s="12" t="s">
        <v>1546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46232</v>
      </c>
      <c r="C1271" s="11" t="n">
        <v>46252</v>
      </c>
      <c r="D1271" s="10" t="n">
        <v>1402</v>
      </c>
      <c r="E1271" s="12" t="s">
        <v>214</v>
      </c>
      <c r="F1271" s="10" t="n">
        <v>24</v>
      </c>
      <c r="G1271" s="12" t="s">
        <v>31</v>
      </c>
      <c r="H1271" s="10" t="n">
        <v>1110202</v>
      </c>
      <c r="I1271" s="12" t="s">
        <v>90</v>
      </c>
      <c r="J1271" s="10" t="n">
        <v>1470133</v>
      </c>
      <c r="L1271" s="10" t="n">
        <v>4014</v>
      </c>
      <c r="M1271" s="12" t="s">
        <v>33</v>
      </c>
      <c r="N1271" s="12" t="s">
        <v>66</v>
      </c>
      <c r="P1271" s="10" t="n">
        <v>103</v>
      </c>
      <c r="Q1271" s="12" t="s">
        <v>35</v>
      </c>
      <c r="R1271" s="12" t="s">
        <v>94</v>
      </c>
      <c r="S1271" s="10" t="n">
        <v>4210299</v>
      </c>
      <c r="T1271" s="12" t="s">
        <v>1331</v>
      </c>
      <c r="U1271" s="13" t="n">
        <v>1178.62</v>
      </c>
      <c r="W1271" s="13" t="n">
        <v>0</v>
      </c>
      <c r="X1271" s="12" t="s">
        <v>1547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46226</v>
      </c>
      <c r="C1272" s="11" t="n">
        <v>46253</v>
      </c>
      <c r="D1272" s="10" t="n">
        <v>1659</v>
      </c>
      <c r="E1272" s="12" t="s">
        <v>39</v>
      </c>
      <c r="F1272" s="10" t="n">
        <v>24</v>
      </c>
      <c r="G1272" s="12" t="s">
        <v>31</v>
      </c>
      <c r="H1272" s="10" t="n">
        <v>1110202</v>
      </c>
      <c r="I1272" s="12" t="s">
        <v>90</v>
      </c>
      <c r="J1272" s="10" t="n">
        <v>1439267</v>
      </c>
      <c r="L1272" s="10" t="n">
        <v>592384</v>
      </c>
      <c r="M1272" s="12" t="s">
        <v>33</v>
      </c>
      <c r="N1272" s="12" t="s">
        <v>66</v>
      </c>
      <c r="P1272" s="10" t="n">
        <v>104</v>
      </c>
      <c r="Q1272" s="12" t="s">
        <v>50</v>
      </c>
      <c r="R1272" s="12" t="s">
        <v>36</v>
      </c>
      <c r="S1272" s="10" t="n">
        <v>1130101</v>
      </c>
      <c r="T1272" s="12" t="s">
        <v>37</v>
      </c>
      <c r="U1272" s="13" t="n">
        <v>1039.32</v>
      </c>
      <c r="W1272" s="13" t="n">
        <v>0</v>
      </c>
      <c r="X1272" s="12" t="s">
        <v>1548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46225</v>
      </c>
      <c r="C1273" s="11" t="n">
        <v>46253</v>
      </c>
      <c r="D1273" s="10" t="n">
        <v>1659</v>
      </c>
      <c r="E1273" s="12" t="s">
        <v>39</v>
      </c>
      <c r="F1273" s="10" t="n">
        <v>24</v>
      </c>
      <c r="G1273" s="12" t="s">
        <v>31</v>
      </c>
      <c r="H1273" s="10" t="n">
        <v>1110202</v>
      </c>
      <c r="I1273" s="12" t="s">
        <v>90</v>
      </c>
      <c r="J1273" s="10" t="n">
        <v>1435386</v>
      </c>
      <c r="L1273" s="10" t="n">
        <v>886068</v>
      </c>
      <c r="M1273" s="12" t="s">
        <v>40</v>
      </c>
      <c r="N1273" s="12" t="s">
        <v>66</v>
      </c>
      <c r="P1273" s="10" t="n">
        <v>103</v>
      </c>
      <c r="Q1273" s="12" t="s">
        <v>35</v>
      </c>
      <c r="R1273" s="12" t="s">
        <v>36</v>
      </c>
      <c r="S1273" s="10" t="n">
        <v>1130101</v>
      </c>
      <c r="T1273" s="12" t="s">
        <v>37</v>
      </c>
      <c r="U1273" s="13" t="n">
        <v>1420.58</v>
      </c>
      <c r="W1273" s="13" t="n">
        <v>0</v>
      </c>
      <c r="X1273" s="12" t="s">
        <v>1549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46226</v>
      </c>
      <c r="C1274" s="11" t="n">
        <v>46253</v>
      </c>
      <c r="D1274" s="10" t="n">
        <v>1921</v>
      </c>
      <c r="E1274" s="12" t="s">
        <v>731</v>
      </c>
      <c r="F1274" s="10" t="n">
        <v>24</v>
      </c>
      <c r="G1274" s="12" t="s">
        <v>31</v>
      </c>
      <c r="H1274" s="10" t="n">
        <v>1110202</v>
      </c>
      <c r="I1274" s="12" t="s">
        <v>90</v>
      </c>
      <c r="J1274" s="10" t="n">
        <v>1439220</v>
      </c>
      <c r="L1274" s="10" t="n">
        <v>592373</v>
      </c>
      <c r="M1274" s="12" t="s">
        <v>33</v>
      </c>
      <c r="N1274" s="12" t="s">
        <v>66</v>
      </c>
      <c r="P1274" s="10" t="n">
        <v>104</v>
      </c>
      <c r="Q1274" s="12" t="s">
        <v>50</v>
      </c>
      <c r="R1274" s="12" t="s">
        <v>36</v>
      </c>
      <c r="S1274" s="10" t="n">
        <v>1130101</v>
      </c>
      <c r="T1274" s="12" t="s">
        <v>37</v>
      </c>
      <c r="U1274" s="13" t="n">
        <v>2021.39</v>
      </c>
      <c r="W1274" s="13" t="n">
        <v>0</v>
      </c>
      <c r="X1274" s="12" t="s">
        <v>1550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46235</v>
      </c>
      <c r="C1275" s="11" t="n">
        <v>46253</v>
      </c>
      <c r="D1275" s="10" t="n">
        <v>1613</v>
      </c>
      <c r="E1275" s="12" t="s">
        <v>71</v>
      </c>
      <c r="F1275" s="10" t="n">
        <v>24</v>
      </c>
      <c r="G1275" s="12" t="s">
        <v>31</v>
      </c>
      <c r="H1275" s="10" t="n">
        <v>1110202</v>
      </c>
      <c r="I1275" s="12" t="s">
        <v>90</v>
      </c>
      <c r="J1275" s="10" t="n">
        <v>1482290</v>
      </c>
      <c r="L1275" s="10" t="n">
        <v>1614419</v>
      </c>
      <c r="M1275" s="12" t="s">
        <v>76</v>
      </c>
      <c r="N1275" s="12" t="s">
        <v>66</v>
      </c>
      <c r="P1275" s="10" t="n">
        <v>103</v>
      </c>
      <c r="Q1275" s="12" t="s">
        <v>35</v>
      </c>
      <c r="R1275" s="12" t="s">
        <v>36</v>
      </c>
      <c r="S1275" s="10" t="n">
        <v>1130101</v>
      </c>
      <c r="T1275" s="12" t="s">
        <v>37</v>
      </c>
      <c r="U1275" s="13" t="n">
        <v>1798.15</v>
      </c>
      <c r="W1275" s="13" t="n">
        <v>0</v>
      </c>
      <c r="X1275" s="12" t="s">
        <v>1551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46226</v>
      </c>
      <c r="C1276" s="11" t="n">
        <v>46253</v>
      </c>
      <c r="D1276" s="10" t="n">
        <v>1608</v>
      </c>
      <c r="E1276" s="12" t="s">
        <v>52</v>
      </c>
      <c r="F1276" s="10" t="n">
        <v>24</v>
      </c>
      <c r="G1276" s="12" t="s">
        <v>31</v>
      </c>
      <c r="H1276" s="10" t="n">
        <v>1110202</v>
      </c>
      <c r="I1276" s="12" t="s">
        <v>90</v>
      </c>
      <c r="J1276" s="10" t="n">
        <v>1439448</v>
      </c>
      <c r="L1276" s="10" t="n">
        <v>592413</v>
      </c>
      <c r="M1276" s="12" t="s">
        <v>40</v>
      </c>
      <c r="N1276" s="12" t="s">
        <v>66</v>
      </c>
      <c r="P1276" s="10" t="n">
        <v>104</v>
      </c>
      <c r="Q1276" s="12" t="s">
        <v>50</v>
      </c>
      <c r="R1276" s="12" t="s">
        <v>36</v>
      </c>
      <c r="S1276" s="10" t="n">
        <v>1130101</v>
      </c>
      <c r="T1276" s="12" t="s">
        <v>37</v>
      </c>
      <c r="U1276" s="13" t="n">
        <v>1790.11</v>
      </c>
      <c r="W1276" s="13" t="n">
        <v>0</v>
      </c>
      <c r="X1276" s="12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46228</v>
      </c>
      <c r="C1277" s="11" t="n">
        <v>46253</v>
      </c>
      <c r="D1277" s="10" t="n">
        <v>1636</v>
      </c>
      <c r="E1277" s="12" t="s">
        <v>290</v>
      </c>
      <c r="F1277" s="10" t="n">
        <v>24</v>
      </c>
      <c r="G1277" s="12" t="s">
        <v>31</v>
      </c>
      <c r="H1277" s="10" t="n">
        <v>1110202</v>
      </c>
      <c r="I1277" s="12" t="s">
        <v>90</v>
      </c>
      <c r="J1277" s="10" t="n">
        <v>1449938</v>
      </c>
      <c r="L1277" s="10" t="n">
        <v>3223292</v>
      </c>
      <c r="M1277" s="12" t="s">
        <v>76</v>
      </c>
      <c r="N1277" s="12" t="s">
        <v>66</v>
      </c>
      <c r="P1277" s="10" t="n">
        <v>103</v>
      </c>
      <c r="Q1277" s="12" t="s">
        <v>35</v>
      </c>
      <c r="R1277" s="12" t="s">
        <v>36</v>
      </c>
      <c r="S1277" s="10" t="n">
        <v>1130101</v>
      </c>
      <c r="T1277" s="12" t="s">
        <v>37</v>
      </c>
      <c r="U1277" s="13" t="n">
        <v>1643.31</v>
      </c>
      <c r="W1277" s="13" t="n">
        <v>0</v>
      </c>
      <c r="X1277" s="12" t="s">
        <v>1552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46227</v>
      </c>
      <c r="C1278" s="11" t="n">
        <v>46253</v>
      </c>
      <c r="D1278" s="10" t="n">
        <v>1624</v>
      </c>
      <c r="E1278" s="12" t="s">
        <v>367</v>
      </c>
      <c r="F1278" s="10" t="n">
        <v>24</v>
      </c>
      <c r="G1278" s="12" t="s">
        <v>31</v>
      </c>
      <c r="H1278" s="10" t="n">
        <v>1110202</v>
      </c>
      <c r="I1278" s="12" t="s">
        <v>90</v>
      </c>
      <c r="J1278" s="10" t="n">
        <v>1443647</v>
      </c>
      <c r="L1278" s="10" t="n">
        <v>665164</v>
      </c>
      <c r="M1278" s="12" t="s">
        <v>76</v>
      </c>
      <c r="N1278" s="12" t="s">
        <v>66</v>
      </c>
      <c r="P1278" s="10" t="n">
        <v>103</v>
      </c>
      <c r="Q1278" s="12" t="s">
        <v>35</v>
      </c>
      <c r="R1278" s="12" t="s">
        <v>36</v>
      </c>
      <c r="S1278" s="10" t="n">
        <v>1130101</v>
      </c>
      <c r="T1278" s="12" t="s">
        <v>37</v>
      </c>
      <c r="U1278" s="13" t="n">
        <v>853.9</v>
      </c>
      <c r="W1278" s="13" t="n">
        <v>0</v>
      </c>
      <c r="X1278" s="12" t="s">
        <v>1553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46226</v>
      </c>
      <c r="C1279" s="11" t="n">
        <v>46253</v>
      </c>
      <c r="D1279" s="10" t="n">
        <v>1671</v>
      </c>
      <c r="E1279" s="12" t="s">
        <v>83</v>
      </c>
      <c r="F1279" s="10" t="n">
        <v>24</v>
      </c>
      <c r="G1279" s="12" t="s">
        <v>31</v>
      </c>
      <c r="H1279" s="10" t="n">
        <v>1110202</v>
      </c>
      <c r="I1279" s="12" t="s">
        <v>90</v>
      </c>
      <c r="J1279" s="10" t="n">
        <v>1439103</v>
      </c>
      <c r="L1279" s="10" t="n">
        <v>592343</v>
      </c>
      <c r="M1279" s="12" t="s">
        <v>40</v>
      </c>
      <c r="N1279" s="12" t="s">
        <v>66</v>
      </c>
      <c r="P1279" s="10" t="n">
        <v>104</v>
      </c>
      <c r="Q1279" s="12" t="s">
        <v>50</v>
      </c>
      <c r="R1279" s="12" t="s">
        <v>36</v>
      </c>
      <c r="S1279" s="10" t="n">
        <v>1130101</v>
      </c>
      <c r="T1279" s="12" t="s">
        <v>37</v>
      </c>
      <c r="U1279" s="13" t="n">
        <v>1473.38</v>
      </c>
      <c r="W1279" s="13" t="n">
        <v>0</v>
      </c>
      <c r="X1279" s="12" t="s">
        <v>1483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46226</v>
      </c>
      <c r="C1280" s="11" t="n">
        <v>46253</v>
      </c>
      <c r="D1280" s="10" t="n">
        <v>1745</v>
      </c>
      <c r="E1280" s="12" t="s">
        <v>212</v>
      </c>
      <c r="F1280" s="10" t="n">
        <v>24</v>
      </c>
      <c r="G1280" s="12" t="s">
        <v>31</v>
      </c>
      <c r="H1280" s="10" t="n">
        <v>1110202</v>
      </c>
      <c r="I1280" s="12" t="s">
        <v>90</v>
      </c>
      <c r="J1280" s="10" t="n">
        <v>1440158</v>
      </c>
      <c r="L1280" s="10" t="n">
        <v>353326</v>
      </c>
      <c r="M1280" s="12" t="s">
        <v>40</v>
      </c>
      <c r="N1280" s="12" t="s">
        <v>66</v>
      </c>
      <c r="P1280" s="10" t="n">
        <v>103</v>
      </c>
      <c r="Q1280" s="12" t="s">
        <v>35</v>
      </c>
      <c r="R1280" s="12" t="s">
        <v>36</v>
      </c>
      <c r="S1280" s="10" t="n">
        <v>1130101</v>
      </c>
      <c r="T1280" s="12" t="s">
        <v>37</v>
      </c>
      <c r="U1280" s="13" t="n">
        <v>2063.47</v>
      </c>
      <c r="W1280" s="13" t="n">
        <v>0</v>
      </c>
      <c r="X1280" s="12" t="s">
        <v>1554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46228</v>
      </c>
      <c r="C1281" s="11" t="n">
        <v>46254</v>
      </c>
      <c r="D1281" s="10" t="n">
        <v>1637</v>
      </c>
      <c r="E1281" s="12" t="s">
        <v>97</v>
      </c>
      <c r="F1281" s="10" t="n">
        <v>24</v>
      </c>
      <c r="G1281" s="12" t="s">
        <v>31</v>
      </c>
      <c r="H1281" s="10" t="n">
        <v>1110202</v>
      </c>
      <c r="I1281" s="12" t="s">
        <v>90</v>
      </c>
      <c r="J1281" s="10" t="n">
        <v>1450066</v>
      </c>
      <c r="L1281" s="10" t="n">
        <v>1910466</v>
      </c>
      <c r="M1281" s="12" t="s">
        <v>33</v>
      </c>
      <c r="N1281" s="12" t="s">
        <v>66</v>
      </c>
      <c r="P1281" s="10" t="n">
        <v>103</v>
      </c>
      <c r="Q1281" s="12" t="s">
        <v>35</v>
      </c>
      <c r="R1281" s="12" t="s">
        <v>36</v>
      </c>
      <c r="S1281" s="10" t="n">
        <v>1130101</v>
      </c>
      <c r="T1281" s="12" t="s">
        <v>37</v>
      </c>
      <c r="U1281" s="13" t="n">
        <v>1013.07</v>
      </c>
      <c r="W1281" s="13" t="n">
        <v>0</v>
      </c>
      <c r="X1281" s="12" t="s">
        <v>1555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46234</v>
      </c>
      <c r="C1282" s="11" t="n">
        <v>46254</v>
      </c>
      <c r="D1282" s="10" t="n">
        <v>659</v>
      </c>
      <c r="E1282" s="12" t="s">
        <v>900</v>
      </c>
      <c r="F1282" s="10" t="n">
        <v>24</v>
      </c>
      <c r="G1282" s="12" t="s">
        <v>31</v>
      </c>
      <c r="H1282" s="10" t="n">
        <v>1110202</v>
      </c>
      <c r="I1282" s="12" t="s">
        <v>90</v>
      </c>
      <c r="J1282" s="10" t="n">
        <v>1478178</v>
      </c>
      <c r="L1282" s="10" t="n">
        <v>607145</v>
      </c>
      <c r="M1282" s="12" t="s">
        <v>33</v>
      </c>
      <c r="N1282" s="12" t="s">
        <v>66</v>
      </c>
      <c r="P1282" s="10" t="n">
        <v>101</v>
      </c>
      <c r="Q1282" s="12" t="s">
        <v>84</v>
      </c>
      <c r="R1282" s="12" t="s">
        <v>121</v>
      </c>
      <c r="S1282" s="10" t="n">
        <v>4210311</v>
      </c>
      <c r="T1282" s="12" t="s">
        <v>405</v>
      </c>
      <c r="U1282" s="13" t="n">
        <v>6193.08</v>
      </c>
      <c r="W1282" s="13" t="n">
        <v>0</v>
      </c>
      <c r="X1282" s="12" t="s">
        <v>902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46233</v>
      </c>
      <c r="C1283" s="11" t="n">
        <v>46254</v>
      </c>
      <c r="D1283" s="10" t="n">
        <v>1608</v>
      </c>
      <c r="E1283" s="12" t="s">
        <v>52</v>
      </c>
      <c r="F1283" s="10" t="n">
        <v>24</v>
      </c>
      <c r="G1283" s="12" t="s">
        <v>31</v>
      </c>
      <c r="H1283" s="10" t="n">
        <v>1110202</v>
      </c>
      <c r="I1283" s="12" t="s">
        <v>90</v>
      </c>
      <c r="J1283" s="10" t="n">
        <v>1474699</v>
      </c>
      <c r="L1283" s="10" t="n">
        <v>1701839</v>
      </c>
      <c r="M1283" s="12" t="s">
        <v>33</v>
      </c>
      <c r="N1283" s="12" t="s">
        <v>66</v>
      </c>
      <c r="P1283" s="10" t="n">
        <v>103</v>
      </c>
      <c r="Q1283" s="12" t="s">
        <v>35</v>
      </c>
      <c r="R1283" s="12" t="s">
        <v>36</v>
      </c>
      <c r="S1283" s="10" t="n">
        <v>1130101</v>
      </c>
      <c r="T1283" s="12" t="s">
        <v>37</v>
      </c>
      <c r="U1283" s="13" t="n">
        <v>2902.64</v>
      </c>
      <c r="W1283" s="13" t="n">
        <v>0</v>
      </c>
      <c r="X1283" s="12" t="s">
        <v>1556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46233</v>
      </c>
      <c r="C1284" s="11" t="n">
        <v>46254</v>
      </c>
      <c r="D1284" s="10" t="n">
        <v>1608</v>
      </c>
      <c r="E1284" s="12" t="s">
        <v>52</v>
      </c>
      <c r="F1284" s="10" t="n">
        <v>24</v>
      </c>
      <c r="G1284" s="12" t="s">
        <v>31</v>
      </c>
      <c r="H1284" s="10" t="n">
        <v>1110202</v>
      </c>
      <c r="I1284" s="12" t="s">
        <v>90</v>
      </c>
      <c r="J1284" s="10" t="n">
        <v>1473434</v>
      </c>
      <c r="L1284" s="10" t="n">
        <v>1701960</v>
      </c>
      <c r="M1284" s="12" t="s">
        <v>33</v>
      </c>
      <c r="N1284" s="12" t="s">
        <v>66</v>
      </c>
      <c r="P1284" s="10" t="n">
        <v>103</v>
      </c>
      <c r="Q1284" s="12" t="s">
        <v>35</v>
      </c>
      <c r="R1284" s="12" t="s">
        <v>36</v>
      </c>
      <c r="S1284" s="10" t="n">
        <v>1130101</v>
      </c>
      <c r="T1284" s="12" t="s">
        <v>37</v>
      </c>
      <c r="U1284" s="13" t="n">
        <v>944.96</v>
      </c>
      <c r="W1284" s="13" t="n">
        <v>0</v>
      </c>
      <c r="X1284" s="12" t="s">
        <v>1557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46226</v>
      </c>
      <c r="C1285" s="11" t="n">
        <v>46254</v>
      </c>
      <c r="D1285" s="10" t="n">
        <v>1608</v>
      </c>
      <c r="E1285" s="12" t="s">
        <v>52</v>
      </c>
      <c r="F1285" s="10" t="n">
        <v>24</v>
      </c>
      <c r="G1285" s="12" t="s">
        <v>31</v>
      </c>
      <c r="H1285" s="10" t="n">
        <v>1110202</v>
      </c>
      <c r="I1285" s="12" t="s">
        <v>90</v>
      </c>
      <c r="J1285" s="10" t="n">
        <v>1439702</v>
      </c>
      <c r="L1285" s="10" t="n">
        <v>592490</v>
      </c>
      <c r="M1285" s="12" t="s">
        <v>33</v>
      </c>
      <c r="N1285" s="12" t="s">
        <v>66</v>
      </c>
      <c r="P1285" s="10" t="n">
        <v>104</v>
      </c>
      <c r="Q1285" s="12" t="s">
        <v>50</v>
      </c>
      <c r="R1285" s="12" t="s">
        <v>36</v>
      </c>
      <c r="S1285" s="10" t="n">
        <v>1130101</v>
      </c>
      <c r="T1285" s="12" t="s">
        <v>37</v>
      </c>
      <c r="U1285" s="13" t="n">
        <v>1938.06</v>
      </c>
      <c r="W1285" s="13" t="n">
        <v>0</v>
      </c>
      <c r="X1285" s="12" t="s">
        <v>1558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46226</v>
      </c>
      <c r="C1286" s="11" t="n">
        <v>46254</v>
      </c>
      <c r="D1286" s="10" t="n">
        <v>10021</v>
      </c>
      <c r="E1286" s="12" t="s">
        <v>1493</v>
      </c>
      <c r="F1286" s="10" t="n">
        <v>24</v>
      </c>
      <c r="G1286" s="12" t="s">
        <v>31</v>
      </c>
      <c r="H1286" s="10" t="n">
        <v>1110202</v>
      </c>
      <c r="I1286" s="12" t="s">
        <v>90</v>
      </c>
      <c r="J1286" s="10" t="n">
        <v>1440166</v>
      </c>
      <c r="L1286" s="10" t="n">
        <v>134703</v>
      </c>
      <c r="M1286" s="12" t="s">
        <v>76</v>
      </c>
      <c r="N1286" s="12" t="s">
        <v>66</v>
      </c>
      <c r="P1286" s="10" t="n">
        <v>103</v>
      </c>
      <c r="Q1286" s="12" t="s">
        <v>35</v>
      </c>
      <c r="R1286" s="12" t="s">
        <v>36</v>
      </c>
      <c r="S1286" s="10" t="n">
        <v>1130101</v>
      </c>
      <c r="T1286" s="12" t="s">
        <v>37</v>
      </c>
      <c r="U1286" s="13" t="n">
        <v>774.48</v>
      </c>
      <c r="W1286" s="13" t="n">
        <v>0</v>
      </c>
      <c r="X1286" s="12" t="s">
        <v>1559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46226</v>
      </c>
      <c r="C1287" s="11" t="n">
        <v>46254</v>
      </c>
      <c r="D1287" s="10" t="n">
        <v>1616</v>
      </c>
      <c r="E1287" s="12" t="s">
        <v>434</v>
      </c>
      <c r="F1287" s="10" t="n">
        <v>24</v>
      </c>
      <c r="G1287" s="12" t="s">
        <v>31</v>
      </c>
      <c r="H1287" s="10" t="n">
        <v>1110202</v>
      </c>
      <c r="I1287" s="12" t="s">
        <v>90</v>
      </c>
      <c r="J1287" s="10" t="n">
        <v>1440186</v>
      </c>
      <c r="L1287" s="10" t="n">
        <v>592618</v>
      </c>
      <c r="M1287" s="12" t="s">
        <v>40</v>
      </c>
      <c r="N1287" s="12" t="s">
        <v>66</v>
      </c>
      <c r="P1287" s="10" t="n">
        <v>104</v>
      </c>
      <c r="Q1287" s="12" t="s">
        <v>50</v>
      </c>
      <c r="R1287" s="12" t="s">
        <v>36</v>
      </c>
      <c r="S1287" s="10" t="n">
        <v>1130101</v>
      </c>
      <c r="T1287" s="12" t="s">
        <v>37</v>
      </c>
      <c r="U1287" s="13" t="n">
        <v>434.06</v>
      </c>
      <c r="W1287" s="13" t="n">
        <v>0</v>
      </c>
      <c r="X1287" s="12" t="s">
        <v>1365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46226</v>
      </c>
      <c r="C1288" s="11" t="n">
        <v>46254</v>
      </c>
      <c r="D1288" s="10" t="n">
        <v>1616</v>
      </c>
      <c r="E1288" s="12" t="s">
        <v>434</v>
      </c>
      <c r="F1288" s="10" t="n">
        <v>24</v>
      </c>
      <c r="G1288" s="12" t="s">
        <v>31</v>
      </c>
      <c r="H1288" s="10" t="n">
        <v>1110202</v>
      </c>
      <c r="I1288" s="12" t="s">
        <v>90</v>
      </c>
      <c r="J1288" s="10" t="n">
        <v>1440106</v>
      </c>
      <c r="L1288" s="10" t="n">
        <v>592593</v>
      </c>
      <c r="M1288" s="12" t="s">
        <v>40</v>
      </c>
      <c r="N1288" s="12" t="s">
        <v>66</v>
      </c>
      <c r="P1288" s="10" t="n">
        <v>104</v>
      </c>
      <c r="Q1288" s="12" t="s">
        <v>50</v>
      </c>
      <c r="R1288" s="12" t="s">
        <v>36</v>
      </c>
      <c r="S1288" s="10" t="n">
        <v>1130101</v>
      </c>
      <c r="T1288" s="12" t="s">
        <v>37</v>
      </c>
      <c r="U1288" s="13" t="n">
        <v>605.93</v>
      </c>
      <c r="W1288" s="13" t="n">
        <v>0</v>
      </c>
      <c r="X1288" s="12" t="s">
        <v>1560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46225</v>
      </c>
      <c r="C1289" s="11" t="n">
        <v>46254</v>
      </c>
      <c r="D1289" s="10" t="n">
        <v>794</v>
      </c>
      <c r="E1289" s="12" t="s">
        <v>160</v>
      </c>
      <c r="F1289" s="10" t="n">
        <v>24</v>
      </c>
      <c r="G1289" s="12" t="s">
        <v>31</v>
      </c>
      <c r="H1289" s="10" t="n">
        <v>1110202</v>
      </c>
      <c r="I1289" s="12" t="s">
        <v>90</v>
      </c>
      <c r="J1289" s="10" t="n">
        <v>1435872</v>
      </c>
      <c r="L1289" s="10" t="n">
        <v>8403</v>
      </c>
      <c r="M1289" s="12" t="s">
        <v>40</v>
      </c>
      <c r="N1289" s="12" t="s">
        <v>66</v>
      </c>
      <c r="P1289" s="10" t="n">
        <v>103</v>
      </c>
      <c r="Q1289" s="12" t="s">
        <v>35</v>
      </c>
      <c r="R1289" s="12" t="s">
        <v>36</v>
      </c>
      <c r="S1289" s="10" t="n">
        <v>1130101</v>
      </c>
      <c r="T1289" s="12" t="s">
        <v>37</v>
      </c>
      <c r="U1289" s="13" t="n">
        <v>2621.74</v>
      </c>
      <c r="W1289" s="13" t="n">
        <v>0</v>
      </c>
      <c r="X1289" s="12" t="s">
        <v>1561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46223</v>
      </c>
      <c r="C1290" s="11" t="n">
        <v>46254</v>
      </c>
      <c r="D1290" s="10" t="n">
        <v>542</v>
      </c>
      <c r="E1290" s="12" t="s">
        <v>923</v>
      </c>
      <c r="F1290" s="10" t="n">
        <v>34</v>
      </c>
      <c r="G1290" s="12" t="s">
        <v>49</v>
      </c>
      <c r="H1290" s="10" t="n">
        <v>1110202</v>
      </c>
      <c r="I1290" s="12" t="s">
        <v>90</v>
      </c>
      <c r="J1290" s="10" t="n">
        <v>1424234</v>
      </c>
      <c r="L1290" s="10" t="n">
        <v>587289</v>
      </c>
      <c r="M1290" s="12" t="s">
        <v>76</v>
      </c>
      <c r="N1290" s="12" t="s">
        <v>66</v>
      </c>
      <c r="P1290" s="10" t="n">
        <v>101</v>
      </c>
      <c r="Q1290" s="12" t="s">
        <v>84</v>
      </c>
      <c r="R1290" s="12" t="s">
        <v>401</v>
      </c>
      <c r="S1290" s="10" t="n">
        <v>4210107</v>
      </c>
      <c r="T1290" s="12" t="s">
        <v>924</v>
      </c>
      <c r="U1290" s="13" t="n">
        <v>464.59</v>
      </c>
      <c r="W1290" s="13" t="n">
        <v>0</v>
      </c>
      <c r="X1290" s="12" t="s">
        <v>1562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46223</v>
      </c>
      <c r="C1291" s="11" t="n">
        <v>46254</v>
      </c>
      <c r="D1291" s="10" t="n">
        <v>542</v>
      </c>
      <c r="E1291" s="12" t="s">
        <v>923</v>
      </c>
      <c r="F1291" s="10" t="n">
        <v>34</v>
      </c>
      <c r="G1291" s="12" t="s">
        <v>49</v>
      </c>
      <c r="H1291" s="10" t="n">
        <v>1110202</v>
      </c>
      <c r="I1291" s="12" t="s">
        <v>90</v>
      </c>
      <c r="J1291" s="10" t="n">
        <v>1424241</v>
      </c>
      <c r="L1291" s="10" t="n">
        <v>587291</v>
      </c>
      <c r="M1291" s="12" t="s">
        <v>76</v>
      </c>
      <c r="N1291" s="12" t="s">
        <v>66</v>
      </c>
      <c r="P1291" s="10" t="n">
        <v>101</v>
      </c>
      <c r="Q1291" s="12" t="s">
        <v>84</v>
      </c>
      <c r="R1291" s="12" t="s">
        <v>91</v>
      </c>
      <c r="S1291" s="10" t="n">
        <v>4220199</v>
      </c>
      <c r="T1291" s="12" t="s">
        <v>92</v>
      </c>
      <c r="U1291" s="13" t="n">
        <v>900</v>
      </c>
      <c r="W1291" s="13" t="n">
        <v>0</v>
      </c>
      <c r="X1291" s="12" t="s">
        <v>926</v>
      </c>
      <c r="Z1291" s="1" t="str">
        <f aca="false">IF($T1291="","",IFERROR(INDEX('Resumo Grupos'!$AC$3:$AC$200,MATCH($T1291,'Resumo Grupos'!$AB$3:$AB$200,0)),"n/d"))</f>
        <v>Pagamentos outros não operacionais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46221</v>
      </c>
      <c r="C1292" s="11" t="n">
        <v>46254</v>
      </c>
      <c r="D1292" s="10" t="n">
        <v>1675</v>
      </c>
      <c r="E1292" s="12" t="s">
        <v>817</v>
      </c>
      <c r="F1292" s="10" t="n">
        <v>24</v>
      </c>
      <c r="G1292" s="12" t="s">
        <v>31</v>
      </c>
      <c r="H1292" s="10" t="n">
        <v>1110202</v>
      </c>
      <c r="I1292" s="12" t="s">
        <v>90</v>
      </c>
      <c r="J1292" s="10" t="n">
        <v>1415719</v>
      </c>
      <c r="L1292" s="10" t="n">
        <v>502189</v>
      </c>
      <c r="M1292" s="12" t="s">
        <v>40</v>
      </c>
      <c r="N1292" s="12" t="s">
        <v>66</v>
      </c>
      <c r="P1292" s="10" t="n">
        <v>103</v>
      </c>
      <c r="Q1292" s="12" t="s">
        <v>35</v>
      </c>
      <c r="R1292" s="12" t="s">
        <v>36</v>
      </c>
      <c r="S1292" s="10" t="n">
        <v>1130101</v>
      </c>
      <c r="T1292" s="12" t="s">
        <v>37</v>
      </c>
      <c r="U1292" s="13" t="n">
        <v>1181.96</v>
      </c>
      <c r="W1292" s="13" t="n">
        <v>0</v>
      </c>
      <c r="X1292" s="12" t="s">
        <v>1563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46233</v>
      </c>
      <c r="C1293" s="11" t="n">
        <v>46254</v>
      </c>
      <c r="D1293" s="10" t="n">
        <v>1740</v>
      </c>
      <c r="E1293" s="12" t="s">
        <v>312</v>
      </c>
      <c r="F1293" s="10" t="n">
        <v>24</v>
      </c>
      <c r="G1293" s="12" t="s">
        <v>31</v>
      </c>
      <c r="H1293" s="10" t="n">
        <v>1110202</v>
      </c>
      <c r="I1293" s="12" t="s">
        <v>90</v>
      </c>
      <c r="J1293" s="10" t="n">
        <v>1474666</v>
      </c>
      <c r="L1293" s="10" t="n">
        <v>1253285</v>
      </c>
      <c r="M1293" s="12" t="s">
        <v>33</v>
      </c>
      <c r="N1293" s="12" t="s">
        <v>66</v>
      </c>
      <c r="P1293" s="10" t="n">
        <v>103</v>
      </c>
      <c r="Q1293" s="12" t="s">
        <v>35</v>
      </c>
      <c r="R1293" s="12" t="s">
        <v>36</v>
      </c>
      <c r="S1293" s="10" t="n">
        <v>1130101</v>
      </c>
      <c r="T1293" s="12" t="s">
        <v>37</v>
      </c>
      <c r="U1293" s="13" t="n">
        <v>989.77</v>
      </c>
      <c r="W1293" s="13" t="n">
        <v>0</v>
      </c>
      <c r="X1293" s="12" t="s">
        <v>1564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46220</v>
      </c>
      <c r="C1294" s="11" t="n">
        <v>46254</v>
      </c>
      <c r="D1294" s="10" t="n">
        <v>10012</v>
      </c>
      <c r="E1294" s="12" t="s">
        <v>318</v>
      </c>
      <c r="F1294" s="10" t="n">
        <v>24</v>
      </c>
      <c r="G1294" s="12" t="s">
        <v>31</v>
      </c>
      <c r="H1294" s="10" t="n">
        <v>1110202</v>
      </c>
      <c r="I1294" s="12" t="s">
        <v>90</v>
      </c>
      <c r="J1294" s="10" t="n">
        <v>1411310</v>
      </c>
      <c r="L1294" s="10" t="n">
        <v>1964147</v>
      </c>
      <c r="M1294" s="12" t="s">
        <v>76</v>
      </c>
      <c r="N1294" s="12" t="s">
        <v>66</v>
      </c>
      <c r="P1294" s="10" t="n">
        <v>103</v>
      </c>
      <c r="Q1294" s="12" t="s">
        <v>35</v>
      </c>
      <c r="R1294" s="12" t="s">
        <v>36</v>
      </c>
      <c r="S1294" s="10" t="n">
        <v>1130101</v>
      </c>
      <c r="T1294" s="12" t="s">
        <v>37</v>
      </c>
      <c r="U1294" s="13" t="n">
        <v>1129.22</v>
      </c>
      <c r="W1294" s="13" t="n">
        <v>0</v>
      </c>
      <c r="X1294" s="12" t="s">
        <v>1565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46228</v>
      </c>
      <c r="C1295" s="11" t="n">
        <v>46255</v>
      </c>
      <c r="D1295" s="10" t="n">
        <v>1608</v>
      </c>
      <c r="E1295" s="12" t="s">
        <v>52</v>
      </c>
      <c r="F1295" s="10" t="n">
        <v>24</v>
      </c>
      <c r="G1295" s="12" t="s">
        <v>31</v>
      </c>
      <c r="H1295" s="10" t="n">
        <v>1110202</v>
      </c>
      <c r="I1295" s="12" t="s">
        <v>90</v>
      </c>
      <c r="J1295" s="10" t="n">
        <v>1449982</v>
      </c>
      <c r="L1295" s="10" t="n">
        <v>1698394</v>
      </c>
      <c r="M1295" s="12" t="s">
        <v>33</v>
      </c>
      <c r="N1295" s="12" t="s">
        <v>66</v>
      </c>
      <c r="P1295" s="10" t="n">
        <v>103</v>
      </c>
      <c r="Q1295" s="12" t="s">
        <v>35</v>
      </c>
      <c r="R1295" s="12" t="s">
        <v>36</v>
      </c>
      <c r="S1295" s="10" t="n">
        <v>1130101</v>
      </c>
      <c r="T1295" s="12" t="s">
        <v>37</v>
      </c>
      <c r="U1295" s="13" t="n">
        <v>1365.55</v>
      </c>
      <c r="W1295" s="13" t="n">
        <v>0</v>
      </c>
      <c r="X1295" s="12" t="s">
        <v>1566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46228</v>
      </c>
      <c r="C1296" s="11" t="n">
        <v>46255</v>
      </c>
      <c r="D1296" s="10" t="n">
        <v>1657</v>
      </c>
      <c r="E1296" s="12" t="s">
        <v>300</v>
      </c>
      <c r="F1296" s="10" t="n">
        <v>24</v>
      </c>
      <c r="G1296" s="12" t="s">
        <v>31</v>
      </c>
      <c r="H1296" s="10" t="n">
        <v>1110202</v>
      </c>
      <c r="I1296" s="12" t="s">
        <v>90</v>
      </c>
      <c r="J1296" s="10" t="n">
        <v>1450043</v>
      </c>
      <c r="L1296" s="10" t="n">
        <v>296100</v>
      </c>
      <c r="M1296" s="12" t="s">
        <v>40</v>
      </c>
      <c r="N1296" s="12" t="s">
        <v>66</v>
      </c>
      <c r="P1296" s="10" t="n">
        <v>103</v>
      </c>
      <c r="Q1296" s="12" t="s">
        <v>35</v>
      </c>
      <c r="R1296" s="12" t="s">
        <v>36</v>
      </c>
      <c r="S1296" s="10" t="n">
        <v>1130101</v>
      </c>
      <c r="T1296" s="12" t="s">
        <v>37</v>
      </c>
      <c r="U1296" s="13" t="n">
        <v>925.98</v>
      </c>
      <c r="W1296" s="13" t="n">
        <v>0</v>
      </c>
      <c r="X1296" s="12" t="s">
        <v>1567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46235</v>
      </c>
      <c r="C1297" s="11" t="n">
        <v>46255</v>
      </c>
      <c r="D1297" s="10" t="n">
        <v>1815</v>
      </c>
      <c r="E1297" s="12" t="s">
        <v>175</v>
      </c>
      <c r="F1297" s="10" t="n">
        <v>24</v>
      </c>
      <c r="G1297" s="12" t="s">
        <v>31</v>
      </c>
      <c r="H1297" s="10" t="n">
        <v>1110202</v>
      </c>
      <c r="I1297" s="12" t="s">
        <v>90</v>
      </c>
      <c r="J1297" s="10" t="n">
        <v>1482383</v>
      </c>
      <c r="L1297" s="10" t="n">
        <v>395526</v>
      </c>
      <c r="M1297" s="12" t="s">
        <v>76</v>
      </c>
      <c r="N1297" s="12" t="s">
        <v>66</v>
      </c>
      <c r="P1297" s="10" t="n">
        <v>103</v>
      </c>
      <c r="Q1297" s="12" t="s">
        <v>35</v>
      </c>
      <c r="R1297" s="12" t="s">
        <v>36</v>
      </c>
      <c r="S1297" s="10" t="n">
        <v>1130101</v>
      </c>
      <c r="T1297" s="12" t="s">
        <v>37</v>
      </c>
      <c r="U1297" s="13" t="n">
        <v>1143.82</v>
      </c>
      <c r="W1297" s="13" t="n">
        <v>0</v>
      </c>
      <c r="X1297" s="12" t="s">
        <v>1568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46226</v>
      </c>
      <c r="C1298" s="11" t="n">
        <v>46255</v>
      </c>
      <c r="D1298" s="10" t="n">
        <v>10017</v>
      </c>
      <c r="E1298" s="12" t="s">
        <v>271</v>
      </c>
      <c r="F1298" s="10" t="n">
        <v>24</v>
      </c>
      <c r="G1298" s="12" t="s">
        <v>31</v>
      </c>
      <c r="H1298" s="10" t="n">
        <v>1110202</v>
      </c>
      <c r="I1298" s="12" t="s">
        <v>90</v>
      </c>
      <c r="J1298" s="10" t="n">
        <v>1440211</v>
      </c>
      <c r="L1298" s="10" t="n">
        <v>592622</v>
      </c>
      <c r="M1298" s="12" t="s">
        <v>40</v>
      </c>
      <c r="N1298" s="12" t="s">
        <v>66</v>
      </c>
      <c r="P1298" s="10" t="n">
        <v>104</v>
      </c>
      <c r="Q1298" s="12" t="s">
        <v>50</v>
      </c>
      <c r="R1298" s="12" t="s">
        <v>36</v>
      </c>
      <c r="S1298" s="10" t="n">
        <v>1130101</v>
      </c>
      <c r="T1298" s="12" t="s">
        <v>37</v>
      </c>
      <c r="U1298" s="13" t="n">
        <v>868.36</v>
      </c>
      <c r="W1298" s="13" t="n">
        <v>0</v>
      </c>
      <c r="X1298" s="12" t="s">
        <v>1402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46226</v>
      </c>
      <c r="C1299" s="11" t="n">
        <v>46256</v>
      </c>
      <c r="D1299" s="10" t="n">
        <v>957</v>
      </c>
      <c r="E1299" s="12" t="s">
        <v>75</v>
      </c>
      <c r="F1299" s="10" t="n">
        <v>24</v>
      </c>
      <c r="G1299" s="12" t="s">
        <v>31</v>
      </c>
      <c r="H1299" s="10" t="n">
        <v>1110202</v>
      </c>
      <c r="I1299" s="12" t="s">
        <v>90</v>
      </c>
      <c r="J1299" s="10" t="n">
        <v>1439137</v>
      </c>
      <c r="L1299" s="10" t="n">
        <v>21188</v>
      </c>
      <c r="M1299" s="12" t="s">
        <v>76</v>
      </c>
      <c r="N1299" s="12" t="s">
        <v>66</v>
      </c>
      <c r="P1299" s="10" t="n">
        <v>103</v>
      </c>
      <c r="Q1299" s="12" t="s">
        <v>35</v>
      </c>
      <c r="R1299" s="12" t="s">
        <v>36</v>
      </c>
      <c r="S1299" s="10" t="n">
        <v>1130101</v>
      </c>
      <c r="T1299" s="12" t="s">
        <v>37</v>
      </c>
      <c r="U1299" s="13" t="n">
        <v>3458.9</v>
      </c>
      <c r="W1299" s="13" t="n">
        <v>0</v>
      </c>
      <c r="X1299" s="12" t="s">
        <v>1569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46225</v>
      </c>
      <c r="C1300" s="11" t="n">
        <v>46256</v>
      </c>
      <c r="D1300" s="10" t="n">
        <v>10011</v>
      </c>
      <c r="E1300" s="12" t="s">
        <v>78</v>
      </c>
      <c r="F1300" s="10" t="n">
        <v>24</v>
      </c>
      <c r="G1300" s="12" t="s">
        <v>31</v>
      </c>
      <c r="H1300" s="10" t="n">
        <v>1110202</v>
      </c>
      <c r="I1300" s="12" t="s">
        <v>90</v>
      </c>
      <c r="J1300" s="10" t="n">
        <v>1435119</v>
      </c>
      <c r="L1300" s="10" t="n">
        <v>34737</v>
      </c>
      <c r="M1300" s="12" t="s">
        <v>76</v>
      </c>
      <c r="N1300" s="12" t="s">
        <v>66</v>
      </c>
      <c r="P1300" s="10" t="n">
        <v>103</v>
      </c>
      <c r="Q1300" s="12" t="s">
        <v>35</v>
      </c>
      <c r="R1300" s="12" t="s">
        <v>36</v>
      </c>
      <c r="S1300" s="10" t="n">
        <v>1130101</v>
      </c>
      <c r="T1300" s="12" t="s">
        <v>37</v>
      </c>
      <c r="U1300" s="13" t="n">
        <v>807.05</v>
      </c>
      <c r="W1300" s="13" t="n">
        <v>0</v>
      </c>
      <c r="X1300" s="12" t="s">
        <v>1570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46126</v>
      </c>
      <c r="C1301" s="11" t="n">
        <v>46257</v>
      </c>
      <c r="D1301" s="10" t="n">
        <v>17</v>
      </c>
      <c r="E1301" s="12" t="s">
        <v>268</v>
      </c>
      <c r="F1301" s="10" t="n">
        <v>24</v>
      </c>
      <c r="G1301" s="12" t="s">
        <v>31</v>
      </c>
      <c r="H1301" s="10" t="n">
        <v>2110405</v>
      </c>
      <c r="I1301" s="12" t="s">
        <v>153</v>
      </c>
      <c r="J1301" s="10" t="n">
        <v>950724</v>
      </c>
      <c r="L1301" s="10" t="n">
        <v>403362</v>
      </c>
      <c r="M1301" s="12" t="s">
        <v>448</v>
      </c>
      <c r="N1301" s="12" t="s">
        <v>66</v>
      </c>
      <c r="P1301" s="10" t="n">
        <v>101</v>
      </c>
      <c r="Q1301" s="12" t="s">
        <v>84</v>
      </c>
      <c r="R1301" s="12" t="s">
        <v>91</v>
      </c>
      <c r="S1301" s="10" t="n">
        <v>4220199</v>
      </c>
      <c r="T1301" s="12" t="s">
        <v>92</v>
      </c>
      <c r="U1301" s="13" t="n">
        <v>2720.81</v>
      </c>
      <c r="W1301" s="13" t="n">
        <v>0</v>
      </c>
      <c r="X1301" s="12" t="s">
        <v>1571</v>
      </c>
      <c r="Z1301" s="1" t="str">
        <f aca="false">IF($T1301="","",IFERROR(INDEX('Resumo Grupos'!$AC$3:$AC$200,MATCH($T1301,'Resumo Grupos'!$AB$3:$AB$200,0)),"n/d"))</f>
        <v>Pagamentos outros não operacionais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46232</v>
      </c>
      <c r="C1302" s="11" t="n">
        <v>46258</v>
      </c>
      <c r="D1302" s="10" t="n">
        <v>1637</v>
      </c>
      <c r="E1302" s="12" t="s">
        <v>97</v>
      </c>
      <c r="F1302" s="10" t="n">
        <v>24</v>
      </c>
      <c r="G1302" s="12" t="s">
        <v>31</v>
      </c>
      <c r="H1302" s="10" t="n">
        <v>1110202</v>
      </c>
      <c r="I1302" s="12" t="s">
        <v>90</v>
      </c>
      <c r="J1302" s="10" t="n">
        <v>1468984</v>
      </c>
      <c r="L1302" s="10" t="n">
        <v>1911152</v>
      </c>
      <c r="M1302" s="12" t="s">
        <v>33</v>
      </c>
      <c r="N1302" s="12" t="s">
        <v>66</v>
      </c>
      <c r="P1302" s="10" t="n">
        <v>103</v>
      </c>
      <c r="Q1302" s="12" t="s">
        <v>35</v>
      </c>
      <c r="R1302" s="12" t="s">
        <v>36</v>
      </c>
      <c r="S1302" s="10" t="n">
        <v>1130101</v>
      </c>
      <c r="T1302" s="12" t="s">
        <v>37</v>
      </c>
      <c r="U1302" s="13" t="n">
        <v>330.75</v>
      </c>
      <c r="W1302" s="13" t="n">
        <v>0</v>
      </c>
      <c r="X1302" s="12" t="s">
        <v>1572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46230</v>
      </c>
      <c r="C1303" s="11" t="n">
        <v>46258</v>
      </c>
      <c r="D1303" s="10" t="n">
        <v>1634</v>
      </c>
      <c r="E1303" s="12" t="s">
        <v>1529</v>
      </c>
      <c r="F1303" s="10" t="n">
        <v>24</v>
      </c>
      <c r="G1303" s="12" t="s">
        <v>31</v>
      </c>
      <c r="H1303" s="10" t="n">
        <v>1110202</v>
      </c>
      <c r="I1303" s="12" t="s">
        <v>90</v>
      </c>
      <c r="J1303" s="10" t="n">
        <v>1460028</v>
      </c>
      <c r="L1303" s="10" t="n">
        <v>329028</v>
      </c>
      <c r="M1303" s="12" t="s">
        <v>76</v>
      </c>
      <c r="N1303" s="12" t="s">
        <v>66</v>
      </c>
      <c r="P1303" s="10" t="n">
        <v>103</v>
      </c>
      <c r="Q1303" s="12" t="s">
        <v>35</v>
      </c>
      <c r="R1303" s="12" t="s">
        <v>36</v>
      </c>
      <c r="S1303" s="10" t="n">
        <v>1130101</v>
      </c>
      <c r="T1303" s="12" t="s">
        <v>37</v>
      </c>
      <c r="U1303" s="13" t="n">
        <v>810.36</v>
      </c>
      <c r="W1303" s="13" t="n">
        <v>0</v>
      </c>
      <c r="X1303" s="12" t="s">
        <v>1573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46237</v>
      </c>
      <c r="C1304" s="11" t="n">
        <v>46258</v>
      </c>
      <c r="D1304" s="10" t="n">
        <v>1699</v>
      </c>
      <c r="E1304" s="12" t="s">
        <v>124</v>
      </c>
      <c r="F1304" s="10" t="n">
        <v>24</v>
      </c>
      <c r="G1304" s="12" t="s">
        <v>31</v>
      </c>
      <c r="H1304" s="10" t="n">
        <v>1110202</v>
      </c>
      <c r="I1304" s="12" t="s">
        <v>90</v>
      </c>
      <c r="J1304" s="10" t="n">
        <v>1495640</v>
      </c>
      <c r="L1304" s="10" t="n">
        <v>309757</v>
      </c>
      <c r="M1304" s="12" t="s">
        <v>76</v>
      </c>
      <c r="N1304" s="12" t="s">
        <v>66</v>
      </c>
      <c r="P1304" s="10" t="n">
        <v>103</v>
      </c>
      <c r="Q1304" s="12" t="s">
        <v>35</v>
      </c>
      <c r="R1304" s="12" t="s">
        <v>36</v>
      </c>
      <c r="S1304" s="10" t="n">
        <v>1130101</v>
      </c>
      <c r="T1304" s="12" t="s">
        <v>37</v>
      </c>
      <c r="U1304" s="13" t="n">
        <v>403.5</v>
      </c>
      <c r="W1304" s="13" t="n">
        <v>0</v>
      </c>
      <c r="X1304" s="12" t="s">
        <v>1574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46234</v>
      </c>
      <c r="C1305" s="11" t="n">
        <v>46258</v>
      </c>
      <c r="D1305" s="10" t="n">
        <v>1699</v>
      </c>
      <c r="E1305" s="12" t="s">
        <v>124</v>
      </c>
      <c r="F1305" s="10" t="n">
        <v>24</v>
      </c>
      <c r="G1305" s="12" t="s">
        <v>31</v>
      </c>
      <c r="H1305" s="10" t="n">
        <v>1110202</v>
      </c>
      <c r="I1305" s="12" t="s">
        <v>90</v>
      </c>
      <c r="J1305" s="10" t="n">
        <v>1478171</v>
      </c>
      <c r="L1305" s="10" t="n">
        <v>309642</v>
      </c>
      <c r="M1305" s="12" t="s">
        <v>76</v>
      </c>
      <c r="N1305" s="12" t="s">
        <v>66</v>
      </c>
      <c r="P1305" s="10" t="n">
        <v>103</v>
      </c>
      <c r="Q1305" s="12" t="s">
        <v>35</v>
      </c>
      <c r="R1305" s="12" t="s">
        <v>36</v>
      </c>
      <c r="S1305" s="10" t="n">
        <v>1130101</v>
      </c>
      <c r="T1305" s="12" t="s">
        <v>37</v>
      </c>
      <c r="U1305" s="13" t="n">
        <v>1633.1</v>
      </c>
      <c r="W1305" s="13" t="n">
        <v>0</v>
      </c>
      <c r="X1305" s="12" t="s">
        <v>1575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46228</v>
      </c>
      <c r="C1306" s="11" t="n">
        <v>46258</v>
      </c>
      <c r="D1306" s="10" t="n">
        <v>1409</v>
      </c>
      <c r="E1306" s="12" t="s">
        <v>1576</v>
      </c>
      <c r="F1306" s="10" t="n">
        <v>24</v>
      </c>
      <c r="G1306" s="12" t="s">
        <v>31</v>
      </c>
      <c r="H1306" s="10" t="n">
        <v>1110202</v>
      </c>
      <c r="I1306" s="12" t="s">
        <v>90</v>
      </c>
      <c r="J1306" s="10" t="n">
        <v>1450142</v>
      </c>
      <c r="L1306" s="10" t="n">
        <v>105914</v>
      </c>
      <c r="M1306" s="12" t="s">
        <v>33</v>
      </c>
      <c r="N1306" s="12" t="s">
        <v>66</v>
      </c>
      <c r="P1306" s="10" t="n">
        <v>103</v>
      </c>
      <c r="Q1306" s="12" t="s">
        <v>35</v>
      </c>
      <c r="R1306" s="12" t="s">
        <v>36</v>
      </c>
      <c r="S1306" s="10" t="n">
        <v>1130101</v>
      </c>
      <c r="T1306" s="12" t="s">
        <v>37</v>
      </c>
      <c r="U1306" s="13" t="n">
        <v>306</v>
      </c>
      <c r="W1306" s="13" t="n">
        <v>0</v>
      </c>
      <c r="X1306" s="12" t="s">
        <v>1577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46203</v>
      </c>
      <c r="C1307" s="11" t="n">
        <v>46258</v>
      </c>
      <c r="D1307" s="10" t="n">
        <v>10011</v>
      </c>
      <c r="E1307" s="12" t="s">
        <v>78</v>
      </c>
      <c r="F1307" s="10" t="n">
        <v>24</v>
      </c>
      <c r="G1307" s="12" t="s">
        <v>31</v>
      </c>
      <c r="H1307" s="10" t="n">
        <v>2110101</v>
      </c>
      <c r="I1307" s="12" t="s">
        <v>32</v>
      </c>
      <c r="J1307" s="10" t="n">
        <v>1330475</v>
      </c>
      <c r="L1307" s="10" t="n">
        <v>34300</v>
      </c>
      <c r="M1307" s="12" t="s">
        <v>79</v>
      </c>
      <c r="N1307" s="12" t="s">
        <v>34</v>
      </c>
      <c r="P1307" s="10" t="n">
        <v>103</v>
      </c>
      <c r="Q1307" s="12" t="s">
        <v>35</v>
      </c>
      <c r="R1307" s="12" t="s">
        <v>36</v>
      </c>
      <c r="S1307" s="10" t="n">
        <v>1130101</v>
      </c>
      <c r="T1307" s="12" t="s">
        <v>37</v>
      </c>
      <c r="U1307" s="13" t="n">
        <v>3377.6</v>
      </c>
      <c r="W1307" s="13" t="n">
        <v>0</v>
      </c>
      <c r="X1307" s="12" t="s">
        <v>1578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46204</v>
      </c>
      <c r="C1308" s="11" t="n">
        <v>46258</v>
      </c>
      <c r="D1308" s="10" t="n">
        <v>607</v>
      </c>
      <c r="E1308" s="12" t="s">
        <v>81</v>
      </c>
      <c r="F1308" s="10" t="n">
        <v>24</v>
      </c>
      <c r="G1308" s="12" t="s">
        <v>31</v>
      </c>
      <c r="H1308" s="10" t="n">
        <v>2110101</v>
      </c>
      <c r="I1308" s="12" t="s">
        <v>32</v>
      </c>
      <c r="J1308" s="10" t="n">
        <v>1335231</v>
      </c>
      <c r="L1308" s="10" t="n">
        <v>11002</v>
      </c>
      <c r="M1308" s="12" t="s">
        <v>79</v>
      </c>
      <c r="N1308" s="12" t="s">
        <v>34</v>
      </c>
      <c r="P1308" s="10" t="n">
        <v>103</v>
      </c>
      <c r="Q1308" s="12" t="s">
        <v>35</v>
      </c>
      <c r="R1308" s="12" t="s">
        <v>36</v>
      </c>
      <c r="S1308" s="10" t="n">
        <v>1130101</v>
      </c>
      <c r="T1308" s="12" t="s">
        <v>37</v>
      </c>
      <c r="U1308" s="13" t="n">
        <v>1849.57</v>
      </c>
      <c r="W1308" s="13" t="n">
        <v>0</v>
      </c>
      <c r="X1308" s="12" t="s">
        <v>1579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46198</v>
      </c>
      <c r="C1309" s="11" t="n">
        <v>46258</v>
      </c>
      <c r="D1309" s="10" t="n">
        <v>536</v>
      </c>
      <c r="E1309" s="12" t="s">
        <v>1056</v>
      </c>
      <c r="F1309" s="10" t="n">
        <v>24</v>
      </c>
      <c r="G1309" s="12" t="s">
        <v>31</v>
      </c>
      <c r="H1309" s="10" t="n">
        <v>2110405</v>
      </c>
      <c r="I1309" s="12" t="s">
        <v>153</v>
      </c>
      <c r="J1309" s="10" t="n">
        <v>847424</v>
      </c>
      <c r="L1309" s="10" t="n">
        <v>363545</v>
      </c>
      <c r="M1309" s="12" t="s">
        <v>116</v>
      </c>
      <c r="N1309" s="12" t="s">
        <v>66</v>
      </c>
      <c r="P1309" s="10" t="n">
        <v>102</v>
      </c>
      <c r="Q1309" s="12" t="s">
        <v>112</v>
      </c>
      <c r="R1309" s="12" t="s">
        <v>94</v>
      </c>
      <c r="S1309" s="10" t="n">
        <v>4210227</v>
      </c>
      <c r="T1309" s="12" t="s">
        <v>573</v>
      </c>
      <c r="U1309" s="13" t="n">
        <v>1001.34</v>
      </c>
      <c r="W1309" s="13" t="n">
        <v>0</v>
      </c>
      <c r="X1309" s="12" t="s">
        <v>1057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46231</v>
      </c>
      <c r="C1310" s="11" t="n">
        <v>46259</v>
      </c>
      <c r="D1310" s="10" t="n">
        <v>10098</v>
      </c>
      <c r="E1310" s="12" t="s">
        <v>454</v>
      </c>
      <c r="F1310" s="10" t="n">
        <v>36</v>
      </c>
      <c r="G1310" s="12" t="s">
        <v>1061</v>
      </c>
      <c r="H1310" s="10" t="n">
        <v>1110202</v>
      </c>
      <c r="I1310" s="12" t="s">
        <v>90</v>
      </c>
      <c r="J1310" s="10" t="n">
        <v>1463756</v>
      </c>
      <c r="L1310" s="10" t="n">
        <v>1141</v>
      </c>
      <c r="M1310" s="12" t="s">
        <v>33</v>
      </c>
      <c r="N1310" s="12" t="s">
        <v>66</v>
      </c>
      <c r="P1310" s="10" t="n">
        <v>103</v>
      </c>
      <c r="Q1310" s="12" t="s">
        <v>35</v>
      </c>
      <c r="R1310" s="12" t="s">
        <v>36</v>
      </c>
      <c r="S1310" s="10" t="n">
        <v>1130101</v>
      </c>
      <c r="T1310" s="12" t="s">
        <v>37</v>
      </c>
      <c r="U1310" s="13" t="n">
        <v>164.7</v>
      </c>
      <c r="W1310" s="13" t="n">
        <v>0</v>
      </c>
      <c r="X1310" s="12" t="s">
        <v>1580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46231</v>
      </c>
      <c r="C1311" s="11" t="n">
        <v>46259</v>
      </c>
      <c r="D1311" s="10" t="n">
        <v>10098</v>
      </c>
      <c r="E1311" s="12" t="s">
        <v>454</v>
      </c>
      <c r="F1311" s="10" t="n">
        <v>36</v>
      </c>
      <c r="G1311" s="12" t="s">
        <v>1061</v>
      </c>
      <c r="H1311" s="10" t="n">
        <v>1110202</v>
      </c>
      <c r="I1311" s="12" t="s">
        <v>90</v>
      </c>
      <c r="J1311" s="10" t="n">
        <v>1464140</v>
      </c>
      <c r="L1311" s="10" t="n">
        <v>1154</v>
      </c>
      <c r="M1311" s="12" t="s">
        <v>33</v>
      </c>
      <c r="N1311" s="12" t="s">
        <v>66</v>
      </c>
      <c r="P1311" s="10" t="n">
        <v>103</v>
      </c>
      <c r="Q1311" s="12" t="s">
        <v>35</v>
      </c>
      <c r="R1311" s="12" t="s">
        <v>36</v>
      </c>
      <c r="S1311" s="10" t="n">
        <v>1130101</v>
      </c>
      <c r="T1311" s="12" t="s">
        <v>37</v>
      </c>
      <c r="U1311" s="13" t="n">
        <v>233.6</v>
      </c>
      <c r="W1311" s="13" t="n">
        <v>0</v>
      </c>
      <c r="X1311" s="12" t="s">
        <v>1581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46231</v>
      </c>
      <c r="C1312" s="11" t="n">
        <v>46259</v>
      </c>
      <c r="D1312" s="10" t="n">
        <v>10098</v>
      </c>
      <c r="E1312" s="12" t="s">
        <v>454</v>
      </c>
      <c r="F1312" s="10" t="n">
        <v>36</v>
      </c>
      <c r="G1312" s="12" t="s">
        <v>1061</v>
      </c>
      <c r="H1312" s="10" t="n">
        <v>1110202</v>
      </c>
      <c r="I1312" s="12" t="s">
        <v>90</v>
      </c>
      <c r="J1312" s="10" t="n">
        <v>1464155</v>
      </c>
      <c r="L1312" s="10" t="n">
        <v>1155</v>
      </c>
      <c r="M1312" s="12" t="s">
        <v>33</v>
      </c>
      <c r="N1312" s="12" t="s">
        <v>66</v>
      </c>
      <c r="P1312" s="10" t="n">
        <v>103</v>
      </c>
      <c r="Q1312" s="12" t="s">
        <v>35</v>
      </c>
      <c r="R1312" s="12" t="s">
        <v>36</v>
      </c>
      <c r="S1312" s="10" t="n">
        <v>1130101</v>
      </c>
      <c r="T1312" s="12" t="s">
        <v>37</v>
      </c>
      <c r="U1312" s="13" t="n">
        <v>178.7</v>
      </c>
      <c r="W1312" s="13" t="n">
        <v>0</v>
      </c>
      <c r="X1312" s="12" t="s">
        <v>1582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46231</v>
      </c>
      <c r="C1313" s="11" t="n">
        <v>46259</v>
      </c>
      <c r="D1313" s="10" t="n">
        <v>10098</v>
      </c>
      <c r="E1313" s="12" t="s">
        <v>454</v>
      </c>
      <c r="F1313" s="10" t="n">
        <v>36</v>
      </c>
      <c r="G1313" s="12" t="s">
        <v>1061</v>
      </c>
      <c r="H1313" s="10" t="n">
        <v>1110202</v>
      </c>
      <c r="I1313" s="12" t="s">
        <v>90</v>
      </c>
      <c r="J1313" s="10" t="n">
        <v>1463886</v>
      </c>
      <c r="L1313" s="10" t="n">
        <v>1146</v>
      </c>
      <c r="M1313" s="12" t="s">
        <v>33</v>
      </c>
      <c r="N1313" s="12" t="s">
        <v>66</v>
      </c>
      <c r="P1313" s="10" t="n">
        <v>103</v>
      </c>
      <c r="Q1313" s="12" t="s">
        <v>35</v>
      </c>
      <c r="R1313" s="12" t="s">
        <v>36</v>
      </c>
      <c r="S1313" s="10" t="n">
        <v>1130101</v>
      </c>
      <c r="T1313" s="12" t="s">
        <v>37</v>
      </c>
      <c r="U1313" s="13" t="n">
        <v>75.68</v>
      </c>
      <c r="W1313" s="13" t="n">
        <v>0</v>
      </c>
      <c r="X1313" s="12" t="s">
        <v>1583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46198</v>
      </c>
      <c r="C1314" s="11" t="n">
        <v>46259</v>
      </c>
      <c r="D1314" s="10" t="n">
        <v>875</v>
      </c>
      <c r="E1314" s="12" t="s">
        <v>1063</v>
      </c>
      <c r="F1314" s="10" t="n">
        <v>36</v>
      </c>
      <c r="G1314" s="12" t="s">
        <v>1061</v>
      </c>
      <c r="H1314" s="10" t="n">
        <v>2110101</v>
      </c>
      <c r="I1314" s="12" t="s">
        <v>32</v>
      </c>
      <c r="J1314" s="10" t="n">
        <v>1305944</v>
      </c>
      <c r="L1314" s="10" t="n">
        <v>540382</v>
      </c>
      <c r="M1314" s="12" t="s">
        <v>40</v>
      </c>
      <c r="N1314" s="12" t="s">
        <v>66</v>
      </c>
      <c r="P1314" s="10" t="n">
        <v>102</v>
      </c>
      <c r="Q1314" s="12" t="s">
        <v>112</v>
      </c>
      <c r="R1314" s="12" t="s">
        <v>36</v>
      </c>
      <c r="S1314" s="10" t="n">
        <v>1130101</v>
      </c>
      <c r="T1314" s="12" t="s">
        <v>37</v>
      </c>
      <c r="U1314" s="13" t="n">
        <v>2564.18</v>
      </c>
      <c r="W1314" s="13" t="n">
        <v>0</v>
      </c>
      <c r="X1314" s="12" t="s">
        <v>1064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46218</v>
      </c>
      <c r="C1315" s="11" t="n">
        <v>46259</v>
      </c>
      <c r="D1315" s="10" t="n">
        <v>957</v>
      </c>
      <c r="E1315" s="12" t="s">
        <v>75</v>
      </c>
      <c r="F1315" s="10" t="n">
        <v>24</v>
      </c>
      <c r="G1315" s="12" t="s">
        <v>31</v>
      </c>
      <c r="H1315" s="10" t="n">
        <v>1110202</v>
      </c>
      <c r="I1315" s="12" t="s">
        <v>90</v>
      </c>
      <c r="J1315" s="10" t="n">
        <v>1402587</v>
      </c>
      <c r="L1315" s="10" t="n">
        <v>21048</v>
      </c>
      <c r="M1315" s="12" t="s">
        <v>40</v>
      </c>
      <c r="N1315" s="12" t="s">
        <v>66</v>
      </c>
      <c r="P1315" s="10" t="n">
        <v>103</v>
      </c>
      <c r="Q1315" s="12" t="s">
        <v>35</v>
      </c>
      <c r="R1315" s="12" t="s">
        <v>36</v>
      </c>
      <c r="S1315" s="10" t="n">
        <v>1130101</v>
      </c>
      <c r="T1315" s="12" t="s">
        <v>37</v>
      </c>
      <c r="U1315" s="13" t="n">
        <v>1475.42</v>
      </c>
      <c r="W1315" s="13" t="n">
        <v>0</v>
      </c>
      <c r="X1315" s="12" t="s">
        <v>1584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46218</v>
      </c>
      <c r="C1316" s="11" t="n">
        <v>46259</v>
      </c>
      <c r="D1316" s="10" t="n">
        <v>957</v>
      </c>
      <c r="E1316" s="12" t="s">
        <v>75</v>
      </c>
      <c r="F1316" s="10" t="n">
        <v>24</v>
      </c>
      <c r="G1316" s="12" t="s">
        <v>31</v>
      </c>
      <c r="H1316" s="10" t="n">
        <v>1110202</v>
      </c>
      <c r="I1316" s="12" t="s">
        <v>90</v>
      </c>
      <c r="J1316" s="10" t="n">
        <v>1402047</v>
      </c>
      <c r="L1316" s="10" t="n">
        <v>21047</v>
      </c>
      <c r="M1316" s="12" t="s">
        <v>76</v>
      </c>
      <c r="N1316" s="12" t="s">
        <v>66</v>
      </c>
      <c r="P1316" s="10" t="n">
        <v>103</v>
      </c>
      <c r="Q1316" s="12" t="s">
        <v>35</v>
      </c>
      <c r="R1316" s="12" t="s">
        <v>36</v>
      </c>
      <c r="S1316" s="10" t="n">
        <v>1130101</v>
      </c>
      <c r="T1316" s="12" t="s">
        <v>37</v>
      </c>
      <c r="U1316" s="13" t="n">
        <v>2186.19</v>
      </c>
      <c r="W1316" s="13" t="n">
        <v>0</v>
      </c>
      <c r="X1316" s="12" t="s">
        <v>1585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46231</v>
      </c>
      <c r="C1317" s="11" t="n">
        <v>46259</v>
      </c>
      <c r="D1317" s="10" t="n">
        <v>1148</v>
      </c>
      <c r="E1317" s="12" t="s">
        <v>1586</v>
      </c>
      <c r="F1317" s="10" t="n">
        <v>36</v>
      </c>
      <c r="G1317" s="12" t="s">
        <v>1061</v>
      </c>
      <c r="H1317" s="10" t="n">
        <v>1110202</v>
      </c>
      <c r="I1317" s="12" t="s">
        <v>90</v>
      </c>
      <c r="J1317" s="10" t="n">
        <v>1464132</v>
      </c>
      <c r="L1317" s="10" t="n">
        <v>1148</v>
      </c>
      <c r="M1317" s="12" t="s">
        <v>33</v>
      </c>
      <c r="N1317" s="12" t="s">
        <v>66</v>
      </c>
      <c r="P1317" s="10" t="n">
        <v>103</v>
      </c>
      <c r="Q1317" s="12" t="s">
        <v>35</v>
      </c>
      <c r="R1317" s="12" t="s">
        <v>36</v>
      </c>
      <c r="S1317" s="10" t="n">
        <v>1130101</v>
      </c>
      <c r="T1317" s="12" t="s">
        <v>37</v>
      </c>
      <c r="U1317" s="13" t="n">
        <v>82.35</v>
      </c>
      <c r="W1317" s="13" t="n">
        <v>0</v>
      </c>
      <c r="X1317" s="12" t="s">
        <v>1587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46038</v>
      </c>
      <c r="C1318" s="11" t="n">
        <v>46259</v>
      </c>
      <c r="D1318" s="10" t="n">
        <v>10039</v>
      </c>
      <c r="E1318" s="12" t="s">
        <v>1078</v>
      </c>
      <c r="F1318" s="10" t="n">
        <v>36</v>
      </c>
      <c r="G1318" s="12" t="s">
        <v>1061</v>
      </c>
      <c r="H1318" s="10" t="n">
        <v>2110102</v>
      </c>
      <c r="I1318" s="12" t="s">
        <v>197</v>
      </c>
      <c r="J1318" s="10" t="n">
        <v>532309</v>
      </c>
      <c r="L1318" s="10" t="n">
        <v>2543</v>
      </c>
      <c r="M1318" s="12" t="s">
        <v>1349</v>
      </c>
      <c r="N1318" s="12" t="s">
        <v>34</v>
      </c>
      <c r="P1318" s="10" t="n">
        <v>101</v>
      </c>
      <c r="Q1318" s="12" t="s">
        <v>84</v>
      </c>
      <c r="R1318" s="12" t="s">
        <v>94</v>
      </c>
      <c r="S1318" s="10" t="n">
        <v>4210204</v>
      </c>
      <c r="T1318" s="12" t="s">
        <v>198</v>
      </c>
      <c r="U1318" s="13" t="n">
        <v>285.77</v>
      </c>
      <c r="W1318" s="13" t="n">
        <v>0</v>
      </c>
      <c r="X1318" s="12" t="s">
        <v>1588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46098</v>
      </c>
      <c r="C1319" s="11" t="n">
        <v>46259</v>
      </c>
      <c r="D1319" s="10" t="n">
        <v>468</v>
      </c>
      <c r="E1319" s="12" t="s">
        <v>1084</v>
      </c>
      <c r="F1319" s="10" t="n">
        <v>36</v>
      </c>
      <c r="G1319" s="12" t="s">
        <v>1061</v>
      </c>
      <c r="H1319" s="10" t="n">
        <v>2110101</v>
      </c>
      <c r="I1319" s="12" t="s">
        <v>32</v>
      </c>
      <c r="J1319" s="10" t="n">
        <v>826843</v>
      </c>
      <c r="L1319" s="10" t="n">
        <v>355659</v>
      </c>
      <c r="M1319" s="12" t="s">
        <v>448</v>
      </c>
      <c r="N1319" s="12" t="s">
        <v>66</v>
      </c>
      <c r="P1319" s="10" t="n">
        <v>103</v>
      </c>
      <c r="Q1319" s="12" t="s">
        <v>35</v>
      </c>
      <c r="R1319" s="12" t="s">
        <v>36</v>
      </c>
      <c r="S1319" s="10" t="n">
        <v>1130101</v>
      </c>
      <c r="T1319" s="12" t="s">
        <v>37</v>
      </c>
      <c r="U1319" s="13" t="n">
        <v>233.33</v>
      </c>
      <c r="W1319" s="13" t="n">
        <v>0</v>
      </c>
      <c r="X1319" s="12" t="s">
        <v>1589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46094</v>
      </c>
      <c r="C1320" s="11" t="n">
        <v>46259</v>
      </c>
      <c r="D1320" s="10" t="n">
        <v>468</v>
      </c>
      <c r="E1320" s="12" t="s">
        <v>1084</v>
      </c>
      <c r="F1320" s="10" t="n">
        <v>36</v>
      </c>
      <c r="G1320" s="12" t="s">
        <v>1061</v>
      </c>
      <c r="H1320" s="10" t="n">
        <v>2110405</v>
      </c>
      <c r="I1320" s="12" t="s">
        <v>153</v>
      </c>
      <c r="J1320" s="10" t="n">
        <v>1024118</v>
      </c>
      <c r="L1320" s="10" t="n">
        <v>14289</v>
      </c>
      <c r="M1320" s="12" t="s">
        <v>448</v>
      </c>
      <c r="N1320" s="12" t="s">
        <v>66</v>
      </c>
      <c r="P1320" s="10" t="n">
        <v>101</v>
      </c>
      <c r="Q1320" s="12" t="s">
        <v>84</v>
      </c>
      <c r="R1320" s="12" t="s">
        <v>1081</v>
      </c>
      <c r="S1320" s="10" t="n">
        <v>1240103</v>
      </c>
      <c r="T1320" s="12" t="s">
        <v>1082</v>
      </c>
      <c r="U1320" s="13" t="n">
        <v>1197</v>
      </c>
      <c r="W1320" s="13" t="n">
        <v>0</v>
      </c>
      <c r="X1320" s="12" t="s">
        <v>1086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46232</v>
      </c>
      <c r="C1321" s="11" t="n">
        <v>46259</v>
      </c>
      <c r="D1321" s="10" t="n">
        <v>1064</v>
      </c>
      <c r="E1321" s="12" t="s">
        <v>1090</v>
      </c>
      <c r="F1321" s="10" t="n">
        <v>36</v>
      </c>
      <c r="G1321" s="12" t="s">
        <v>1061</v>
      </c>
      <c r="H1321" s="10" t="n">
        <v>1110202</v>
      </c>
      <c r="I1321" s="12" t="s">
        <v>90</v>
      </c>
      <c r="J1321" s="10" t="n">
        <v>1469530</v>
      </c>
      <c r="L1321" s="10" t="n">
        <v>603893</v>
      </c>
      <c r="M1321" s="12" t="s">
        <v>79</v>
      </c>
      <c r="N1321" s="12" t="s">
        <v>66</v>
      </c>
      <c r="P1321" s="10" t="n">
        <v>102</v>
      </c>
      <c r="Q1321" s="12" t="s">
        <v>112</v>
      </c>
      <c r="R1321" s="12" t="s">
        <v>94</v>
      </c>
      <c r="S1321" s="10" t="n">
        <v>4210227</v>
      </c>
      <c r="T1321" s="12" t="s">
        <v>573</v>
      </c>
      <c r="U1321" s="13" t="n">
        <v>256.58</v>
      </c>
      <c r="W1321" s="13" t="n">
        <v>0</v>
      </c>
      <c r="X1321" s="12" t="s">
        <v>1590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46085</v>
      </c>
      <c r="C1322" s="11" t="n">
        <v>46259</v>
      </c>
      <c r="D1322" s="10" t="n">
        <v>500</v>
      </c>
      <c r="E1322" s="12" t="s">
        <v>1096</v>
      </c>
      <c r="F1322" s="10" t="n">
        <v>36</v>
      </c>
      <c r="G1322" s="12" t="s">
        <v>1061</v>
      </c>
      <c r="H1322" s="10" t="n">
        <v>2110101</v>
      </c>
      <c r="I1322" s="12" t="s">
        <v>32</v>
      </c>
      <c r="J1322" s="10" t="n">
        <v>808801</v>
      </c>
      <c r="L1322" s="10" t="n">
        <v>349045</v>
      </c>
      <c r="M1322" s="12" t="s">
        <v>116</v>
      </c>
      <c r="N1322" s="12" t="s">
        <v>66</v>
      </c>
      <c r="P1322" s="10" t="n">
        <v>103</v>
      </c>
      <c r="Q1322" s="12" t="s">
        <v>35</v>
      </c>
      <c r="R1322" s="12" t="s">
        <v>153</v>
      </c>
      <c r="S1322" s="10" t="n">
        <v>2110405</v>
      </c>
      <c r="T1322" s="12" t="s">
        <v>153</v>
      </c>
      <c r="U1322" s="13" t="n">
        <v>399.1</v>
      </c>
      <c r="W1322" s="13" t="n">
        <v>0</v>
      </c>
      <c r="X1322" s="12" t="s">
        <v>1591</v>
      </c>
      <c r="Z1322" s="1" t="str">
        <f aca="false">IF($T1322="","",IFERROR(INDEX('Resumo Grupos'!$AC$3:$AC$200,MATCH($T1322,'Resumo Grupos'!$AB$3:$AB$200,0)),"n/d"))</f>
        <v>Cobertura de conta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46120</v>
      </c>
      <c r="C1323" s="11" t="n">
        <v>46259</v>
      </c>
      <c r="D1323" s="10" t="n">
        <v>500</v>
      </c>
      <c r="E1323" s="12" t="s">
        <v>1096</v>
      </c>
      <c r="F1323" s="10" t="n">
        <v>36</v>
      </c>
      <c r="G1323" s="12" t="s">
        <v>1061</v>
      </c>
      <c r="H1323" s="10" t="n">
        <v>2110405</v>
      </c>
      <c r="I1323" s="12" t="s">
        <v>153</v>
      </c>
      <c r="J1323" s="10" t="n">
        <v>920498</v>
      </c>
      <c r="L1323" s="10" t="n">
        <v>391987</v>
      </c>
      <c r="M1323" s="12" t="s">
        <v>448</v>
      </c>
      <c r="N1323" s="12" t="s">
        <v>66</v>
      </c>
      <c r="P1323" s="10" t="n">
        <v>103</v>
      </c>
      <c r="Q1323" s="12" t="s">
        <v>35</v>
      </c>
      <c r="R1323" s="12" t="s">
        <v>94</v>
      </c>
      <c r="S1323" s="10" t="n">
        <v>4210227</v>
      </c>
      <c r="T1323" s="12" t="s">
        <v>573</v>
      </c>
      <c r="U1323" s="13" t="n">
        <v>4934.34</v>
      </c>
      <c r="W1323" s="13" t="n">
        <v>0</v>
      </c>
      <c r="X1323" s="12" t="s">
        <v>1592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46216</v>
      </c>
      <c r="C1324" s="11" t="n">
        <v>46259</v>
      </c>
      <c r="D1324" s="10" t="n">
        <v>1624</v>
      </c>
      <c r="E1324" s="12" t="s">
        <v>367</v>
      </c>
      <c r="F1324" s="10" t="n">
        <v>24</v>
      </c>
      <c r="G1324" s="12" t="s">
        <v>31</v>
      </c>
      <c r="H1324" s="10" t="n">
        <v>1110202</v>
      </c>
      <c r="I1324" s="12" t="s">
        <v>90</v>
      </c>
      <c r="J1324" s="10" t="n">
        <v>1393007</v>
      </c>
      <c r="L1324" s="10" t="n">
        <v>662479</v>
      </c>
      <c r="M1324" s="12" t="s">
        <v>79</v>
      </c>
      <c r="N1324" s="12" t="s">
        <v>66</v>
      </c>
      <c r="P1324" s="10" t="n">
        <v>103</v>
      </c>
      <c r="Q1324" s="12" t="s">
        <v>35</v>
      </c>
      <c r="R1324" s="12" t="s">
        <v>36</v>
      </c>
      <c r="S1324" s="10" t="n">
        <v>1130101</v>
      </c>
      <c r="T1324" s="12" t="s">
        <v>37</v>
      </c>
      <c r="U1324" s="13" t="n">
        <v>823.62</v>
      </c>
      <c r="W1324" s="13" t="n">
        <v>0</v>
      </c>
      <c r="X1324" s="12" t="s">
        <v>1593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46230</v>
      </c>
      <c r="C1325" s="11" t="n">
        <v>46260</v>
      </c>
      <c r="D1325" s="10" t="n">
        <v>639</v>
      </c>
      <c r="E1325" s="12" t="s">
        <v>1102</v>
      </c>
      <c r="F1325" s="10" t="n">
        <v>24</v>
      </c>
      <c r="G1325" s="12" t="s">
        <v>31</v>
      </c>
      <c r="H1325" s="10" t="n">
        <v>1110202</v>
      </c>
      <c r="I1325" s="12" t="s">
        <v>90</v>
      </c>
      <c r="J1325" s="10" t="n">
        <v>1459262</v>
      </c>
      <c r="L1325" s="10" t="n">
        <v>45551</v>
      </c>
      <c r="M1325" s="12" t="s">
        <v>33</v>
      </c>
      <c r="N1325" s="12" t="s">
        <v>66</v>
      </c>
      <c r="P1325" s="10" t="n">
        <v>101</v>
      </c>
      <c r="Q1325" s="12" t="s">
        <v>84</v>
      </c>
      <c r="R1325" s="12" t="s">
        <v>94</v>
      </c>
      <c r="S1325" s="10" t="n">
        <v>4210216</v>
      </c>
      <c r="T1325" s="12" t="s">
        <v>1103</v>
      </c>
      <c r="U1325" s="13" t="n">
        <v>420</v>
      </c>
      <c r="W1325" s="13" t="n">
        <v>0</v>
      </c>
      <c r="X1325" s="12" t="s">
        <v>1594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46232</v>
      </c>
      <c r="C1326" s="11" t="n">
        <v>46260</v>
      </c>
      <c r="D1326" s="10" t="n">
        <v>1842</v>
      </c>
      <c r="E1326" s="12" t="s">
        <v>1595</v>
      </c>
      <c r="F1326" s="10" t="n">
        <v>24</v>
      </c>
      <c r="G1326" s="12" t="s">
        <v>31</v>
      </c>
      <c r="H1326" s="10" t="n">
        <v>1110202</v>
      </c>
      <c r="I1326" s="12" t="s">
        <v>90</v>
      </c>
      <c r="J1326" s="10" t="n">
        <v>1469815</v>
      </c>
      <c r="L1326" s="10" t="n">
        <v>7730</v>
      </c>
      <c r="M1326" s="12" t="s">
        <v>33</v>
      </c>
      <c r="N1326" s="12" t="s">
        <v>66</v>
      </c>
      <c r="P1326" s="10" t="n">
        <v>103</v>
      </c>
      <c r="Q1326" s="12" t="s">
        <v>35</v>
      </c>
      <c r="R1326" s="12" t="s">
        <v>94</v>
      </c>
      <c r="S1326" s="10" t="n">
        <v>4210229</v>
      </c>
      <c r="T1326" s="12" t="s">
        <v>1596</v>
      </c>
      <c r="U1326" s="13" t="n">
        <v>350</v>
      </c>
      <c r="W1326" s="13" t="n">
        <v>0</v>
      </c>
      <c r="X1326" s="12" t="s">
        <v>1597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46226</v>
      </c>
      <c r="C1327" s="11" t="n">
        <v>46260</v>
      </c>
      <c r="D1327" s="10" t="n">
        <v>10011</v>
      </c>
      <c r="E1327" s="12" t="s">
        <v>78</v>
      </c>
      <c r="F1327" s="10" t="n">
        <v>24</v>
      </c>
      <c r="G1327" s="12" t="s">
        <v>31</v>
      </c>
      <c r="H1327" s="10" t="n">
        <v>1110202</v>
      </c>
      <c r="I1327" s="12" t="s">
        <v>90</v>
      </c>
      <c r="J1327" s="10" t="n">
        <v>1440273</v>
      </c>
      <c r="L1327" s="10" t="n">
        <v>592643</v>
      </c>
      <c r="M1327" s="12" t="s">
        <v>76</v>
      </c>
      <c r="N1327" s="12" t="s">
        <v>66</v>
      </c>
      <c r="P1327" s="10" t="n">
        <v>104</v>
      </c>
      <c r="Q1327" s="12" t="s">
        <v>50</v>
      </c>
      <c r="R1327" s="12" t="s">
        <v>36</v>
      </c>
      <c r="S1327" s="10" t="n">
        <v>1130101</v>
      </c>
      <c r="T1327" s="12" t="s">
        <v>37</v>
      </c>
      <c r="U1327" s="13" t="n">
        <v>562.93</v>
      </c>
      <c r="W1327" s="13" t="n">
        <v>0</v>
      </c>
      <c r="X1327" s="12" t="s">
        <v>1528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46227</v>
      </c>
      <c r="C1328" s="11" t="n">
        <v>46260</v>
      </c>
      <c r="D1328" s="10" t="n">
        <v>1624</v>
      </c>
      <c r="E1328" s="12" t="s">
        <v>367</v>
      </c>
      <c r="F1328" s="10" t="n">
        <v>24</v>
      </c>
      <c r="G1328" s="12" t="s">
        <v>31</v>
      </c>
      <c r="H1328" s="10" t="n">
        <v>1110202</v>
      </c>
      <c r="I1328" s="12" t="s">
        <v>90</v>
      </c>
      <c r="J1328" s="10" t="n">
        <v>1443647</v>
      </c>
      <c r="L1328" s="10" t="n">
        <v>665164</v>
      </c>
      <c r="M1328" s="12" t="s">
        <v>40</v>
      </c>
      <c r="N1328" s="12" t="s">
        <v>66</v>
      </c>
      <c r="P1328" s="10" t="n">
        <v>103</v>
      </c>
      <c r="Q1328" s="12" t="s">
        <v>35</v>
      </c>
      <c r="R1328" s="12" t="s">
        <v>36</v>
      </c>
      <c r="S1328" s="10" t="n">
        <v>1130101</v>
      </c>
      <c r="T1328" s="12" t="s">
        <v>37</v>
      </c>
      <c r="U1328" s="13" t="n">
        <v>853.9</v>
      </c>
      <c r="W1328" s="13" t="n">
        <v>0</v>
      </c>
      <c r="X1328" s="12" t="s">
        <v>1598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46226</v>
      </c>
      <c r="C1329" s="11" t="n">
        <v>46260</v>
      </c>
      <c r="D1329" s="10" t="n">
        <v>1671</v>
      </c>
      <c r="E1329" s="12" t="s">
        <v>83</v>
      </c>
      <c r="F1329" s="10" t="n">
        <v>24</v>
      </c>
      <c r="G1329" s="12" t="s">
        <v>31</v>
      </c>
      <c r="H1329" s="10" t="n">
        <v>1110202</v>
      </c>
      <c r="I1329" s="12" t="s">
        <v>90</v>
      </c>
      <c r="J1329" s="10" t="n">
        <v>1439103</v>
      </c>
      <c r="L1329" s="10" t="n">
        <v>592343</v>
      </c>
      <c r="M1329" s="12" t="s">
        <v>79</v>
      </c>
      <c r="N1329" s="12" t="s">
        <v>66</v>
      </c>
      <c r="P1329" s="10" t="n">
        <v>104</v>
      </c>
      <c r="Q1329" s="12" t="s">
        <v>50</v>
      </c>
      <c r="R1329" s="12" t="s">
        <v>36</v>
      </c>
      <c r="S1329" s="10" t="n">
        <v>1130101</v>
      </c>
      <c r="T1329" s="12" t="s">
        <v>37</v>
      </c>
      <c r="U1329" s="13" t="n">
        <v>1473.38</v>
      </c>
      <c r="W1329" s="13" t="n">
        <v>0</v>
      </c>
      <c r="X1329" s="12" t="s">
        <v>1483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46228</v>
      </c>
      <c r="C1330" s="11" t="n">
        <v>46261</v>
      </c>
      <c r="D1330" s="10" t="n">
        <v>1637</v>
      </c>
      <c r="E1330" s="12" t="s">
        <v>97</v>
      </c>
      <c r="F1330" s="10" t="n">
        <v>24</v>
      </c>
      <c r="G1330" s="12" t="s">
        <v>31</v>
      </c>
      <c r="H1330" s="10" t="n">
        <v>1110202</v>
      </c>
      <c r="I1330" s="12" t="s">
        <v>90</v>
      </c>
      <c r="J1330" s="10" t="n">
        <v>1450083</v>
      </c>
      <c r="L1330" s="10" t="n">
        <v>1910467</v>
      </c>
      <c r="M1330" s="12" t="s">
        <v>33</v>
      </c>
      <c r="N1330" s="12" t="s">
        <v>66</v>
      </c>
      <c r="P1330" s="10" t="n">
        <v>103</v>
      </c>
      <c r="Q1330" s="12" t="s">
        <v>35</v>
      </c>
      <c r="R1330" s="12" t="s">
        <v>36</v>
      </c>
      <c r="S1330" s="10" t="n">
        <v>1130101</v>
      </c>
      <c r="T1330" s="12" t="s">
        <v>37</v>
      </c>
      <c r="U1330" s="13" t="n">
        <v>998.14</v>
      </c>
      <c r="W1330" s="13" t="n">
        <v>0</v>
      </c>
      <c r="X1330" s="12" t="s">
        <v>1599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46233</v>
      </c>
      <c r="C1331" s="11" t="n">
        <v>46261</v>
      </c>
      <c r="D1331" s="10" t="n">
        <v>1608</v>
      </c>
      <c r="E1331" s="12" t="s">
        <v>52</v>
      </c>
      <c r="F1331" s="10" t="n">
        <v>24</v>
      </c>
      <c r="G1331" s="12" t="s">
        <v>31</v>
      </c>
      <c r="H1331" s="10" t="n">
        <v>1110202</v>
      </c>
      <c r="I1331" s="12" t="s">
        <v>90</v>
      </c>
      <c r="J1331" s="10" t="n">
        <v>1473434</v>
      </c>
      <c r="L1331" s="10" t="n">
        <v>1701960</v>
      </c>
      <c r="M1331" s="12" t="s">
        <v>76</v>
      </c>
      <c r="N1331" s="12" t="s">
        <v>66</v>
      </c>
      <c r="P1331" s="10" t="n">
        <v>103</v>
      </c>
      <c r="Q1331" s="12" t="s">
        <v>35</v>
      </c>
      <c r="R1331" s="12" t="s">
        <v>36</v>
      </c>
      <c r="S1331" s="10" t="n">
        <v>1130101</v>
      </c>
      <c r="T1331" s="12" t="s">
        <v>37</v>
      </c>
      <c r="U1331" s="13" t="n">
        <v>944.98</v>
      </c>
      <c r="W1331" s="13" t="n">
        <v>0</v>
      </c>
      <c r="X1331" s="12" t="s">
        <v>1600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46226</v>
      </c>
      <c r="C1332" s="11" t="n">
        <v>46261</v>
      </c>
      <c r="D1332" s="10" t="n">
        <v>10021</v>
      </c>
      <c r="E1332" s="12" t="s">
        <v>1493</v>
      </c>
      <c r="F1332" s="10" t="n">
        <v>24</v>
      </c>
      <c r="G1332" s="12" t="s">
        <v>31</v>
      </c>
      <c r="H1332" s="10" t="n">
        <v>1110202</v>
      </c>
      <c r="I1332" s="12" t="s">
        <v>90</v>
      </c>
      <c r="J1332" s="10" t="n">
        <v>1440166</v>
      </c>
      <c r="L1332" s="10" t="n">
        <v>134703</v>
      </c>
      <c r="M1332" s="12" t="s">
        <v>40</v>
      </c>
      <c r="N1332" s="12" t="s">
        <v>66</v>
      </c>
      <c r="P1332" s="10" t="n">
        <v>103</v>
      </c>
      <c r="Q1332" s="12" t="s">
        <v>35</v>
      </c>
      <c r="R1332" s="12" t="s">
        <v>36</v>
      </c>
      <c r="S1332" s="10" t="n">
        <v>1130101</v>
      </c>
      <c r="T1332" s="12" t="s">
        <v>37</v>
      </c>
      <c r="U1332" s="13" t="n">
        <v>774.48</v>
      </c>
      <c r="W1332" s="13" t="n">
        <v>0</v>
      </c>
      <c r="X1332" s="12" t="s">
        <v>1601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46225</v>
      </c>
      <c r="C1333" s="11" t="n">
        <v>46261</v>
      </c>
      <c r="D1333" s="10" t="n">
        <v>794</v>
      </c>
      <c r="E1333" s="12" t="s">
        <v>160</v>
      </c>
      <c r="F1333" s="10" t="n">
        <v>24</v>
      </c>
      <c r="G1333" s="12" t="s">
        <v>31</v>
      </c>
      <c r="H1333" s="10" t="n">
        <v>1110202</v>
      </c>
      <c r="I1333" s="12" t="s">
        <v>90</v>
      </c>
      <c r="J1333" s="10" t="n">
        <v>1435872</v>
      </c>
      <c r="L1333" s="10" t="n">
        <v>8403</v>
      </c>
      <c r="M1333" s="12" t="s">
        <v>79</v>
      </c>
      <c r="N1333" s="12" t="s">
        <v>66</v>
      </c>
      <c r="P1333" s="10" t="n">
        <v>103</v>
      </c>
      <c r="Q1333" s="12" t="s">
        <v>35</v>
      </c>
      <c r="R1333" s="12" t="s">
        <v>36</v>
      </c>
      <c r="S1333" s="10" t="n">
        <v>1130101</v>
      </c>
      <c r="T1333" s="12" t="s">
        <v>37</v>
      </c>
      <c r="U1333" s="13" t="n">
        <v>2621.73</v>
      </c>
      <c r="W1333" s="13" t="n">
        <v>0</v>
      </c>
      <c r="X1333" s="12" t="s">
        <v>1602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46218</v>
      </c>
      <c r="C1334" s="11" t="n">
        <v>46261</v>
      </c>
      <c r="D1334" s="10" t="n">
        <v>10011</v>
      </c>
      <c r="E1334" s="12" t="s">
        <v>78</v>
      </c>
      <c r="F1334" s="10" t="n">
        <v>24</v>
      </c>
      <c r="G1334" s="12" t="s">
        <v>31</v>
      </c>
      <c r="H1334" s="10" t="n">
        <v>1110202</v>
      </c>
      <c r="I1334" s="12" t="s">
        <v>90</v>
      </c>
      <c r="J1334" s="10" t="n">
        <v>1401989</v>
      </c>
      <c r="L1334" s="10" t="n">
        <v>34663</v>
      </c>
      <c r="M1334" s="12" t="s">
        <v>40</v>
      </c>
      <c r="N1334" s="12" t="s">
        <v>66</v>
      </c>
      <c r="P1334" s="10" t="n">
        <v>103</v>
      </c>
      <c r="Q1334" s="12" t="s">
        <v>35</v>
      </c>
      <c r="R1334" s="12" t="s">
        <v>36</v>
      </c>
      <c r="S1334" s="10" t="n">
        <v>1130101</v>
      </c>
      <c r="T1334" s="12" t="s">
        <v>37</v>
      </c>
      <c r="U1334" s="13" t="n">
        <v>2006</v>
      </c>
      <c r="W1334" s="13" t="n">
        <v>0</v>
      </c>
      <c r="X1334" s="12" t="s">
        <v>1603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46224</v>
      </c>
      <c r="C1335" s="11" t="n">
        <v>46261</v>
      </c>
      <c r="D1335" s="10" t="n">
        <v>607</v>
      </c>
      <c r="E1335" s="12" t="s">
        <v>81</v>
      </c>
      <c r="F1335" s="10" t="n">
        <v>24</v>
      </c>
      <c r="G1335" s="12" t="s">
        <v>31</v>
      </c>
      <c r="H1335" s="10" t="n">
        <v>1110202</v>
      </c>
      <c r="I1335" s="12" t="s">
        <v>90</v>
      </c>
      <c r="J1335" s="10" t="n">
        <v>1429152</v>
      </c>
      <c r="L1335" s="10" t="n">
        <v>11134</v>
      </c>
      <c r="M1335" s="12" t="s">
        <v>76</v>
      </c>
      <c r="N1335" s="12" t="s">
        <v>66</v>
      </c>
      <c r="P1335" s="10" t="n">
        <v>103</v>
      </c>
      <c r="Q1335" s="12" t="s">
        <v>35</v>
      </c>
      <c r="R1335" s="12" t="s">
        <v>36</v>
      </c>
      <c r="S1335" s="10" t="n">
        <v>1130101</v>
      </c>
      <c r="T1335" s="12" t="s">
        <v>37</v>
      </c>
      <c r="U1335" s="13" t="n">
        <v>911.85</v>
      </c>
      <c r="W1335" s="13" t="n">
        <v>0</v>
      </c>
      <c r="X1335" s="12" t="s">
        <v>1604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46220</v>
      </c>
      <c r="C1336" s="11" t="n">
        <v>46261</v>
      </c>
      <c r="D1336" s="10" t="n">
        <v>10012</v>
      </c>
      <c r="E1336" s="12" t="s">
        <v>318</v>
      </c>
      <c r="F1336" s="10" t="n">
        <v>24</v>
      </c>
      <c r="G1336" s="12" t="s">
        <v>31</v>
      </c>
      <c r="H1336" s="10" t="n">
        <v>1110202</v>
      </c>
      <c r="I1336" s="12" t="s">
        <v>90</v>
      </c>
      <c r="J1336" s="10" t="n">
        <v>1411310</v>
      </c>
      <c r="L1336" s="10" t="n">
        <v>1964147</v>
      </c>
      <c r="M1336" s="12" t="s">
        <v>40</v>
      </c>
      <c r="N1336" s="12" t="s">
        <v>66</v>
      </c>
      <c r="P1336" s="10" t="n">
        <v>103</v>
      </c>
      <c r="Q1336" s="12" t="s">
        <v>35</v>
      </c>
      <c r="R1336" s="12" t="s">
        <v>36</v>
      </c>
      <c r="S1336" s="10" t="n">
        <v>1130101</v>
      </c>
      <c r="T1336" s="12" t="s">
        <v>37</v>
      </c>
      <c r="U1336" s="13" t="n">
        <v>1129.56</v>
      </c>
      <c r="W1336" s="13" t="n">
        <v>0</v>
      </c>
      <c r="X1336" s="12" t="s">
        <v>1605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46228</v>
      </c>
      <c r="C1337" s="11" t="n">
        <v>46262</v>
      </c>
      <c r="D1337" s="10" t="n">
        <v>515</v>
      </c>
      <c r="E1337" s="12" t="s">
        <v>111</v>
      </c>
      <c r="F1337" s="10" t="n">
        <v>34</v>
      </c>
      <c r="G1337" s="12" t="s">
        <v>49</v>
      </c>
      <c r="H1337" s="10" t="n">
        <v>1110202</v>
      </c>
      <c r="I1337" s="12" t="s">
        <v>90</v>
      </c>
      <c r="J1337" s="10" t="n">
        <v>1449535</v>
      </c>
      <c r="L1337" s="10" t="n">
        <v>596258</v>
      </c>
      <c r="M1337" s="12" t="s">
        <v>76</v>
      </c>
      <c r="N1337" s="12" t="s">
        <v>66</v>
      </c>
      <c r="P1337" s="10" t="n">
        <v>101</v>
      </c>
      <c r="Q1337" s="12" t="s">
        <v>84</v>
      </c>
      <c r="R1337" s="12" t="s">
        <v>91</v>
      </c>
      <c r="S1337" s="10" t="n">
        <v>4220199</v>
      </c>
      <c r="T1337" s="12" t="s">
        <v>92</v>
      </c>
      <c r="U1337" s="13" t="n">
        <v>3853.23</v>
      </c>
      <c r="W1337" s="13" t="n">
        <v>0</v>
      </c>
      <c r="X1337" s="12" t="s">
        <v>1606</v>
      </c>
      <c r="Z1337" s="1" t="str">
        <f aca="false">IF($T1337="","",IFERROR(INDEX('Resumo Grupos'!$AC$3:$AC$200,MATCH($T1337,'Resumo Grupos'!$AB$3:$AB$200,0)),"n/d"))</f>
        <v>Pagamentos outros não operacionais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46233</v>
      </c>
      <c r="C1338" s="11" t="n">
        <v>46262</v>
      </c>
      <c r="D1338" s="10" t="n">
        <v>10011</v>
      </c>
      <c r="E1338" s="12" t="s">
        <v>78</v>
      </c>
      <c r="F1338" s="10" t="n">
        <v>24</v>
      </c>
      <c r="G1338" s="12" t="s">
        <v>31</v>
      </c>
      <c r="H1338" s="10" t="n">
        <v>1110202</v>
      </c>
      <c r="I1338" s="12" t="s">
        <v>90</v>
      </c>
      <c r="J1338" s="10" t="n">
        <v>1474652</v>
      </c>
      <c r="L1338" s="10" t="n">
        <v>34855</v>
      </c>
      <c r="M1338" s="12" t="s">
        <v>33</v>
      </c>
      <c r="N1338" s="12" t="s">
        <v>66</v>
      </c>
      <c r="P1338" s="10" t="n">
        <v>103</v>
      </c>
      <c r="Q1338" s="12" t="s">
        <v>35</v>
      </c>
      <c r="R1338" s="12" t="s">
        <v>36</v>
      </c>
      <c r="S1338" s="10" t="n">
        <v>1130101</v>
      </c>
      <c r="T1338" s="12" t="s">
        <v>37</v>
      </c>
      <c r="U1338" s="13" t="n">
        <v>629.55</v>
      </c>
      <c r="W1338" s="13" t="n">
        <v>0</v>
      </c>
      <c r="X1338" s="12" t="s">
        <v>1607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46232</v>
      </c>
      <c r="C1339" s="11" t="n">
        <v>46264</v>
      </c>
      <c r="D1339" s="10" t="n">
        <v>815</v>
      </c>
      <c r="E1339" s="12" t="s">
        <v>136</v>
      </c>
      <c r="F1339" s="10" t="n">
        <v>34</v>
      </c>
      <c r="G1339" s="12" t="s">
        <v>49</v>
      </c>
      <c r="H1339" s="10" t="n">
        <v>1110202</v>
      </c>
      <c r="I1339" s="12" t="s">
        <v>90</v>
      </c>
      <c r="J1339" s="10" t="n">
        <v>1470128</v>
      </c>
      <c r="L1339" s="10" t="n">
        <v>604118</v>
      </c>
      <c r="M1339" s="12" t="s">
        <v>33</v>
      </c>
      <c r="N1339" s="12" t="s">
        <v>66</v>
      </c>
      <c r="P1339" s="10" t="n">
        <v>101</v>
      </c>
      <c r="Q1339" s="12" t="s">
        <v>84</v>
      </c>
      <c r="R1339" s="12" t="s">
        <v>113</v>
      </c>
      <c r="S1339" s="10" t="n">
        <v>4210502</v>
      </c>
      <c r="T1339" s="12" t="s">
        <v>607</v>
      </c>
      <c r="U1339" s="13" t="n">
        <v>1000</v>
      </c>
      <c r="W1339" s="13" t="n">
        <v>0</v>
      </c>
      <c r="X1339" s="12" t="s">
        <v>1608</v>
      </c>
      <c r="Z1339" s="1" t="str">
        <f aca="false">IF($T1339="","",IFERROR(INDEX('Resumo Grupos'!$AC$3:$AC$200,MATCH($T1339,'Resumo Grupos'!$AB$3:$AB$200,0)),"n/d"))</f>
        <v>Empréstimo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46234</v>
      </c>
      <c r="C1340" s="11" t="n">
        <v>46264</v>
      </c>
      <c r="D1340" s="10" t="n">
        <v>815</v>
      </c>
      <c r="E1340" s="12" t="s">
        <v>136</v>
      </c>
      <c r="F1340" s="10" t="n">
        <v>34</v>
      </c>
      <c r="G1340" s="12" t="s">
        <v>49</v>
      </c>
      <c r="H1340" s="10" t="n">
        <v>1110202</v>
      </c>
      <c r="I1340" s="12" t="s">
        <v>90</v>
      </c>
      <c r="J1340" s="10" t="n">
        <v>1477514</v>
      </c>
      <c r="L1340" s="10" t="n">
        <v>606999</v>
      </c>
      <c r="M1340" s="12" t="s">
        <v>33</v>
      </c>
      <c r="N1340" s="12" t="s">
        <v>66</v>
      </c>
      <c r="P1340" s="10" t="n">
        <v>101</v>
      </c>
      <c r="Q1340" s="12" t="s">
        <v>84</v>
      </c>
      <c r="R1340" s="12" t="s">
        <v>1507</v>
      </c>
      <c r="S1340" s="10" t="n">
        <v>2210203</v>
      </c>
      <c r="T1340" s="12" t="s">
        <v>1609</v>
      </c>
      <c r="U1340" s="13" t="n">
        <v>50000</v>
      </c>
      <c r="W1340" s="13" t="n">
        <v>0</v>
      </c>
      <c r="X1340" s="12" t="s">
        <v>1610</v>
      </c>
      <c r="Z1340" s="1" t="str">
        <f aca="false">IF($T1340="","",IFERROR(INDEX('Resumo Grupos'!$AC$3:$AC$200,MATCH($T1340,'Resumo Grupos'!$AB$3:$AB$200,0)),"n/d"))</f>
        <v>Empréstimo</v>
      </c>
      <c r="AA1340" s="1" t="str">
        <f aca="false">IF($T1340="","",IF(COUNTIF('Resumo Grupos'!$AE$3:$AE$40,$T1340)&gt;0,"NAO","SIM"))</f>
        <v>NAO</v>
      </c>
    </row>
    <row r="1341" customFormat="false" ht="36.75" hidden="false" customHeight="true" outlineLevel="0" collapsed="false">
      <c r="A1341" s="10" t="n">
        <v>1</v>
      </c>
      <c r="B1341" s="11" t="n">
        <v>46234</v>
      </c>
      <c r="C1341" s="11" t="n">
        <v>46264</v>
      </c>
      <c r="D1341" s="10" t="n">
        <v>815</v>
      </c>
      <c r="E1341" s="12" t="s">
        <v>136</v>
      </c>
      <c r="F1341" s="10" t="n">
        <v>34</v>
      </c>
      <c r="G1341" s="12" t="s">
        <v>49</v>
      </c>
      <c r="H1341" s="10" t="n">
        <v>1110202</v>
      </c>
      <c r="I1341" s="12" t="s">
        <v>90</v>
      </c>
      <c r="J1341" s="10" t="n">
        <v>1477511</v>
      </c>
      <c r="L1341" s="10" t="n">
        <v>606996</v>
      </c>
      <c r="M1341" s="12" t="s">
        <v>33</v>
      </c>
      <c r="N1341" s="12" t="s">
        <v>66</v>
      </c>
      <c r="P1341" s="10" t="n">
        <v>101</v>
      </c>
      <c r="Q1341" s="12" t="s">
        <v>84</v>
      </c>
      <c r="R1341" s="12" t="s">
        <v>1507</v>
      </c>
      <c r="S1341" s="10" t="n">
        <v>2210203</v>
      </c>
      <c r="T1341" s="12" t="s">
        <v>1609</v>
      </c>
      <c r="U1341" s="13" t="n">
        <v>200000</v>
      </c>
      <c r="W1341" s="13" t="n">
        <v>0</v>
      </c>
      <c r="X1341" s="12" t="s">
        <v>1611</v>
      </c>
      <c r="Z1341" s="1" t="str">
        <f aca="false">IF($T1341="","",IFERROR(INDEX('Resumo Grupos'!$AC$3:$AC$200,MATCH($T1341,'Resumo Grupos'!$AB$3:$AB$200,0)),"n/d"))</f>
        <v>Empréstimo</v>
      </c>
      <c r="AA1341" s="1" t="str">
        <f aca="false">IF($T1341="","",IF(COUNTIF('Resumo Grupos'!$AE$3:$AE$40,$T1341)&gt;0,"NAO","SIM"))</f>
        <v>NAO</v>
      </c>
    </row>
    <row r="1342" customFormat="false" ht="54.75" hidden="false" customHeight="true" outlineLevel="0" collapsed="false">
      <c r="A1342" s="10" t="n">
        <v>1</v>
      </c>
      <c r="B1342" s="11" t="n">
        <v>46237</v>
      </c>
      <c r="C1342" s="11" t="n">
        <v>46265</v>
      </c>
      <c r="D1342" s="10" t="n">
        <v>1699</v>
      </c>
      <c r="E1342" s="12" t="s">
        <v>124</v>
      </c>
      <c r="F1342" s="10" t="n">
        <v>24</v>
      </c>
      <c r="G1342" s="12" t="s">
        <v>31</v>
      </c>
      <c r="H1342" s="10" t="n">
        <v>1110202</v>
      </c>
      <c r="I1342" s="12" t="s">
        <v>90</v>
      </c>
      <c r="J1342" s="10" t="n">
        <v>1495640</v>
      </c>
      <c r="L1342" s="10" t="n">
        <v>309757</v>
      </c>
      <c r="M1342" s="12" t="s">
        <v>40</v>
      </c>
      <c r="N1342" s="12" t="s">
        <v>66</v>
      </c>
      <c r="P1342" s="10" t="n">
        <v>103</v>
      </c>
      <c r="Q1342" s="12" t="s">
        <v>35</v>
      </c>
      <c r="R1342" s="12" t="s">
        <v>36</v>
      </c>
      <c r="S1342" s="10" t="n">
        <v>1130101</v>
      </c>
      <c r="T1342" s="12" t="s">
        <v>37</v>
      </c>
      <c r="U1342" s="13" t="n">
        <v>403.5</v>
      </c>
      <c r="W1342" s="13" t="n">
        <v>0</v>
      </c>
      <c r="X1342" s="12" t="s">
        <v>1612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46234</v>
      </c>
      <c r="C1343" s="11" t="n">
        <v>46265</v>
      </c>
      <c r="D1343" s="10" t="n">
        <v>1699</v>
      </c>
      <c r="E1343" s="12" t="s">
        <v>124</v>
      </c>
      <c r="F1343" s="10" t="n">
        <v>24</v>
      </c>
      <c r="G1343" s="12" t="s">
        <v>31</v>
      </c>
      <c r="H1343" s="10" t="n">
        <v>1110202</v>
      </c>
      <c r="I1343" s="12" t="s">
        <v>90</v>
      </c>
      <c r="J1343" s="10" t="n">
        <v>1478171</v>
      </c>
      <c r="L1343" s="10" t="n">
        <v>309642</v>
      </c>
      <c r="M1343" s="12" t="s">
        <v>40</v>
      </c>
      <c r="N1343" s="12" t="s">
        <v>66</v>
      </c>
      <c r="P1343" s="10" t="n">
        <v>103</v>
      </c>
      <c r="Q1343" s="12" t="s">
        <v>35</v>
      </c>
      <c r="R1343" s="12" t="s">
        <v>36</v>
      </c>
      <c r="S1343" s="10" t="n">
        <v>1130101</v>
      </c>
      <c r="T1343" s="12" t="s">
        <v>37</v>
      </c>
      <c r="U1343" s="13" t="n">
        <v>1633.1</v>
      </c>
      <c r="W1343" s="13" t="n">
        <v>0</v>
      </c>
      <c r="X1343" s="12" t="s">
        <v>1613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46226</v>
      </c>
      <c r="C1344" s="11" t="n">
        <v>46266</v>
      </c>
      <c r="D1344" s="10" t="n">
        <v>957</v>
      </c>
      <c r="E1344" s="12" t="s">
        <v>75</v>
      </c>
      <c r="F1344" s="10" t="n">
        <v>24</v>
      </c>
      <c r="G1344" s="12" t="s">
        <v>31</v>
      </c>
      <c r="H1344" s="10" t="n">
        <v>1110202</v>
      </c>
      <c r="I1344" s="12" t="s">
        <v>90</v>
      </c>
      <c r="J1344" s="10" t="n">
        <v>1439137</v>
      </c>
      <c r="L1344" s="10" t="n">
        <v>21188</v>
      </c>
      <c r="M1344" s="12" t="s">
        <v>40</v>
      </c>
      <c r="N1344" s="12" t="s">
        <v>66</v>
      </c>
      <c r="P1344" s="10" t="n">
        <v>103</v>
      </c>
      <c r="Q1344" s="12" t="s">
        <v>35</v>
      </c>
      <c r="R1344" s="12" t="s">
        <v>36</v>
      </c>
      <c r="S1344" s="10" t="n">
        <v>1130101</v>
      </c>
      <c r="T1344" s="12" t="s">
        <v>37</v>
      </c>
      <c r="U1344" s="13" t="n">
        <v>3458.9</v>
      </c>
      <c r="W1344" s="13" t="n">
        <v>0</v>
      </c>
      <c r="X1344" s="12" t="s">
        <v>1614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46225</v>
      </c>
      <c r="C1345" s="11" t="n">
        <v>46266</v>
      </c>
      <c r="D1345" s="10" t="n">
        <v>10011</v>
      </c>
      <c r="E1345" s="12" t="s">
        <v>78</v>
      </c>
      <c r="F1345" s="10" t="n">
        <v>24</v>
      </c>
      <c r="G1345" s="12" t="s">
        <v>31</v>
      </c>
      <c r="H1345" s="10" t="n">
        <v>1110202</v>
      </c>
      <c r="I1345" s="12" t="s">
        <v>90</v>
      </c>
      <c r="J1345" s="10" t="n">
        <v>1435119</v>
      </c>
      <c r="L1345" s="10" t="n">
        <v>34737</v>
      </c>
      <c r="M1345" s="12" t="s">
        <v>40</v>
      </c>
      <c r="N1345" s="12" t="s">
        <v>66</v>
      </c>
      <c r="P1345" s="10" t="n">
        <v>103</v>
      </c>
      <c r="Q1345" s="12" t="s">
        <v>35</v>
      </c>
      <c r="R1345" s="12" t="s">
        <v>36</v>
      </c>
      <c r="S1345" s="10" t="n">
        <v>1130101</v>
      </c>
      <c r="T1345" s="12" t="s">
        <v>37</v>
      </c>
      <c r="U1345" s="13" t="n">
        <v>807.05</v>
      </c>
      <c r="W1345" s="13" t="n">
        <v>0</v>
      </c>
      <c r="X1345" s="12" t="s">
        <v>1615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46234</v>
      </c>
      <c r="C1346" s="11" t="n">
        <v>46267</v>
      </c>
      <c r="D1346" s="10" t="n">
        <v>49</v>
      </c>
      <c r="E1346" s="12" t="s">
        <v>279</v>
      </c>
      <c r="F1346" s="10" t="n">
        <v>34</v>
      </c>
      <c r="G1346" s="12" t="s">
        <v>49</v>
      </c>
      <c r="H1346" s="10" t="n">
        <v>1110202</v>
      </c>
      <c r="I1346" s="12" t="s">
        <v>90</v>
      </c>
      <c r="J1346" s="10" t="n">
        <v>1477909</v>
      </c>
      <c r="L1346" s="10" t="n">
        <v>607088</v>
      </c>
      <c r="M1346" s="12" t="s">
        <v>33</v>
      </c>
      <c r="N1346" s="12" t="s">
        <v>66</v>
      </c>
      <c r="P1346" s="10" t="n">
        <v>101</v>
      </c>
      <c r="Q1346" s="12" t="s">
        <v>84</v>
      </c>
      <c r="R1346" s="12" t="s">
        <v>280</v>
      </c>
      <c r="S1346" s="10" t="n">
        <v>2110901</v>
      </c>
      <c r="T1346" s="12" t="s">
        <v>281</v>
      </c>
      <c r="U1346" s="13" t="n">
        <v>16500</v>
      </c>
      <c r="W1346" s="13" t="n">
        <v>0</v>
      </c>
      <c r="X1346" s="12" t="s">
        <v>1616</v>
      </c>
      <c r="Z1346" s="1" t="str">
        <f aca="false">IF($T1346="","",IFERROR(INDEX('Resumo Grupos'!$AC$3:$AC$200,MATCH($T1346,'Resumo Grupos'!$AB$3:$AB$200,0)),"n/d"))</f>
        <v>Empréstimo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46204</v>
      </c>
      <c r="C1347" s="11" t="n">
        <v>46268</v>
      </c>
      <c r="D1347" s="10" t="n">
        <v>607</v>
      </c>
      <c r="E1347" s="12" t="s">
        <v>81</v>
      </c>
      <c r="F1347" s="10" t="n">
        <v>24</v>
      </c>
      <c r="G1347" s="12" t="s">
        <v>31</v>
      </c>
      <c r="H1347" s="10" t="n">
        <v>2110101</v>
      </c>
      <c r="I1347" s="12" t="s">
        <v>32</v>
      </c>
      <c r="J1347" s="10" t="n">
        <v>1335231</v>
      </c>
      <c r="L1347" s="10" t="n">
        <v>11002</v>
      </c>
      <c r="M1347" s="12" t="s">
        <v>448</v>
      </c>
      <c r="N1347" s="12" t="s">
        <v>34</v>
      </c>
      <c r="P1347" s="10" t="n">
        <v>103</v>
      </c>
      <c r="Q1347" s="12" t="s">
        <v>35</v>
      </c>
      <c r="R1347" s="12" t="s">
        <v>36</v>
      </c>
      <c r="S1347" s="10" t="n">
        <v>1130101</v>
      </c>
      <c r="T1347" s="12" t="s">
        <v>37</v>
      </c>
      <c r="U1347" s="13" t="n">
        <v>1849.57</v>
      </c>
      <c r="W1347" s="13" t="n">
        <v>0</v>
      </c>
      <c r="X1347" s="12" t="s">
        <v>1617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46209</v>
      </c>
      <c r="C1348" s="11" t="n">
        <v>46269</v>
      </c>
      <c r="D1348" s="10" t="n">
        <v>816</v>
      </c>
      <c r="E1348" s="12" t="s">
        <v>419</v>
      </c>
      <c r="F1348" s="10" t="n">
        <v>34</v>
      </c>
      <c r="G1348" s="12" t="s">
        <v>49</v>
      </c>
      <c r="H1348" s="10" t="n">
        <v>1110202</v>
      </c>
      <c r="I1348" s="12" t="s">
        <v>90</v>
      </c>
      <c r="J1348" s="10" t="n">
        <v>480233</v>
      </c>
      <c r="L1348" s="10" t="n">
        <v>216087</v>
      </c>
      <c r="M1348" s="12" t="s">
        <v>116</v>
      </c>
      <c r="N1348" s="12" t="s">
        <v>66</v>
      </c>
      <c r="P1348" s="10" t="n">
        <v>102</v>
      </c>
      <c r="Q1348" s="12" t="s">
        <v>112</v>
      </c>
      <c r="R1348" s="12" t="s">
        <v>91</v>
      </c>
      <c r="S1348" s="10" t="n">
        <v>4220199</v>
      </c>
      <c r="T1348" s="12" t="s">
        <v>92</v>
      </c>
      <c r="U1348" s="13" t="n">
        <v>2000</v>
      </c>
      <c r="W1348" s="13" t="n">
        <v>0</v>
      </c>
      <c r="X1348" s="12" t="s">
        <v>420</v>
      </c>
      <c r="Z1348" s="1" t="str">
        <f aca="false">IF($T1348="","",IFERROR(INDEX('Resumo Grupos'!$AC$3:$AC$200,MATCH($T1348,'Resumo Grupos'!$AB$3:$AB$200,0)),"n/d"))</f>
        <v>Pagamentos outros não operacionais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46209</v>
      </c>
      <c r="C1349" s="11" t="n">
        <v>46269</v>
      </c>
      <c r="D1349" s="10" t="n">
        <v>16</v>
      </c>
      <c r="E1349" s="12" t="s">
        <v>407</v>
      </c>
      <c r="F1349" s="10" t="n">
        <v>34</v>
      </c>
      <c r="G1349" s="12" t="s">
        <v>49</v>
      </c>
      <c r="H1349" s="10" t="n">
        <v>1110202</v>
      </c>
      <c r="I1349" s="12" t="s">
        <v>90</v>
      </c>
      <c r="J1349" s="10" t="n">
        <v>1207139</v>
      </c>
      <c r="L1349" s="10" t="n">
        <v>502148</v>
      </c>
      <c r="M1349" s="12" t="s">
        <v>79</v>
      </c>
      <c r="N1349" s="12" t="s">
        <v>66</v>
      </c>
      <c r="P1349" s="10" t="n">
        <v>102</v>
      </c>
      <c r="Q1349" s="12" t="s">
        <v>112</v>
      </c>
      <c r="R1349" s="12" t="s">
        <v>91</v>
      </c>
      <c r="S1349" s="10" t="n">
        <v>4220199</v>
      </c>
      <c r="T1349" s="12" t="s">
        <v>92</v>
      </c>
      <c r="U1349" s="13" t="n">
        <v>350</v>
      </c>
      <c r="W1349" s="13" t="n">
        <v>0</v>
      </c>
      <c r="X1349" s="12" t="s">
        <v>450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46232</v>
      </c>
      <c r="C1350" s="11" t="n">
        <v>46270</v>
      </c>
      <c r="D1350" s="10" t="n">
        <v>714</v>
      </c>
      <c r="E1350" s="12" t="s">
        <v>425</v>
      </c>
      <c r="F1350" s="10" t="n">
        <v>34</v>
      </c>
      <c r="G1350" s="12" t="s">
        <v>49</v>
      </c>
      <c r="H1350" s="10" t="n">
        <v>1110202</v>
      </c>
      <c r="I1350" s="12" t="s">
        <v>90</v>
      </c>
      <c r="J1350" s="10" t="n">
        <v>1470158</v>
      </c>
      <c r="L1350" s="10" t="n">
        <v>604127</v>
      </c>
      <c r="M1350" s="12" t="s">
        <v>76</v>
      </c>
      <c r="N1350" s="12" t="s">
        <v>66</v>
      </c>
      <c r="P1350" s="10" t="n">
        <v>101</v>
      </c>
      <c r="Q1350" s="12" t="s">
        <v>84</v>
      </c>
      <c r="R1350" s="12" t="s">
        <v>91</v>
      </c>
      <c r="S1350" s="10" t="n">
        <v>4220199</v>
      </c>
      <c r="T1350" s="12" t="s">
        <v>92</v>
      </c>
      <c r="U1350" s="13" t="n">
        <v>6150</v>
      </c>
      <c r="W1350" s="13" t="n">
        <v>0</v>
      </c>
      <c r="X1350" s="12" t="s">
        <v>427</v>
      </c>
      <c r="Z1350" s="1" t="str">
        <f aca="false">IF($T1350="","",IFERROR(INDEX('Resumo Grupos'!$AC$3:$AC$200,MATCH($T1350,'Resumo Grupos'!$AB$3:$AB$200,0)),"n/d"))</f>
        <v>Pagamentos outros não operacionais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46209</v>
      </c>
      <c r="C1351" s="11" t="n">
        <v>46270</v>
      </c>
      <c r="D1351" s="10" t="n">
        <v>714</v>
      </c>
      <c r="E1351" s="12" t="s">
        <v>425</v>
      </c>
      <c r="F1351" s="10" t="n">
        <v>34</v>
      </c>
      <c r="G1351" s="12" t="s">
        <v>49</v>
      </c>
      <c r="H1351" s="10" t="n">
        <v>1110202</v>
      </c>
      <c r="I1351" s="12" t="s">
        <v>90</v>
      </c>
      <c r="J1351" s="10" t="n">
        <v>1207135</v>
      </c>
      <c r="L1351" s="10" t="n">
        <v>502146</v>
      </c>
      <c r="M1351" s="12" t="s">
        <v>79</v>
      </c>
      <c r="N1351" s="12" t="s">
        <v>66</v>
      </c>
      <c r="P1351" s="10" t="n">
        <v>102</v>
      </c>
      <c r="Q1351" s="12" t="s">
        <v>112</v>
      </c>
      <c r="R1351" s="12" t="s">
        <v>401</v>
      </c>
      <c r="S1351" s="10" t="n">
        <v>4210111</v>
      </c>
      <c r="T1351" s="12" t="s">
        <v>402</v>
      </c>
      <c r="U1351" s="13" t="n">
        <v>6500</v>
      </c>
      <c r="W1351" s="13" t="n">
        <v>0</v>
      </c>
      <c r="X1351" s="12" t="s">
        <v>426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46228</v>
      </c>
      <c r="C1352" s="11" t="n">
        <v>46270</v>
      </c>
      <c r="D1352" s="10" t="n">
        <v>1061</v>
      </c>
      <c r="E1352" s="12" t="s">
        <v>393</v>
      </c>
      <c r="F1352" s="10" t="n">
        <v>34</v>
      </c>
      <c r="G1352" s="12" t="s">
        <v>49</v>
      </c>
      <c r="H1352" s="10" t="n">
        <v>1110202</v>
      </c>
      <c r="I1352" s="12" t="s">
        <v>90</v>
      </c>
      <c r="J1352" s="10" t="n">
        <v>1448839</v>
      </c>
      <c r="L1352" s="10" t="n">
        <v>596058</v>
      </c>
      <c r="M1352" s="12" t="s">
        <v>76</v>
      </c>
      <c r="N1352" s="12" t="s">
        <v>66</v>
      </c>
      <c r="P1352" s="10" t="n">
        <v>101</v>
      </c>
      <c r="Q1352" s="12" t="s">
        <v>84</v>
      </c>
      <c r="R1352" s="12" t="s">
        <v>91</v>
      </c>
      <c r="S1352" s="10" t="n">
        <v>4220199</v>
      </c>
      <c r="T1352" s="12" t="s">
        <v>92</v>
      </c>
      <c r="U1352" s="13" t="n">
        <v>1500</v>
      </c>
      <c r="W1352" s="13" t="n">
        <v>0</v>
      </c>
      <c r="X1352" s="12" t="s">
        <v>394</v>
      </c>
      <c r="Z1352" s="1" t="str">
        <f aca="false">IF($T1352="","",IFERROR(INDEX('Resumo Grupos'!$AC$3:$AC$200,MATCH($T1352,'Resumo Grupos'!$AB$3:$AB$200,0)),"n/d"))</f>
        <v>Pagamentos outros não operacionais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46185</v>
      </c>
      <c r="C1353" s="11" t="n">
        <v>46270</v>
      </c>
      <c r="D1353" s="10" t="n">
        <v>1768</v>
      </c>
      <c r="E1353" s="12" t="s">
        <v>395</v>
      </c>
      <c r="F1353" s="10" t="n">
        <v>34</v>
      </c>
      <c r="G1353" s="12" t="s">
        <v>49</v>
      </c>
      <c r="H1353" s="10" t="n">
        <v>1110202</v>
      </c>
      <c r="I1353" s="12" t="s">
        <v>90</v>
      </c>
      <c r="J1353" s="10" t="n">
        <v>1240158</v>
      </c>
      <c r="L1353" s="10" t="n">
        <v>515079</v>
      </c>
      <c r="M1353" s="12" t="s">
        <v>40</v>
      </c>
      <c r="N1353" s="12" t="s">
        <v>66</v>
      </c>
      <c r="P1353" s="10" t="n">
        <v>102</v>
      </c>
      <c r="Q1353" s="12" t="s">
        <v>112</v>
      </c>
      <c r="R1353" s="12" t="s">
        <v>94</v>
      </c>
      <c r="S1353" s="10" t="n">
        <v>4210202</v>
      </c>
      <c r="T1353" s="12" t="s">
        <v>396</v>
      </c>
      <c r="U1353" s="13" t="n">
        <v>2431.5</v>
      </c>
      <c r="W1353" s="13" t="n">
        <v>0</v>
      </c>
      <c r="X1353" s="12" t="s">
        <v>397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46226</v>
      </c>
      <c r="C1354" s="11" t="n">
        <v>46270</v>
      </c>
      <c r="D1354" s="10" t="n">
        <v>10011</v>
      </c>
      <c r="E1354" s="12" t="s">
        <v>78</v>
      </c>
      <c r="F1354" s="10" t="n">
        <v>24</v>
      </c>
      <c r="G1354" s="12" t="s">
        <v>31</v>
      </c>
      <c r="H1354" s="10" t="n">
        <v>1110202</v>
      </c>
      <c r="I1354" s="12" t="s">
        <v>90</v>
      </c>
      <c r="J1354" s="10" t="n">
        <v>1440273</v>
      </c>
      <c r="L1354" s="10" t="n">
        <v>592643</v>
      </c>
      <c r="M1354" s="12" t="s">
        <v>40</v>
      </c>
      <c r="N1354" s="12" t="s">
        <v>66</v>
      </c>
      <c r="P1354" s="10" t="n">
        <v>104</v>
      </c>
      <c r="Q1354" s="12" t="s">
        <v>50</v>
      </c>
      <c r="R1354" s="12" t="s">
        <v>36</v>
      </c>
      <c r="S1354" s="10" t="n">
        <v>1130101</v>
      </c>
      <c r="T1354" s="12" t="s">
        <v>37</v>
      </c>
      <c r="U1354" s="13" t="n">
        <v>562.93</v>
      </c>
      <c r="W1354" s="13" t="n">
        <v>0</v>
      </c>
      <c r="X1354" s="12" t="s">
        <v>1528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46228</v>
      </c>
      <c r="C1355" s="11" t="n">
        <v>46270</v>
      </c>
      <c r="D1355" s="10" t="n">
        <v>16</v>
      </c>
      <c r="E1355" s="12" t="s">
        <v>407</v>
      </c>
      <c r="F1355" s="10" t="n">
        <v>34</v>
      </c>
      <c r="G1355" s="12" t="s">
        <v>49</v>
      </c>
      <c r="H1355" s="10" t="n">
        <v>1110202</v>
      </c>
      <c r="I1355" s="12" t="s">
        <v>90</v>
      </c>
      <c r="J1355" s="10" t="n">
        <v>1448856</v>
      </c>
      <c r="L1355" s="10" t="n">
        <v>596062</v>
      </c>
      <c r="M1355" s="12" t="s">
        <v>76</v>
      </c>
      <c r="N1355" s="12" t="s">
        <v>66</v>
      </c>
      <c r="P1355" s="10" t="n">
        <v>101</v>
      </c>
      <c r="Q1355" s="12" t="s">
        <v>84</v>
      </c>
      <c r="R1355" s="12" t="s">
        <v>121</v>
      </c>
      <c r="S1355" s="10" t="n">
        <v>4210301</v>
      </c>
      <c r="T1355" s="12" t="s">
        <v>122</v>
      </c>
      <c r="U1355" s="13" t="n">
        <v>500</v>
      </c>
      <c r="W1355" s="13" t="n">
        <v>0</v>
      </c>
      <c r="X1355" s="12" t="s">
        <v>1618</v>
      </c>
      <c r="Z1355" s="1" t="str">
        <f aca="false">IF($T1355="","",IFERROR(INDEX('Resumo Grupos'!$AC$3:$AC$200,MATCH($T1355,'Resumo Grupos'!$AB$3:$AB$200,0)),"n/d"))</f>
        <v>Salários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46271</v>
      </c>
      <c r="D1356" s="10" t="n">
        <v>607</v>
      </c>
      <c r="E1356" s="12" t="s">
        <v>81</v>
      </c>
      <c r="F1356" s="10" t="n">
        <v>24</v>
      </c>
      <c r="G1356" s="12" t="s">
        <v>31</v>
      </c>
      <c r="H1356" s="10" t="n">
        <v>1110202</v>
      </c>
      <c r="I1356" s="12" t="s">
        <v>90</v>
      </c>
      <c r="J1356" s="10" t="n">
        <v>1429152</v>
      </c>
      <c r="L1356" s="10" t="n">
        <v>11134</v>
      </c>
      <c r="M1356" s="12" t="s">
        <v>40</v>
      </c>
      <c r="N1356" s="12" t="s">
        <v>66</v>
      </c>
      <c r="P1356" s="10" t="n">
        <v>103</v>
      </c>
      <c r="Q1356" s="12" t="s">
        <v>35</v>
      </c>
      <c r="R1356" s="12" t="s">
        <v>36</v>
      </c>
      <c r="S1356" s="10" t="n">
        <v>1130101</v>
      </c>
      <c r="T1356" s="12" t="s">
        <v>37</v>
      </c>
      <c r="U1356" s="13" t="n">
        <v>911.85</v>
      </c>
      <c r="W1356" s="13" t="n">
        <v>0</v>
      </c>
      <c r="X1356" s="12" t="s">
        <v>1619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46228</v>
      </c>
      <c r="C1357" s="11" t="n">
        <v>46272</v>
      </c>
      <c r="D1357" s="10" t="n">
        <v>1409</v>
      </c>
      <c r="E1357" s="12" t="s">
        <v>1576</v>
      </c>
      <c r="F1357" s="10" t="n">
        <v>24</v>
      </c>
      <c r="G1357" s="12" t="s">
        <v>31</v>
      </c>
      <c r="H1357" s="10" t="n">
        <v>1110202</v>
      </c>
      <c r="I1357" s="12" t="s">
        <v>90</v>
      </c>
      <c r="J1357" s="10" t="n">
        <v>1450142</v>
      </c>
      <c r="L1357" s="10" t="n">
        <v>105914</v>
      </c>
      <c r="M1357" s="12" t="s">
        <v>76</v>
      </c>
      <c r="N1357" s="12" t="s">
        <v>66</v>
      </c>
      <c r="P1357" s="10" t="n">
        <v>103</v>
      </c>
      <c r="Q1357" s="12" t="s">
        <v>35</v>
      </c>
      <c r="R1357" s="12" t="s">
        <v>36</v>
      </c>
      <c r="S1357" s="10" t="n">
        <v>1130101</v>
      </c>
      <c r="T1357" s="12" t="s">
        <v>37</v>
      </c>
      <c r="U1357" s="13" t="n">
        <v>306</v>
      </c>
      <c r="W1357" s="13" t="n">
        <v>0</v>
      </c>
      <c r="X1357" s="12" t="s">
        <v>1620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46218</v>
      </c>
      <c r="C1358" s="11" t="n">
        <v>46274</v>
      </c>
      <c r="D1358" s="10" t="n">
        <v>957</v>
      </c>
      <c r="E1358" s="12" t="s">
        <v>75</v>
      </c>
      <c r="F1358" s="10" t="n">
        <v>24</v>
      </c>
      <c r="G1358" s="12" t="s">
        <v>31</v>
      </c>
      <c r="H1358" s="10" t="n">
        <v>1110202</v>
      </c>
      <c r="I1358" s="12" t="s">
        <v>90</v>
      </c>
      <c r="J1358" s="10" t="n">
        <v>1402047</v>
      </c>
      <c r="L1358" s="10" t="n">
        <v>21047</v>
      </c>
      <c r="M1358" s="12" t="s">
        <v>40</v>
      </c>
      <c r="N1358" s="12" t="s">
        <v>66</v>
      </c>
      <c r="P1358" s="10" t="n">
        <v>103</v>
      </c>
      <c r="Q1358" s="12" t="s">
        <v>35</v>
      </c>
      <c r="R1358" s="12" t="s">
        <v>36</v>
      </c>
      <c r="S1358" s="10" t="n">
        <v>1130101</v>
      </c>
      <c r="T1358" s="12" t="s">
        <v>37</v>
      </c>
      <c r="U1358" s="13" t="n">
        <v>2186.19</v>
      </c>
      <c r="W1358" s="13" t="n">
        <v>0</v>
      </c>
      <c r="X1358" s="12" t="s">
        <v>1621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46204</v>
      </c>
      <c r="C1359" s="11" t="n">
        <v>46275</v>
      </c>
      <c r="D1359" s="10" t="n">
        <v>1008</v>
      </c>
      <c r="E1359" s="12" t="s">
        <v>1414</v>
      </c>
      <c r="F1359" s="10" t="n">
        <v>46</v>
      </c>
      <c r="G1359" s="12" t="s">
        <v>565</v>
      </c>
      <c r="H1359" s="10" t="n">
        <v>2110405</v>
      </c>
      <c r="I1359" s="12" t="s">
        <v>153</v>
      </c>
      <c r="J1359" s="10" t="n">
        <v>1336323</v>
      </c>
      <c r="L1359" s="10" t="n">
        <v>1657</v>
      </c>
      <c r="M1359" s="12" t="s">
        <v>76</v>
      </c>
      <c r="N1359" s="12" t="s">
        <v>66</v>
      </c>
      <c r="P1359" s="10" t="n">
        <v>101</v>
      </c>
      <c r="Q1359" s="12" t="s">
        <v>84</v>
      </c>
      <c r="R1359" s="12" t="s">
        <v>94</v>
      </c>
      <c r="S1359" s="10" t="n">
        <v>4210232</v>
      </c>
      <c r="T1359" s="12" t="s">
        <v>647</v>
      </c>
      <c r="U1359" s="13" t="n">
        <v>208</v>
      </c>
      <c r="W1359" s="13" t="n">
        <v>0</v>
      </c>
      <c r="X1359" s="12" t="s">
        <v>1622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46029</v>
      </c>
      <c r="C1360" s="11" t="n">
        <v>46275</v>
      </c>
      <c r="D1360" s="10" t="n">
        <v>105</v>
      </c>
      <c r="E1360" s="12" t="s">
        <v>564</v>
      </c>
      <c r="F1360" s="10" t="n">
        <v>46</v>
      </c>
      <c r="G1360" s="12" t="s">
        <v>565</v>
      </c>
      <c r="H1360" s="10" t="n">
        <v>2110405</v>
      </c>
      <c r="I1360" s="12" t="s">
        <v>153</v>
      </c>
      <c r="J1360" s="10" t="n">
        <v>651504</v>
      </c>
      <c r="L1360" s="10" t="n">
        <v>287048</v>
      </c>
      <c r="M1360" s="12" t="s">
        <v>1349</v>
      </c>
      <c r="N1360" s="12" t="s">
        <v>66</v>
      </c>
      <c r="P1360" s="10" t="n">
        <v>101</v>
      </c>
      <c r="Q1360" s="12" t="s">
        <v>84</v>
      </c>
      <c r="R1360" s="12" t="s">
        <v>91</v>
      </c>
      <c r="S1360" s="10" t="n">
        <v>4220199</v>
      </c>
      <c r="T1360" s="12" t="s">
        <v>92</v>
      </c>
      <c r="U1360" s="13" t="n">
        <v>1567.08</v>
      </c>
      <c r="W1360" s="13" t="n">
        <v>0</v>
      </c>
      <c r="X1360" s="12" t="s">
        <v>1623</v>
      </c>
      <c r="Z1360" s="1" t="str">
        <f aca="false">IF($T1360="","",IFERROR(INDEX('Resumo Grupos'!$AC$3:$AC$200,MATCH($T1360,'Resumo Grupos'!$AB$3:$AB$200,0)),"n/d"))</f>
        <v>Pagamentos outros não operacionais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46234</v>
      </c>
      <c r="C1361" s="11" t="n">
        <v>46275</v>
      </c>
      <c r="D1361" s="10" t="n">
        <v>608</v>
      </c>
      <c r="E1361" s="12" t="s">
        <v>1417</v>
      </c>
      <c r="F1361" s="10" t="n">
        <v>46</v>
      </c>
      <c r="G1361" s="12" t="s">
        <v>565</v>
      </c>
      <c r="H1361" s="10" t="n">
        <v>1110202</v>
      </c>
      <c r="I1361" s="12" t="s">
        <v>90</v>
      </c>
      <c r="J1361" s="10" t="n">
        <v>1477562</v>
      </c>
      <c r="L1361" s="10" t="n">
        <v>1681242</v>
      </c>
      <c r="M1361" s="12" t="s">
        <v>76</v>
      </c>
      <c r="N1361" s="12" t="s">
        <v>66</v>
      </c>
      <c r="P1361" s="10" t="n">
        <v>101</v>
      </c>
      <c r="Q1361" s="12" t="s">
        <v>84</v>
      </c>
      <c r="R1361" s="12" t="s">
        <v>94</v>
      </c>
      <c r="S1361" s="10" t="n">
        <v>4210232</v>
      </c>
      <c r="T1361" s="12" t="s">
        <v>647</v>
      </c>
      <c r="U1361" s="13" t="n">
        <v>315.62</v>
      </c>
      <c r="W1361" s="13" t="n">
        <v>0</v>
      </c>
      <c r="X1361" s="12" t="s">
        <v>1418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46153</v>
      </c>
      <c r="C1362" s="11" t="n">
        <v>46275</v>
      </c>
      <c r="D1362" s="10" t="n">
        <v>1898</v>
      </c>
      <c r="E1362" s="12" t="s">
        <v>575</v>
      </c>
      <c r="F1362" s="10" t="n">
        <v>46</v>
      </c>
      <c r="G1362" s="12" t="s">
        <v>565</v>
      </c>
      <c r="H1362" s="10" t="n">
        <v>2110405</v>
      </c>
      <c r="I1362" s="12" t="s">
        <v>153</v>
      </c>
      <c r="J1362" s="10" t="n">
        <v>1230688</v>
      </c>
      <c r="L1362" s="10" t="n">
        <v>5484</v>
      </c>
      <c r="M1362" s="12" t="s">
        <v>79</v>
      </c>
      <c r="N1362" s="12" t="s">
        <v>66</v>
      </c>
      <c r="P1362" s="10" t="n">
        <v>101</v>
      </c>
      <c r="Q1362" s="12" t="s">
        <v>84</v>
      </c>
      <c r="R1362" s="12" t="s">
        <v>94</v>
      </c>
      <c r="S1362" s="10" t="n">
        <v>4210205</v>
      </c>
      <c r="T1362" s="12" t="s">
        <v>380</v>
      </c>
      <c r="U1362" s="13" t="n">
        <v>120.13</v>
      </c>
      <c r="W1362" s="13" t="n">
        <v>0</v>
      </c>
      <c r="X1362" s="12" t="s">
        <v>1624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46213</v>
      </c>
      <c r="C1363" s="11" t="n">
        <v>46275</v>
      </c>
      <c r="D1363" s="10" t="n">
        <v>1914</v>
      </c>
      <c r="E1363" s="12" t="s">
        <v>1421</v>
      </c>
      <c r="F1363" s="10" t="n">
        <v>46</v>
      </c>
      <c r="G1363" s="12" t="s">
        <v>565</v>
      </c>
      <c r="H1363" s="10" t="n">
        <v>1110202</v>
      </c>
      <c r="I1363" s="12" t="s">
        <v>90</v>
      </c>
      <c r="J1363" s="10" t="n">
        <v>1377369</v>
      </c>
      <c r="L1363" s="10" t="n">
        <v>28968</v>
      </c>
      <c r="M1363" s="12" t="s">
        <v>76</v>
      </c>
      <c r="N1363" s="12" t="s">
        <v>66</v>
      </c>
      <c r="P1363" s="10" t="n">
        <v>101</v>
      </c>
      <c r="Q1363" s="12" t="s">
        <v>84</v>
      </c>
      <c r="R1363" s="12" t="s">
        <v>94</v>
      </c>
      <c r="S1363" s="10" t="n">
        <v>4210232</v>
      </c>
      <c r="T1363" s="12" t="s">
        <v>647</v>
      </c>
      <c r="U1363" s="13" t="n">
        <v>935.28</v>
      </c>
      <c r="W1363" s="13" t="n">
        <v>0</v>
      </c>
      <c r="X1363" s="12" t="s">
        <v>1625</v>
      </c>
      <c r="Z1363" s="1" t="str">
        <f aca="false">IF($T1363="","",IFERROR(INDEX('Resumo Grupos'!$AC$3:$AC$200,MATCH($T1363,'Resumo Grupos'!$AB$3:$AB$200,0)),"n/d"))</f>
        <v>Despesa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46275</v>
      </c>
      <c r="D1364" s="10" t="n">
        <v>1758</v>
      </c>
      <c r="E1364" s="12" t="s">
        <v>584</v>
      </c>
      <c r="F1364" s="10" t="n">
        <v>46</v>
      </c>
      <c r="G1364" s="12" t="s">
        <v>565</v>
      </c>
      <c r="H1364" s="10" t="n">
        <v>1110202</v>
      </c>
      <c r="I1364" s="12" t="s">
        <v>90</v>
      </c>
      <c r="J1364" s="10" t="n">
        <v>1378055</v>
      </c>
      <c r="L1364" s="10" t="n">
        <v>568065</v>
      </c>
      <c r="M1364" s="12" t="s">
        <v>40</v>
      </c>
      <c r="N1364" s="12" t="s">
        <v>66</v>
      </c>
      <c r="P1364" s="10" t="n">
        <v>101</v>
      </c>
      <c r="Q1364" s="12" t="s">
        <v>84</v>
      </c>
      <c r="R1364" s="12" t="s">
        <v>94</v>
      </c>
      <c r="S1364" s="10" t="n">
        <v>4210227</v>
      </c>
      <c r="T1364" s="12" t="s">
        <v>573</v>
      </c>
      <c r="U1364" s="13" t="n">
        <v>429.64</v>
      </c>
      <c r="W1364" s="13" t="n">
        <v>0</v>
      </c>
      <c r="X1364" s="12" t="s">
        <v>1626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46135</v>
      </c>
      <c r="C1365" s="11" t="n">
        <v>46275</v>
      </c>
      <c r="D1365" s="10" t="n">
        <v>1758</v>
      </c>
      <c r="E1365" s="12" t="s">
        <v>584</v>
      </c>
      <c r="F1365" s="10" t="n">
        <v>46</v>
      </c>
      <c r="G1365" s="12" t="s">
        <v>565</v>
      </c>
      <c r="H1365" s="10" t="n">
        <v>2110405</v>
      </c>
      <c r="I1365" s="12" t="s">
        <v>153</v>
      </c>
      <c r="J1365" s="10" t="n">
        <v>993744</v>
      </c>
      <c r="L1365" s="10" t="n">
        <v>420093</v>
      </c>
      <c r="M1365" s="12" t="s">
        <v>448</v>
      </c>
      <c r="N1365" s="12" t="s">
        <v>66</v>
      </c>
      <c r="P1365" s="10" t="n">
        <v>101</v>
      </c>
      <c r="Q1365" s="12" t="s">
        <v>84</v>
      </c>
      <c r="R1365" s="12" t="s">
        <v>91</v>
      </c>
      <c r="S1365" s="10" t="n">
        <v>4220199</v>
      </c>
      <c r="T1365" s="12" t="s">
        <v>92</v>
      </c>
      <c r="U1365" s="13" t="n">
        <v>130</v>
      </c>
      <c r="W1365" s="13" t="n">
        <v>0</v>
      </c>
      <c r="X1365" s="12" t="s">
        <v>1627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46192</v>
      </c>
      <c r="C1366" s="11" t="n">
        <v>46275</v>
      </c>
      <c r="D1366" s="10" t="n">
        <v>957</v>
      </c>
      <c r="E1366" s="12" t="s">
        <v>75</v>
      </c>
      <c r="F1366" s="10" t="n">
        <v>24</v>
      </c>
      <c r="G1366" s="12" t="s">
        <v>31</v>
      </c>
      <c r="H1366" s="10" t="n">
        <v>2110101</v>
      </c>
      <c r="I1366" s="12" t="s">
        <v>32</v>
      </c>
      <c r="J1366" s="10" t="n">
        <v>1273631</v>
      </c>
      <c r="L1366" s="10" t="n">
        <v>20459</v>
      </c>
      <c r="M1366" s="12" t="s">
        <v>33</v>
      </c>
      <c r="N1366" s="12" t="s">
        <v>34</v>
      </c>
      <c r="P1366" s="10" t="n">
        <v>103</v>
      </c>
      <c r="Q1366" s="12" t="s">
        <v>35</v>
      </c>
      <c r="R1366" s="12" t="s">
        <v>36</v>
      </c>
      <c r="S1366" s="10" t="n">
        <v>1130101</v>
      </c>
      <c r="T1366" s="12" t="s">
        <v>37</v>
      </c>
      <c r="U1366" s="13" t="n">
        <v>1725.68</v>
      </c>
      <c r="W1366" s="13" t="n">
        <v>0</v>
      </c>
      <c r="X1366" s="12" t="s">
        <v>1628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46213</v>
      </c>
      <c r="C1367" s="11" t="n">
        <v>46275</v>
      </c>
      <c r="D1367" s="10" t="n">
        <v>1465</v>
      </c>
      <c r="E1367" s="12" t="s">
        <v>601</v>
      </c>
      <c r="F1367" s="10" t="n">
        <v>46</v>
      </c>
      <c r="G1367" s="12" t="s">
        <v>565</v>
      </c>
      <c r="H1367" s="10" t="n">
        <v>1110202</v>
      </c>
      <c r="I1367" s="12" t="s">
        <v>90</v>
      </c>
      <c r="J1367" s="10" t="n">
        <v>1378075</v>
      </c>
      <c r="L1367" s="10" t="n">
        <v>568085</v>
      </c>
      <c r="M1367" s="12" t="s">
        <v>76</v>
      </c>
      <c r="N1367" s="12" t="s">
        <v>66</v>
      </c>
      <c r="P1367" s="10" t="n">
        <v>101</v>
      </c>
      <c r="Q1367" s="12" t="s">
        <v>84</v>
      </c>
      <c r="R1367" s="12" t="s">
        <v>94</v>
      </c>
      <c r="S1367" s="10" t="n">
        <v>4210228</v>
      </c>
      <c r="T1367" s="12" t="s">
        <v>471</v>
      </c>
      <c r="U1367" s="13" t="n">
        <v>86.76</v>
      </c>
      <c r="W1367" s="13" t="n">
        <v>0</v>
      </c>
      <c r="X1367" s="12" t="s">
        <v>1629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46174</v>
      </c>
      <c r="C1368" s="11" t="n">
        <v>46275</v>
      </c>
      <c r="D1368" s="10" t="n">
        <v>1933</v>
      </c>
      <c r="E1368" s="12" t="s">
        <v>630</v>
      </c>
      <c r="F1368" s="10" t="n">
        <v>46</v>
      </c>
      <c r="G1368" s="12" t="s">
        <v>565</v>
      </c>
      <c r="H1368" s="10" t="n">
        <v>1110202</v>
      </c>
      <c r="I1368" s="12" t="s">
        <v>90</v>
      </c>
      <c r="J1368" s="10" t="n">
        <v>1382032</v>
      </c>
      <c r="L1368" s="10" t="n">
        <v>570381</v>
      </c>
      <c r="M1368" s="12" t="s">
        <v>40</v>
      </c>
      <c r="N1368" s="12" t="s">
        <v>66</v>
      </c>
      <c r="P1368" s="10" t="n">
        <v>101</v>
      </c>
      <c r="Q1368" s="12" t="s">
        <v>84</v>
      </c>
      <c r="R1368" s="12" t="s">
        <v>94</v>
      </c>
      <c r="S1368" s="10" t="n">
        <v>4210227</v>
      </c>
      <c r="T1368" s="12" t="s">
        <v>573</v>
      </c>
      <c r="U1368" s="13" t="n">
        <v>600</v>
      </c>
      <c r="W1368" s="13" t="n">
        <v>0</v>
      </c>
      <c r="X1368" s="12" t="s">
        <v>1630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46216</v>
      </c>
      <c r="C1369" s="11" t="n">
        <v>46275</v>
      </c>
      <c r="D1369" s="10" t="n">
        <v>1717</v>
      </c>
      <c r="E1369" s="12" t="s">
        <v>1456</v>
      </c>
      <c r="F1369" s="10" t="n">
        <v>46</v>
      </c>
      <c r="G1369" s="12" t="s">
        <v>565</v>
      </c>
      <c r="H1369" s="10" t="n">
        <v>1110202</v>
      </c>
      <c r="I1369" s="12" t="s">
        <v>90</v>
      </c>
      <c r="J1369" s="10" t="n">
        <v>1394062</v>
      </c>
      <c r="L1369" s="10" t="n">
        <v>51412</v>
      </c>
      <c r="M1369" s="12" t="s">
        <v>76</v>
      </c>
      <c r="N1369" s="12" t="s">
        <v>66</v>
      </c>
      <c r="P1369" s="10" t="n">
        <v>103</v>
      </c>
      <c r="Q1369" s="12" t="s">
        <v>35</v>
      </c>
      <c r="R1369" s="12" t="s">
        <v>36</v>
      </c>
      <c r="S1369" s="10" t="n">
        <v>1130101</v>
      </c>
      <c r="T1369" s="12" t="s">
        <v>37</v>
      </c>
      <c r="U1369" s="13" t="n">
        <v>319.2</v>
      </c>
      <c r="W1369" s="13" t="n">
        <v>0</v>
      </c>
      <c r="X1369" s="12" t="s">
        <v>1631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46183</v>
      </c>
      <c r="C1370" s="11" t="n">
        <v>46275</v>
      </c>
      <c r="D1370" s="10" t="n">
        <v>1747</v>
      </c>
      <c r="E1370" s="12" t="s">
        <v>657</v>
      </c>
      <c r="F1370" s="10" t="n">
        <v>46</v>
      </c>
      <c r="G1370" s="12" t="s">
        <v>565</v>
      </c>
      <c r="H1370" s="10" t="n">
        <v>2110405</v>
      </c>
      <c r="I1370" s="12" t="s">
        <v>153</v>
      </c>
      <c r="J1370" s="10" t="n">
        <v>1231737</v>
      </c>
      <c r="L1370" s="10" t="n">
        <v>1529878</v>
      </c>
      <c r="M1370" s="12" t="s">
        <v>40</v>
      </c>
      <c r="N1370" s="12" t="s">
        <v>66</v>
      </c>
      <c r="P1370" s="10" t="n">
        <v>101</v>
      </c>
      <c r="Q1370" s="12" t="s">
        <v>84</v>
      </c>
      <c r="R1370" s="12" t="s">
        <v>121</v>
      </c>
      <c r="S1370" s="10" t="n">
        <v>4210317</v>
      </c>
      <c r="T1370" s="12" t="s">
        <v>599</v>
      </c>
      <c r="U1370" s="13" t="n">
        <v>116.07</v>
      </c>
      <c r="W1370" s="13" t="n">
        <v>0</v>
      </c>
      <c r="X1370" s="12" t="s">
        <v>658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46211</v>
      </c>
      <c r="C1371" s="11" t="n">
        <v>46275</v>
      </c>
      <c r="D1371" s="10" t="n">
        <v>10026</v>
      </c>
      <c r="E1371" s="12" t="s">
        <v>659</v>
      </c>
      <c r="F1371" s="10" t="n">
        <v>24</v>
      </c>
      <c r="G1371" s="12" t="s">
        <v>31</v>
      </c>
      <c r="H1371" s="10" t="n">
        <v>1110202</v>
      </c>
      <c r="I1371" s="12" t="s">
        <v>90</v>
      </c>
      <c r="J1371" s="10" t="n">
        <v>1370749</v>
      </c>
      <c r="L1371" s="10" t="n">
        <v>565780</v>
      </c>
      <c r="M1371" s="12" t="s">
        <v>76</v>
      </c>
      <c r="N1371" s="12" t="s">
        <v>66</v>
      </c>
      <c r="P1371" s="10" t="n">
        <v>101</v>
      </c>
      <c r="Q1371" s="12" t="s">
        <v>84</v>
      </c>
      <c r="R1371" s="12" t="s">
        <v>91</v>
      </c>
      <c r="S1371" s="10" t="n">
        <v>4220199</v>
      </c>
      <c r="T1371" s="12" t="s">
        <v>92</v>
      </c>
      <c r="U1371" s="13" t="n">
        <v>2000</v>
      </c>
      <c r="W1371" s="13" t="n">
        <v>0</v>
      </c>
      <c r="X1371" s="12" t="s">
        <v>1460</v>
      </c>
      <c r="Z1371" s="1" t="str">
        <f aca="false">IF($T1371="","",IFERROR(INDEX('Resumo Grupos'!$AC$3:$AC$200,MATCH($T1371,'Resumo Grupos'!$AB$3:$AB$200,0)),"n/d"))</f>
        <v>Pagamentos outros não operacionais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46211</v>
      </c>
      <c r="C1372" s="11" t="n">
        <v>46275</v>
      </c>
      <c r="D1372" s="10" t="n">
        <v>10026</v>
      </c>
      <c r="E1372" s="12" t="s">
        <v>659</v>
      </c>
      <c r="F1372" s="10" t="n">
        <v>24</v>
      </c>
      <c r="G1372" s="12" t="s">
        <v>31</v>
      </c>
      <c r="H1372" s="10" t="n">
        <v>1110202</v>
      </c>
      <c r="I1372" s="12" t="s">
        <v>90</v>
      </c>
      <c r="J1372" s="10" t="n">
        <v>1370737</v>
      </c>
      <c r="L1372" s="10" t="n">
        <v>565779</v>
      </c>
      <c r="M1372" s="12" t="s">
        <v>76</v>
      </c>
      <c r="N1372" s="12" t="s">
        <v>66</v>
      </c>
      <c r="P1372" s="10" t="n">
        <v>101</v>
      </c>
      <c r="Q1372" s="12" t="s">
        <v>84</v>
      </c>
      <c r="R1372" s="12" t="s">
        <v>94</v>
      </c>
      <c r="S1372" s="10" t="n">
        <v>4210222</v>
      </c>
      <c r="T1372" s="12" t="s">
        <v>1458</v>
      </c>
      <c r="U1372" s="13" t="n">
        <v>666.67</v>
      </c>
      <c r="W1372" s="13" t="n">
        <v>0</v>
      </c>
      <c r="X1372" s="12" t="s">
        <v>1459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46192</v>
      </c>
      <c r="C1373" s="11" t="n">
        <v>46276</v>
      </c>
      <c r="D1373" s="10" t="n">
        <v>957</v>
      </c>
      <c r="E1373" s="12" t="s">
        <v>75</v>
      </c>
      <c r="F1373" s="10" t="n">
        <v>24</v>
      </c>
      <c r="G1373" s="12" t="s">
        <v>31</v>
      </c>
      <c r="H1373" s="10" t="n">
        <v>2110101</v>
      </c>
      <c r="I1373" s="12" t="s">
        <v>32</v>
      </c>
      <c r="J1373" s="10" t="n">
        <v>1273051</v>
      </c>
      <c r="L1373" s="10" t="n">
        <v>20498</v>
      </c>
      <c r="M1373" s="12" t="s">
        <v>40</v>
      </c>
      <c r="N1373" s="12" t="s">
        <v>34</v>
      </c>
      <c r="P1373" s="10" t="n">
        <v>103</v>
      </c>
      <c r="Q1373" s="12" t="s">
        <v>35</v>
      </c>
      <c r="R1373" s="12" t="s">
        <v>36</v>
      </c>
      <c r="S1373" s="10" t="n">
        <v>1130101</v>
      </c>
      <c r="T1373" s="12" t="s">
        <v>37</v>
      </c>
      <c r="U1373" s="13" t="n">
        <v>8427.07</v>
      </c>
      <c r="W1373" s="13" t="n">
        <v>0</v>
      </c>
      <c r="X1373" s="12" t="s">
        <v>1632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46218</v>
      </c>
      <c r="C1374" s="11" t="n">
        <v>46276</v>
      </c>
      <c r="D1374" s="10" t="n">
        <v>1390</v>
      </c>
      <c r="E1374" s="12" t="s">
        <v>757</v>
      </c>
      <c r="F1374" s="10" t="n">
        <v>24</v>
      </c>
      <c r="G1374" s="12" t="s">
        <v>31</v>
      </c>
      <c r="H1374" s="10" t="n">
        <v>1110202</v>
      </c>
      <c r="I1374" s="12" t="s">
        <v>90</v>
      </c>
      <c r="J1374" s="10" t="n">
        <v>1401827</v>
      </c>
      <c r="L1374" s="10" t="n">
        <v>6933</v>
      </c>
      <c r="M1374" s="12" t="s">
        <v>76</v>
      </c>
      <c r="N1374" s="12" t="s">
        <v>66</v>
      </c>
      <c r="P1374" s="10" t="n">
        <v>103</v>
      </c>
      <c r="Q1374" s="12" t="s">
        <v>35</v>
      </c>
      <c r="R1374" s="12" t="s">
        <v>36</v>
      </c>
      <c r="S1374" s="10" t="n">
        <v>1130101</v>
      </c>
      <c r="T1374" s="12" t="s">
        <v>37</v>
      </c>
      <c r="U1374" s="13" t="n">
        <v>548.94</v>
      </c>
      <c r="W1374" s="13" t="n">
        <v>0</v>
      </c>
      <c r="X1374" s="12" t="s">
        <v>1633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46105</v>
      </c>
      <c r="C1375" s="11" t="n">
        <v>46278</v>
      </c>
      <c r="D1375" s="10" t="n">
        <v>10056</v>
      </c>
      <c r="E1375" s="12" t="s">
        <v>691</v>
      </c>
      <c r="F1375" s="10" t="n">
        <v>42</v>
      </c>
      <c r="G1375" s="12" t="s">
        <v>692</v>
      </c>
      <c r="H1375" s="10" t="n">
        <v>2110405</v>
      </c>
      <c r="I1375" s="12" t="s">
        <v>153</v>
      </c>
      <c r="J1375" s="10" t="n">
        <v>848843</v>
      </c>
      <c r="L1375" s="10" t="n">
        <v>363960</v>
      </c>
      <c r="M1375" s="12" t="s">
        <v>116</v>
      </c>
      <c r="N1375" s="12" t="s">
        <v>66</v>
      </c>
      <c r="P1375" s="10" t="n">
        <v>101</v>
      </c>
      <c r="Q1375" s="12" t="s">
        <v>84</v>
      </c>
      <c r="R1375" s="12" t="s">
        <v>91</v>
      </c>
      <c r="S1375" s="10" t="n">
        <v>4220199</v>
      </c>
      <c r="T1375" s="12" t="s">
        <v>92</v>
      </c>
      <c r="U1375" s="13" t="n">
        <v>333.35</v>
      </c>
      <c r="W1375" s="13" t="n">
        <v>0</v>
      </c>
      <c r="X1375" s="12" t="s">
        <v>693</v>
      </c>
      <c r="Z1375" s="1" t="str">
        <f aca="false">IF($T1375="","",IFERROR(INDEX('Resumo Grupos'!$AC$3:$AC$200,MATCH($T1375,'Resumo Grupos'!$AB$3:$AB$200,0)),"n/d"))</f>
        <v>Pagamentos outros não operacionais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46204</v>
      </c>
      <c r="C1376" s="11" t="n">
        <v>46278</v>
      </c>
      <c r="D1376" s="10" t="n">
        <v>607</v>
      </c>
      <c r="E1376" s="12" t="s">
        <v>81</v>
      </c>
      <c r="F1376" s="10" t="n">
        <v>24</v>
      </c>
      <c r="G1376" s="12" t="s">
        <v>31</v>
      </c>
      <c r="H1376" s="10" t="n">
        <v>2110101</v>
      </c>
      <c r="I1376" s="12" t="s">
        <v>32</v>
      </c>
      <c r="J1376" s="10" t="n">
        <v>1335231</v>
      </c>
      <c r="L1376" s="10" t="n">
        <v>11002</v>
      </c>
      <c r="M1376" s="12" t="s">
        <v>116</v>
      </c>
      <c r="N1376" s="12" t="s">
        <v>34</v>
      </c>
      <c r="P1376" s="10" t="n">
        <v>103</v>
      </c>
      <c r="Q1376" s="12" t="s">
        <v>35</v>
      </c>
      <c r="R1376" s="12" t="s">
        <v>36</v>
      </c>
      <c r="S1376" s="10" t="n">
        <v>1130101</v>
      </c>
      <c r="T1376" s="12" t="s">
        <v>37</v>
      </c>
      <c r="U1376" s="13" t="n">
        <v>1849.44</v>
      </c>
      <c r="W1376" s="13" t="n">
        <v>0</v>
      </c>
      <c r="X1376" s="12" t="s">
        <v>1634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46164</v>
      </c>
      <c r="C1377" s="11" t="n">
        <v>46280</v>
      </c>
      <c r="D1377" s="10" t="n">
        <v>515</v>
      </c>
      <c r="E1377" s="12" t="s">
        <v>111</v>
      </c>
      <c r="F1377" s="10" t="n">
        <v>34</v>
      </c>
      <c r="G1377" s="12" t="s">
        <v>49</v>
      </c>
      <c r="H1377" s="10" t="n">
        <v>2110405</v>
      </c>
      <c r="I1377" s="12" t="s">
        <v>153</v>
      </c>
      <c r="J1377" s="10" t="n">
        <v>1137849</v>
      </c>
      <c r="L1377" s="10" t="n">
        <v>474941</v>
      </c>
      <c r="M1377" s="12" t="s">
        <v>79</v>
      </c>
      <c r="N1377" s="12" t="s">
        <v>66</v>
      </c>
      <c r="P1377" s="10" t="n">
        <v>101</v>
      </c>
      <c r="Q1377" s="12" t="s">
        <v>84</v>
      </c>
      <c r="R1377" s="12" t="s">
        <v>280</v>
      </c>
      <c r="S1377" s="10" t="n">
        <v>2110901</v>
      </c>
      <c r="T1377" s="12" t="s">
        <v>281</v>
      </c>
      <c r="U1377" s="13" t="n">
        <v>15770.14</v>
      </c>
      <c r="W1377" s="13" t="n">
        <v>0</v>
      </c>
      <c r="X1377" s="12" t="s">
        <v>1635</v>
      </c>
      <c r="Z1377" s="1" t="str">
        <f aca="false">IF($T1377="","",IFERROR(INDEX('Resumo Grupos'!$AC$3:$AC$200,MATCH($T1377,'Resumo Grupos'!$AB$3:$AB$200,0)),"n/d"))</f>
        <v>Empréstimo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46234</v>
      </c>
      <c r="C1378" s="11" t="n">
        <v>46280</v>
      </c>
      <c r="D1378" s="10" t="n">
        <v>513</v>
      </c>
      <c r="E1378" s="12" t="s">
        <v>787</v>
      </c>
      <c r="F1378" s="10" t="n">
        <v>24</v>
      </c>
      <c r="G1378" s="12" t="s">
        <v>31</v>
      </c>
      <c r="H1378" s="10" t="n">
        <v>1110202</v>
      </c>
      <c r="I1378" s="12" t="s">
        <v>90</v>
      </c>
      <c r="J1378" s="10" t="n">
        <v>1478026</v>
      </c>
      <c r="L1378" s="10" t="n">
        <v>607111</v>
      </c>
      <c r="M1378" s="12" t="s">
        <v>76</v>
      </c>
      <c r="N1378" s="12" t="s">
        <v>66</v>
      </c>
      <c r="P1378" s="10" t="n">
        <v>101</v>
      </c>
      <c r="Q1378" s="12" t="s">
        <v>84</v>
      </c>
      <c r="R1378" s="12" t="s">
        <v>121</v>
      </c>
      <c r="S1378" s="10" t="n">
        <v>4210315</v>
      </c>
      <c r="T1378" s="12" t="s">
        <v>708</v>
      </c>
      <c r="U1378" s="13" t="n">
        <v>179.32</v>
      </c>
      <c r="W1378" s="13" t="n">
        <v>0</v>
      </c>
      <c r="X1378" s="12" t="s">
        <v>1522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46097</v>
      </c>
      <c r="C1379" s="11" t="n">
        <v>46280</v>
      </c>
      <c r="D1379" s="10" t="n">
        <v>17</v>
      </c>
      <c r="E1379" s="12" t="s">
        <v>268</v>
      </c>
      <c r="F1379" s="10" t="n">
        <v>24</v>
      </c>
      <c r="G1379" s="12" t="s">
        <v>31</v>
      </c>
      <c r="H1379" s="10" t="n">
        <v>2110405</v>
      </c>
      <c r="I1379" s="12" t="s">
        <v>153</v>
      </c>
      <c r="J1379" s="10" t="n">
        <v>809413</v>
      </c>
      <c r="L1379" s="10" t="n">
        <v>2115476</v>
      </c>
      <c r="M1379" s="12" t="s">
        <v>1079</v>
      </c>
      <c r="N1379" s="12" t="s">
        <v>66</v>
      </c>
      <c r="P1379" s="10" t="n">
        <v>101</v>
      </c>
      <c r="Q1379" s="12" t="s">
        <v>84</v>
      </c>
      <c r="R1379" s="12" t="s">
        <v>91</v>
      </c>
      <c r="S1379" s="10" t="n">
        <v>4220199</v>
      </c>
      <c r="T1379" s="12" t="s">
        <v>92</v>
      </c>
      <c r="U1379" s="13" t="n">
        <v>102.14</v>
      </c>
      <c r="W1379" s="13" t="n">
        <v>0</v>
      </c>
      <c r="X1379" s="12" t="s">
        <v>789</v>
      </c>
      <c r="Z1379" s="1" t="str">
        <f aca="false">IF($T1379="","",IFERROR(INDEX('Resumo Grupos'!$AC$3:$AC$200,MATCH($T1379,'Resumo Grupos'!$AB$3:$AB$200,0)),"n/d"))</f>
        <v>Pagamentos outros não operacionais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46097</v>
      </c>
      <c r="C1380" s="11" t="n">
        <v>46280</v>
      </c>
      <c r="D1380" s="10" t="n">
        <v>1867</v>
      </c>
      <c r="E1380" s="12" t="s">
        <v>791</v>
      </c>
      <c r="F1380" s="10" t="n">
        <v>24</v>
      </c>
      <c r="G1380" s="12" t="s">
        <v>31</v>
      </c>
      <c r="H1380" s="10" t="n">
        <v>2110405</v>
      </c>
      <c r="I1380" s="12" t="s">
        <v>153</v>
      </c>
      <c r="J1380" s="10" t="n">
        <v>809315</v>
      </c>
      <c r="L1380" s="10" t="n">
        <v>100910</v>
      </c>
      <c r="M1380" s="12" t="s">
        <v>1079</v>
      </c>
      <c r="N1380" s="12" t="s">
        <v>66</v>
      </c>
      <c r="P1380" s="10" t="n">
        <v>101</v>
      </c>
      <c r="Q1380" s="12" t="s">
        <v>84</v>
      </c>
      <c r="R1380" s="12" t="s">
        <v>792</v>
      </c>
      <c r="S1380" s="10" t="n">
        <v>4210401</v>
      </c>
      <c r="T1380" s="12" t="s">
        <v>793</v>
      </c>
      <c r="U1380" s="13" t="n">
        <v>185.89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Impostos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46097</v>
      </c>
      <c r="C1381" s="11" t="n">
        <v>46280</v>
      </c>
      <c r="D1381" s="10" t="n">
        <v>1867</v>
      </c>
      <c r="E1381" s="12" t="s">
        <v>791</v>
      </c>
      <c r="F1381" s="10" t="n">
        <v>24</v>
      </c>
      <c r="G1381" s="12" t="s">
        <v>31</v>
      </c>
      <c r="H1381" s="10" t="n">
        <v>2110405</v>
      </c>
      <c r="I1381" s="12" t="s">
        <v>153</v>
      </c>
      <c r="J1381" s="10" t="n">
        <v>809298</v>
      </c>
      <c r="L1381" s="10" t="n">
        <v>100914</v>
      </c>
      <c r="M1381" s="12" t="s">
        <v>1079</v>
      </c>
      <c r="N1381" s="12" t="s">
        <v>66</v>
      </c>
      <c r="P1381" s="10" t="n">
        <v>101</v>
      </c>
      <c r="Q1381" s="12" t="s">
        <v>84</v>
      </c>
      <c r="R1381" s="12" t="s">
        <v>792</v>
      </c>
      <c r="S1381" s="10" t="n">
        <v>4210401</v>
      </c>
      <c r="T1381" s="12" t="s">
        <v>793</v>
      </c>
      <c r="U1381" s="13" t="n">
        <v>134.55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Impostos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46226</v>
      </c>
      <c r="C1382" s="11" t="n">
        <v>46281</v>
      </c>
      <c r="D1382" s="10" t="n">
        <v>957</v>
      </c>
      <c r="E1382" s="12" t="s">
        <v>75</v>
      </c>
      <c r="F1382" s="10" t="n">
        <v>24</v>
      </c>
      <c r="G1382" s="12" t="s">
        <v>31</v>
      </c>
      <c r="H1382" s="10" t="n">
        <v>1110202</v>
      </c>
      <c r="I1382" s="12" t="s">
        <v>90</v>
      </c>
      <c r="J1382" s="10" t="n">
        <v>1439137</v>
      </c>
      <c r="L1382" s="10" t="n">
        <v>21188</v>
      </c>
      <c r="M1382" s="12" t="s">
        <v>79</v>
      </c>
      <c r="N1382" s="12" t="s">
        <v>66</v>
      </c>
      <c r="P1382" s="10" t="n">
        <v>103</v>
      </c>
      <c r="Q1382" s="12" t="s">
        <v>35</v>
      </c>
      <c r="R1382" s="12" t="s">
        <v>36</v>
      </c>
      <c r="S1382" s="10" t="n">
        <v>1130101</v>
      </c>
      <c r="T1382" s="12" t="s">
        <v>37</v>
      </c>
      <c r="U1382" s="13" t="n">
        <v>3458.9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6" t="n">
        <v>46281</v>
      </c>
      <c r="D1383" s="1" t="n">
        <v>607</v>
      </c>
      <c r="E1383" s="1" t="s">
        <v>81</v>
      </c>
      <c r="F1383" s="1" t="n">
        <v>24</v>
      </c>
      <c r="G1383" s="1" t="s">
        <v>31</v>
      </c>
      <c r="H1383" s="1" t="n">
        <v>1110202</v>
      </c>
      <c r="I1383" s="1" t="s">
        <v>90</v>
      </c>
      <c r="J1383" s="1" t="n">
        <v>1429152</v>
      </c>
      <c r="L1383" s="1" t="n">
        <v>11134</v>
      </c>
      <c r="M1383" s="1" t="s">
        <v>79</v>
      </c>
      <c r="N1383" s="1" t="s">
        <v>66</v>
      </c>
      <c r="P1383" s="1" t="n">
        <v>103</v>
      </c>
      <c r="Q1383" s="1" t="s">
        <v>35</v>
      </c>
      <c r="R1383" s="1" t="s">
        <v>36</v>
      </c>
      <c r="S1383" s="1" t="n">
        <v>1130101</v>
      </c>
      <c r="T1383" s="1" t="s">
        <v>37</v>
      </c>
      <c r="U1383" s="17" t="n">
        <v>911.85</v>
      </c>
      <c r="W1383" s="1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46237</v>
      </c>
      <c r="C1384" s="16" t="n">
        <v>46282</v>
      </c>
      <c r="D1384" s="1" t="n">
        <v>815</v>
      </c>
      <c r="E1384" s="1" t="s">
        <v>136</v>
      </c>
      <c r="F1384" s="1" t="n">
        <v>34</v>
      </c>
      <c r="G1384" s="1" t="s">
        <v>49</v>
      </c>
      <c r="H1384" s="1" t="n">
        <v>1110202</v>
      </c>
      <c r="I1384" s="1" t="s">
        <v>90</v>
      </c>
      <c r="J1384" s="1" t="n">
        <v>1493520</v>
      </c>
      <c r="K1384" s="19"/>
      <c r="L1384" s="1" t="n">
        <v>612910</v>
      </c>
      <c r="M1384" s="1" t="s">
        <v>76</v>
      </c>
      <c r="N1384" s="1" t="s">
        <v>66</v>
      </c>
      <c r="P1384" s="1" t="n">
        <v>101</v>
      </c>
      <c r="Q1384" s="1" t="s">
        <v>84</v>
      </c>
      <c r="R1384" s="1" t="s">
        <v>1507</v>
      </c>
      <c r="S1384" s="1" t="n">
        <v>2210202</v>
      </c>
      <c r="T1384" s="1" t="s">
        <v>1507</v>
      </c>
      <c r="U1384" s="17" t="n">
        <v>6000</v>
      </c>
      <c r="V1384" s="20"/>
      <c r="W1384" s="1" t="n">
        <v>0</v>
      </c>
      <c r="X1384" s="1" t="s">
        <v>870</v>
      </c>
      <c r="Y1384" s="21"/>
      <c r="Z1384" s="1" t="str">
        <f aca="false">IF($T1384="","",IFERROR(INDEX('Resumo Grupos'!$AC$3:$AC$200,MATCH($T1384,'Resumo Grupos'!$AB$3:$AB$200,0)),"n/d"))</f>
        <v>Empréstimo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1</v>
      </c>
      <c r="B1385" s="15" t="n">
        <v>46206</v>
      </c>
      <c r="C1385" s="16" t="n">
        <v>46283</v>
      </c>
      <c r="D1385" s="1" t="n">
        <v>804</v>
      </c>
      <c r="E1385" s="1" t="s">
        <v>360</v>
      </c>
      <c r="F1385" s="1" t="n">
        <v>34</v>
      </c>
      <c r="G1385" s="1" t="s">
        <v>49</v>
      </c>
      <c r="H1385" s="1" t="n">
        <v>1110202</v>
      </c>
      <c r="I1385" s="1" t="s">
        <v>90</v>
      </c>
      <c r="J1385" s="1" t="n">
        <v>1345494</v>
      </c>
      <c r="L1385" s="1" t="n">
        <v>555731</v>
      </c>
      <c r="M1385" s="1" t="s">
        <v>40</v>
      </c>
      <c r="N1385" s="1" t="s">
        <v>66</v>
      </c>
      <c r="P1385" s="1" t="n">
        <v>101</v>
      </c>
      <c r="Q1385" s="1" t="s">
        <v>84</v>
      </c>
      <c r="R1385" s="1" t="s">
        <v>91</v>
      </c>
      <c r="S1385" s="1" t="n">
        <v>4220199</v>
      </c>
      <c r="T1385" s="1" t="s">
        <v>92</v>
      </c>
      <c r="U1385" s="17" t="n">
        <v>1621</v>
      </c>
      <c r="W1385" s="1" t="n">
        <v>0</v>
      </c>
      <c r="X1385" s="1" t="s">
        <v>885</v>
      </c>
      <c r="Z1385" s="1" t="str">
        <f aca="false">IF($T1385="","",IFERROR(INDEX('Resumo Grupos'!$AC$3:$AC$200,MATCH($T1385,'Resumo Grupos'!$AB$3:$AB$200,0)),"n/d"))</f>
        <v>Pagamentos outros não operacionais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1</v>
      </c>
      <c r="B1386" s="15" t="n">
        <v>46206</v>
      </c>
      <c r="C1386" s="16" t="n">
        <v>46283</v>
      </c>
      <c r="D1386" s="1" t="n">
        <v>804</v>
      </c>
      <c r="E1386" s="1" t="s">
        <v>360</v>
      </c>
      <c r="F1386" s="1" t="n">
        <v>34</v>
      </c>
      <c r="G1386" s="1" t="s">
        <v>49</v>
      </c>
      <c r="H1386" s="1" t="n">
        <v>1110202</v>
      </c>
      <c r="I1386" s="1" t="s">
        <v>90</v>
      </c>
      <c r="J1386" s="1" t="n">
        <v>1345479</v>
      </c>
      <c r="L1386" s="1" t="n">
        <v>555726</v>
      </c>
      <c r="M1386" s="1" t="s">
        <v>40</v>
      </c>
      <c r="N1386" s="1" t="s">
        <v>66</v>
      </c>
      <c r="P1386" s="1" t="n">
        <v>101</v>
      </c>
      <c r="Q1386" s="1" t="s">
        <v>84</v>
      </c>
      <c r="R1386" s="1" t="s">
        <v>94</v>
      </c>
      <c r="S1386" s="1" t="n">
        <v>4210203</v>
      </c>
      <c r="T1386" s="1" t="s">
        <v>362</v>
      </c>
      <c r="U1386" s="17" t="n">
        <v>764.43</v>
      </c>
      <c r="W1386" s="1" t="n">
        <v>0</v>
      </c>
      <c r="X1386" s="1" t="s">
        <v>884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1</v>
      </c>
      <c r="B1387" s="15" t="n">
        <v>46191</v>
      </c>
      <c r="C1387" s="16" t="n">
        <v>46283</v>
      </c>
      <c r="D1387" s="1" t="n">
        <v>514</v>
      </c>
      <c r="E1387" s="1" t="s">
        <v>652</v>
      </c>
      <c r="F1387" s="1" t="n">
        <v>34</v>
      </c>
      <c r="G1387" s="1" t="s">
        <v>49</v>
      </c>
      <c r="H1387" s="1" t="n">
        <v>2110405</v>
      </c>
      <c r="I1387" s="1" t="s">
        <v>153</v>
      </c>
      <c r="J1387" s="1" t="n">
        <v>1309516</v>
      </c>
      <c r="L1387" s="1" t="n">
        <v>541968</v>
      </c>
      <c r="M1387" s="1" t="s">
        <v>79</v>
      </c>
      <c r="N1387" s="1" t="s">
        <v>66</v>
      </c>
      <c r="P1387" s="1" t="n">
        <v>101</v>
      </c>
      <c r="Q1387" s="1" t="s">
        <v>84</v>
      </c>
      <c r="R1387" s="1" t="s">
        <v>280</v>
      </c>
      <c r="S1387" s="1" t="n">
        <v>2110901</v>
      </c>
      <c r="T1387" s="1" t="s">
        <v>281</v>
      </c>
      <c r="U1387" s="17" t="n">
        <v>3370.37</v>
      </c>
      <c r="W1387" s="1" t="n">
        <v>0</v>
      </c>
      <c r="X1387" s="1" t="s">
        <v>972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1</v>
      </c>
      <c r="B1388" s="15" t="n">
        <v>46234</v>
      </c>
      <c r="C1388" s="16" t="n">
        <v>46285</v>
      </c>
      <c r="D1388" s="1" t="n">
        <v>659</v>
      </c>
      <c r="E1388" s="1" t="s">
        <v>900</v>
      </c>
      <c r="F1388" s="1" t="n">
        <v>24</v>
      </c>
      <c r="G1388" s="1" t="s">
        <v>31</v>
      </c>
      <c r="H1388" s="1" t="n">
        <v>1110202</v>
      </c>
      <c r="I1388" s="1" t="s">
        <v>90</v>
      </c>
      <c r="J1388" s="1" t="n">
        <v>1478178</v>
      </c>
      <c r="L1388" s="1" t="n">
        <v>607145</v>
      </c>
      <c r="M1388" s="1" t="s">
        <v>76</v>
      </c>
      <c r="N1388" s="1" t="s">
        <v>66</v>
      </c>
      <c r="P1388" s="1" t="n">
        <v>101</v>
      </c>
      <c r="Q1388" s="1" t="s">
        <v>84</v>
      </c>
      <c r="R1388" s="1" t="s">
        <v>121</v>
      </c>
      <c r="S1388" s="1" t="n">
        <v>4210311</v>
      </c>
      <c r="T1388" s="1" t="s">
        <v>405</v>
      </c>
      <c r="U1388" s="17" t="n">
        <v>6193.08</v>
      </c>
      <c r="W1388" s="1" t="n">
        <v>0</v>
      </c>
      <c r="X1388" s="1" t="s">
        <v>902</v>
      </c>
      <c r="Z1388" s="1" t="str">
        <f aca="false">IF($T1388="","",IFERROR(INDEX('Resumo Grupos'!$AC$3:$AC$200,MATCH($T1388,'Resumo Grupos'!$AB$3:$AB$200,0)),"n/d"))</f>
        <v>Salários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1</v>
      </c>
      <c r="B1389" s="15" t="n">
        <v>46223</v>
      </c>
      <c r="C1389" s="16" t="n">
        <v>46285</v>
      </c>
      <c r="D1389" s="1" t="n">
        <v>542</v>
      </c>
      <c r="E1389" s="1" t="s">
        <v>923</v>
      </c>
      <c r="F1389" s="1" t="n">
        <v>34</v>
      </c>
      <c r="G1389" s="1" t="s">
        <v>49</v>
      </c>
      <c r="H1389" s="1" t="n">
        <v>1110202</v>
      </c>
      <c r="I1389" s="1" t="s">
        <v>90</v>
      </c>
      <c r="J1389" s="1" t="n">
        <v>1424241</v>
      </c>
      <c r="L1389" s="1" t="n">
        <v>587291</v>
      </c>
      <c r="M1389" s="1" t="s">
        <v>40</v>
      </c>
      <c r="N1389" s="1" t="s">
        <v>66</v>
      </c>
      <c r="P1389" s="1" t="n">
        <v>101</v>
      </c>
      <c r="Q1389" s="1" t="s">
        <v>84</v>
      </c>
      <c r="R1389" s="1" t="s">
        <v>91</v>
      </c>
      <c r="S1389" s="1" t="n">
        <v>4220199</v>
      </c>
      <c r="T1389" s="1" t="s">
        <v>92</v>
      </c>
      <c r="U1389" s="17" t="n">
        <v>900</v>
      </c>
      <c r="W1389" s="1" t="n">
        <v>0</v>
      </c>
      <c r="X1389" s="1" t="s">
        <v>926</v>
      </c>
      <c r="Z1389" s="1" t="str">
        <f aca="false">IF($T1389="","",IFERROR(INDEX('Resumo Grupos'!$AC$3:$AC$200,MATCH($T1389,'Resumo Grupos'!$AB$3:$AB$200,0)),"n/d"))</f>
        <v>Pagamentos outros não operacionais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1</v>
      </c>
      <c r="B1390" s="15" t="n">
        <v>46223</v>
      </c>
      <c r="C1390" s="16" t="n">
        <v>46285</v>
      </c>
      <c r="D1390" s="1" t="n">
        <v>542</v>
      </c>
      <c r="E1390" s="1" t="s">
        <v>923</v>
      </c>
      <c r="F1390" s="1" t="n">
        <v>34</v>
      </c>
      <c r="G1390" s="1" t="s">
        <v>49</v>
      </c>
      <c r="H1390" s="1" t="n">
        <v>1110202</v>
      </c>
      <c r="I1390" s="1" t="s">
        <v>90</v>
      </c>
      <c r="J1390" s="1" t="n">
        <v>1424234</v>
      </c>
      <c r="L1390" s="1" t="n">
        <v>587289</v>
      </c>
      <c r="M1390" s="1" t="s">
        <v>40</v>
      </c>
      <c r="N1390" s="1" t="s">
        <v>66</v>
      </c>
      <c r="P1390" s="1" t="n">
        <v>101</v>
      </c>
      <c r="Q1390" s="1" t="s">
        <v>84</v>
      </c>
      <c r="R1390" s="1" t="s">
        <v>401</v>
      </c>
      <c r="S1390" s="1" t="n">
        <v>4210107</v>
      </c>
      <c r="T1390" s="1" t="s">
        <v>924</v>
      </c>
      <c r="U1390" s="17" t="n">
        <v>464.59</v>
      </c>
      <c r="W1390" s="1" t="n">
        <v>0</v>
      </c>
      <c r="X1390" s="1" t="s">
        <v>1562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1</v>
      </c>
      <c r="B1391" s="15" t="n">
        <v>46228</v>
      </c>
      <c r="C1391" s="16" t="n">
        <v>46286</v>
      </c>
      <c r="D1391" s="1" t="n">
        <v>1409</v>
      </c>
      <c r="E1391" s="1" t="s">
        <v>1576</v>
      </c>
      <c r="F1391" s="1" t="n">
        <v>24</v>
      </c>
      <c r="G1391" s="1" t="s">
        <v>31</v>
      </c>
      <c r="H1391" s="1" t="n">
        <v>1110202</v>
      </c>
      <c r="I1391" s="1" t="s">
        <v>90</v>
      </c>
      <c r="J1391" s="1" t="n">
        <v>1450142</v>
      </c>
      <c r="L1391" s="1" t="n">
        <v>105914</v>
      </c>
      <c r="M1391" s="1" t="s">
        <v>40</v>
      </c>
      <c r="N1391" s="1" t="s">
        <v>66</v>
      </c>
      <c r="P1391" s="1" t="n">
        <v>103</v>
      </c>
      <c r="Q1391" s="1" t="s">
        <v>35</v>
      </c>
      <c r="R1391" s="1" t="s">
        <v>36</v>
      </c>
      <c r="S1391" s="1" t="n">
        <v>1130101</v>
      </c>
      <c r="T1391" s="1" t="s">
        <v>37</v>
      </c>
      <c r="U1391" s="17" t="n">
        <v>306</v>
      </c>
      <c r="W1391" s="1" t="n">
        <v>0</v>
      </c>
      <c r="X1391" s="1" t="s">
        <v>1640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1</v>
      </c>
      <c r="B1392" s="15" t="n">
        <v>46126</v>
      </c>
      <c r="C1392" s="16" t="n">
        <v>46288</v>
      </c>
      <c r="D1392" s="1" t="n">
        <v>17</v>
      </c>
      <c r="E1392" s="1" t="s">
        <v>268</v>
      </c>
      <c r="F1392" s="1" t="n">
        <v>24</v>
      </c>
      <c r="G1392" s="1" t="s">
        <v>31</v>
      </c>
      <c r="H1392" s="1" t="n">
        <v>2110405</v>
      </c>
      <c r="I1392" s="1" t="s">
        <v>153</v>
      </c>
      <c r="J1392" s="1" t="n">
        <v>950724</v>
      </c>
      <c r="L1392" s="1" t="n">
        <v>403362</v>
      </c>
      <c r="M1392" s="1" t="s">
        <v>116</v>
      </c>
      <c r="N1392" s="1" t="s">
        <v>66</v>
      </c>
      <c r="P1392" s="1" t="n">
        <v>101</v>
      </c>
      <c r="Q1392" s="1" t="s">
        <v>84</v>
      </c>
      <c r="R1392" s="1" t="s">
        <v>91</v>
      </c>
      <c r="S1392" s="1" t="n">
        <v>4220199</v>
      </c>
      <c r="T1392" s="1" t="s">
        <v>92</v>
      </c>
      <c r="U1392" s="17" t="n">
        <v>2720.81</v>
      </c>
      <c r="W1392" s="1" t="n">
        <v>0</v>
      </c>
      <c r="X1392" s="1" t="s">
        <v>1641</v>
      </c>
      <c r="Z1392" s="1" t="str">
        <f aca="false">IF($T1392="","",IFERROR(INDEX('Resumo Grupos'!$AC$3:$AC$200,MATCH($T1392,'Resumo Grupos'!$AB$3:$AB$200,0)),"n/d"))</f>
        <v>Pagamentos outros não operacionais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1</v>
      </c>
      <c r="B1393" s="15" t="n">
        <v>46204</v>
      </c>
      <c r="C1393" s="16" t="n">
        <v>46288</v>
      </c>
      <c r="D1393" s="1" t="n">
        <v>607</v>
      </c>
      <c r="E1393" s="1" t="s">
        <v>81</v>
      </c>
      <c r="F1393" s="1" t="n">
        <v>24</v>
      </c>
      <c r="G1393" s="1" t="s">
        <v>31</v>
      </c>
      <c r="H1393" s="1" t="n">
        <v>2110101</v>
      </c>
      <c r="I1393" s="1" t="s">
        <v>32</v>
      </c>
      <c r="J1393" s="1" t="n">
        <v>1335231</v>
      </c>
      <c r="L1393" s="1" t="n">
        <v>11002</v>
      </c>
      <c r="M1393" s="1" t="s">
        <v>1079</v>
      </c>
      <c r="N1393" s="1" t="s">
        <v>34</v>
      </c>
      <c r="P1393" s="1" t="n">
        <v>103</v>
      </c>
      <c r="Q1393" s="1" t="s">
        <v>35</v>
      </c>
      <c r="R1393" s="1" t="s">
        <v>36</v>
      </c>
      <c r="S1393" s="1" t="n">
        <v>1130101</v>
      </c>
      <c r="T1393" s="1" t="s">
        <v>37</v>
      </c>
      <c r="U1393" s="17" t="n">
        <v>1849.45</v>
      </c>
      <c r="W1393" s="1" t="n">
        <v>0</v>
      </c>
      <c r="X1393" s="1" t="s">
        <v>1642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1</v>
      </c>
      <c r="B1394" s="15" t="n">
        <v>46038</v>
      </c>
      <c r="C1394" s="16" t="n">
        <v>46290</v>
      </c>
      <c r="D1394" s="1" t="n">
        <v>10039</v>
      </c>
      <c r="E1394" s="1" t="s">
        <v>1078</v>
      </c>
      <c r="F1394" s="1" t="n">
        <v>36</v>
      </c>
      <c r="G1394" s="1" t="s">
        <v>1061</v>
      </c>
      <c r="H1394" s="1" t="n">
        <v>2110102</v>
      </c>
      <c r="I1394" s="1" t="s">
        <v>197</v>
      </c>
      <c r="J1394" s="1" t="n">
        <v>532309</v>
      </c>
      <c r="L1394" s="1" t="n">
        <v>2543</v>
      </c>
      <c r="M1394" s="1" t="s">
        <v>1525</v>
      </c>
      <c r="N1394" s="1" t="s">
        <v>34</v>
      </c>
      <c r="P1394" s="1" t="n">
        <v>101</v>
      </c>
      <c r="Q1394" s="1" t="s">
        <v>84</v>
      </c>
      <c r="R1394" s="1" t="s">
        <v>94</v>
      </c>
      <c r="S1394" s="1" t="n">
        <v>4210204</v>
      </c>
      <c r="T1394" s="1" t="s">
        <v>198</v>
      </c>
      <c r="U1394" s="17" t="n">
        <v>285.77</v>
      </c>
      <c r="W1394" s="1" t="n">
        <v>0</v>
      </c>
      <c r="X1394" s="1" t="s">
        <v>1643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1</v>
      </c>
      <c r="B1395" s="15" t="n">
        <v>46094</v>
      </c>
      <c r="C1395" s="16" t="n">
        <v>46290</v>
      </c>
      <c r="D1395" s="1" t="n">
        <v>468</v>
      </c>
      <c r="E1395" s="1" t="s">
        <v>1084</v>
      </c>
      <c r="F1395" s="1" t="n">
        <v>36</v>
      </c>
      <c r="G1395" s="1" t="s">
        <v>1061</v>
      </c>
      <c r="H1395" s="1" t="n">
        <v>2110405</v>
      </c>
      <c r="I1395" s="1" t="s">
        <v>153</v>
      </c>
      <c r="J1395" s="1" t="n">
        <v>1024118</v>
      </c>
      <c r="L1395" s="1" t="n">
        <v>14289</v>
      </c>
      <c r="M1395" s="1" t="s">
        <v>116</v>
      </c>
      <c r="N1395" s="1" t="s">
        <v>66</v>
      </c>
      <c r="P1395" s="1" t="n">
        <v>101</v>
      </c>
      <c r="Q1395" s="1" t="s">
        <v>84</v>
      </c>
      <c r="R1395" s="1" t="s">
        <v>1081</v>
      </c>
      <c r="S1395" s="1" t="n">
        <v>1240103</v>
      </c>
      <c r="T1395" s="1" t="s">
        <v>1082</v>
      </c>
      <c r="U1395" s="17" t="n">
        <v>1197</v>
      </c>
      <c r="W1395" s="1" t="n">
        <v>0</v>
      </c>
      <c r="X1395" s="1" t="s">
        <v>1086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1</v>
      </c>
      <c r="B1396" s="15" t="n">
        <v>46098</v>
      </c>
      <c r="C1396" s="16" t="n">
        <v>46290</v>
      </c>
      <c r="D1396" s="1" t="n">
        <v>468</v>
      </c>
      <c r="E1396" s="1" t="s">
        <v>1084</v>
      </c>
      <c r="F1396" s="1" t="n">
        <v>36</v>
      </c>
      <c r="G1396" s="1" t="s">
        <v>1061</v>
      </c>
      <c r="H1396" s="1" t="n">
        <v>2110101</v>
      </c>
      <c r="I1396" s="1" t="s">
        <v>32</v>
      </c>
      <c r="J1396" s="1" t="n">
        <v>826843</v>
      </c>
      <c r="L1396" s="1" t="n">
        <v>355659</v>
      </c>
      <c r="M1396" s="1" t="s">
        <v>116</v>
      </c>
      <c r="N1396" s="1" t="s">
        <v>66</v>
      </c>
      <c r="P1396" s="1" t="n">
        <v>103</v>
      </c>
      <c r="Q1396" s="1" t="s">
        <v>35</v>
      </c>
      <c r="R1396" s="1" t="s">
        <v>36</v>
      </c>
      <c r="S1396" s="1" t="n">
        <v>1130101</v>
      </c>
      <c r="T1396" s="1" t="s">
        <v>37</v>
      </c>
      <c r="U1396" s="17" t="n">
        <v>233.35</v>
      </c>
      <c r="W1396" s="1" t="n">
        <v>0</v>
      </c>
      <c r="X1396" s="1" t="s">
        <v>1644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1</v>
      </c>
      <c r="B1397" s="15" t="n">
        <v>46120</v>
      </c>
      <c r="C1397" s="16" t="n">
        <v>46290</v>
      </c>
      <c r="D1397" s="1" t="n">
        <v>500</v>
      </c>
      <c r="E1397" s="1" t="s">
        <v>1096</v>
      </c>
      <c r="F1397" s="1" t="n">
        <v>36</v>
      </c>
      <c r="G1397" s="1" t="s">
        <v>1061</v>
      </c>
      <c r="H1397" s="1" t="n">
        <v>2110405</v>
      </c>
      <c r="I1397" s="1" t="s">
        <v>153</v>
      </c>
      <c r="J1397" s="1" t="n">
        <v>920498</v>
      </c>
      <c r="L1397" s="1" t="n">
        <v>391987</v>
      </c>
      <c r="M1397" s="1" t="s">
        <v>116</v>
      </c>
      <c r="N1397" s="1" t="s">
        <v>66</v>
      </c>
      <c r="P1397" s="1" t="n">
        <v>103</v>
      </c>
      <c r="Q1397" s="1" t="s">
        <v>35</v>
      </c>
      <c r="R1397" s="1" t="s">
        <v>94</v>
      </c>
      <c r="S1397" s="1" t="n">
        <v>4210227</v>
      </c>
      <c r="T1397" s="1" t="s">
        <v>573</v>
      </c>
      <c r="U1397" s="17" t="n">
        <v>4934.34</v>
      </c>
      <c r="W1397" s="1" t="n">
        <v>0</v>
      </c>
      <c r="X1397" s="1" t="s">
        <v>1645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1</v>
      </c>
      <c r="B1398" s="15" t="n">
        <v>46085</v>
      </c>
      <c r="C1398" s="16" t="n">
        <v>46290</v>
      </c>
      <c r="D1398" s="1" t="n">
        <v>500</v>
      </c>
      <c r="E1398" s="1" t="s">
        <v>1096</v>
      </c>
      <c r="F1398" s="1" t="n">
        <v>36</v>
      </c>
      <c r="G1398" s="1" t="s">
        <v>1061</v>
      </c>
      <c r="H1398" s="1" t="n">
        <v>2110101</v>
      </c>
      <c r="I1398" s="1" t="s">
        <v>32</v>
      </c>
      <c r="J1398" s="1" t="n">
        <v>808801</v>
      </c>
      <c r="L1398" s="1" t="n">
        <v>349045</v>
      </c>
      <c r="M1398" s="1" t="s">
        <v>1079</v>
      </c>
      <c r="N1398" s="1" t="s">
        <v>66</v>
      </c>
      <c r="P1398" s="1" t="n">
        <v>103</v>
      </c>
      <c r="Q1398" s="1" t="s">
        <v>35</v>
      </c>
      <c r="R1398" s="1" t="s">
        <v>153</v>
      </c>
      <c r="S1398" s="1" t="n">
        <v>2110405</v>
      </c>
      <c r="T1398" s="1" t="s">
        <v>153</v>
      </c>
      <c r="U1398" s="17" t="n">
        <v>399.1</v>
      </c>
      <c r="W1398" s="1" t="n">
        <v>0</v>
      </c>
      <c r="X1398" s="1" t="s">
        <v>1646</v>
      </c>
      <c r="Z1398" s="1" t="str">
        <f aca="false">IF($T1398="","",IFERROR(INDEX('Resumo Grupos'!$AC$3:$AC$200,MATCH($T1398,'Resumo Grupos'!$AB$3:$AB$200,0)),"n/d"))</f>
        <v>Cobertura de conta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1</v>
      </c>
      <c r="B1399" s="15" t="n">
        <v>46224</v>
      </c>
      <c r="C1399" s="16" t="n">
        <v>46291</v>
      </c>
      <c r="D1399" s="1" t="n">
        <v>607</v>
      </c>
      <c r="E1399" s="1" t="s">
        <v>81</v>
      </c>
      <c r="F1399" s="1" t="n">
        <v>24</v>
      </c>
      <c r="G1399" s="1" t="s">
        <v>31</v>
      </c>
      <c r="H1399" s="1" t="n">
        <v>1110202</v>
      </c>
      <c r="I1399" s="1" t="s">
        <v>90</v>
      </c>
      <c r="J1399" s="1" t="n">
        <v>1429152</v>
      </c>
      <c r="L1399" s="1" t="n">
        <v>11134</v>
      </c>
      <c r="M1399" s="1" t="s">
        <v>448</v>
      </c>
      <c r="N1399" s="1" t="s">
        <v>66</v>
      </c>
      <c r="P1399" s="1" t="n">
        <v>103</v>
      </c>
      <c r="Q1399" s="1" t="s">
        <v>35</v>
      </c>
      <c r="R1399" s="1" t="s">
        <v>36</v>
      </c>
      <c r="S1399" s="1" t="n">
        <v>1130101</v>
      </c>
      <c r="T1399" s="1" t="s">
        <v>37</v>
      </c>
      <c r="U1399" s="17" t="n">
        <v>911.8</v>
      </c>
      <c r="W1399" s="1" t="n">
        <v>0</v>
      </c>
      <c r="X1399" s="1" t="s">
        <v>1647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1</v>
      </c>
      <c r="B1400" s="15" t="n">
        <v>46228</v>
      </c>
      <c r="C1400" s="16" t="n">
        <v>46293</v>
      </c>
      <c r="D1400" s="1" t="n">
        <v>515</v>
      </c>
      <c r="E1400" s="1" t="s">
        <v>111</v>
      </c>
      <c r="F1400" s="1" t="n">
        <v>34</v>
      </c>
      <c r="G1400" s="1" t="s">
        <v>49</v>
      </c>
      <c r="H1400" s="1" t="n">
        <v>1110202</v>
      </c>
      <c r="I1400" s="1" t="s">
        <v>90</v>
      </c>
      <c r="J1400" s="1" t="n">
        <v>1449535</v>
      </c>
      <c r="L1400" s="1" t="n">
        <v>596258</v>
      </c>
      <c r="M1400" s="1" t="s">
        <v>40</v>
      </c>
      <c r="N1400" s="1" t="s">
        <v>66</v>
      </c>
      <c r="P1400" s="1" t="n">
        <v>101</v>
      </c>
      <c r="Q1400" s="1" t="s">
        <v>84</v>
      </c>
      <c r="R1400" s="1" t="s">
        <v>91</v>
      </c>
      <c r="S1400" s="1" t="n">
        <v>4220199</v>
      </c>
      <c r="T1400" s="1" t="s">
        <v>92</v>
      </c>
      <c r="U1400" s="17" t="n">
        <v>3853.23</v>
      </c>
      <c r="W1400" s="1" t="n">
        <v>0</v>
      </c>
      <c r="X1400" s="1" t="s">
        <v>1648</v>
      </c>
      <c r="Z1400" s="1" t="str">
        <f aca="false">IF($T1400="","",IFERROR(INDEX('Resumo Grupos'!$AC$3:$AC$200,MATCH($T1400,'Resumo Grupos'!$AB$3:$AB$200,0)),"n/d"))</f>
        <v>Pagamentos outros não operacionais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1</v>
      </c>
      <c r="B1401" s="15" t="n">
        <v>46232</v>
      </c>
      <c r="C1401" s="16" t="n">
        <v>46295</v>
      </c>
      <c r="D1401" s="1" t="n">
        <v>815</v>
      </c>
      <c r="E1401" s="1" t="s">
        <v>136</v>
      </c>
      <c r="F1401" s="1" t="n">
        <v>34</v>
      </c>
      <c r="G1401" s="1" t="s">
        <v>49</v>
      </c>
      <c r="H1401" s="1" t="n">
        <v>1110202</v>
      </c>
      <c r="I1401" s="1" t="s">
        <v>90</v>
      </c>
      <c r="J1401" s="1" t="n">
        <v>1470128</v>
      </c>
      <c r="L1401" s="1" t="n">
        <v>604118</v>
      </c>
      <c r="M1401" s="1" t="s">
        <v>76</v>
      </c>
      <c r="N1401" s="1" t="s">
        <v>66</v>
      </c>
      <c r="P1401" s="1" t="n">
        <v>101</v>
      </c>
      <c r="Q1401" s="1" t="s">
        <v>84</v>
      </c>
      <c r="R1401" s="1" t="s">
        <v>113</v>
      </c>
      <c r="S1401" s="1" t="n">
        <v>4210502</v>
      </c>
      <c r="T1401" s="1" t="s">
        <v>607</v>
      </c>
      <c r="U1401" s="17" t="n">
        <v>1000</v>
      </c>
      <c r="W1401" s="1" t="n">
        <v>0</v>
      </c>
      <c r="X1401" s="1" t="s">
        <v>1608</v>
      </c>
      <c r="Z1401" s="1" t="str">
        <f aca="false">IF($T1401="","",IFERROR(INDEX('Resumo Grupos'!$AC$3:$AC$200,MATCH($T1401,'Resumo Grupos'!$AB$3:$AB$200,0)),"n/d"))</f>
        <v>Empréstimo</v>
      </c>
      <c r="AA1401" s="1" t="str">
        <f aca="false">IF($T1401="","",IF(COUNTIF('Resumo Grupos'!$AE$3:$AE$40,$T1401)&gt;0,"NAO","SIM"))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 K LIMA DE ANDRADE</v>
      </c>
      <c r="C2" s="17" t="n">
        <f aca="false">Report!U10</f>
        <v>434.5</v>
      </c>
      <c r="D2" s="1" t="str">
        <f aca="false">Report!X10</f>
        <v>NF 2720 SP CEREAL - MILKA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ADRIANA DISTRIBUIDORA DE PRODUTOS ALIMEN</v>
      </c>
      <c r="C3" s="17" t="n">
        <f aca="false">Report!U11</f>
        <v>769.97</v>
      </c>
      <c r="D3" s="1" t="str">
        <f aca="false">Report!X11</f>
        <v>NF 875267-3 MILKA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ADRIANA DISTRIBUIDORA DE PRODUTOS ALIMEN</v>
      </c>
      <c r="C4" s="17" t="n">
        <f aca="false">Report!U12</f>
        <v>456.25</v>
      </c>
      <c r="D4" s="1" t="str">
        <f aca="false">Report!X12</f>
        <v>NF 877771 - MILKA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ADRIANA DISTRIBUIDORA DE PRODUTOS ALIMEN</v>
      </c>
      <c r="C5" s="17" t="n">
        <f aca="false">Report!U13</f>
        <v>376.07</v>
      </c>
      <c r="D5" s="1" t="str">
        <f aca="false">Report!X13</f>
        <v>NF 877772-1 MILKA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BRAGA TABACARIA EIRELI ME</v>
      </c>
      <c r="C6" s="17" t="n">
        <f aca="false">Report!U14</f>
        <v>807.4</v>
      </c>
      <c r="D6" s="1" t="str">
        <f aca="false">Report!X14</f>
        <v>NF 18532-03 MILKA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5794.4</v>
      </c>
      <c r="D7" s="1" t="str">
        <f aca="false">Report!X15</f>
        <v>NF 1879436 - MILKA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COMERCIO E TRANSPORTE BRANDAO LTDA</v>
      </c>
      <c r="C8" s="17" t="n">
        <f aca="false">Report!U16</f>
        <v>1000</v>
      </c>
      <c r="D8" s="1" t="str">
        <f aca="false">Report!X16</f>
        <v>NF 14752 - DEBORA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DISTRIBUIDORA LOPES LTDA</v>
      </c>
      <c r="C9" s="17" t="n">
        <f aca="false">Report!U17</f>
        <v>2209.54</v>
      </c>
      <c r="D9" s="1" t="str">
        <f aca="false">Report!X17</f>
        <v>NF 1669083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GELO DANGELO FABRICACAO DE GELO LTDA</v>
      </c>
      <c r="C10" s="17" t="n">
        <f aca="false">Report!U18</f>
        <v>380</v>
      </c>
      <c r="D10" s="1" t="str">
        <f aca="false">Report!X18</f>
        <v>NF 325 - DEBORA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JACKSON ROCHA NUNES</v>
      </c>
      <c r="C11" s="17" t="n">
        <f aca="false">Report!U19</f>
        <v>750</v>
      </c>
      <c r="D11" s="1" t="str">
        <f aca="false">Report!X19</f>
        <v>NF 225 - DEBORA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MARE DISTRIBUIDORA DE BEBIDAS E DE PRODUTOS ALIMENTICIOS LTDA</v>
      </c>
      <c r="C12" s="17" t="n">
        <f aca="false">Report!U20</f>
        <v>954</v>
      </c>
      <c r="D12" s="1" t="str">
        <f aca="false">Report!X20</f>
        <v>NF 1366480 - MILKA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MARE DISTRIBUIDORA DE BEBIDAS E DE PRODUTOS ALIMENTICIOS LTDA</v>
      </c>
      <c r="C13" s="17" t="n">
        <f aca="false">Report!U21</f>
        <v>2200.3</v>
      </c>
      <c r="D13" s="1" t="str">
        <f aca="false">Report!X21</f>
        <v>NF 1367200 - MILKA</v>
      </c>
    </row>
    <row r="14" customFormat="false" ht="12.75" hidden="false" customHeight="true" outlineLevel="0" collapsed="false">
      <c r="A14" s="16" t="n">
        <f aca="false">Report!C22</f>
        <v>46200</v>
      </c>
      <c r="B14" s="1" t="str">
        <f aca="false">Report!E22</f>
        <v>MAXFRI DISTRIUIDORA LTDA</v>
      </c>
      <c r="C14" s="17" t="n">
        <f aca="false">Report!U22</f>
        <v>8271.06</v>
      </c>
      <c r="D14" s="1" t="str">
        <f aca="false">Report!X22</f>
        <v>NF14526 - MILKA</v>
      </c>
    </row>
    <row r="15" customFormat="false" ht="12.75" hidden="false" customHeight="true" outlineLevel="0" collapsed="false">
      <c r="A15" s="16" t="n">
        <f aca="false">Report!C23</f>
        <v>46200</v>
      </c>
      <c r="B15" s="1" t="str">
        <f aca="false">Report!E23</f>
        <v>RENATO DE O AZEVEDO E CIA LTDA - EPP</v>
      </c>
      <c r="C15" s="17" t="n">
        <f aca="false">Report!U23</f>
        <v>2596</v>
      </c>
      <c r="D15" s="1" t="str">
        <f aca="false">Report!X23</f>
        <v>FEIRA CARLOS - DEBORA</v>
      </c>
    </row>
    <row r="16" customFormat="false" ht="12.75" hidden="false" customHeight="true" outlineLevel="0" collapsed="false">
      <c r="A16" s="16" t="n">
        <f aca="false">Report!C24</f>
        <v>46200</v>
      </c>
      <c r="B16" s="1" t="str">
        <f aca="false">Report!E24</f>
        <v>RENATO DE O AZEVEDO E CIA LTDA - EPP</v>
      </c>
      <c r="C16" s="17" t="n">
        <f aca="false">Report!U24</f>
        <v>160</v>
      </c>
      <c r="D16" s="1" t="str">
        <f aca="false">Report!X24</f>
        <v>CAMARAO COM E SEM CASCA - FEIRA CARLOS - DEBORA</v>
      </c>
    </row>
    <row r="17" customFormat="false" ht="12.75" hidden="false" customHeight="true" outlineLevel="0" collapsed="false">
      <c r="A17" s="16" t="n">
        <f aca="false">Report!C25</f>
        <v>46200</v>
      </c>
      <c r="B17" s="1" t="str">
        <f aca="false">Report!E25</f>
        <v>SILVA E SANTOS FRIGORIFICO LTDA</v>
      </c>
      <c r="C17" s="17" t="n">
        <f aca="false">Report!U25</f>
        <v>1840</v>
      </c>
      <c r="D17" s="1" t="str">
        <f aca="false">Report!X25</f>
        <v>NF 31244 - MILKA</v>
      </c>
    </row>
    <row r="18" customFormat="false" ht="12.75" hidden="false" customHeight="true" outlineLevel="0" collapsed="false">
      <c r="A18" s="16" t="n">
        <f aca="false">Report!C26</f>
        <v>46200</v>
      </c>
      <c r="B18" s="1" t="str">
        <f aca="false">Report!E26</f>
        <v>SILVA E SANTOS FRIGORIFICO LTDA</v>
      </c>
      <c r="C18" s="17" t="n">
        <f aca="false">Report!U26</f>
        <v>3337.5</v>
      </c>
      <c r="D18" s="1" t="str">
        <f aca="false">Report!X26</f>
        <v>NF 31245 - MILKA</v>
      </c>
    </row>
    <row r="19" customFormat="false" ht="12.75" hidden="false" customHeight="true" outlineLevel="0" collapsed="false">
      <c r="A19" s="16" t="n">
        <f aca="false">Report!C27</f>
        <v>46201</v>
      </c>
      <c r="B19" s="1" t="str">
        <f aca="false">Report!E27</f>
        <v>BRF S A</v>
      </c>
      <c r="C19" s="17" t="n">
        <f aca="false">Report!U27</f>
        <v>607.27</v>
      </c>
      <c r="D19" s="1" t="str">
        <f aca="false">Report!X27</f>
        <v>NF 1597184-01/02 MILKA</v>
      </c>
    </row>
    <row r="20" customFormat="false" ht="12.75" hidden="false" customHeight="true" outlineLevel="0" collapsed="false">
      <c r="A20" s="16" t="n">
        <f aca="false">Report!C28</f>
        <v>46201</v>
      </c>
      <c r="B20" s="1" t="str">
        <f aca="false">Report!E28</f>
        <v>COARI DISTRIBUIDORA DE BEBIDAS LTDA</v>
      </c>
      <c r="C20" s="17" t="n">
        <f aca="false">Report!U28</f>
        <v>498.13</v>
      </c>
      <c r="D20" s="1" t="str">
        <f aca="false">Report!X28</f>
        <v>NF 253 - MILKA</v>
      </c>
    </row>
    <row r="21" customFormat="false" ht="12.75" hidden="false" customHeight="true" outlineLevel="0" collapsed="false">
      <c r="A21" s="16" t="n">
        <f aca="false">Report!C29</f>
        <v>46201</v>
      </c>
      <c r="B21" s="1" t="str">
        <f aca="false">Report!E29</f>
        <v>FUNNY PET DISTRIBUIDORA DE ALIMENTOS PAR</v>
      </c>
      <c r="C21" s="17" t="n">
        <f aca="false">Report!U29</f>
        <v>4521.75</v>
      </c>
      <c r="D21" s="1" t="str">
        <f aca="false">Report!X29</f>
        <v>NF 20167 2- MILKA</v>
      </c>
    </row>
    <row r="22" customFormat="false" ht="12.75" hidden="false" customHeight="true" outlineLevel="0" collapsed="false">
      <c r="A22" s="16" t="n">
        <f aca="false">Report!C30</f>
        <v>46201</v>
      </c>
      <c r="B22" s="1" t="str">
        <f aca="false">Report!E30</f>
        <v>OPPORTUNITY ALIMENTOS PARA ANIMAIS LTDA</v>
      </c>
      <c r="C22" s="17" t="n">
        <f aca="false">Report!U30</f>
        <v>2792.58</v>
      </c>
      <c r="D22" s="1" t="str">
        <f aca="false">Report!X30</f>
        <v>NF 33621-4 MILKA</v>
      </c>
    </row>
    <row r="23" customFormat="false" ht="12.75" hidden="false" customHeight="true" outlineLevel="0" collapsed="false">
      <c r="A23" s="16" t="n">
        <f aca="false">Report!C31</f>
        <v>46201</v>
      </c>
      <c r="B23" s="1" t="str">
        <f aca="false">Report!E31</f>
        <v>PRIME PET DISTRIBUIDORA LTDA</v>
      </c>
      <c r="C23" s="17" t="n">
        <f aca="false">Report!U31</f>
        <v>250.35</v>
      </c>
      <c r="D23" s="1" t="str">
        <f aca="false">Report!X31</f>
        <v>NF 10336 -04 MILKA</v>
      </c>
    </row>
    <row r="24" customFormat="false" ht="12.75" hidden="false" customHeight="true" outlineLevel="0" collapsed="false">
      <c r="A24" s="16" t="n">
        <f aca="false">Report!C32</f>
        <v>46201</v>
      </c>
      <c r="B24" s="1" t="str">
        <f aca="false">Report!E32</f>
        <v>TAPAJOS COM DE PERFUMARIA COSMETICOS E G</v>
      </c>
      <c r="C24" s="17" t="n">
        <f aca="false">Report!U32</f>
        <v>372.96</v>
      </c>
      <c r="D24" s="1" t="str">
        <f aca="false">Report!X32</f>
        <v>NF 574740 - KEILA</v>
      </c>
    </row>
    <row r="25" customFormat="false" ht="12.75" hidden="false" customHeight="true" outlineLevel="0" collapsed="false">
      <c r="A25" s="16" t="n">
        <f aca="false">Report!C33</f>
        <v>46202</v>
      </c>
      <c r="B25" s="1" t="str">
        <f aca="false">Report!E33</f>
        <v>ADRIANA DISTRIBUIDORA DE PRODUTOS ALIMEN</v>
      </c>
      <c r="C25" s="17" t="n">
        <f aca="false">Report!U33</f>
        <v>584.18</v>
      </c>
      <c r="D25" s="1" t="str">
        <f aca="false">Report!X33</f>
        <v>NF 876740 -2 MILKA</v>
      </c>
    </row>
    <row r="26" customFormat="false" ht="12.75" hidden="false" customHeight="true" outlineLevel="0" collapsed="false">
      <c r="A26" s="16" t="n">
        <f aca="false">Report!C34</f>
        <v>46202</v>
      </c>
      <c r="B26" s="1" t="str">
        <f aca="false">Report!E34</f>
        <v>AGM COMERCIO E DISTRIBUIDORA DE MATERIAS DE PERFUMARIA E LIMPEZA LTDA</v>
      </c>
      <c r="C26" s="17" t="n">
        <f aca="false">Report!U34</f>
        <v>465.5</v>
      </c>
      <c r="D26" s="1" t="str">
        <f aca="false">Report!X34</f>
        <v>NF 160841 - MILKA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ATACADAO S.A.</v>
      </c>
      <c r="C27" s="17" t="n">
        <f aca="false">Report!U37</f>
        <v>1599.9</v>
      </c>
      <c r="D27" s="1" t="str">
        <f aca="false">Report!X37</f>
        <v>NF 1888443 - MILKA</v>
      </c>
    </row>
    <row r="28" customFormat="false" ht="12.75" hidden="false" customHeight="true" outlineLevel="0" collapsed="false">
      <c r="A28" s="16" t="n">
        <f aca="false">Report!C38</f>
        <v>46202</v>
      </c>
      <c r="B28" s="1" t="str">
        <f aca="false">Report!E38</f>
        <v>C. R. PARENTE ABREU</v>
      </c>
      <c r="C28" s="17" t="n">
        <f aca="false">Report!U38</f>
        <v>364.8</v>
      </c>
      <c r="D28" s="1" t="str">
        <f aca="false">Report!X38</f>
        <v>NF11298-2 MILKA</v>
      </c>
    </row>
    <row r="29" customFormat="false" ht="12.75" hidden="false" customHeight="true" outlineLevel="0" collapsed="false">
      <c r="A29" s="16" t="n">
        <f aca="false">Report!C39</f>
        <v>46202</v>
      </c>
      <c r="B29" s="1" t="str">
        <f aca="false">Report!E39</f>
        <v>C. R. PARENTE ABREU</v>
      </c>
      <c r="C29" s="17" t="n">
        <f aca="false">Report!U39</f>
        <v>459.6</v>
      </c>
      <c r="D29" s="1" t="str">
        <f aca="false">Report!X39</f>
        <v>NF 11315-01 MILKA</v>
      </c>
    </row>
    <row r="30" customFormat="false" ht="12.75" hidden="false" customHeight="true" outlineLevel="0" collapsed="false">
      <c r="A30" s="16" t="n">
        <f aca="false">Report!C41</f>
        <v>46202</v>
      </c>
      <c r="B30" s="1" t="str">
        <f aca="false">Report!E41</f>
        <v>E. D. SENA &amp; CIA LTDA</v>
      </c>
      <c r="C30" s="17" t="n">
        <f aca="false">Report!U41</f>
        <v>543</v>
      </c>
      <c r="D30" s="1" t="str">
        <f aca="false">Report!X41</f>
        <v>NF 5372 - MILKA</v>
      </c>
    </row>
    <row r="31" customFormat="false" ht="12.75" hidden="false" customHeight="true" outlineLevel="0" collapsed="false">
      <c r="A31" s="16" t="n">
        <f aca="false">Report!C42</f>
        <v>46202</v>
      </c>
      <c r="B31" s="1" t="str">
        <f aca="false">Report!E42</f>
        <v>ESDRAS COMERCIO DE MATERIAIS ELETRICOS E</v>
      </c>
      <c r="C31" s="17" t="n">
        <f aca="false">Report!U42</f>
        <v>280</v>
      </c>
      <c r="D31" s="1" t="str">
        <f aca="false">Report!X42</f>
        <v>NF 1324 - MILKA</v>
      </c>
    </row>
    <row r="32" customFormat="false" ht="12.75" hidden="false" customHeight="true" outlineLevel="0" collapsed="false">
      <c r="A32" s="16" t="n">
        <f aca="false">Report!C43</f>
        <v>46202</v>
      </c>
      <c r="B32" s="1" t="str">
        <f aca="false">Report!E43</f>
        <v>FRUTAL INDUSTRIA E COMERCIO LTDA</v>
      </c>
      <c r="C32" s="17" t="n">
        <f aca="false">Report!U43</f>
        <v>1167.14</v>
      </c>
      <c r="D32" s="1" t="str">
        <f aca="false">Report!X43</f>
        <v>NF 224078 - MILKA</v>
      </c>
    </row>
    <row r="33" customFormat="false" ht="12.75" hidden="false" customHeight="true" outlineLevel="0" collapsed="false">
      <c r="A33" s="16" t="n">
        <f aca="false">Report!C44</f>
        <v>46202</v>
      </c>
      <c r="B33" s="1" t="str">
        <f aca="false">Report!E44</f>
        <v>GELO DANGELO FABRICACAO DE GELO LTDA</v>
      </c>
      <c r="C33" s="17" t="n">
        <f aca="false">Report!U44</f>
        <v>398</v>
      </c>
      <c r="D33" s="1" t="str">
        <f aca="false">Report!X44</f>
        <v>NF 328 - DEBORA</v>
      </c>
    </row>
    <row r="34" customFormat="false" ht="12.75" hidden="false" customHeight="true" outlineLevel="0" collapsed="false">
      <c r="A34" s="16" t="n">
        <f aca="false">Report!C47</f>
        <v>46202</v>
      </c>
      <c r="B34" s="1" t="str">
        <f aca="false">Report!E47</f>
        <v>J W N DOS SANTOS</v>
      </c>
      <c r="C34" s="17" t="n">
        <f aca="false">Report!U47</f>
        <v>850</v>
      </c>
      <c r="D34" s="1" t="str">
        <f aca="false">Report!X47</f>
        <v>NF 326 - DEBORA</v>
      </c>
    </row>
    <row r="35" customFormat="false" ht="12.75" hidden="false" customHeight="true" outlineLevel="0" collapsed="false">
      <c r="A35" s="16" t="n">
        <f aca="false">Report!C49</f>
        <v>46202</v>
      </c>
      <c r="B35" s="1" t="str">
        <f aca="false">Report!E49</f>
        <v>L S M COMERCIO DE ALIMENTOS E NAVEGACAO</v>
      </c>
      <c r="C35" s="17" t="n">
        <f aca="false">Report!U49</f>
        <v>375.5</v>
      </c>
      <c r="D35" s="1" t="str">
        <f aca="false">Report!X49</f>
        <v>NF 304778 -1 MILKA</v>
      </c>
    </row>
    <row r="36" customFormat="false" ht="12.75" hidden="false" customHeight="true" outlineLevel="0" collapsed="false">
      <c r="A36" s="16" t="n">
        <f aca="false">Report!C50</f>
        <v>46202</v>
      </c>
      <c r="B36" s="1" t="str">
        <f aca="false">Report!E50</f>
        <v>NSB COMERCIO ATACADISTA E VAREJISTA DE P</v>
      </c>
      <c r="C36" s="17" t="n">
        <f aca="false">Report!U50</f>
        <v>287.8</v>
      </c>
      <c r="D36" s="1" t="str">
        <f aca="false">Report!X50</f>
        <v>NF 7726 -03 MILKA</v>
      </c>
    </row>
    <row r="37" customFormat="false" ht="12.75" hidden="false" customHeight="true" outlineLevel="0" collapsed="false">
      <c r="A37" s="16" t="n">
        <f aca="false">Report!C51</f>
        <v>46202</v>
      </c>
      <c r="B37" s="1" t="str">
        <f aca="false">Report!E51</f>
        <v>NT INDUSTRIA E COMERCIO DE PANIFICACAO L</v>
      </c>
      <c r="C37" s="17" t="n">
        <f aca="false">Report!U51</f>
        <v>3756.4</v>
      </c>
      <c r="D37" s="1" t="str">
        <f aca="false">Report!X51</f>
        <v>NF 38499 - MILKA</v>
      </c>
    </row>
    <row r="38" customFormat="false" ht="12.75" hidden="false" customHeight="true" outlineLevel="0" collapsed="false">
      <c r="A38" s="16" t="n">
        <f aca="false">Report!C52</f>
        <v>46202</v>
      </c>
      <c r="B38" s="1" t="str">
        <f aca="false">Report!E52</f>
        <v>NT INDUSTRIA E COMERCIO DE PANIFICACAO L</v>
      </c>
      <c r="C38" s="17" t="n">
        <f aca="false">Report!U52</f>
        <v>338.58</v>
      </c>
      <c r="D38" s="1" t="str">
        <f aca="false">Report!X52</f>
        <v>NF 38498 - MILKA</v>
      </c>
    </row>
    <row r="39" customFormat="false" ht="12.75" hidden="false" customHeight="true" outlineLevel="0" collapsed="false">
      <c r="A39" s="16" t="n">
        <f aca="false">Report!C53</f>
        <v>46202</v>
      </c>
      <c r="B39" s="1" t="str">
        <f aca="false">Report!E53</f>
        <v>PANIFICADORA E CONFEITARIA REAL MADRI LTDA</v>
      </c>
      <c r="C39" s="17" t="n">
        <f aca="false">Report!U53</f>
        <v>1400</v>
      </c>
      <c r="D39" s="1" t="str">
        <f aca="false">Report!X53</f>
        <v>NF 675 - MILKA</v>
      </c>
    </row>
    <row r="40" customFormat="false" ht="12.75" hidden="false" customHeight="true" outlineLevel="0" collapsed="false">
      <c r="A40" s="16" t="n">
        <f aca="false">Report!C54</f>
        <v>46202</v>
      </c>
      <c r="B40" s="1" t="str">
        <f aca="false">Report!E54</f>
        <v>PANIFICADORA E CONFEITARIA REAL MADRI LTDA</v>
      </c>
      <c r="C40" s="17" t="n">
        <f aca="false">Report!U54</f>
        <v>304.75</v>
      </c>
      <c r="D40" s="1" t="str">
        <f aca="false">Report!X54</f>
        <v>NF 680 - MILKA</v>
      </c>
    </row>
    <row r="41" customFormat="false" ht="12.75" hidden="false" customHeight="true" outlineLevel="0" collapsed="false">
      <c r="A41" s="16" t="n">
        <f aca="false">Report!C55</f>
        <v>46202</v>
      </c>
      <c r="B41" s="1" t="str">
        <f aca="false">Report!E55</f>
        <v>PRIME PET DISTRIBUIDORA LTDA</v>
      </c>
      <c r="C41" s="17" t="n">
        <f aca="false">Report!U55</f>
        <v>319.72</v>
      </c>
      <c r="D41" s="1" t="str">
        <f aca="false">Report!X55</f>
        <v>NF 10643-02/05 MILKA</v>
      </c>
    </row>
    <row r="42" customFormat="false" ht="12.75" hidden="false" customHeight="true" outlineLevel="0" collapsed="false">
      <c r="A42" s="16" t="n">
        <f aca="false">Report!C56</f>
        <v>46202</v>
      </c>
      <c r="B42" s="1" t="str">
        <f aca="false">Report!E56</f>
        <v>RENATO DE O AZEVEDO E CIA LTDA - EPP</v>
      </c>
      <c r="C42" s="17" t="n">
        <f aca="false">Report!U56</f>
        <v>1380</v>
      </c>
      <c r="D42" s="1" t="str">
        <f aca="false">Report!X56</f>
        <v>NF 200626 / PGTO P/ JOSE CLAUDIO - MILKA</v>
      </c>
    </row>
    <row r="43" customFormat="false" ht="12.75" hidden="false" customHeight="true" outlineLevel="0" collapsed="false">
      <c r="A43" s="16" t="n">
        <f aca="false">Report!C58</f>
        <v>46202</v>
      </c>
      <c r="B43" s="1" t="str">
        <f aca="false">Report!E58</f>
        <v>SILVA E SANTOS FRIGORIFICO LTDA</v>
      </c>
      <c r="C43" s="17" t="n">
        <f aca="false">Report!U58</f>
        <v>1278.8</v>
      </c>
      <c r="D43" s="1" t="str">
        <f aca="false">Report!X58</f>
        <v>NF 31278 - MILKA</v>
      </c>
    </row>
    <row r="44" customFormat="false" ht="12.75" hidden="false" customHeight="true" outlineLevel="0" collapsed="false">
      <c r="A44" s="16" t="n">
        <f aca="false">Report!C59</f>
        <v>46202</v>
      </c>
      <c r="B44" s="1" t="str">
        <f aca="false">Report!E59</f>
        <v>SOUZA CRUZ LTDA.</v>
      </c>
      <c r="C44" s="17" t="n">
        <f aca="false">Report!U59</f>
        <v>4478.95</v>
      </c>
      <c r="D44" s="1" t="str">
        <f aca="false">Report!X59</f>
        <v>NF 562604 -03 MILKA</v>
      </c>
    </row>
    <row r="45" customFormat="false" ht="12.75" hidden="false" customHeight="true" outlineLevel="0" collapsed="false">
      <c r="A45" s="16" t="n">
        <f aca="false">Report!C60</f>
        <v>46202</v>
      </c>
      <c r="B45" s="1" t="str">
        <f aca="false">Report!E60</f>
        <v>T. M. L. DA SILVA LTDA</v>
      </c>
      <c r="C45" s="17" t="n">
        <f aca="false">Report!U60</f>
        <v>642.79</v>
      </c>
      <c r="D45" s="1" t="str">
        <f aca="false">Report!X60</f>
        <v>NF 15045 AMAZONGURT - MILKA</v>
      </c>
    </row>
    <row r="46" customFormat="false" ht="12.75" hidden="false" customHeight="true" outlineLevel="0" collapsed="false">
      <c r="A46" s="16" t="n">
        <f aca="false">Report!C61</f>
        <v>46202</v>
      </c>
      <c r="B46" s="1" t="str">
        <f aca="false">Report!E61</f>
        <v>VICTORIA COMERCIO INTERNACIONAL DE ALIME</v>
      </c>
      <c r="C46" s="17" t="n">
        <f aca="false">Report!U61</f>
        <v>642.15</v>
      </c>
      <c r="D46" s="1" t="str">
        <f aca="false">Report!X61</f>
        <v>12298-A/B  NF11722 - MILKA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ADICSO FABIAN GONZALEZ MONTILLA 70302186</v>
      </c>
      <c r="C47" s="17" t="n">
        <f aca="false">Report!U62</f>
        <v>960</v>
      </c>
      <c r="D47" s="1" t="str">
        <f aca="false">Report!X62</f>
        <v>NF 511 BLOOM - MILKA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ADRIANO FEITOSA OLIVEIRA LTDA</v>
      </c>
      <c r="C48" s="17" t="n">
        <f aca="false">Report!U63</f>
        <v>899.95</v>
      </c>
      <c r="D48" s="1" t="str">
        <f aca="false">Report!X63</f>
        <v>NF 317 - MILKA</v>
      </c>
    </row>
    <row r="49" customFormat="false" ht="12.75" hidden="false" customHeight="true" outlineLevel="0" collapsed="false">
      <c r="A49" s="16" t="n">
        <f aca="false">Report!C66</f>
        <v>46203</v>
      </c>
      <c r="B49" s="1" t="str">
        <f aca="false">Report!E66</f>
        <v>BRF S A</v>
      </c>
      <c r="C49" s="17" t="n">
        <f aca="false">Report!U66</f>
        <v>2103</v>
      </c>
      <c r="D49" s="1" t="str">
        <f aca="false">Report!X66</f>
        <v>NF 1598074-01/02 MILKA</v>
      </c>
    </row>
    <row r="50" customFormat="false" ht="12.75" hidden="false" customHeight="true" outlineLevel="0" collapsed="false">
      <c r="A50" s="16" t="n">
        <f aca="false">Report!C67</f>
        <v>46203</v>
      </c>
      <c r="B50" s="1" t="str">
        <f aca="false">Report!E67</f>
        <v>BROTHERS  INDUSTRIA DE ALIMENTOS LTDA</v>
      </c>
      <c r="C50" s="17" t="n">
        <f aca="false">Report!U67</f>
        <v>675.17</v>
      </c>
      <c r="D50" s="1" t="str">
        <f aca="false">Report!X67</f>
        <v>NF 1028313 - MILKA</v>
      </c>
    </row>
    <row r="51" customFormat="false" ht="12.75" hidden="false" customHeight="true" outlineLevel="0" collapsed="false">
      <c r="A51" s="16" t="n">
        <f aca="false">Report!C68</f>
        <v>46203</v>
      </c>
      <c r="B51" s="1" t="str">
        <f aca="false">Report!E68</f>
        <v>EDMARA COMERCIO DE HIGIENE PESSOAL LTDA</v>
      </c>
      <c r="C51" s="17" t="n">
        <f aca="false">Report!U68</f>
        <v>1695.88</v>
      </c>
      <c r="D51" s="1" t="str">
        <f aca="false">Report!X68</f>
        <v>4496-D/D NF7862 - MILKA</v>
      </c>
    </row>
    <row r="52" customFormat="false" ht="12.75" hidden="false" customHeight="true" outlineLevel="0" collapsed="false">
      <c r="A52" s="16" t="n">
        <f aca="false">Report!C69</f>
        <v>46203</v>
      </c>
      <c r="B52" s="1" t="str">
        <f aca="false">Report!E69</f>
        <v>EDSON AGUIAR DE SOUZA</v>
      </c>
      <c r="C52" s="17" t="n">
        <f aca="false">Report!U69</f>
        <v>276</v>
      </c>
      <c r="D52" s="1" t="str">
        <f aca="false">Report!X69</f>
        <v>NF 1633522 - DEBORA</v>
      </c>
    </row>
    <row r="53" customFormat="false" ht="12.75" hidden="false" customHeight="true" outlineLevel="0" collapsed="false">
      <c r="A53" s="16" t="n">
        <f aca="false">Report!C70</f>
        <v>46203</v>
      </c>
      <c r="B53" s="1" t="str">
        <f aca="false">Report!E70</f>
        <v>EDSON AGUIAR DE SOUZA</v>
      </c>
      <c r="C53" s="17" t="n">
        <f aca="false">Report!U70</f>
        <v>180</v>
      </c>
      <c r="D53" s="1" t="str">
        <f aca="false">Report!X70</f>
        <v>NF 1638595 - DEBORA</v>
      </c>
    </row>
    <row r="54" customFormat="false" ht="12.75" hidden="false" customHeight="true" outlineLevel="0" collapsed="false">
      <c r="A54" s="16" t="n">
        <f aca="false">Report!C71</f>
        <v>46203</v>
      </c>
      <c r="B54" s="1" t="str">
        <f aca="false">Report!E71</f>
        <v>EDSON AGUIAR DE SOUZA</v>
      </c>
      <c r="C54" s="17" t="n">
        <f aca="false">Report!U71</f>
        <v>276</v>
      </c>
      <c r="D54" s="1" t="str">
        <f aca="false">Report!X71</f>
        <v>NF 1638591 - DEBORA</v>
      </c>
    </row>
    <row r="55" customFormat="false" ht="12.75" hidden="false" customHeight="true" outlineLevel="0" collapsed="false">
      <c r="A55" s="16" t="n">
        <f aca="false">Report!C72</f>
        <v>46203</v>
      </c>
      <c r="B55" s="1" t="str">
        <f aca="false">Report!E72</f>
        <v>EDSON AGUIAR DE SOUZA</v>
      </c>
      <c r="C55" s="17" t="n">
        <f aca="false">Report!U72</f>
        <v>189</v>
      </c>
      <c r="D55" s="1" t="str">
        <f aca="false">Report!X72</f>
        <v>NF 1638586 - DEBORA</v>
      </c>
    </row>
    <row r="56" customFormat="false" ht="12.75" hidden="false" customHeight="true" outlineLevel="0" collapsed="false">
      <c r="A56" s="16" t="n">
        <f aca="false">Report!C73</f>
        <v>46203</v>
      </c>
      <c r="B56" s="1" t="str">
        <f aca="false">Report!E73</f>
        <v>EDSON AGUIAR DE SOUZA</v>
      </c>
      <c r="C56" s="17" t="n">
        <f aca="false">Report!U73</f>
        <v>246</v>
      </c>
      <c r="D56" s="1" t="str">
        <f aca="false">Report!X73</f>
        <v>NF 1638582 - DEBORA</v>
      </c>
    </row>
    <row r="57" customFormat="false" ht="12.75" hidden="false" customHeight="true" outlineLevel="0" collapsed="false">
      <c r="A57" s="16" t="n">
        <f aca="false">Report!C74</f>
        <v>46203</v>
      </c>
      <c r="B57" s="1" t="str">
        <f aca="false">Report!E74</f>
        <v>EDSON AGUIAR DE SOUZA</v>
      </c>
      <c r="C57" s="17" t="n">
        <f aca="false">Report!U74</f>
        <v>174</v>
      </c>
      <c r="D57" s="1" t="str">
        <f aca="false">Report!X74</f>
        <v>NF 1638578 - DEBORA</v>
      </c>
    </row>
    <row r="58" customFormat="false" ht="12.75" hidden="false" customHeight="true" outlineLevel="0" collapsed="false">
      <c r="A58" s="16" t="n">
        <f aca="false">Report!C75</f>
        <v>46203</v>
      </c>
      <c r="B58" s="1" t="str">
        <f aca="false">Report!E75</f>
        <v>EDSON AGUIAR DE SOUZA</v>
      </c>
      <c r="C58" s="17" t="n">
        <f aca="false">Report!U75</f>
        <v>300</v>
      </c>
      <c r="D58" s="1" t="str">
        <f aca="false">Report!X75</f>
        <v>NF 1638981 - DEBORA</v>
      </c>
    </row>
    <row r="59" customFormat="false" ht="12.75" hidden="false" customHeight="true" outlineLevel="0" collapsed="false">
      <c r="A59" s="16" t="n">
        <f aca="false">Report!C76</f>
        <v>46203</v>
      </c>
      <c r="B59" s="1" t="str">
        <f aca="false">Report!E76</f>
        <v>EDSON AGUIAR DE SOUZA</v>
      </c>
      <c r="C59" s="17" t="n">
        <f aca="false">Report!U76</f>
        <v>180</v>
      </c>
      <c r="D59" s="1" t="str">
        <f aca="false">Report!X76</f>
        <v>NF 1639492 - DEBORA</v>
      </c>
    </row>
    <row r="60" customFormat="false" ht="12.75" hidden="false" customHeight="true" outlineLevel="0" collapsed="false">
      <c r="A60" s="16" t="n">
        <f aca="false">Report!C79</f>
        <v>46203</v>
      </c>
      <c r="B60" s="1" t="str">
        <f aca="false">Report!E79</f>
        <v>J G COMERCIO DE PRODUTOS ALIMENTICIOS LTDA</v>
      </c>
      <c r="C60" s="17" t="n">
        <f aca="false">Report!U79</f>
        <v>1107.75</v>
      </c>
      <c r="D60" s="1" t="str">
        <f aca="false">Report!X79</f>
        <v>451009-B/C  NF387396 - MILKA</v>
      </c>
    </row>
    <row r="61" customFormat="false" ht="12.75" hidden="false" customHeight="true" outlineLevel="0" collapsed="false">
      <c r="A61" s="16" t="n">
        <f aca="false">Report!C80</f>
        <v>46203</v>
      </c>
      <c r="B61" s="1" t="str">
        <f aca="false">Report!E80</f>
        <v>JAB COMERCIO DE PRODUTOS ALIMENTICIOS LT</v>
      </c>
      <c r="C61" s="17" t="n">
        <f aca="false">Report!U80</f>
        <v>405</v>
      </c>
      <c r="D61" s="1" t="str">
        <f aca="false">Report!X80</f>
        <v>NF 3422 SANTO PAO - MILKA</v>
      </c>
    </row>
    <row r="62" customFormat="false" ht="12.75" hidden="false" customHeight="true" outlineLevel="0" collapsed="false">
      <c r="A62" s="16" t="n">
        <f aca="false">Report!C81</f>
        <v>46203</v>
      </c>
      <c r="B62" s="1" t="str">
        <f aca="false">Report!E81</f>
        <v>LELE FABRICACAO DE MASSAS LTDA</v>
      </c>
      <c r="C62" s="17" t="n">
        <f aca="false">Report!U81</f>
        <v>240</v>
      </c>
      <c r="D62" s="1" t="str">
        <f aca="false">Report!X81</f>
        <v>NF 16177 - MILKA</v>
      </c>
    </row>
    <row r="63" customFormat="false" ht="12.75" hidden="false" customHeight="true" outlineLevel="0" collapsed="false">
      <c r="A63" s="16" t="n">
        <f aca="false">Report!C82</f>
        <v>46203</v>
      </c>
      <c r="B63" s="1" t="str">
        <f aca="false">Report!E82</f>
        <v>NESTLÉ BRASIL LTDA.</v>
      </c>
      <c r="C63" s="17" t="n">
        <f aca="false">Report!U82</f>
        <v>1464.55</v>
      </c>
      <c r="D63" s="1" t="str">
        <f aca="false">Report!X82</f>
        <v>NF 1414551 - MILKA</v>
      </c>
    </row>
    <row r="64" customFormat="false" ht="12.75" hidden="false" customHeight="true" outlineLevel="0" collapsed="false">
      <c r="A64" s="16" t="n">
        <f aca="false">Report!C84</f>
        <v>46203</v>
      </c>
      <c r="B64" s="1" t="str">
        <f aca="false">Report!E84</f>
        <v>NOVA FRIOS COMERCIO ATACADISTA DE LATICINIOS LTDA</v>
      </c>
      <c r="C64" s="17" t="n">
        <f aca="false">Report!U84</f>
        <v>241.6</v>
      </c>
      <c r="D64" s="1" t="str">
        <f aca="false">Report!X84</f>
        <v>NF 3863 BODEGA DO PAO - MILKA</v>
      </c>
    </row>
    <row r="65" customFormat="false" ht="12.75" hidden="false" customHeight="true" outlineLevel="0" collapsed="false">
      <c r="A65" s="16" t="n">
        <f aca="false">Report!C85</f>
        <v>46203</v>
      </c>
      <c r="B65" s="1" t="str">
        <f aca="false">Report!E85</f>
        <v>ORIENTE COM. ATACADISTA E REPRES. LTDA</v>
      </c>
      <c r="C65" s="17" t="n">
        <f aca="false">Report!U85</f>
        <v>1143.6</v>
      </c>
      <c r="D65" s="1" t="str">
        <f aca="false">Report!X85</f>
        <v>2087/1  NF1774 - MILKA</v>
      </c>
    </row>
    <row r="66" customFormat="false" ht="12.75" hidden="false" customHeight="true" outlineLevel="0" collapsed="false">
      <c r="A66" s="16" t="n">
        <f aca="false">Report!C86</f>
        <v>46203</v>
      </c>
      <c r="B66" s="1" t="str">
        <f aca="false">Report!E86</f>
        <v>PANIFICADORA E CONFEITARIA REAL MADRI LTDA</v>
      </c>
      <c r="C66" s="17" t="n">
        <f aca="false">Report!U86</f>
        <v>357.1</v>
      </c>
      <c r="D66" s="1" t="str">
        <f aca="false">Report!X86</f>
        <v>NF 683 - MILKA</v>
      </c>
    </row>
    <row r="67" customFormat="false" ht="12.75" hidden="false" customHeight="true" outlineLevel="0" collapsed="false">
      <c r="A67" s="16" t="n">
        <f aca="false">Report!C87</f>
        <v>46203</v>
      </c>
      <c r="B67" s="1" t="str">
        <f aca="false">Report!E87</f>
        <v>PANIFICADORA E CONFEITARIA REAL MADRI LTDA</v>
      </c>
      <c r="C67" s="17" t="n">
        <f aca="false">Report!U87</f>
        <v>825</v>
      </c>
      <c r="D67" s="1" t="str">
        <f aca="false">Report!X87</f>
        <v>NF 681 - MILKA</v>
      </c>
    </row>
    <row r="68" customFormat="false" ht="12.75" hidden="false" customHeight="true" outlineLevel="0" collapsed="false">
      <c r="A68" s="16" t="n">
        <f aca="false">Report!C89</f>
        <v>46203</v>
      </c>
      <c r="B68" s="1" t="str">
        <f aca="false">Report!E89</f>
        <v>RENATO DE O AZEVEDO E CIA LTDA - EPP</v>
      </c>
      <c r="C68" s="17" t="n">
        <f aca="false">Report!U89</f>
        <v>1250</v>
      </c>
      <c r="D68" s="1" t="str">
        <f aca="false">Report!X89</f>
        <v>NF 230626 FARINHA 3 IRMAOS - MILKA</v>
      </c>
    </row>
    <row r="69" customFormat="false" ht="12.75" hidden="false" customHeight="true" outlineLevel="0" collapsed="false">
      <c r="A69" s="16" t="n">
        <f aca="false">Report!C90</f>
        <v>46203</v>
      </c>
      <c r="B69" s="1" t="str">
        <f aca="false">Report!E90</f>
        <v>RENATO DE O AZEVEDO E CIA LTDA - EPP</v>
      </c>
      <c r="C69" s="17" t="n">
        <f aca="false">Report!U90</f>
        <v>280</v>
      </c>
      <c r="D69" s="1" t="str">
        <f aca="false">Report!X90</f>
        <v>ACAI DE ANORI - DEBORA</v>
      </c>
    </row>
    <row r="70" customFormat="false" ht="12.75" hidden="false" customHeight="true" outlineLevel="0" collapsed="false">
      <c r="A70" s="16" t="n">
        <f aca="false">Report!C91</f>
        <v>46203</v>
      </c>
      <c r="B70" s="1" t="str">
        <f aca="false">Report!E91</f>
        <v>RENATO DE O AZEVEDO E CIA LTDA - EPP</v>
      </c>
      <c r="C70" s="17" t="n">
        <f aca="false">Report!U91</f>
        <v>266</v>
      </c>
      <c r="D70" s="1" t="str">
        <f aca="false">Report!X91</f>
        <v>ACAI DE ANORI - DEBORA</v>
      </c>
    </row>
    <row r="71" customFormat="false" ht="12.75" hidden="false" customHeight="true" outlineLevel="0" collapsed="false">
      <c r="A71" s="16" t="n">
        <f aca="false">Report!C92</f>
        <v>46203</v>
      </c>
      <c r="B71" s="1" t="str">
        <f aca="false">Report!E92</f>
        <v>RENATO DE O AZEVEDO E CIA LTDA - EPP</v>
      </c>
      <c r="C71" s="17" t="n">
        <f aca="false">Report!U92</f>
        <v>420</v>
      </c>
      <c r="D71" s="1" t="str">
        <f aca="false">Report!X92</f>
        <v>ACAI DE ANORI - DEBORA</v>
      </c>
    </row>
    <row r="72" customFormat="false" ht="12.75" hidden="false" customHeight="true" outlineLevel="0" collapsed="false">
      <c r="A72" s="16" t="n">
        <f aca="false">Report!C93</f>
        <v>46203</v>
      </c>
      <c r="B72" s="1" t="str">
        <f aca="false">Report!E93</f>
        <v>RENATO DE O AZEVEDO E CIA LTDA - EPP</v>
      </c>
      <c r="C72" s="17" t="n">
        <f aca="false">Report!U93</f>
        <v>2907.29</v>
      </c>
      <c r="D72" s="1" t="str">
        <f aca="false">Report!X93</f>
        <v>ACAI DE ANORI - DEBORA</v>
      </c>
    </row>
    <row r="73" customFormat="false" ht="12.75" hidden="false" customHeight="true" outlineLevel="0" collapsed="false">
      <c r="A73" s="16" t="n">
        <f aca="false">Report!C97</f>
        <v>46203</v>
      </c>
      <c r="B73" s="1" t="str">
        <f aca="false">Report!E97</f>
        <v>SILVA E SANTOS FRIGORIFICO LTDA</v>
      </c>
      <c r="C73" s="17" t="n">
        <f aca="false">Report!U97</f>
        <v>3075</v>
      </c>
      <c r="D73" s="1" t="str">
        <f aca="false">Report!X97</f>
        <v>NF31315 - MILKA</v>
      </c>
    </row>
    <row r="74" customFormat="false" ht="12.75" hidden="false" customHeight="true" outlineLevel="0" collapsed="false">
      <c r="A74" s="16" t="n">
        <f aca="false">Report!C99</f>
        <v>46203</v>
      </c>
      <c r="B74" s="1" t="str">
        <f aca="false">Report!E99</f>
        <v>SOUZA CRUZ LTDA.</v>
      </c>
      <c r="C74" s="17" t="n">
        <f aca="false">Report!U99</f>
        <v>7746.67</v>
      </c>
      <c r="D74" s="1" t="str">
        <f aca="false">Report!X99</f>
        <v>NF 564351-01 MILKA</v>
      </c>
    </row>
    <row r="75" customFormat="false" ht="12.75" hidden="false" customHeight="true" outlineLevel="0" collapsed="false">
      <c r="A75" s="16" t="n">
        <f aca="false">Report!C100</f>
        <v>46203</v>
      </c>
      <c r="B75" s="1" t="str">
        <f aca="false">Report!E100</f>
        <v>TRES CORACOES ALIMENTOS S.A.</v>
      </c>
      <c r="C75" s="17" t="n">
        <f aca="false">Report!U100</f>
        <v>1199.99</v>
      </c>
      <c r="D75" s="1" t="str">
        <f aca="false">Report!X100</f>
        <v>NF346214 -02 MILKA</v>
      </c>
    </row>
    <row r="76" customFormat="false" ht="12.75" hidden="false" customHeight="true" outlineLevel="0" collapsed="false">
      <c r="A76" s="16" t="n">
        <f aca="false">Report!C102</f>
        <v>46203</v>
      </c>
      <c r="B76" s="1" t="str">
        <f aca="false">Report!E102</f>
        <v>VITAPAN COMERCIO VAREJISTA DE PRODUTOS ALIMENTICIOS LTDA</v>
      </c>
      <c r="C76" s="17" t="n">
        <f aca="false">Report!U102</f>
        <v>1026</v>
      </c>
      <c r="D76" s="1" t="str">
        <f aca="false">Report!X102</f>
        <v>NF 10158 - MILKA</v>
      </c>
    </row>
    <row r="77" customFormat="false" ht="12.75" hidden="false" customHeight="true" outlineLevel="0" collapsed="false">
      <c r="A77" s="16" t="n">
        <f aca="false">Report!C103</f>
        <v>46203</v>
      </c>
      <c r="B77" s="1" t="str">
        <f aca="false">Report!E103</f>
        <v>VOVO DIZA COMERCIO VAREJISTA DE HORTALICAS LTDA</v>
      </c>
      <c r="C77" s="17" t="n">
        <f aca="false">Report!U103</f>
        <v>105</v>
      </c>
      <c r="D77" s="1" t="str">
        <f aca="false">Report!X103</f>
        <v>NF 3454 - DEBORA</v>
      </c>
    </row>
    <row r="78" customFormat="false" ht="12.75" hidden="false" customHeight="true" outlineLevel="0" collapsed="false">
      <c r="A78" s="16" t="n">
        <f aca="false">Report!C104</f>
        <v>46203</v>
      </c>
      <c r="B78" s="1" t="str">
        <f aca="false">Report!E104</f>
        <v>VOVO DIZA COMERCIO VAREJISTA DE HORTALICAS LTDA</v>
      </c>
      <c r="C78" s="17" t="n">
        <f aca="false">Report!U104</f>
        <v>52.5</v>
      </c>
      <c r="D78" s="1" t="str">
        <f aca="false">Report!X104</f>
        <v>NF 3477 - DEBORA</v>
      </c>
    </row>
    <row r="79" customFormat="false" ht="12.75" hidden="false" customHeight="true" outlineLevel="0" collapsed="false">
      <c r="A79" s="16" t="n">
        <f aca="false">Report!C105</f>
        <v>46203</v>
      </c>
      <c r="B79" s="1" t="str">
        <f aca="false">Report!E105</f>
        <v>VOVO DIZA COMERCIO VAREJISTA DE HORTALICAS LTDA</v>
      </c>
      <c r="C79" s="17" t="n">
        <f aca="false">Report!U105</f>
        <v>140</v>
      </c>
      <c r="D79" s="1" t="str">
        <f aca="false">Report!X105</f>
        <v>NF 3504 - DEBORA</v>
      </c>
    </row>
    <row r="80" customFormat="false" ht="12.75" hidden="false" customHeight="true" outlineLevel="0" collapsed="false">
      <c r="A80" s="16" t="n">
        <f aca="false">Report!C106</f>
        <v>46203</v>
      </c>
      <c r="B80" s="1" t="str">
        <f aca="false">Report!E106</f>
        <v>VOVO DIZA COMERCIO VAREJISTA DE HORTALICAS LTDA</v>
      </c>
      <c r="C80" s="17" t="n">
        <f aca="false">Report!U106</f>
        <v>105</v>
      </c>
      <c r="D80" s="1" t="str">
        <f aca="false">Report!X106</f>
        <v>NF 3515 - DEBORA</v>
      </c>
    </row>
    <row r="81" customFormat="false" ht="12.75" hidden="false" customHeight="true" outlineLevel="0" collapsed="false">
      <c r="A81" s="16" t="n">
        <f aca="false">Report!C107</f>
        <v>46203</v>
      </c>
      <c r="B81" s="1" t="str">
        <f aca="false">Report!E107</f>
        <v>VOVO DIZA COMERCIO VAREJISTA DE HORTALICAS LTDA</v>
      </c>
      <c r="C81" s="17" t="n">
        <f aca="false">Report!U107</f>
        <v>87.5</v>
      </c>
      <c r="D81" s="1" t="str">
        <f aca="false">Report!X107</f>
        <v>NF 3555 - DEBORA</v>
      </c>
    </row>
    <row r="82" customFormat="false" ht="12.75" hidden="false" customHeight="true" outlineLevel="0" collapsed="false">
      <c r="A82" s="16" t="n">
        <f aca="false">Report!C108</f>
        <v>46203</v>
      </c>
      <c r="B82" s="1" t="str">
        <f aca="false">Report!E108</f>
        <v>VOVO DIZA COMERCIO VAREJISTA DE HORTALICAS LTDA</v>
      </c>
      <c r="C82" s="17" t="n">
        <f aca="false">Report!U108</f>
        <v>105</v>
      </c>
      <c r="D82" s="1" t="str">
        <f aca="false">Report!X108</f>
        <v>NF 3538 - DEBORA</v>
      </c>
    </row>
    <row r="83" customFormat="false" ht="12.75" hidden="false" customHeight="true" outlineLevel="0" collapsed="false">
      <c r="A83" s="16" t="n">
        <f aca="false">Report!C109</f>
        <v>46203</v>
      </c>
      <c r="B83" s="1" t="str">
        <f aca="false">Report!E109</f>
        <v>VOVO DIZA COMERCIO VAREJISTA DE HORTALICAS LTDA</v>
      </c>
      <c r="C83" s="17" t="n">
        <f aca="false">Report!U109</f>
        <v>135</v>
      </c>
      <c r="D83" s="1" t="str">
        <f aca="false">Report!X109</f>
        <v>NF 3650 - DEBORA</v>
      </c>
    </row>
    <row r="84" customFormat="false" ht="12.75" hidden="false" customHeight="true" outlineLevel="0" collapsed="false">
      <c r="A84" s="16" t="n">
        <f aca="false">Report!C110</f>
        <v>46203</v>
      </c>
      <c r="B84" s="1" t="str">
        <f aca="false">Report!E110</f>
        <v>VOVO DIZA COMERCIO VAREJISTA DE HORTALICAS LTDA</v>
      </c>
      <c r="C84" s="17" t="n">
        <f aca="false">Report!U110</f>
        <v>90</v>
      </c>
      <c r="D84" s="1" t="str">
        <f aca="false">Report!X110</f>
        <v>NF 3582 - DEBORA</v>
      </c>
    </row>
    <row r="85" customFormat="false" ht="12.75" hidden="false" customHeight="true" outlineLevel="0" collapsed="false">
      <c r="A85" s="16" t="n">
        <f aca="false">Report!C111</f>
        <v>46203</v>
      </c>
      <c r="B85" s="1" t="str">
        <f aca="false">Report!E111</f>
        <v>VOVO DIZA COMERCIO VAREJISTA DE HORTALICAS LTDA</v>
      </c>
      <c r="C85" s="17" t="n">
        <f aca="false">Report!U111</f>
        <v>135</v>
      </c>
      <c r="D85" s="1" t="str">
        <f aca="false">Report!X111</f>
        <v>NF 3630 - DEBORA</v>
      </c>
    </row>
    <row r="86" customFormat="false" ht="12.75" hidden="false" customHeight="true" outlineLevel="0" collapsed="false">
      <c r="A86" s="16" t="n">
        <f aca="false">Report!C112</f>
        <v>46203</v>
      </c>
      <c r="B86" s="1" t="str">
        <f aca="false">Report!E112</f>
        <v>VOVO DIZA COMERCIO VAREJISTA DE HORTALICAS LTDA</v>
      </c>
      <c r="C86" s="17" t="n">
        <f aca="false">Report!U112</f>
        <v>90</v>
      </c>
      <c r="D86" s="1" t="str">
        <f aca="false">Report!X112</f>
        <v>NF 3668 - DEBORA</v>
      </c>
    </row>
    <row r="87" customFormat="false" ht="12.75" hidden="false" customHeight="true" outlineLevel="0" collapsed="false">
      <c r="A87" s="16" t="n">
        <f aca="false">Report!C113</f>
        <v>46203</v>
      </c>
      <c r="B87" s="1" t="str">
        <f aca="false">Report!E113</f>
        <v>VOVO DIZA COMERCIO VAREJISTA DE HORTALICAS LTDA</v>
      </c>
      <c r="C87" s="17" t="n">
        <f aca="false">Report!U113</f>
        <v>200</v>
      </c>
      <c r="D87" s="1" t="str">
        <f aca="false">Report!X113</f>
        <v>NF 3680 - DEBORA</v>
      </c>
    </row>
    <row r="88" customFormat="false" ht="12.75" hidden="false" customHeight="true" outlineLevel="0" collapsed="false">
      <c r="A88" s="16" t="n">
        <f aca="false">Report!C114</f>
        <v>46203</v>
      </c>
      <c r="B88" s="1" t="str">
        <f aca="false">Report!E114</f>
        <v>VOVO DIZA COMERCIO VAREJISTA DE HORTALICAS LTDA</v>
      </c>
      <c r="C88" s="17" t="n">
        <f aca="false">Report!U114</f>
        <v>120</v>
      </c>
      <c r="D88" s="1" t="str">
        <f aca="false">Report!X114</f>
        <v>NF 3700 - DEBORA</v>
      </c>
    </row>
    <row r="89" customFormat="false" ht="12.75" hidden="false" customHeight="true" outlineLevel="0" collapsed="false">
      <c r="A89" s="16" t="n">
        <f aca="false">Report!C115</f>
        <v>46204</v>
      </c>
      <c r="B89" s="1" t="str">
        <f aca="false">Report!E115</f>
        <v>AMAZON BEEF COMERCIO DE CARNES EIRELI -</v>
      </c>
      <c r="C89" s="17" t="n">
        <f aca="false">Report!U115</f>
        <v>637.12</v>
      </c>
      <c r="D89" s="1" t="str">
        <f aca="false">Report!X115</f>
        <v>NF 28698/1 MILKA</v>
      </c>
    </row>
    <row r="90" customFormat="false" ht="12.75" hidden="false" customHeight="true" outlineLevel="0" collapsed="false">
      <c r="A90" s="16" t="n">
        <f aca="false">Report!C116</f>
        <v>46204</v>
      </c>
      <c r="B90" s="1" t="str">
        <f aca="false">Report!E116</f>
        <v>AMERICANA DISTRIBUIDORA DE BEBIDAS E MERCADORIAS LTDA</v>
      </c>
      <c r="C90" s="17" t="n">
        <f aca="false">Report!U116</f>
        <v>1143.6</v>
      </c>
      <c r="D90" s="1" t="str">
        <f aca="false">Report!X116</f>
        <v>NF 76652 - MILKA</v>
      </c>
    </row>
    <row r="91" customFormat="false" ht="12.75" hidden="false" customHeight="true" outlineLevel="0" collapsed="false">
      <c r="A91" s="16" t="n">
        <f aca="false">Report!C117</f>
        <v>46204</v>
      </c>
      <c r="B91" s="1" t="str">
        <f aca="false">Report!E117</f>
        <v>ATACADAO S.A.</v>
      </c>
      <c r="C91" s="17" t="n">
        <f aca="false">Report!U117</f>
        <v>1759.06</v>
      </c>
      <c r="D91" s="1" t="str">
        <f aca="false">Report!X117</f>
        <v>NF 1890181 - MILKA</v>
      </c>
    </row>
    <row r="92" customFormat="false" ht="12.75" hidden="false" customHeight="true" outlineLevel="0" collapsed="false">
      <c r="A92" s="16" t="n">
        <f aca="false">Report!C118</f>
        <v>46204</v>
      </c>
      <c r="B92" s="1" t="str">
        <f aca="false">Report!E118</f>
        <v>BRF S A</v>
      </c>
      <c r="C92" s="17" t="n">
        <f aca="false">Report!U118</f>
        <v>5942.06</v>
      </c>
      <c r="D92" s="1" t="str">
        <f aca="false">Report!X118</f>
        <v>NF 1595987-02/02 - MILKA</v>
      </c>
    </row>
    <row r="93" customFormat="false" ht="12.75" hidden="false" customHeight="true" outlineLevel="0" collapsed="false">
      <c r="A93" s="16" t="n">
        <f aca="false">Report!C119</f>
        <v>46204</v>
      </c>
      <c r="B93" s="1" t="str">
        <f aca="false">Report!E119</f>
        <v>BRF S A</v>
      </c>
      <c r="C93" s="17" t="n">
        <f aca="false">Report!U119</f>
        <v>3813.46</v>
      </c>
      <c r="D93" s="1" t="str">
        <f aca="false">Report!X119</f>
        <v>NF 1598766-01/02 MILKA</v>
      </c>
    </row>
    <row r="94" customFormat="false" ht="12.75" hidden="false" customHeight="true" outlineLevel="0" collapsed="false">
      <c r="A94" s="16" t="n">
        <f aca="false">Report!C120</f>
        <v>46204</v>
      </c>
      <c r="B94" s="1" t="str">
        <f aca="false">Report!E120</f>
        <v>C. R. PARENTE ABREU</v>
      </c>
      <c r="C94" s="17" t="n">
        <f aca="false">Report!U120</f>
        <v>527.42</v>
      </c>
      <c r="D94" s="1" t="str">
        <f aca="false">Report!X120</f>
        <v>NF 11328-1 MILKA</v>
      </c>
    </row>
    <row r="95" customFormat="false" ht="12.75" hidden="false" customHeight="true" outlineLevel="0" collapsed="false">
      <c r="A95" s="16" t="n">
        <f aca="false">Report!C122</f>
        <v>46204</v>
      </c>
      <c r="B95" s="1" t="str">
        <f aca="false">Report!E122</f>
        <v>CB COMERCIO E DISTRIBUIDORA DE ALIMENTOS</v>
      </c>
      <c r="C95" s="17" t="n">
        <f aca="false">Report!U122</f>
        <v>985.29</v>
      </c>
      <c r="D95" s="1" t="str">
        <f aca="false">Report!X122</f>
        <v>941304-A/C  NF844855 - MILKA</v>
      </c>
    </row>
    <row r="96" customFormat="false" ht="12.75" hidden="false" customHeight="true" outlineLevel="0" collapsed="false">
      <c r="A96" s="16" t="n">
        <f aca="false">Report!C123</f>
        <v>46204</v>
      </c>
      <c r="B96" s="1" t="str">
        <f aca="false">Report!E123</f>
        <v>COMERCIO E TRANSPORTE BRANDAO LTDA</v>
      </c>
      <c r="C96" s="17" t="n">
        <f aca="false">Report!U123</f>
        <v>760</v>
      </c>
      <c r="D96" s="1" t="str">
        <f aca="false">Report!X123</f>
        <v>NF 14765 - DEBORA</v>
      </c>
    </row>
    <row r="97" customFormat="false" ht="12.75" hidden="false" customHeight="true" outlineLevel="0" collapsed="false">
      <c r="A97" s="16" t="n">
        <f aca="false">Report!C124</f>
        <v>46204</v>
      </c>
      <c r="B97" s="1" t="str">
        <f aca="false">Report!E124</f>
        <v>ELIAS MARTINS DA SILVA</v>
      </c>
      <c r="C97" s="17" t="n">
        <f aca="false">Report!U124</f>
        <v>1292</v>
      </c>
      <c r="D97" s="1" t="str">
        <f aca="false">Report!X124</f>
        <v>NF 831615 - MILKA</v>
      </c>
    </row>
    <row r="98" customFormat="false" ht="12.75" hidden="false" customHeight="true" outlineLevel="0" collapsed="false">
      <c r="A98" s="16" t="n">
        <f aca="false">Report!C125</f>
        <v>46204</v>
      </c>
      <c r="B98" s="1" t="str">
        <f aca="false">Report!E125</f>
        <v>EMPRESA BRASILEIRA DE DISTRIBUICAO LTDA</v>
      </c>
      <c r="C98" s="17" t="n">
        <f aca="false">Report!U125</f>
        <v>786.1</v>
      </c>
      <c r="D98" s="1" t="str">
        <f aca="false">Report!X125</f>
        <v>NF 2291498-2 MILKA</v>
      </c>
    </row>
    <row r="99" customFormat="false" ht="12.75" hidden="false" customHeight="true" outlineLevel="0" collapsed="false">
      <c r="A99" s="16" t="n">
        <f aca="false">Report!C126</f>
        <v>46204</v>
      </c>
      <c r="B99" s="1" t="str">
        <f aca="false">Report!E126</f>
        <v>FENNIX BRASIL DISTRIBUIDORA DE PRODUTOS</v>
      </c>
      <c r="C99" s="17" t="n">
        <f aca="false">Report!U126</f>
        <v>722.41</v>
      </c>
      <c r="D99" s="1" t="str">
        <f aca="false">Report!X126</f>
        <v>NF 309639-1 MILKA</v>
      </c>
    </row>
    <row r="100" customFormat="false" ht="12.75" hidden="false" customHeight="true" outlineLevel="0" collapsed="false">
      <c r="A100" s="16" t="n">
        <f aca="false">Report!C129</f>
        <v>46204</v>
      </c>
      <c r="B100" s="1" t="str">
        <f aca="false">Report!E129</f>
        <v>H.V.M. XAVIER ALIMENTOS</v>
      </c>
      <c r="C100" s="17" t="n">
        <f aca="false">Report!U129</f>
        <v>421.2</v>
      </c>
      <c r="D100" s="1" t="str">
        <f aca="false">Report!X129</f>
        <v>NF 132832 - MILKA</v>
      </c>
    </row>
    <row r="101" customFormat="false" ht="12.75" hidden="false" customHeight="true" outlineLevel="0" collapsed="false">
      <c r="A101" s="16" t="n">
        <f aca="false">Report!C131</f>
        <v>46204</v>
      </c>
      <c r="B101" s="1" t="str">
        <f aca="false">Report!E131</f>
        <v>J G COMERCIO DE PRODUTOS ALIMENTICIOS LTDA</v>
      </c>
      <c r="C101" s="17" t="n">
        <f aca="false">Report!U131</f>
        <v>1283.28</v>
      </c>
      <c r="D101" s="1" t="str">
        <f aca="false">Report!X131</f>
        <v>452671-A/C  NF388860 - MILKA</v>
      </c>
    </row>
    <row r="102" customFormat="false" ht="12.75" hidden="false" customHeight="true" outlineLevel="0" collapsed="false">
      <c r="A102" s="16" t="n">
        <f aca="false">Report!C132</f>
        <v>46204</v>
      </c>
      <c r="B102" s="1" t="str">
        <f aca="false">Report!E132</f>
        <v>L S M COMERCIO DE ALIMENTOS E NAVEGACAO</v>
      </c>
      <c r="C102" s="17" t="n">
        <f aca="false">Report!U132</f>
        <v>1747.4</v>
      </c>
      <c r="D102" s="1" t="str">
        <f aca="false">Report!X132</f>
        <v>NF 304.651 - KEILA</v>
      </c>
    </row>
    <row r="103" customFormat="false" ht="12.75" hidden="false" customHeight="true" outlineLevel="0" collapsed="false">
      <c r="A103" s="16" t="n">
        <f aca="false">Report!C133</f>
        <v>46204</v>
      </c>
      <c r="B103" s="1" t="str">
        <f aca="false">Report!E133</f>
        <v>L. J. DA SILVA LTDA</v>
      </c>
      <c r="C103" s="17" t="n">
        <f aca="false">Report!U133</f>
        <v>2120.67</v>
      </c>
      <c r="D103" s="1" t="str">
        <f aca="false">Report!X133</f>
        <v>44062-A/B  NF33133 - MILKA</v>
      </c>
    </row>
    <row r="104" customFormat="false" ht="12.75" hidden="false" customHeight="true" outlineLevel="0" collapsed="false">
      <c r="A104" s="16" t="n">
        <f aca="false">Report!C134</f>
        <v>46204</v>
      </c>
      <c r="B104" s="1" t="str">
        <f aca="false">Report!E134</f>
        <v>NATUREZA COMERCIO DE DESCARTAVEIS LTDA</v>
      </c>
      <c r="C104" s="17" t="n">
        <f aca="false">Report!U134</f>
        <v>1177.6</v>
      </c>
      <c r="D104" s="1" t="str">
        <f aca="false">Report!X134</f>
        <v>NF 727418 -01 MILKA</v>
      </c>
    </row>
    <row r="105" customFormat="false" ht="12.75" hidden="false" customHeight="true" outlineLevel="0" collapsed="false">
      <c r="A105" s="16" t="n">
        <f aca="false">Report!C135</f>
        <v>46204</v>
      </c>
      <c r="B105" s="1" t="str">
        <f aca="false">Report!E135</f>
        <v>NESTLÉ BRASIL LTDA.</v>
      </c>
      <c r="C105" s="17" t="n">
        <f aca="false">Report!U135</f>
        <v>1356.17</v>
      </c>
      <c r="D105" s="1" t="str">
        <f aca="false">Report!X135</f>
        <v>NF 1414636 -03 MILKA</v>
      </c>
    </row>
    <row r="106" customFormat="false" ht="12.75" hidden="false" customHeight="true" outlineLevel="0" collapsed="false">
      <c r="A106" s="16" t="n">
        <f aca="false">Report!C138</f>
        <v>46204</v>
      </c>
      <c r="B106" s="1" t="str">
        <f aca="false">Report!E138</f>
        <v>PANIFICADORA E CONFEITARIA REAL MADRI LTDA</v>
      </c>
      <c r="C106" s="17" t="n">
        <f aca="false">Report!U138</f>
        <v>876.6</v>
      </c>
      <c r="D106" s="1" t="str">
        <f aca="false">Report!X138</f>
        <v>NF 684 - MILKA</v>
      </c>
    </row>
    <row r="107" customFormat="false" ht="12.75" hidden="false" customHeight="true" outlineLevel="0" collapsed="false">
      <c r="A107" s="16" t="n">
        <f aca="false">Report!C139</f>
        <v>46204</v>
      </c>
      <c r="B107" s="1" t="str">
        <f aca="false">Report!E139</f>
        <v>PIARARA COMERCIO, IMPORTACAO E EXPORTACAO LTDA</v>
      </c>
      <c r="C107" s="17" t="n">
        <f aca="false">Report!U139</f>
        <v>568.92</v>
      </c>
      <c r="D107" s="1" t="str">
        <f aca="false">Report!X139</f>
        <v>NF 193491-1 MILKA</v>
      </c>
    </row>
    <row r="108" customFormat="false" ht="12.75" hidden="false" customHeight="true" outlineLevel="0" collapsed="false">
      <c r="A108" s="16" t="n">
        <f aca="false">Report!C140</f>
        <v>46204</v>
      </c>
      <c r="B108" s="1" t="str">
        <f aca="false">Report!E140</f>
        <v>RENATO DE O AZEVEDO E CIA LTDA - EPP</v>
      </c>
      <c r="C108" s="17" t="n">
        <f aca="false">Report!U140</f>
        <v>1701</v>
      </c>
      <c r="D108" s="1" t="str">
        <f aca="false">Report!X140</f>
        <v>FEIRA CARLOS - DEBORA</v>
      </c>
    </row>
    <row r="109" customFormat="false" ht="12.75" hidden="false" customHeight="true" outlineLevel="0" collapsed="false">
      <c r="A109" s="16" t="n">
        <f aca="false">Report!C141</f>
        <v>46204</v>
      </c>
      <c r="B109" s="1" t="str">
        <f aca="false">Report!E141</f>
        <v>RENATO DE O AZEVEDO E CIA LTDA - EPP</v>
      </c>
      <c r="C109" s="17" t="n">
        <f aca="false">Report!U141</f>
        <v>140</v>
      </c>
      <c r="D109" s="1" t="str">
        <f aca="false">Report!X141</f>
        <v>CAMARAO COM CASCA - FEIRA CARLOS - DEBORA</v>
      </c>
    </row>
    <row r="110" customFormat="false" ht="12.75" hidden="false" customHeight="true" outlineLevel="0" collapsed="false">
      <c r="A110" s="16" t="n">
        <f aca="false">Report!C142</f>
        <v>46205</v>
      </c>
      <c r="B110" s="1" t="str">
        <f aca="false">Report!E142</f>
        <v>A L DE ALMEIDA NETO MINIMERCADOS-ME</v>
      </c>
      <c r="C110" s="17" t="n">
        <f aca="false">Report!U142</f>
        <v>205</v>
      </c>
      <c r="D110" s="1" t="str">
        <f aca="false">Report!X142</f>
        <v>NF 7084 - DEBORA</v>
      </c>
    </row>
    <row r="111" customFormat="false" ht="12.75" hidden="false" customHeight="true" outlineLevel="0" collapsed="false">
      <c r="A111" s="16" t="n">
        <f aca="false">Report!C143</f>
        <v>46205</v>
      </c>
      <c r="B111" s="1" t="str">
        <f aca="false">Report!E143</f>
        <v>ADICSO FABIAN GONZALEZ MONTILLA 70302186</v>
      </c>
      <c r="C111" s="17" t="n">
        <f aca="false">Report!U143</f>
        <v>720</v>
      </c>
      <c r="D111" s="1" t="str">
        <f aca="false">Report!X143</f>
        <v>NF 516 BLOOM - MILKA</v>
      </c>
    </row>
    <row r="112" customFormat="false" ht="12.75" hidden="false" customHeight="true" outlineLevel="0" collapsed="false">
      <c r="A112" s="16" t="n">
        <f aca="false">Report!C144</f>
        <v>46205</v>
      </c>
      <c r="B112" s="1" t="str">
        <f aca="false">Report!E144</f>
        <v>ADRIANA DISTRIBUIDORA DE PRODUTOS ALIMEN</v>
      </c>
      <c r="C112" s="17" t="n">
        <f aca="false">Report!U144</f>
        <v>1402.89</v>
      </c>
      <c r="D112" s="1" t="str">
        <f aca="false">Report!X144</f>
        <v>NF 878848-1 MILKA</v>
      </c>
    </row>
    <row r="113" customFormat="false" ht="12.75" hidden="false" customHeight="true" outlineLevel="0" collapsed="false">
      <c r="A113" s="16" t="n">
        <f aca="false">Report!C145</f>
        <v>46205</v>
      </c>
      <c r="B113" s="1" t="str">
        <f aca="false">Report!E145</f>
        <v>ATACADAO S.A.</v>
      </c>
      <c r="C113" s="17" t="n">
        <f aca="false">Report!U145</f>
        <v>1837.5</v>
      </c>
      <c r="D113" s="1" t="str">
        <f aca="false">Report!X145</f>
        <v>NF 1890669 - MILKA</v>
      </c>
    </row>
    <row r="114" customFormat="false" ht="12.75" hidden="false" customHeight="true" outlineLevel="0" collapsed="false">
      <c r="A114" s="16" t="n">
        <f aca="false">Report!C147</f>
        <v>46205</v>
      </c>
      <c r="B114" s="1" t="str">
        <f aca="false">Report!E147</f>
        <v>C. R. PARENTE ABREU</v>
      </c>
      <c r="C114" s="17" t="n">
        <f aca="false">Report!U147</f>
        <v>459.59</v>
      </c>
      <c r="D114" s="1" t="str">
        <f aca="false">Report!X147</f>
        <v>NF 11315-02 MILKA</v>
      </c>
    </row>
    <row r="115" customFormat="false" ht="12.75" hidden="false" customHeight="true" outlineLevel="0" collapsed="false">
      <c r="A115" s="16" t="n">
        <f aca="false">Report!C149</f>
        <v>46205</v>
      </c>
      <c r="B115" s="1" t="str">
        <f aca="false">Report!E149</f>
        <v>CRBS S/A</v>
      </c>
      <c r="C115" s="17" t="n">
        <f aca="false">Report!U149</f>
        <v>5631.01</v>
      </c>
      <c r="D115" s="1" t="str">
        <f aca="false">Report!X149</f>
        <v>NF 875362 - MILKA</v>
      </c>
    </row>
    <row r="116" customFormat="false" ht="12.75" hidden="false" customHeight="true" outlineLevel="0" collapsed="false">
      <c r="A116" s="16" t="n">
        <f aca="false">Report!C150</f>
        <v>46205</v>
      </c>
      <c r="B116" s="1" t="str">
        <f aca="false">Report!E150</f>
        <v>DA FRUTA DISTRIBUIDORA LTDA</v>
      </c>
      <c r="C116" s="17" t="n">
        <f aca="false">Report!U150</f>
        <v>830.88</v>
      </c>
      <c r="D116" s="1" t="str">
        <f aca="false">Report!X150</f>
        <v>NF 195984 - MILKA</v>
      </c>
    </row>
    <row r="117" customFormat="false" ht="12.75" hidden="false" customHeight="true" outlineLevel="0" collapsed="false">
      <c r="A117" s="16" t="n">
        <f aca="false">Report!C151</f>
        <v>46205</v>
      </c>
      <c r="B117" s="1" t="str">
        <f aca="false">Report!E151</f>
        <v>DUNORTE DISTRIBUIDORA DE PRODUTOS DE CONSUMO LTDA</v>
      </c>
      <c r="C117" s="17" t="n">
        <f aca="false">Report!U151</f>
        <v>538.38</v>
      </c>
      <c r="D117" s="1" t="str">
        <f aca="false">Report!X151</f>
        <v>NF 3201285 - MILKA</v>
      </c>
    </row>
    <row r="118" customFormat="false" ht="12.75" hidden="false" customHeight="true" outlineLevel="0" collapsed="false">
      <c r="A118" s="16" t="n">
        <f aca="false">Report!C152</f>
        <v>46205</v>
      </c>
      <c r="B118" s="1" t="str">
        <f aca="false">Report!E152</f>
        <v>DUNORTE DISTRIBUIDORA DE PRODUTOS DE CONSUMO LTDA</v>
      </c>
      <c r="C118" s="17" t="n">
        <f aca="false">Report!U152</f>
        <v>301.14</v>
      </c>
      <c r="D118" s="1" t="str">
        <f aca="false">Report!X152</f>
        <v>NF 3204501 - MILKA</v>
      </c>
    </row>
    <row r="119" customFormat="false" ht="12.75" hidden="false" customHeight="true" outlineLevel="0" collapsed="false">
      <c r="A119" s="16" t="n">
        <f aca="false">Report!C153</f>
        <v>46205</v>
      </c>
      <c r="B119" s="1" t="str">
        <f aca="false">Report!E153</f>
        <v>E. SALES DO NASCIMENTO</v>
      </c>
      <c r="C119" s="17" t="n">
        <f aca="false">Report!U153</f>
        <v>503.26</v>
      </c>
      <c r="D119" s="1" t="str">
        <f aca="false">Report!X153</f>
        <v>NF 573-06 MILKA</v>
      </c>
    </row>
    <row r="120" customFormat="false" ht="12.75" hidden="false" customHeight="true" outlineLevel="0" collapsed="false">
      <c r="A120" s="16" t="n">
        <f aca="false">Report!C154</f>
        <v>46205</v>
      </c>
      <c r="B120" s="1" t="str">
        <f aca="false">Report!E154</f>
        <v>FALCAO INDUSTRIA DE ALIMENTOS LTDA</v>
      </c>
      <c r="C120" s="17" t="n">
        <f aca="false">Report!U154</f>
        <v>3066.49</v>
      </c>
      <c r="D120" s="1" t="str">
        <f aca="false">Report!X154</f>
        <v>77054/2  NF30443 - MILKA</v>
      </c>
    </row>
    <row r="121" customFormat="false" ht="12.75" hidden="false" customHeight="true" outlineLevel="0" collapsed="false">
      <c r="A121" s="16" t="n">
        <f aca="false">Report!C155</f>
        <v>46205</v>
      </c>
      <c r="B121" s="1" t="str">
        <f aca="false">Report!E155</f>
        <v>FRUTAL INDUSTRIA E COMERCIO LTDA</v>
      </c>
      <c r="C121" s="17" t="n">
        <f aca="false">Report!U155</f>
        <v>238.41</v>
      </c>
      <c r="D121" s="1" t="str">
        <f aca="false">Report!X155</f>
        <v>NF 224467 - MILKA</v>
      </c>
    </row>
    <row r="122" customFormat="false" ht="12.75" hidden="false" customHeight="true" outlineLevel="0" collapsed="false">
      <c r="A122" s="16" t="n">
        <f aca="false">Report!C156</f>
        <v>46205</v>
      </c>
      <c r="B122" s="1" t="str">
        <f aca="false">Report!E156</f>
        <v>INDUSTRIA E COM. DE ALIMENTOS MORAES LTD</v>
      </c>
      <c r="C122" s="17" t="n">
        <f aca="false">Report!U156</f>
        <v>380</v>
      </c>
      <c r="D122" s="1" t="str">
        <f aca="false">Report!X156</f>
        <v>NF 111495 - MILKA</v>
      </c>
    </row>
    <row r="123" customFormat="false" ht="12.75" hidden="false" customHeight="true" outlineLevel="0" collapsed="false">
      <c r="A123" s="16" t="n">
        <f aca="false">Report!C157</f>
        <v>46205</v>
      </c>
      <c r="B123" s="1" t="str">
        <f aca="false">Report!E157</f>
        <v>IRMÃOS LIMA  ATACADO  DE ALIMENTOS LTDA</v>
      </c>
      <c r="C123" s="17" t="n">
        <f aca="false">Report!U157</f>
        <v>1250.11</v>
      </c>
      <c r="D123" s="1" t="str">
        <f aca="false">Report!X157</f>
        <v>374805-A/C  NF293860 - MILKA</v>
      </c>
    </row>
    <row r="124" customFormat="false" ht="12.75" hidden="false" customHeight="true" outlineLevel="0" collapsed="false">
      <c r="A124" s="16" t="n">
        <f aca="false">Report!C163</f>
        <v>46205</v>
      </c>
      <c r="B124" s="1" t="str">
        <f aca="false">Report!E163</f>
        <v>L S M COMERCIO DE ALIMENTOS E NAVEGACAO</v>
      </c>
      <c r="C124" s="17" t="n">
        <f aca="false">Report!U163</f>
        <v>1568.1</v>
      </c>
      <c r="D124" s="1" t="str">
        <f aca="false">Report!X163</f>
        <v>NF 304776 -1 MILKA</v>
      </c>
    </row>
    <row r="125" customFormat="false" ht="12.75" hidden="false" customHeight="true" outlineLevel="0" collapsed="false">
      <c r="A125" s="16" t="n">
        <f aca="false">Report!C164</f>
        <v>46205</v>
      </c>
      <c r="B125" s="1" t="str">
        <f aca="false">Report!E164</f>
        <v>NORTELAC DISTRIBUIDORA DE FRIOS LTDA</v>
      </c>
      <c r="C125" s="17" t="n">
        <f aca="false">Report!U164</f>
        <v>1380</v>
      </c>
      <c r="D125" s="1" t="str">
        <f aca="false">Report!X164</f>
        <v>NF 42233 - MILKA</v>
      </c>
    </row>
    <row r="126" customFormat="false" ht="12.75" hidden="false" customHeight="true" outlineLevel="0" collapsed="false">
      <c r="A126" s="16" t="n">
        <f aca="false">Report!C165</f>
        <v>46205</v>
      </c>
      <c r="B126" s="1" t="str">
        <f aca="false">Report!E165</f>
        <v>NT INDUSTRIA E COMERCIO DE PANIFICACAO L</v>
      </c>
      <c r="C126" s="17" t="n">
        <f aca="false">Report!U165</f>
        <v>5651.65</v>
      </c>
      <c r="D126" s="1" t="str">
        <f aca="false">Report!X165</f>
        <v>NF 38858 MILKA</v>
      </c>
    </row>
    <row r="127" customFormat="false" ht="12.75" hidden="false" customHeight="true" outlineLevel="0" collapsed="false">
      <c r="A127" s="16" t="n">
        <f aca="false">Report!C166</f>
        <v>46205</v>
      </c>
      <c r="B127" s="1" t="str">
        <f aca="false">Report!E166</f>
        <v>OCIDENTAL COMERCIO DE FRIOS LTDA</v>
      </c>
      <c r="C127" s="17" t="n">
        <f aca="false">Report!U166</f>
        <v>998.52</v>
      </c>
      <c r="D127" s="1" t="str">
        <f aca="false">Report!X166</f>
        <v>NF 1236075 - MILKA</v>
      </c>
    </row>
    <row r="128" customFormat="false" ht="12.75" hidden="false" customHeight="true" outlineLevel="0" collapsed="false">
      <c r="A128" s="16" t="n">
        <f aca="false">Report!C167</f>
        <v>46205</v>
      </c>
      <c r="B128" s="1" t="str">
        <f aca="false">Report!E167</f>
        <v>REAL BEBIDAS DA AMAZONIA LTDA</v>
      </c>
      <c r="C128" s="17" t="n">
        <f aca="false">Report!U167</f>
        <v>718</v>
      </c>
      <c r="D128" s="1" t="str">
        <f aca="false">Report!X167</f>
        <v>NF 590548 - MILKA</v>
      </c>
    </row>
    <row r="129" customFormat="false" ht="12.75" hidden="false" customHeight="true" outlineLevel="0" collapsed="false">
      <c r="A129" s="16" t="n">
        <f aca="false">Report!C168</f>
        <v>46205</v>
      </c>
      <c r="B129" s="1" t="str">
        <f aca="false">Report!E168</f>
        <v>RENATO DE O AZEVEDO E CIA LTDA - EPP</v>
      </c>
      <c r="C129" s="17" t="n">
        <f aca="false">Report!U168</f>
        <v>210</v>
      </c>
      <c r="D129" s="1" t="str">
        <f aca="false">Report!X168</f>
        <v>ACAI DE ANORI - DEBORA</v>
      </c>
    </row>
    <row r="130" customFormat="false" ht="12.75" hidden="false" customHeight="true" outlineLevel="0" collapsed="false">
      <c r="A130" s="16" t="n">
        <f aca="false">Report!C169</f>
        <v>46205</v>
      </c>
      <c r="B130" s="1" t="str">
        <f aca="false">Report!E169</f>
        <v>RENATO DE O AZEVEDO E CIA LTDA - EPP</v>
      </c>
      <c r="C130" s="17" t="n">
        <f aca="false">Report!U169</f>
        <v>280</v>
      </c>
      <c r="D130" s="1" t="str">
        <f aca="false">Report!X169</f>
        <v>ACAI DE ANORI - DEBORA</v>
      </c>
    </row>
    <row r="131" customFormat="false" ht="12.75" hidden="false" customHeight="true" outlineLevel="0" collapsed="false">
      <c r="A131" s="16" t="n">
        <f aca="false">Report!C170</f>
        <v>46205</v>
      </c>
      <c r="B131" s="1" t="str">
        <f aca="false">Report!E170</f>
        <v>RV TECNOLOGIA E SISTEMAS S.A</v>
      </c>
      <c r="C131" s="17" t="n">
        <f aca="false">Report!U170</f>
        <v>81.4</v>
      </c>
      <c r="D131" s="1" t="str">
        <f aca="false">Report!X170</f>
        <v>RECARGA MO1</v>
      </c>
    </row>
    <row r="132" customFormat="false" ht="12.75" hidden="false" customHeight="true" outlineLevel="0" collapsed="false">
      <c r="A132" s="16" t="n">
        <f aca="false">Report!C171</f>
        <v>46205</v>
      </c>
      <c r="B132" s="1" t="str">
        <f aca="false">Report!E171</f>
        <v>SB COMERCIO LTDA</v>
      </c>
      <c r="C132" s="17" t="n">
        <f aca="false">Report!U171</f>
        <v>3937.78</v>
      </c>
      <c r="D132" s="1" t="str">
        <f aca="false">Report!X171</f>
        <v>NF 1957890-1 MILKA</v>
      </c>
    </row>
    <row r="133" customFormat="false" ht="12.75" hidden="false" customHeight="true" outlineLevel="0" collapsed="false">
      <c r="A133" s="16" t="n">
        <f aca="false">Report!C172</f>
        <v>46205</v>
      </c>
      <c r="B133" s="1" t="str">
        <f aca="false">Report!E172</f>
        <v>T A DE MATTOS COMIM EIRELI</v>
      </c>
      <c r="C133" s="17" t="n">
        <f aca="false">Report!U172</f>
        <v>228</v>
      </c>
      <c r="D133" s="1" t="str">
        <f aca="false">Report!X172</f>
        <v>NF 10610 CASA NOSTRA  - MILKA</v>
      </c>
    </row>
    <row r="134" customFormat="false" ht="12.75" hidden="false" customHeight="true" outlineLevel="0" collapsed="false">
      <c r="A134" s="16" t="n">
        <f aca="false">Report!C173</f>
        <v>46206</v>
      </c>
      <c r="B134" s="1" t="str">
        <f aca="false">Report!E173</f>
        <v>BRAGA TABACARIA EIRELI ME</v>
      </c>
      <c r="C134" s="17" t="n">
        <f aca="false">Report!U173</f>
        <v>467.2</v>
      </c>
      <c r="D134" s="1" t="str">
        <f aca="false">Report!X173</f>
        <v>NF 18761-02 MILKA</v>
      </c>
    </row>
    <row r="135" customFormat="false" ht="12.75" hidden="false" customHeight="true" outlineLevel="0" collapsed="false">
      <c r="A135" s="16" t="n">
        <f aca="false">Report!C174</f>
        <v>46206</v>
      </c>
      <c r="B135" s="1" t="str">
        <f aca="false">Report!E174</f>
        <v>BRAGA TABACARIA EIRELI ME</v>
      </c>
      <c r="C135" s="17" t="n">
        <f aca="false">Report!U174</f>
        <v>998</v>
      </c>
      <c r="D135" s="1" t="str">
        <f aca="false">Report!X174</f>
        <v>NF18891 - MILKA</v>
      </c>
    </row>
    <row r="136" customFormat="false" ht="12.75" hidden="false" customHeight="true" outlineLevel="0" collapsed="false">
      <c r="A136" s="16" t="n">
        <f aca="false">Report!C175</f>
        <v>46206</v>
      </c>
      <c r="B136" s="1" t="str">
        <f aca="false">Report!E175</f>
        <v>BRASIL NORTE BEBIDAS S/A</v>
      </c>
      <c r="C136" s="17" t="n">
        <f aca="false">Report!U175</f>
        <v>822.31</v>
      </c>
      <c r="D136" s="1" t="str">
        <f aca="false">Report!X175</f>
        <v>NF 1168004 - MILKA</v>
      </c>
    </row>
    <row r="137" customFormat="false" ht="12.75" hidden="false" customHeight="true" outlineLevel="0" collapsed="false">
      <c r="A137" s="16" t="n">
        <f aca="false">Report!C176</f>
        <v>46206</v>
      </c>
      <c r="B137" s="1" t="str">
        <f aca="false">Report!E176</f>
        <v>BROTHERS  INDUSTRIA DE ALIMENTOS LTDA</v>
      </c>
      <c r="C137" s="17" t="n">
        <f aca="false">Report!U176</f>
        <v>1016.96</v>
      </c>
      <c r="D137" s="1" t="str">
        <f aca="false">Report!X176</f>
        <v>NF 1029068 - MILKA</v>
      </c>
    </row>
    <row r="138" customFormat="false" ht="12.75" hidden="false" customHeight="true" outlineLevel="0" collapsed="false">
      <c r="A138" s="16" t="n">
        <f aca="false">Report!C177</f>
        <v>46206</v>
      </c>
      <c r="B138" s="1" t="str">
        <f aca="false">Report!E177</f>
        <v>CARLINDO DA SILVA OLIVEIRA EIRELE</v>
      </c>
      <c r="C138" s="17" t="n">
        <f aca="false">Report!U177</f>
        <v>1814</v>
      </c>
      <c r="D138" s="1" t="str">
        <f aca="false">Report!X177</f>
        <v>pg 10 cx calabresa-andreza</v>
      </c>
    </row>
    <row r="139" customFormat="false" ht="12.75" hidden="false" customHeight="true" outlineLevel="0" collapsed="false">
      <c r="A139" s="16" t="n">
        <f aca="false">Report!C178</f>
        <v>46206</v>
      </c>
      <c r="B139" s="1" t="str">
        <f aca="false">Report!E178</f>
        <v>COMERCIO E TRANSPORTE BRANDAO LTDA</v>
      </c>
      <c r="C139" s="17" t="n">
        <f aca="false">Report!U178</f>
        <v>890</v>
      </c>
      <c r="D139" s="1" t="str">
        <f aca="false">Report!X178</f>
        <v>NF 14791 - DEBORA</v>
      </c>
    </row>
    <row r="140" customFormat="false" ht="12.75" hidden="false" customHeight="true" outlineLevel="0" collapsed="false">
      <c r="A140" s="16" t="n">
        <f aca="false">Report!C180</f>
        <v>46206</v>
      </c>
      <c r="B140" s="1" t="str">
        <f aca="false">Report!E180</f>
        <v>DISTRIBUIDORA FARIAS LTDA.</v>
      </c>
      <c r="C140" s="17" t="n">
        <f aca="false">Report!U180</f>
        <v>478.42</v>
      </c>
      <c r="D140" s="1" t="str">
        <f aca="false">Report!X180</f>
        <v>789209-A/C  NF674930 - MILKA</v>
      </c>
    </row>
    <row r="141" customFormat="false" ht="12.75" hidden="false" customHeight="true" outlineLevel="0" collapsed="false">
      <c r="A141" s="16" t="n">
        <f aca="false">Report!C181</f>
        <v>46206</v>
      </c>
      <c r="B141" s="1" t="str">
        <f aca="false">Report!E181</f>
        <v>FEMAR IND E COM DE BEBIDAS LTDA</v>
      </c>
      <c r="C141" s="17" t="n">
        <f aca="false">Report!U181</f>
        <v>400.99</v>
      </c>
      <c r="D141" s="1" t="str">
        <f aca="false">Report!X181</f>
        <v>NF 50992 - MILKA</v>
      </c>
    </row>
    <row r="142" customFormat="false" ht="12.75" hidden="false" customHeight="true" outlineLevel="0" collapsed="false">
      <c r="A142" s="16" t="n">
        <f aca="false">Report!C182</f>
        <v>46206</v>
      </c>
      <c r="B142" s="1" t="str">
        <f aca="false">Report!E182</f>
        <v>FENNIX BRASIL DISTRIBUIDORA DE PRODUTOS</v>
      </c>
      <c r="C142" s="17" t="n">
        <f aca="false">Report!U182</f>
        <v>581.76</v>
      </c>
      <c r="D142" s="1" t="str">
        <f aca="false">Report!X182</f>
        <v>NF 394903 - MILKA</v>
      </c>
    </row>
    <row r="143" customFormat="false" ht="12.75" hidden="false" customHeight="true" outlineLevel="0" collapsed="false">
      <c r="A143" s="16" t="n">
        <f aca="false">Report!C185</f>
        <v>46206</v>
      </c>
      <c r="B143" s="1" t="str">
        <f aca="false">Report!E185</f>
        <v>FORTVET DISTRIBUIDORA LTDA</v>
      </c>
      <c r="C143" s="17" t="n">
        <f aca="false">Report!U185</f>
        <v>1609.45</v>
      </c>
      <c r="D143" s="1" t="str">
        <f aca="false">Report!X185</f>
        <v>NF2068-4 MILKA</v>
      </c>
    </row>
    <row r="144" customFormat="false" ht="12.75" hidden="false" customHeight="true" outlineLevel="0" collapsed="false">
      <c r="A144" s="16" t="n">
        <f aca="false">Report!C186</f>
        <v>46206</v>
      </c>
      <c r="B144" s="1" t="str">
        <f aca="false">Report!E186</f>
        <v>GELO DANGELO FABRICACAO DE GELO LTDA</v>
      </c>
      <c r="C144" s="17" t="n">
        <f aca="false">Report!U186</f>
        <v>518</v>
      </c>
      <c r="D144" s="1" t="str">
        <f aca="false">Report!X186</f>
        <v>NF 340 - DEBORA</v>
      </c>
    </row>
    <row r="145" customFormat="false" ht="12.75" hidden="false" customHeight="true" outlineLevel="0" collapsed="false">
      <c r="A145" s="16" t="n">
        <f aca="false">Report!C187</f>
        <v>46206</v>
      </c>
      <c r="B145" s="1" t="str">
        <f aca="false">Report!E187</f>
        <v>H. L. DO NASCIMENTO</v>
      </c>
      <c r="C145" s="17" t="n">
        <f aca="false">Report!U187</f>
        <v>1427.3</v>
      </c>
      <c r="D145" s="1" t="str">
        <f aca="false">Report!X187</f>
        <v>NF 5716 - MILKA</v>
      </c>
    </row>
    <row r="146" customFormat="false" ht="12.75" hidden="false" customHeight="true" outlineLevel="0" collapsed="false">
      <c r="A146" s="16" t="n">
        <f aca="false">Report!C188</f>
        <v>46206</v>
      </c>
      <c r="B146" s="1" t="str">
        <f aca="false">Report!E188</f>
        <v>J W N DOS SANTOS</v>
      </c>
      <c r="C146" s="17" t="n">
        <f aca="false">Report!U188</f>
        <v>665</v>
      </c>
      <c r="D146" s="1" t="str">
        <f aca="false">Report!X188</f>
        <v>NF 336 - DEBORA</v>
      </c>
    </row>
    <row r="147" customFormat="false" ht="12.75" hidden="false" customHeight="true" outlineLevel="0" collapsed="false">
      <c r="A147" s="16" t="n">
        <f aca="false">Report!C189</f>
        <v>46206</v>
      </c>
      <c r="B147" s="1" t="str">
        <f aca="false">Report!E189</f>
        <v>J. A. F. DE LIMA</v>
      </c>
      <c r="C147" s="17" t="n">
        <f aca="false">Report!U189</f>
        <v>1118.57</v>
      </c>
      <c r="D147" s="1" t="str">
        <f aca="false">Report!X189</f>
        <v>NF 155121/4 MILKA</v>
      </c>
    </row>
    <row r="148" customFormat="false" ht="12.75" hidden="false" customHeight="true" outlineLevel="0" collapsed="false">
      <c r="A148" s="16" t="n">
        <f aca="false">Report!C190</f>
        <v>46206</v>
      </c>
      <c r="B148" s="1" t="str">
        <f aca="false">Report!E190</f>
        <v>J. S. MOREIRA ALVES LTDA</v>
      </c>
      <c r="C148" s="17" t="n">
        <f aca="false">Report!U190</f>
        <v>665</v>
      </c>
      <c r="D148" s="1" t="str">
        <f aca="false">Report!X190</f>
        <v>NF 2521 MESA FARTA - MILKA</v>
      </c>
    </row>
    <row r="149" customFormat="false" ht="12.75" hidden="false" customHeight="true" outlineLevel="0" collapsed="false">
      <c r="A149" s="16" t="n">
        <f aca="false">Report!C191</f>
        <v>46206</v>
      </c>
      <c r="B149" s="1" t="str">
        <f aca="false">Report!E191</f>
        <v>J. S. MOREIRA ALVES LTDA</v>
      </c>
      <c r="C149" s="17" t="n">
        <f aca="false">Report!U191</f>
        <v>812.5</v>
      </c>
      <c r="D149" s="1" t="str">
        <f aca="false">Report!X191</f>
        <v>NF 2554 MESA FARTA - MILKA</v>
      </c>
    </row>
    <row r="150" customFormat="false" ht="12.75" hidden="false" customHeight="true" outlineLevel="0" collapsed="false">
      <c r="A150" s="16" t="n">
        <f aca="false">Report!C192</f>
        <v>46206</v>
      </c>
      <c r="B150" s="1" t="str">
        <f aca="false">Report!E192</f>
        <v>JAB COMERCIO DE PRODUTOS ALIMENTICIOS LT</v>
      </c>
      <c r="C150" s="17" t="n">
        <f aca="false">Report!U192</f>
        <v>399</v>
      </c>
      <c r="D150" s="1" t="str">
        <f aca="false">Report!X192</f>
        <v>NF 3442 SANTOPAO - MILKA</v>
      </c>
    </row>
    <row r="151" customFormat="false" ht="12.75" hidden="false" customHeight="true" outlineLevel="0" collapsed="false">
      <c r="A151" s="16" t="n">
        <f aca="false">Report!C193</f>
        <v>46206</v>
      </c>
      <c r="B151" s="1" t="str">
        <f aca="false">Report!E193</f>
        <v>L S M COMERCIO DE ALIMENTOS E NAVEGACAO</v>
      </c>
      <c r="C151" s="17" t="n">
        <f aca="false">Report!U193</f>
        <v>1037.84</v>
      </c>
      <c r="D151" s="1" t="str">
        <f aca="false">Report!X193</f>
        <v>NF 303409 -3 MILKA</v>
      </c>
    </row>
    <row r="152" customFormat="false" ht="12.75" hidden="false" customHeight="true" outlineLevel="0" collapsed="false">
      <c r="A152" s="16" t="n">
        <f aca="false">Report!C194</f>
        <v>46206</v>
      </c>
      <c r="B152" s="1" t="str">
        <f aca="false">Report!E194</f>
        <v>MAXFRI DISTRIUIDORA LTDA</v>
      </c>
      <c r="C152" s="17" t="n">
        <f aca="false">Report!U194</f>
        <v>6075.66</v>
      </c>
      <c r="D152" s="1" t="str">
        <f aca="false">Report!X194</f>
        <v>NF14562 - MILKA</v>
      </c>
    </row>
    <row r="153" customFormat="false" ht="12.75" hidden="false" customHeight="true" outlineLevel="0" collapsed="false">
      <c r="A153" s="16" t="n">
        <f aca="false">Report!C195</f>
        <v>46206</v>
      </c>
      <c r="B153" s="1" t="str">
        <f aca="false">Report!E195</f>
        <v>NEYLIANE S DE OLIVEIRA &amp; CIA LTDA</v>
      </c>
      <c r="C153" s="17" t="n">
        <f aca="false">Report!U195</f>
        <v>240</v>
      </c>
      <c r="D153" s="1" t="str">
        <f aca="false">Report!X195</f>
        <v>10 PCT DE AGUAS 2 LT -ANDREZA</v>
      </c>
    </row>
    <row r="154" customFormat="false" ht="12.75" hidden="false" customHeight="true" outlineLevel="0" collapsed="false">
      <c r="A154" s="16" t="n">
        <f aca="false">Report!C196</f>
        <v>46206</v>
      </c>
      <c r="B154" s="1" t="str">
        <f aca="false">Report!E196</f>
        <v>NOVA FRIOS COMERCIO ATACADISTA DE LATICINIOS LTDA</v>
      </c>
      <c r="C154" s="17" t="n">
        <f aca="false">Report!U196</f>
        <v>226.4</v>
      </c>
      <c r="D154" s="1" t="str">
        <f aca="false">Report!X196</f>
        <v>NF 3901 SANTOPAO - MILKA</v>
      </c>
    </row>
    <row r="155" customFormat="false" ht="12.75" hidden="false" customHeight="true" outlineLevel="0" collapsed="false">
      <c r="A155" s="16" t="n">
        <f aca="false">Report!C197</f>
        <v>46206</v>
      </c>
      <c r="B155" s="1" t="str">
        <f aca="false">Report!E197</f>
        <v>OCIDENTAL COMERCIO DE FRIOS LTDA</v>
      </c>
      <c r="C155" s="17" t="n">
        <f aca="false">Report!U197</f>
        <v>2272.58</v>
      </c>
      <c r="D155" s="1" t="str">
        <f aca="false">Report!X197</f>
        <v>NF 1238958-1/3 MILKA</v>
      </c>
    </row>
    <row r="156" customFormat="false" ht="12.75" hidden="false" customHeight="true" outlineLevel="0" collapsed="false">
      <c r="A156" s="16" t="n">
        <f aca="false">Report!C198</f>
        <v>46206</v>
      </c>
      <c r="B156" s="1" t="str">
        <f aca="false">Report!E198</f>
        <v>ORIENTE COM. ATACADISTA E REPRES. LTDA</v>
      </c>
      <c r="C156" s="17" t="n">
        <f aca="false">Report!U198</f>
        <v>754.42</v>
      </c>
      <c r="D156" s="1" t="str">
        <f aca="false">Report!X198</f>
        <v>2435/1  NF2033 - MILKA</v>
      </c>
    </row>
    <row r="157" customFormat="false" ht="12.75" hidden="false" customHeight="true" outlineLevel="0" collapsed="false">
      <c r="A157" s="16" t="n">
        <f aca="false">Report!C199</f>
        <v>46206</v>
      </c>
      <c r="B157" s="1" t="str">
        <f aca="false">Report!E199</f>
        <v>PANIFICADORA E CONFEITARIA REAL MADRI LTDA</v>
      </c>
      <c r="C157" s="17" t="n">
        <f aca="false">Report!U199</f>
        <v>1400</v>
      </c>
      <c r="D157" s="1" t="str">
        <f aca="false">Report!X199</f>
        <v>NF 687 - MILKA</v>
      </c>
    </row>
    <row r="158" customFormat="false" ht="12.75" hidden="false" customHeight="true" outlineLevel="0" collapsed="false">
      <c r="A158" s="16" t="n">
        <f aca="false">Report!C200</f>
        <v>46206</v>
      </c>
      <c r="B158" s="1" t="str">
        <f aca="false">Report!E200</f>
        <v>PIARARA COMERCIO, IMPORTACAO E EXPORTACAO LTDA</v>
      </c>
      <c r="C158" s="17" t="n">
        <f aca="false">Report!U200</f>
        <v>372.09</v>
      </c>
      <c r="D158" s="1" t="str">
        <f aca="false">Report!X200</f>
        <v>NF193354-2 MILKA</v>
      </c>
    </row>
    <row r="159" customFormat="false" ht="12.75" hidden="false" customHeight="true" outlineLevel="0" collapsed="false">
      <c r="A159" s="16" t="n">
        <f aca="false">Report!C203</f>
        <v>46206</v>
      </c>
      <c r="B159" s="1" t="str">
        <f aca="false">Report!E203</f>
        <v>RENATO DE O AZEVEDO E CIA LTDA - EPP</v>
      </c>
      <c r="C159" s="17" t="n">
        <f aca="false">Report!U203</f>
        <v>2905</v>
      </c>
      <c r="D159" s="1" t="str">
        <f aca="false">Report!X203</f>
        <v>FEIRA SR RENATO - DEBORA</v>
      </c>
    </row>
    <row r="160" customFormat="false" ht="12.75" hidden="false" customHeight="true" outlineLevel="0" collapsed="false">
      <c r="A160" s="16" t="n">
        <f aca="false">Report!C204</f>
        <v>46206</v>
      </c>
      <c r="B160" s="1" t="str">
        <f aca="false">Report!E204</f>
        <v>RENATO DE O AZEVEDO E CIA LTDA - EPP</v>
      </c>
      <c r="C160" s="17" t="n">
        <f aca="false">Report!U204</f>
        <v>400</v>
      </c>
      <c r="D160" s="1" t="str">
        <f aca="false">Report!X204</f>
        <v>PITAYA - DEBORA</v>
      </c>
    </row>
    <row r="161" customFormat="false" ht="12.75" hidden="false" customHeight="true" outlineLevel="0" collapsed="false">
      <c r="A161" s="16" t="n">
        <f aca="false">Report!C205</f>
        <v>46206</v>
      </c>
      <c r="B161" s="1" t="str">
        <f aca="false">Report!E205</f>
        <v>RENATO DE O AZEVEDO E CIA LTDA - EPP</v>
      </c>
      <c r="C161" s="17" t="n">
        <f aca="false">Report!U205</f>
        <v>3621</v>
      </c>
      <c r="D161" s="1" t="str">
        <f aca="false">Report!X205</f>
        <v>FEIRA CARLOS - DEBORA</v>
      </c>
    </row>
    <row r="162" customFormat="false" ht="12.75" hidden="false" customHeight="true" outlineLevel="0" collapsed="false">
      <c r="A162" s="16" t="n">
        <f aca="false">Report!C206</f>
        <v>46206</v>
      </c>
      <c r="B162" s="1" t="str">
        <f aca="false">Report!E206</f>
        <v>RENATO DE O AZEVEDO E CIA LTDA - EPP</v>
      </c>
      <c r="C162" s="17" t="n">
        <f aca="false">Report!U206</f>
        <v>90</v>
      </c>
      <c r="D162" s="1" t="str">
        <f aca="false">Report!X206</f>
        <v>CAMARAO SEM CASCA - FEIRA CARLOS - DEBORA</v>
      </c>
    </row>
    <row r="163" customFormat="false" ht="12.75" hidden="false" customHeight="true" outlineLevel="0" collapsed="false">
      <c r="A163" s="16" t="n">
        <f aca="false">Report!C207</f>
        <v>46206</v>
      </c>
      <c r="B163" s="1" t="str">
        <f aca="false">Report!E207</f>
        <v>RENATO DE O AZEVEDO E CIA LTDA - EPP</v>
      </c>
      <c r="C163" s="17" t="n">
        <f aca="false">Report!U207</f>
        <v>350</v>
      </c>
      <c r="D163" s="1" t="str">
        <f aca="false">Report!X207</f>
        <v>ACAI DE ANORI - DEBORA</v>
      </c>
    </row>
    <row r="164" customFormat="false" ht="12.75" hidden="false" customHeight="true" outlineLevel="0" collapsed="false">
      <c r="A164" s="16" t="n">
        <f aca="false">Report!C208</f>
        <v>46206</v>
      </c>
      <c r="B164" s="1" t="str">
        <f aca="false">Report!E208</f>
        <v>RISADINHA LTDA</v>
      </c>
      <c r="C164" s="17" t="n">
        <f aca="false">Report!U208</f>
        <v>1755.4</v>
      </c>
      <c r="D164" s="1" t="str">
        <f aca="false">Report!X208</f>
        <v>NF 657246 -01 MILKA</v>
      </c>
    </row>
    <row r="165" customFormat="false" ht="12.75" hidden="false" customHeight="true" outlineLevel="0" collapsed="false">
      <c r="A165" s="16" t="n">
        <f aca="false">Report!C210</f>
        <v>46206</v>
      </c>
      <c r="B165" s="1" t="str">
        <f aca="false">Report!E210</f>
        <v>SAO JOSE COMERCIO DE LATICINIOS E FRIOS</v>
      </c>
      <c r="C165" s="17" t="n">
        <f aca="false">Report!U210</f>
        <v>854.5</v>
      </c>
      <c r="D165" s="1" t="str">
        <f aca="false">Report!X210</f>
        <v>6756788  NF3442 - MILKA</v>
      </c>
    </row>
    <row r="166" customFormat="false" ht="12.75" hidden="false" customHeight="true" outlineLevel="0" collapsed="false">
      <c r="A166" s="16" t="n">
        <f aca="false">Report!C211</f>
        <v>46206</v>
      </c>
      <c r="B166" s="1" t="str">
        <f aca="false">Report!E211</f>
        <v>SOUZA CRUZ LTDA.</v>
      </c>
      <c r="C166" s="17" t="n">
        <f aca="false">Report!U211</f>
        <v>5018.57</v>
      </c>
      <c r="D166" s="1" t="str">
        <f aca="false">Report!X211</f>
        <v>NF 563233 -02 MILKA</v>
      </c>
    </row>
    <row r="167" customFormat="false" ht="12.75" hidden="false" customHeight="true" outlineLevel="0" collapsed="false">
      <c r="A167" s="16" t="n">
        <f aca="false">Report!C212</f>
        <v>46206</v>
      </c>
      <c r="B167" s="1" t="str">
        <f aca="false">Report!E212</f>
        <v>SOUZA CRUZ LTDA.</v>
      </c>
      <c r="C167" s="17" t="n">
        <f aca="false">Report!U212</f>
        <v>5229.62</v>
      </c>
      <c r="D167" s="1" t="str">
        <f aca="false">Report!X212</f>
        <v>NF 565012-01 MILKA</v>
      </c>
    </row>
    <row r="168" customFormat="false" ht="12.75" hidden="false" customHeight="true" outlineLevel="0" collapsed="false">
      <c r="A168" s="16" t="n">
        <f aca="false">Report!C213</f>
        <v>46206</v>
      </c>
      <c r="B168" s="1" t="str">
        <f aca="false">Report!E213</f>
        <v>VITAPAN COMERCIO VAREJISTA DE PRODUTOS ALIMENTICIOS LTDA</v>
      </c>
      <c r="C168" s="17" t="n">
        <f aca="false">Report!U213</f>
        <v>1125</v>
      </c>
      <c r="D168" s="1" t="str">
        <f aca="false">Report!X213</f>
        <v>NF10182 - MILKA</v>
      </c>
    </row>
    <row r="169" customFormat="false" ht="12.75" hidden="false" customHeight="true" outlineLevel="0" collapsed="false">
      <c r="A169" s="16" t="n">
        <f aca="false">Report!C214</f>
        <v>46207</v>
      </c>
      <c r="B169" s="1" t="str">
        <f aca="false">Report!E214</f>
        <v>ADRIANA DISTRIBUIDORA DE PRODUTOS ALIMEN</v>
      </c>
      <c r="C169" s="17" t="n">
        <f aca="false">Report!U214</f>
        <v>376.07</v>
      </c>
      <c r="D169" s="1" t="str">
        <f aca="false">Report!X214</f>
        <v>NF 877772-2 MILKA</v>
      </c>
    </row>
    <row r="170" customFormat="false" ht="12.75" hidden="false" customHeight="true" outlineLevel="0" collapsed="false">
      <c r="A170" s="16" t="n">
        <f aca="false">Report!C215</f>
        <v>46207</v>
      </c>
      <c r="B170" s="1" t="str">
        <f aca="false">Report!E215</f>
        <v>BRASIL NORTE BEBIDAS S/A</v>
      </c>
      <c r="C170" s="17" t="n">
        <f aca="false">Report!U215</f>
        <v>3036.55</v>
      </c>
      <c r="D170" s="1" t="str">
        <f aca="false">Report!X215</f>
        <v>NF 1170325 - MILKA</v>
      </c>
    </row>
    <row r="171" customFormat="false" ht="12.75" hidden="false" customHeight="true" outlineLevel="0" collapsed="false">
      <c r="A171" s="16" t="n">
        <f aca="false">Report!C216</f>
        <v>46207</v>
      </c>
      <c r="B171" s="1" t="str">
        <f aca="false">Report!E216</f>
        <v>BRASIL NORTE BEBIDAS S/A</v>
      </c>
      <c r="C171" s="17" t="n">
        <f aca="false">Report!U216</f>
        <v>6040.63</v>
      </c>
      <c r="D171" s="1" t="str">
        <f aca="false">Report!X216</f>
        <v>NF 1892110 - MILKA</v>
      </c>
    </row>
    <row r="172" customFormat="false" ht="12.75" hidden="false" customHeight="true" outlineLevel="0" collapsed="false">
      <c r="A172" s="16" t="n">
        <f aca="false">Report!C217</f>
        <v>46207</v>
      </c>
      <c r="B172" s="1" t="str">
        <f aca="false">Report!E217</f>
        <v>COMERCIO DE FRIOS MANAUS LTDA</v>
      </c>
      <c r="C172" s="17" t="n">
        <f aca="false">Report!U217</f>
        <v>5951.8</v>
      </c>
      <c r="D172" s="1" t="str">
        <f aca="false">Report!X217</f>
        <v>NF172090 - MILKA</v>
      </c>
    </row>
    <row r="173" customFormat="false" ht="12.75" hidden="false" customHeight="true" outlineLevel="0" collapsed="false">
      <c r="A173" s="16" t="n">
        <f aca="false">Report!C219</f>
        <v>46207</v>
      </c>
      <c r="B173" s="1" t="str">
        <f aca="false">Report!E219</f>
        <v>MARE DISTRIBUIDORA DE BEBIDAS E DE PRODUTOS ALIMENTICIOS LTDA</v>
      </c>
      <c r="C173" s="17" t="n">
        <f aca="false">Report!U219</f>
        <v>778.4</v>
      </c>
      <c r="D173" s="1" t="str">
        <f aca="false">Report!X219</f>
        <v>NF 1372912 - MILKA</v>
      </c>
    </row>
    <row r="174" customFormat="false" ht="12.75" hidden="false" customHeight="true" outlineLevel="0" collapsed="false">
      <c r="A174" s="16" t="n">
        <f aca="false">Report!C220</f>
        <v>46207</v>
      </c>
      <c r="B174" s="1" t="str">
        <f aca="false">Report!E220</f>
        <v>MAXFRI DISTRIUIDORA LTDA</v>
      </c>
      <c r="C174" s="17" t="n">
        <f aca="false">Report!U220</f>
        <v>9942.14</v>
      </c>
      <c r="D174" s="1" t="str">
        <f aca="false">Report!X220</f>
        <v>NF14571 -MILKA</v>
      </c>
    </row>
    <row r="175" customFormat="false" ht="12.75" hidden="false" customHeight="true" outlineLevel="0" collapsed="false">
      <c r="A175" s="16" t="n">
        <f aca="false">Report!C221</f>
        <v>46207</v>
      </c>
      <c r="B175" s="1" t="str">
        <f aca="false">Report!E221</f>
        <v>PRIME PET DISTRIBUIDORA LTDA</v>
      </c>
      <c r="C175" s="17" t="n">
        <f aca="false">Report!U221</f>
        <v>1060.9</v>
      </c>
      <c r="D175" s="1" t="str">
        <f aca="false">Report!X221</f>
        <v>NF 10589-03/05 MILKA</v>
      </c>
    </row>
    <row r="176" customFormat="false" ht="12.75" hidden="false" customHeight="true" outlineLevel="0" collapsed="false">
      <c r="A176" s="16" t="n">
        <f aca="false">Report!C222</f>
        <v>46207</v>
      </c>
      <c r="B176" s="1" t="str">
        <f aca="false">Report!E222</f>
        <v>RENATO DE O AZEVEDO E CIA LTDA - EPP</v>
      </c>
      <c r="C176" s="17" t="n">
        <f aca="false">Report!U222</f>
        <v>280</v>
      </c>
      <c r="D176" s="1" t="str">
        <f aca="false">Report!X222</f>
        <v>ACAI DE ANORI - DEBORA</v>
      </c>
    </row>
    <row r="177" customFormat="false" ht="12.75" hidden="false" customHeight="true" outlineLevel="0" collapsed="false">
      <c r="A177" s="16" t="n">
        <f aca="false">Report!C224</f>
        <v>46208</v>
      </c>
      <c r="B177" s="1" t="str">
        <f aca="false">Report!E224</f>
        <v>BANCO DO BRASIL SA</v>
      </c>
      <c r="C177" s="17" t="n">
        <f aca="false">Report!U224</f>
        <v>2404</v>
      </c>
      <c r="D177" s="1" t="str">
        <f aca="false">Report!X224</f>
        <v>COMPRAS CENTRO  BUGIGANGAS -ANDREZA</v>
      </c>
    </row>
    <row r="178" customFormat="false" ht="12.75" hidden="false" customHeight="true" outlineLevel="0" collapsed="false">
      <c r="A178" s="16" t="n">
        <f aca="false">Report!C225</f>
        <v>46208</v>
      </c>
      <c r="B178" s="1" t="str">
        <f aca="false">Report!E225</f>
        <v>BRF S A</v>
      </c>
      <c r="C178" s="17" t="n">
        <f aca="false">Report!U225</f>
        <v>607.26</v>
      </c>
      <c r="D178" s="1" t="str">
        <f aca="false">Report!X225</f>
        <v>NF 1597184-02/02 MILKA</v>
      </c>
    </row>
    <row r="179" customFormat="false" ht="12.75" hidden="false" customHeight="true" outlineLevel="0" collapsed="false">
      <c r="A179" s="16" t="n">
        <f aca="false">Report!C226</f>
        <v>46208</v>
      </c>
      <c r="B179" s="1" t="str">
        <f aca="false">Report!E226</f>
        <v>COMERCIO DE FRIOS MANAUS LTDA</v>
      </c>
      <c r="C179" s="17" t="n">
        <f aca="false">Report!U226</f>
        <v>5174.8</v>
      </c>
      <c r="D179" s="1" t="str">
        <f aca="false">Report!X226</f>
        <v>NF172132 - MILKA</v>
      </c>
    </row>
    <row r="180" customFormat="false" ht="12.75" hidden="false" customHeight="true" outlineLevel="0" collapsed="false">
      <c r="A180" s="16" t="n">
        <f aca="false">Report!C234</f>
        <v>46208</v>
      </c>
      <c r="B180" s="1" t="str">
        <f aca="false">Report!E234</f>
        <v>SHMILY COMERCIO DE ARTIGOS DO VESTUARIO</v>
      </c>
      <c r="C180" s="17" t="n">
        <f aca="false">Report!U234</f>
        <v>1124</v>
      </c>
      <c r="D180" s="1" t="str">
        <f aca="false">Report!X234</f>
        <v>NF 417 SHMILY -  MILKA</v>
      </c>
    </row>
    <row r="181" customFormat="false" ht="12.75" hidden="false" customHeight="true" outlineLevel="0" collapsed="false">
      <c r="A181" s="16" t="n">
        <f aca="false">Report!C235</f>
        <v>46208</v>
      </c>
      <c r="B181" s="1" t="str">
        <f aca="false">Report!E235</f>
        <v>VICTORIA COMERCIO INTERNACIONAL DE ALIME</v>
      </c>
      <c r="C181" s="17" t="n">
        <f aca="false">Report!U235</f>
        <v>495.45</v>
      </c>
      <c r="D181" s="1" t="str">
        <f aca="false">Report!X235</f>
        <v>12490-A/B  NF11908 - MILKA</v>
      </c>
    </row>
    <row r="182" customFormat="false" ht="12.75" hidden="false" customHeight="true" outlineLevel="0" collapsed="false">
      <c r="A182" s="16" t="n">
        <f aca="false">Report!C236</f>
        <v>46208</v>
      </c>
      <c r="B182" s="1" t="str">
        <f aca="false">Report!E236</f>
        <v>XF 10 LOJA DE VARIEDADES LTDA</v>
      </c>
      <c r="C182" s="17" t="n">
        <f aca="false">Report!U236</f>
        <v>415.75</v>
      </c>
      <c r="D182" s="1" t="str">
        <f aca="false">Report!X236</f>
        <v>NF 1005 - MILKA</v>
      </c>
    </row>
    <row r="183" customFormat="false" ht="12.75" hidden="false" customHeight="true" outlineLevel="0" collapsed="false">
      <c r="A183" s="16" t="n">
        <f aca="false">Report!C237</f>
        <v>46209</v>
      </c>
      <c r="B183" s="1" t="str">
        <f aca="false">Report!E237</f>
        <v>ADRIANA DISTRIBUIDORA DE PRODUTOS ALIMEN</v>
      </c>
      <c r="C183" s="17" t="n">
        <f aca="false">Report!U237</f>
        <v>584.18</v>
      </c>
      <c r="D183" s="1" t="str">
        <f aca="false">Report!X237</f>
        <v>NF 876740 -3 MILKA</v>
      </c>
    </row>
    <row r="184" customFormat="false" ht="12.75" hidden="false" customHeight="true" outlineLevel="0" collapsed="false">
      <c r="A184" s="16" t="n">
        <f aca="false">Report!C238</f>
        <v>46209</v>
      </c>
      <c r="B184" s="1" t="str">
        <f aca="false">Report!E238</f>
        <v>ADRIANA DISTRIBUIDORA DE PRODUTOS ALIMEN</v>
      </c>
      <c r="C184" s="17" t="n">
        <f aca="false">Report!U238</f>
        <v>1044</v>
      </c>
      <c r="D184" s="1" t="str">
        <f aca="false">Report!X238</f>
        <v>NF 880067 - MILKA</v>
      </c>
    </row>
    <row r="185" customFormat="false" ht="12.75" hidden="false" customHeight="true" outlineLevel="0" collapsed="false">
      <c r="A185" s="16" t="n">
        <f aca="false">Report!C239</f>
        <v>46209</v>
      </c>
      <c r="B185" s="1" t="str">
        <f aca="false">Report!E239</f>
        <v>AMERICANA DISTRIBUIDORA DE BEBIDAS E MERCADORIAS LTDA</v>
      </c>
      <c r="C185" s="17" t="n">
        <f aca="false">Report!U239</f>
        <v>2275.2</v>
      </c>
      <c r="D185" s="1" t="str">
        <f aca="false">Report!X239</f>
        <v>NF 77381 BALLY - MILKA</v>
      </c>
    </row>
    <row r="186" customFormat="false" ht="12.75" hidden="false" customHeight="true" outlineLevel="0" collapsed="false">
      <c r="A186" s="16" t="n">
        <f aca="false">Report!C240</f>
        <v>46209</v>
      </c>
      <c r="B186" s="1" t="str">
        <f aca="false">Report!E240</f>
        <v>ATACADAO S.A.</v>
      </c>
      <c r="C186" s="17" t="n">
        <f aca="false">Report!U240</f>
        <v>954.39</v>
      </c>
      <c r="D186" s="1" t="str">
        <f aca="false">Report!X240</f>
        <v>NF 1891097 - MILKA</v>
      </c>
    </row>
    <row r="187" customFormat="false" ht="12.75" hidden="false" customHeight="true" outlineLevel="0" collapsed="false">
      <c r="A187" s="16" t="n">
        <f aca="false">Report!C241</f>
        <v>46209</v>
      </c>
      <c r="B187" s="1" t="str">
        <f aca="false">Report!E241</f>
        <v>ATACADAO S.A.</v>
      </c>
      <c r="C187" s="17" t="n">
        <f aca="false">Report!U241</f>
        <v>979.98</v>
      </c>
      <c r="D187" s="1" t="str">
        <f aca="false">Report!X241</f>
        <v>NF 1894396 - MILKA </v>
      </c>
    </row>
    <row r="188" customFormat="false" ht="12.75" hidden="false" customHeight="true" outlineLevel="0" collapsed="false">
      <c r="A188" s="16" t="n">
        <f aca="false">Report!C245</f>
        <v>46209</v>
      </c>
      <c r="B188" s="1" t="str">
        <f aca="false">Report!E245</f>
        <v>C. R. PARENTE ABREU</v>
      </c>
      <c r="C188" s="17" t="n">
        <f aca="false">Report!U245</f>
        <v>527.41</v>
      </c>
      <c r="D188" s="1" t="str">
        <f aca="false">Report!X245</f>
        <v>NF 11328-2 MILKA</v>
      </c>
    </row>
    <row r="189" customFormat="false" ht="12.75" hidden="false" customHeight="true" outlineLevel="0" collapsed="false">
      <c r="A189" s="16" t="n">
        <f aca="false">Report!C246</f>
        <v>46209</v>
      </c>
      <c r="B189" s="1" t="str">
        <f aca="false">Report!E246</f>
        <v>C. R. PARENTE ABREU</v>
      </c>
      <c r="C189" s="17" t="n">
        <f aca="false">Report!U246</f>
        <v>406.93</v>
      </c>
      <c r="D189" s="1" t="str">
        <f aca="false">Report!X246</f>
        <v>NF 11352-1 MILKA</v>
      </c>
    </row>
    <row r="190" customFormat="false" ht="12.75" hidden="false" customHeight="true" outlineLevel="0" collapsed="false">
      <c r="A190" s="16" t="n">
        <f aca="false">Report!C251</f>
        <v>46209</v>
      </c>
      <c r="B190" s="1" t="str">
        <f aca="false">Report!E251</f>
        <v>DURAES DISTRIBUIDORA DE ESTIVAS LTDA</v>
      </c>
      <c r="C190" s="17" t="n">
        <f aca="false">Report!U251</f>
        <v>211.68</v>
      </c>
      <c r="D190" s="1" t="str">
        <f aca="false">Report!X251</f>
        <v>NF 646740 - MILKA</v>
      </c>
    </row>
    <row r="191" customFormat="false" ht="12.75" hidden="false" customHeight="true" outlineLevel="0" collapsed="false">
      <c r="A191" s="16" t="n">
        <f aca="false">Report!C254</f>
        <v>46209</v>
      </c>
      <c r="B191" s="1" t="str">
        <f aca="false">Report!E254</f>
        <v>FRUTAL INDUSTRIA E COMERCIO LTDA</v>
      </c>
      <c r="C191" s="17" t="n">
        <f aca="false">Report!U254</f>
        <v>462.99</v>
      </c>
      <c r="D191" s="1" t="str">
        <f aca="false">Report!X254</f>
        <v>NF 224614 - MILKA</v>
      </c>
    </row>
    <row r="192" customFormat="false" ht="12.75" hidden="false" customHeight="true" outlineLevel="0" collapsed="false">
      <c r="A192" s="16" t="n">
        <f aca="false">Report!C255</f>
        <v>46209</v>
      </c>
      <c r="B192" s="1" t="str">
        <f aca="false">Report!E255</f>
        <v>FUNNY PET DISTRIBUIDORA DE ALIMENTOS PAR</v>
      </c>
      <c r="C192" s="17" t="n">
        <f aca="false">Report!U255</f>
        <v>1263.3</v>
      </c>
      <c r="D192" s="1" t="str">
        <f aca="false">Report!X255</f>
        <v>NF 20352-1 MILKA</v>
      </c>
    </row>
    <row r="193" customFormat="false" ht="12.75" hidden="false" customHeight="true" outlineLevel="0" collapsed="false">
      <c r="A193" s="16" t="n">
        <f aca="false">Report!C256</f>
        <v>46209</v>
      </c>
      <c r="B193" s="1" t="str">
        <f aca="false">Report!E256</f>
        <v>GELO DANGELO FABRICACAO DE GELO LTDA</v>
      </c>
      <c r="C193" s="17" t="n">
        <f aca="false">Report!U256</f>
        <v>494</v>
      </c>
      <c r="D193" s="1" t="str">
        <f aca="false">Report!X256</f>
        <v>nNF 346 - DEBORA</v>
      </c>
    </row>
    <row r="194" customFormat="false" ht="12.75" hidden="false" customHeight="true" outlineLevel="0" collapsed="false">
      <c r="A194" s="16" t="n">
        <f aca="false">Report!C257</f>
        <v>46209</v>
      </c>
      <c r="B194" s="1" t="str">
        <f aca="false">Report!E257</f>
        <v>L S M COMERCIO DE ALIMENTOS E NAVEGACAO</v>
      </c>
      <c r="C194" s="17" t="n">
        <f aca="false">Report!U257</f>
        <v>375.5</v>
      </c>
      <c r="D194" s="1" t="str">
        <f aca="false">Report!X257</f>
        <v>NF 304778 -2 MILKA</v>
      </c>
    </row>
    <row r="195" customFormat="false" ht="12.75" hidden="false" customHeight="true" outlineLevel="0" collapsed="false">
      <c r="A195" s="16" t="n">
        <f aca="false">Report!C258</f>
        <v>46209</v>
      </c>
      <c r="B195" s="1" t="str">
        <f aca="false">Report!E258</f>
        <v>MAXFRI DISTRIUIDORA LTDA</v>
      </c>
      <c r="C195" s="17" t="n">
        <f aca="false">Report!U258</f>
        <v>6251</v>
      </c>
      <c r="D195" s="1" t="str">
        <f aca="false">Report!X258</f>
        <v>NF14579 - MILKA</v>
      </c>
    </row>
    <row r="196" customFormat="false" ht="12.75" hidden="false" customHeight="true" outlineLevel="0" collapsed="false">
      <c r="A196" s="16" t="n">
        <f aca="false">Report!C262</f>
        <v>46209</v>
      </c>
      <c r="B196" s="1" t="str">
        <f aca="false">Report!E262</f>
        <v>PANIFICADORA E CONFEITARIA REAL MADRI LTDA</v>
      </c>
      <c r="C196" s="17" t="n">
        <f aca="false">Report!U262</f>
        <v>202.5</v>
      </c>
      <c r="D196" s="1" t="str">
        <f aca="false">Report!X262</f>
        <v>NF 686 - MILKA</v>
      </c>
    </row>
    <row r="197" customFormat="false" ht="12.75" hidden="false" customHeight="true" outlineLevel="0" collapsed="false">
      <c r="A197" s="16" t="n">
        <f aca="false">Report!C263</f>
        <v>46209</v>
      </c>
      <c r="B197" s="1" t="str">
        <f aca="false">Report!E263</f>
        <v>PANIFICADORA E CONFEITARIA REAL MADRI LTDA</v>
      </c>
      <c r="C197" s="17" t="n">
        <f aca="false">Report!U263</f>
        <v>359.55</v>
      </c>
      <c r="D197" s="1" t="str">
        <f aca="false">Report!X263</f>
        <v>NF 689 - MILKA</v>
      </c>
    </row>
    <row r="198" customFormat="false" ht="12.75" hidden="false" customHeight="true" outlineLevel="0" collapsed="false">
      <c r="A198" s="16" t="n">
        <f aca="false">Report!C264</f>
        <v>46209</v>
      </c>
      <c r="B198" s="1" t="str">
        <f aca="false">Report!E264</f>
        <v>PRIME PET DISTRIBUIDORA LTDA</v>
      </c>
      <c r="C198" s="17" t="n">
        <f aca="false">Report!U264</f>
        <v>1488.3</v>
      </c>
      <c r="D198" s="1" t="str">
        <f aca="false">Report!X264</f>
        <v>NF 10262 -05/09 MILKA</v>
      </c>
    </row>
    <row r="199" customFormat="false" ht="12.75" hidden="false" customHeight="true" outlineLevel="0" collapsed="false">
      <c r="A199" s="16" t="n">
        <f aca="false">Report!C265</f>
        <v>46209</v>
      </c>
      <c r="B199" s="1" t="str">
        <f aca="false">Report!E265</f>
        <v>RENATO DE O AZEVEDO E CIA LTDA - EPP</v>
      </c>
      <c r="C199" s="17" t="n">
        <f aca="false">Report!U265</f>
        <v>280</v>
      </c>
      <c r="D199" s="1" t="str">
        <f aca="false">Report!X265</f>
        <v>ACAI DE ANORI - DEBORA</v>
      </c>
    </row>
    <row r="200" customFormat="false" ht="12.75" hidden="false" customHeight="true" outlineLevel="0" collapsed="false">
      <c r="A200" s="16" t="n">
        <f aca="false">Report!C266</f>
        <v>46209</v>
      </c>
      <c r="B200" s="1" t="str">
        <f aca="false">Report!E266</f>
        <v>RENATO DE O AZEVEDO E CIA LTDA - EPP</v>
      </c>
      <c r="C200" s="17" t="n">
        <f aca="false">Report!U266</f>
        <v>350</v>
      </c>
      <c r="D200" s="1" t="str">
        <f aca="false">Report!X266</f>
        <v>ACAI DE ANORI - DEBORA</v>
      </c>
    </row>
    <row r="201" customFormat="false" ht="12.75" hidden="false" customHeight="true" outlineLevel="0" collapsed="false">
      <c r="A201" s="16" t="n">
        <f aca="false">Report!C267</f>
        <v>46209</v>
      </c>
      <c r="B201" s="1" t="str">
        <f aca="false">Report!E267</f>
        <v>RENATO DE O AZEVEDO E CIA LTDA - EPP</v>
      </c>
      <c r="C201" s="17" t="n">
        <f aca="false">Report!U267</f>
        <v>280</v>
      </c>
      <c r="D201" s="1" t="str">
        <f aca="false">Report!X267</f>
        <v>ACAI DE ANORI - DEBORA</v>
      </c>
    </row>
    <row r="202" customFormat="false" ht="12.75" hidden="false" customHeight="true" outlineLevel="0" collapsed="false">
      <c r="A202" s="16" t="n">
        <f aca="false">Report!C268</f>
        <v>46209</v>
      </c>
      <c r="B202" s="1" t="str">
        <f aca="false">Report!E268</f>
        <v>RENATO DE O AZEVEDO E CIA LTDA - EPP</v>
      </c>
      <c r="C202" s="17" t="n">
        <f aca="false">Report!U268</f>
        <v>260</v>
      </c>
      <c r="D202" s="1" t="str">
        <f aca="false">Report!X268</f>
        <v>ACAI DE ANORI - DEBORA</v>
      </c>
    </row>
    <row r="203" customFormat="false" ht="12.75" hidden="false" customHeight="true" outlineLevel="0" collapsed="false">
      <c r="A203" s="16" t="n">
        <f aca="false">Report!C269</f>
        <v>46209</v>
      </c>
      <c r="B203" s="1" t="str">
        <f aca="false">Report!E269</f>
        <v>RENATO DE O AZEVEDO E CIA LTDA - EPP</v>
      </c>
      <c r="C203" s="17" t="n">
        <f aca="false">Report!U269</f>
        <v>280</v>
      </c>
      <c r="D203" s="1" t="str">
        <f aca="false">Report!X269</f>
        <v>ACAI DE ANORI - DEBORA</v>
      </c>
    </row>
    <row r="204" customFormat="false" ht="12.75" hidden="false" customHeight="true" outlineLevel="0" collapsed="false">
      <c r="A204" s="16" t="n">
        <f aca="false">Report!C270</f>
        <v>46209</v>
      </c>
      <c r="B204" s="1" t="str">
        <f aca="false">Report!E270</f>
        <v>RENATO DE O AZEVEDO E CIA LTDA - EPP</v>
      </c>
      <c r="C204" s="17" t="n">
        <f aca="false">Report!U270</f>
        <v>350</v>
      </c>
      <c r="D204" s="1" t="str">
        <f aca="false">Report!X270</f>
        <v>ACAI DE ANORI - DEBORA</v>
      </c>
    </row>
    <row r="205" customFormat="false" ht="12.75" hidden="false" customHeight="true" outlineLevel="0" collapsed="false">
      <c r="A205" s="16" t="n">
        <f aca="false">Report!C271</f>
        <v>46209</v>
      </c>
      <c r="B205" s="1" t="str">
        <f aca="false">Report!E271</f>
        <v>RENATO DE O AZEVEDO E CIA LTDA - EPP</v>
      </c>
      <c r="C205" s="17" t="n">
        <f aca="false">Report!U271</f>
        <v>280</v>
      </c>
      <c r="D205" s="1" t="str">
        <f aca="false">Report!X271</f>
        <v>ACAI DE ANORI - DEBORA</v>
      </c>
    </row>
    <row r="206" customFormat="false" ht="12.75" hidden="false" customHeight="true" outlineLevel="0" collapsed="false">
      <c r="A206" s="16" t="n">
        <f aca="false">Report!C272</f>
        <v>46209</v>
      </c>
      <c r="B206" s="1" t="str">
        <f aca="false">Report!E272</f>
        <v>RENATO DE O AZEVEDO E CIA LTDA - EPP</v>
      </c>
      <c r="C206" s="17" t="n">
        <f aca="false">Report!U272</f>
        <v>280</v>
      </c>
      <c r="D206" s="1" t="str">
        <f aca="false">Report!X272</f>
        <v>ACAI DE ANORI - DEBORA</v>
      </c>
    </row>
    <row r="207" customFormat="false" ht="12.75" hidden="false" customHeight="true" outlineLevel="0" collapsed="false">
      <c r="A207" s="16" t="n">
        <f aca="false">Report!C274</f>
        <v>46209</v>
      </c>
      <c r="B207" s="1" t="str">
        <f aca="false">Report!E274</f>
        <v>SAO JOSE COMERCIO DE LATICINIOS E FRIOS</v>
      </c>
      <c r="C207" s="17" t="n">
        <f aca="false">Report!U274</f>
        <v>899</v>
      </c>
      <c r="D207" s="1" t="str">
        <f aca="false">Report!X274</f>
        <v>NF 3505 SABORE FATIADO - MILKA</v>
      </c>
    </row>
    <row r="208" customFormat="false" ht="12.75" hidden="false" customHeight="true" outlineLevel="0" collapsed="false">
      <c r="A208" s="16" t="n">
        <f aca="false">Report!C275</f>
        <v>46209</v>
      </c>
      <c r="B208" s="1" t="str">
        <f aca="false">Report!E275</f>
        <v>SOUZA CRUZ LTDA.</v>
      </c>
      <c r="C208" s="17" t="n">
        <f aca="false">Report!U275</f>
        <v>7606.68</v>
      </c>
      <c r="D208" s="1" t="str">
        <f aca="false">Report!X275</f>
        <v>NF 564351-02 MILKA</v>
      </c>
    </row>
    <row r="209" customFormat="false" ht="12.75" hidden="false" customHeight="true" outlineLevel="0" collapsed="false">
      <c r="A209" s="16" t="n">
        <f aca="false">Report!C276</f>
        <v>46209</v>
      </c>
      <c r="B209" s="1" t="str">
        <f aca="false">Report!E276</f>
        <v>VICTORIA COMERCIO INTERNACIONAL DE ALIME</v>
      </c>
      <c r="C209" s="17" t="n">
        <f aca="false">Report!U276</f>
        <v>642.15</v>
      </c>
      <c r="D209" s="1" t="str">
        <f aca="false">Report!X276</f>
        <v>12298-B/B  NF11722 - MILKA</v>
      </c>
    </row>
    <row r="210" customFormat="false" ht="12.75" hidden="false" customHeight="true" outlineLevel="0" collapsed="false">
      <c r="A210" s="16" t="n">
        <f aca="false">Report!C277</f>
        <v>46210</v>
      </c>
      <c r="B210" s="1" t="str">
        <f aca="false">Report!E277</f>
        <v>A M A DE LIMA INDUSTRIA E COMERCIO DE PRODUTOS ALIMENTICIOS LTDA</v>
      </c>
      <c r="C210" s="17" t="n">
        <f aca="false">Report!U277</f>
        <v>154.09</v>
      </c>
      <c r="D210" s="1" t="str">
        <f aca="false">Report!X277</f>
        <v>PGTO P/ CPF DO SR. RENATO - MILKA</v>
      </c>
    </row>
    <row r="211" customFormat="false" ht="12.75" hidden="false" customHeight="true" outlineLevel="0" collapsed="false">
      <c r="A211" s="16" t="n">
        <f aca="false">Report!C278</f>
        <v>46210</v>
      </c>
      <c r="B211" s="1" t="str">
        <f aca="false">Report!E278</f>
        <v>ADICSO FABIAN GONZALEZ MONTILLA 70302186</v>
      </c>
      <c r="C211" s="17" t="n">
        <f aca="false">Report!U278</f>
        <v>936</v>
      </c>
      <c r="D211" s="1" t="str">
        <f aca="false">Report!X278</f>
        <v>NF 519 BLOOM - MILKA</v>
      </c>
    </row>
    <row r="212" customFormat="false" ht="12.75" hidden="false" customHeight="true" outlineLevel="0" collapsed="false">
      <c r="A212" s="16" t="n">
        <f aca="false">Report!C279</f>
        <v>46210</v>
      </c>
      <c r="B212" s="1" t="str">
        <f aca="false">Report!E279</f>
        <v>ADRIANO FEITOSA OLIVEIRA LTDA</v>
      </c>
      <c r="C212" s="17" t="n">
        <f aca="false">Report!U279</f>
        <v>4139.57</v>
      </c>
      <c r="D212" s="1" t="str">
        <f aca="false">Report!X279</f>
        <v>NF 320 - MILKA</v>
      </c>
    </row>
    <row r="213" customFormat="false" ht="12.75" hidden="false" customHeight="true" outlineLevel="0" collapsed="false">
      <c r="A213" s="16" t="n">
        <f aca="false">Report!C280</f>
        <v>46210</v>
      </c>
      <c r="B213" s="1" t="str">
        <f aca="false">Report!E280</f>
        <v>AMAZONIA INDUSTRIA E COMERCIO DE POLPAS</v>
      </c>
      <c r="C213" s="17" t="n">
        <f aca="false">Report!U280</f>
        <v>812</v>
      </c>
      <c r="D213" s="1" t="str">
        <f aca="false">Report!X280</f>
        <v>NF 270492 - MILKA</v>
      </c>
    </row>
    <row r="214" customFormat="false" ht="12.75" hidden="false" customHeight="true" outlineLevel="0" collapsed="false">
      <c r="A214" s="16" t="n">
        <f aca="false">Report!C282</f>
        <v>46210</v>
      </c>
      <c r="B214" s="1" t="str">
        <f aca="false">Report!E282</f>
        <v>BRASIL NORTE BEBIDAS S/A</v>
      </c>
      <c r="C214" s="17" t="n">
        <f aca="false">Report!U282</f>
        <v>461.34</v>
      </c>
      <c r="D214" s="1" t="str">
        <f aca="false">Report!X282</f>
        <v>NF 1170695 - MILKA</v>
      </c>
    </row>
    <row r="215" customFormat="false" ht="12.75" hidden="false" customHeight="true" outlineLevel="0" collapsed="false">
      <c r="A215" s="16" t="n">
        <f aca="false">Report!C283</f>
        <v>46210</v>
      </c>
      <c r="B215" s="1" t="str">
        <f aca="false">Report!E283</f>
        <v>BRF S A</v>
      </c>
      <c r="C215" s="17" t="n">
        <f aca="false">Report!U283</f>
        <v>2103</v>
      </c>
      <c r="D215" s="1" t="str">
        <f aca="false">Report!X283</f>
        <v>NF 1598074-02/02 MILKA</v>
      </c>
    </row>
    <row r="216" customFormat="false" ht="12.75" hidden="false" customHeight="true" outlineLevel="0" collapsed="false">
      <c r="A216" s="16" t="n">
        <f aca="false">Report!C284</f>
        <v>46210</v>
      </c>
      <c r="B216" s="1" t="str">
        <f aca="false">Report!E284</f>
        <v>BROTHERS  INDUSTRIA DE ALIMENTOS LTDA</v>
      </c>
      <c r="C216" s="17" t="n">
        <f aca="false">Report!U284</f>
        <v>769.18</v>
      </c>
      <c r="D216" s="1" t="str">
        <f aca="false">Report!X284</f>
        <v>NF 1029524 - MILKA</v>
      </c>
    </row>
    <row r="217" customFormat="false" ht="12.75" hidden="false" customHeight="true" outlineLevel="0" collapsed="false">
      <c r="A217" s="16" t="n">
        <f aca="false">Report!C285</f>
        <v>46210</v>
      </c>
      <c r="B217" s="1" t="str">
        <f aca="false">Report!E285</f>
        <v>CACAU NORTE DISTRIBUIDORA DE PRODUTOS ALIMENTICIOS LTDA</v>
      </c>
      <c r="C217" s="17" t="n">
        <f aca="false">Report!U285</f>
        <v>369.3</v>
      </c>
      <c r="D217" s="1" t="str">
        <f aca="false">Report!X285</f>
        <v>NF 178 - MILKA</v>
      </c>
    </row>
    <row r="218" customFormat="false" ht="12.75" hidden="false" customHeight="true" outlineLevel="0" collapsed="false">
      <c r="A218" s="16" t="n">
        <f aca="false">Report!C287</f>
        <v>46210</v>
      </c>
      <c r="B218" s="1" t="str">
        <f aca="false">Report!E287</f>
        <v>DISTRIBUIDORA LOPES LTDA</v>
      </c>
      <c r="C218" s="17" t="n">
        <f aca="false">Report!U287</f>
        <v>2093.55</v>
      </c>
      <c r="D218" s="1" t="str">
        <f aca="false">Report!X287</f>
        <v>NF 1673539 - MILKA</v>
      </c>
    </row>
    <row r="219" customFormat="false" ht="12.75" hidden="false" customHeight="true" outlineLevel="0" collapsed="false">
      <c r="A219" s="16" t="n">
        <f aca="false">Report!C288</f>
        <v>46210</v>
      </c>
      <c r="B219" s="1" t="str">
        <f aca="false">Report!E288</f>
        <v>DURAES DISTRIBUIDORA DE ESTIVAS LTDA</v>
      </c>
      <c r="C219" s="17" t="n">
        <f aca="false">Report!U288</f>
        <v>865.4</v>
      </c>
      <c r="D219" s="1" t="str">
        <f aca="false">Report!X288</f>
        <v>NF 646127 - MILKA</v>
      </c>
    </row>
    <row r="220" customFormat="false" ht="12.75" hidden="false" customHeight="true" outlineLevel="0" collapsed="false">
      <c r="A220" s="16" t="n">
        <f aca="false">Report!C291</f>
        <v>46210</v>
      </c>
      <c r="B220" s="1" t="str">
        <f aca="false">Report!E291</f>
        <v>J G COMERCIO DE PRODUTOS ALIMENTICIOS LTDA</v>
      </c>
      <c r="C220" s="17" t="n">
        <f aca="false">Report!U291</f>
        <v>1107.75</v>
      </c>
      <c r="D220" s="1" t="str">
        <f aca="false">Report!X291</f>
        <v>451009-C/C  NF387396 - MILKA</v>
      </c>
    </row>
    <row r="221" customFormat="false" ht="12.75" hidden="false" customHeight="true" outlineLevel="0" collapsed="false">
      <c r="A221" s="16" t="n">
        <f aca="false">Report!C292</f>
        <v>46210</v>
      </c>
      <c r="B221" s="1" t="str">
        <f aca="false">Report!E292</f>
        <v>JAB COMERCIO DE PRODUTOS ALIMENTICIOS LT</v>
      </c>
      <c r="C221" s="17" t="n">
        <f aca="false">Report!U292</f>
        <v>368</v>
      </c>
      <c r="D221" s="1" t="str">
        <f aca="false">Report!X292</f>
        <v>NF 3456 SANTOPAO - MILKA</v>
      </c>
    </row>
    <row r="222" customFormat="false" ht="12.75" hidden="false" customHeight="true" outlineLevel="0" collapsed="false">
      <c r="A222" s="16" t="n">
        <f aca="false">Report!C293</f>
        <v>46210</v>
      </c>
      <c r="B222" s="1" t="str">
        <f aca="false">Report!E293</f>
        <v>MARTINS COM SERV DISTR SA</v>
      </c>
      <c r="C222" s="17" t="n">
        <f aca="false">Report!U293</f>
        <v>3224.65</v>
      </c>
      <c r="D222" s="1" t="str">
        <f aca="false">Report!X293</f>
        <v>NF 1773396/ NF 1773397 -01 MILKA</v>
      </c>
    </row>
    <row r="223" customFormat="false" ht="12.75" hidden="false" customHeight="true" outlineLevel="0" collapsed="false">
      <c r="A223" s="16" t="n">
        <f aca="false">Report!C294</f>
        <v>46210</v>
      </c>
      <c r="B223" s="1" t="str">
        <f aca="false">Report!E294</f>
        <v>MAXFRI DISTRIUIDORA LTDA</v>
      </c>
      <c r="C223" s="17" t="n">
        <f aca="false">Report!U294</f>
        <v>3046.54</v>
      </c>
      <c r="D223" s="1" t="str">
        <f aca="false">Report!X294</f>
        <v>NF 14587 - MILKA</v>
      </c>
    </row>
    <row r="224" customFormat="false" ht="12.75" hidden="false" customHeight="true" outlineLevel="0" collapsed="false">
      <c r="A224" s="16" t="n">
        <f aca="false">Report!C296</f>
        <v>46210</v>
      </c>
      <c r="B224" s="1" t="str">
        <f aca="false">Report!E296</f>
        <v>NATUREZA COMERCIO DE DESCARTAVEIS LTDA</v>
      </c>
      <c r="C224" s="17" t="n">
        <f aca="false">Report!U296</f>
        <v>1346</v>
      </c>
      <c r="D224" s="1" t="str">
        <f aca="false">Report!X296</f>
        <v>NF 729269 - MILKA</v>
      </c>
    </row>
    <row r="225" customFormat="false" ht="12.75" hidden="false" customHeight="true" outlineLevel="0" collapsed="false">
      <c r="A225" s="16" t="n">
        <f aca="false">Report!C298</f>
        <v>46210</v>
      </c>
      <c r="B225" s="1" t="str">
        <f aca="false">Report!E298</f>
        <v>NT INDUSTRIA E COMERCIO DE PANIFICACAO L</v>
      </c>
      <c r="C225" s="17" t="n">
        <f aca="false">Report!U298</f>
        <v>4267.21</v>
      </c>
      <c r="D225" s="1" t="str">
        <f aca="false">Report!X298</f>
        <v>NF 39200 - MILKA</v>
      </c>
    </row>
    <row r="226" customFormat="false" ht="12.75" hidden="false" customHeight="true" outlineLevel="0" collapsed="false">
      <c r="A226" s="16" t="n">
        <f aca="false">Report!C299</f>
        <v>46210</v>
      </c>
      <c r="B226" s="1" t="str">
        <f aca="false">Report!E299</f>
        <v>ORIENTE COM. ATACADISTA E REPRES. LTDA</v>
      </c>
      <c r="C226" s="17" t="n">
        <f aca="false">Report!U299</f>
        <v>1143.6</v>
      </c>
      <c r="D226" s="1" t="str">
        <f aca="false">Report!X299</f>
        <v>2087/2  NF1774 - MILKA</v>
      </c>
    </row>
    <row r="227" customFormat="false" ht="12.75" hidden="false" customHeight="true" outlineLevel="0" collapsed="false">
      <c r="A227" s="16" t="n">
        <f aca="false">Report!C301</f>
        <v>46210</v>
      </c>
      <c r="B227" s="1" t="str">
        <f aca="false">Report!E301</f>
        <v>RENATO DE O AZEVEDO E CIA LTDA - EPP</v>
      </c>
      <c r="C227" s="17" t="n">
        <f aca="false">Report!U301</f>
        <v>420</v>
      </c>
      <c r="D227" s="1" t="str">
        <f aca="false">Report!X301</f>
        <v>ACAI DE ANORI - DEBORA</v>
      </c>
    </row>
    <row r="228" customFormat="false" ht="12.75" hidden="false" customHeight="true" outlineLevel="0" collapsed="false">
      <c r="A228" s="16" t="n">
        <f aca="false">Report!C302</f>
        <v>46210</v>
      </c>
      <c r="B228" s="1" t="str">
        <f aca="false">Report!E302</f>
        <v>RENATO DE O AZEVEDO E CIA LTDA - EPP</v>
      </c>
      <c r="C228" s="17" t="n">
        <f aca="false">Report!U302</f>
        <v>280</v>
      </c>
      <c r="D228" s="1" t="str">
        <f aca="false">Report!X302</f>
        <v>ACAI DE ANORI - DEBORA</v>
      </c>
    </row>
    <row r="229" customFormat="false" ht="12.75" hidden="false" customHeight="true" outlineLevel="0" collapsed="false">
      <c r="A229" s="16" t="n">
        <f aca="false">Report!C303</f>
        <v>46210</v>
      </c>
      <c r="B229" s="1" t="str">
        <f aca="false">Report!E303</f>
        <v>RENATO DE O AZEVEDO E CIA LTDA - EPP</v>
      </c>
      <c r="C229" s="17" t="n">
        <f aca="false">Report!U303</f>
        <v>2171.29</v>
      </c>
      <c r="D229" s="1" t="str">
        <f aca="false">Report!X303</f>
        <v>FEIRA SR RENATO - DEBORA</v>
      </c>
    </row>
    <row r="230" customFormat="false" ht="12.75" hidden="false" customHeight="true" outlineLevel="0" collapsed="false">
      <c r="A230" s="16" t="n">
        <f aca="false">Report!C304</f>
        <v>46210</v>
      </c>
      <c r="B230" s="1" t="str">
        <f aca="false">Report!E304</f>
        <v>SILVA E SANTOS FRIGORIFICO LTDA</v>
      </c>
      <c r="C230" s="17" t="n">
        <f aca="false">Report!U304</f>
        <v>1840</v>
      </c>
      <c r="D230" s="1" t="str">
        <f aca="false">Report!X304</f>
        <v>NF 31489 - MILKA</v>
      </c>
    </row>
    <row r="231" customFormat="false" ht="12.75" hidden="false" customHeight="true" outlineLevel="0" collapsed="false">
      <c r="A231" s="16" t="n">
        <f aca="false">Report!C305</f>
        <v>46210</v>
      </c>
      <c r="B231" s="1" t="str">
        <f aca="false">Report!E305</f>
        <v>SILVA E SANTOS FRIGORIFICO LTDA</v>
      </c>
      <c r="C231" s="17" t="n">
        <f aca="false">Report!U305</f>
        <v>3080</v>
      </c>
      <c r="D231" s="1" t="str">
        <f aca="false">Report!X305</f>
        <v>NF31488 - MILKA</v>
      </c>
    </row>
    <row r="232" customFormat="false" ht="12.75" hidden="false" customHeight="true" outlineLevel="0" collapsed="false">
      <c r="A232" s="16" t="n">
        <f aca="false">Report!C306</f>
        <v>46210</v>
      </c>
      <c r="B232" s="1" t="str">
        <f aca="false">Report!E306</f>
        <v>T. M. L. DA SILVA LTDA</v>
      </c>
      <c r="C232" s="17" t="n">
        <f aca="false">Report!U306</f>
        <v>531.52</v>
      </c>
      <c r="D232" s="1" t="str">
        <f aca="false">Report!X306</f>
        <v>NF 15072 AMAZONGURT - MILKA</v>
      </c>
    </row>
    <row r="233" customFormat="false" ht="12.75" hidden="false" customHeight="true" outlineLevel="0" collapsed="false">
      <c r="A233" s="16" t="n">
        <f aca="false">Report!C307</f>
        <v>46210</v>
      </c>
      <c r="B233" s="1" t="str">
        <f aca="false">Report!E307</f>
        <v>TRES CORACOES ALIMENTOS S.A.</v>
      </c>
      <c r="C233" s="17" t="n">
        <f aca="false">Report!U307</f>
        <v>1200.02</v>
      </c>
      <c r="D233" s="1" t="str">
        <f aca="false">Report!X307</f>
        <v>NF346214 -03 MILKA</v>
      </c>
    </row>
    <row r="234" customFormat="false" ht="12.75" hidden="false" customHeight="true" outlineLevel="0" collapsed="false">
      <c r="A234" s="16" t="n">
        <f aca="false">Report!C309</f>
        <v>46210</v>
      </c>
      <c r="B234" s="1" t="str">
        <f aca="false">Report!E309</f>
        <v>VITAPAN COMERCIO VAREJISTA DE PRODUTOS ALIMENTICIOS LTDA</v>
      </c>
      <c r="C234" s="17" t="n">
        <f aca="false">Report!U309</f>
        <v>1188</v>
      </c>
      <c r="D234" s="1" t="str">
        <f aca="false">Report!X309</f>
        <v>NF 10212 - MILKA</v>
      </c>
    </row>
    <row r="235" customFormat="false" ht="12.75" hidden="false" customHeight="true" outlineLevel="0" collapsed="false">
      <c r="A235" s="16" t="n">
        <f aca="false">Report!C310</f>
        <v>46211</v>
      </c>
      <c r="B235" s="1" t="str">
        <f aca="false">Report!E310</f>
        <v>ADRIANO FEITOSA OLIVEIRA LTDA</v>
      </c>
      <c r="C235" s="17" t="n">
        <f aca="false">Report!U310</f>
        <v>899.95</v>
      </c>
      <c r="D235" s="1" t="str">
        <f aca="false">Report!X310</f>
        <v>NF 321 - MILKA</v>
      </c>
    </row>
    <row r="236" customFormat="false" ht="12.75" hidden="false" customHeight="true" outlineLevel="0" collapsed="false">
      <c r="A236" s="16" t="n">
        <f aca="false">Report!C311</f>
        <v>46211</v>
      </c>
      <c r="B236" s="1" t="str">
        <f aca="false">Report!E311</f>
        <v>AMAZON BEEF COMERCIO DE CARNES EIRELI -</v>
      </c>
      <c r="C236" s="17" t="n">
        <f aca="false">Report!U311</f>
        <v>637.11</v>
      </c>
      <c r="D236" s="1" t="str">
        <f aca="false">Report!X311</f>
        <v>NF 28698/2 MILKA</v>
      </c>
    </row>
    <row r="237" customFormat="false" ht="12.75" hidden="false" customHeight="true" outlineLevel="0" collapsed="false">
      <c r="A237" s="16" t="n">
        <f aca="false">Report!C312</f>
        <v>46211</v>
      </c>
      <c r="B237" s="1" t="str">
        <f aca="false">Report!E312</f>
        <v>ATACADAO S.A.</v>
      </c>
      <c r="C237" s="17" t="n">
        <f aca="false">Report!U312</f>
        <v>1823.14</v>
      </c>
      <c r="D237" s="1" t="str">
        <f aca="false">Report!X312</f>
        <v>NF 1890180 - MILKA</v>
      </c>
    </row>
    <row r="238" customFormat="false" ht="12.75" hidden="false" customHeight="true" outlineLevel="0" collapsed="false">
      <c r="A238" s="16" t="n">
        <f aca="false">Report!C313</f>
        <v>46211</v>
      </c>
      <c r="B238" s="1" t="str">
        <f aca="false">Report!E313</f>
        <v>ATACADAO S.A.</v>
      </c>
      <c r="C238" s="17" t="n">
        <f aca="false">Report!U313</f>
        <v>752.31</v>
      </c>
      <c r="D238" s="1" t="str">
        <f aca="false">Report!X313</f>
        <v>NF 1892633 - MILKA</v>
      </c>
    </row>
    <row r="239" customFormat="false" ht="12.75" hidden="false" customHeight="true" outlineLevel="0" collapsed="false">
      <c r="A239" s="16" t="n">
        <f aca="false">Report!C314</f>
        <v>46211</v>
      </c>
      <c r="B239" s="1" t="str">
        <f aca="false">Report!E314</f>
        <v>ATACADAO S.A.</v>
      </c>
      <c r="C239" s="17" t="n">
        <f aca="false">Report!U314</f>
        <v>1584.38</v>
      </c>
      <c r="D239" s="1" t="str">
        <f aca="false">Report!X314</f>
        <v>NF 1895761 - MILKA</v>
      </c>
    </row>
    <row r="240" customFormat="false" ht="12.75" hidden="false" customHeight="true" outlineLevel="0" collapsed="false">
      <c r="A240" s="16" t="n">
        <f aca="false">Report!C315</f>
        <v>46211</v>
      </c>
      <c r="B240" s="1" t="str">
        <f aca="false">Report!E315</f>
        <v>ATACADAO S.A.</v>
      </c>
      <c r="C240" s="17" t="n">
        <f aca="false">Report!U315</f>
        <v>516.92</v>
      </c>
      <c r="D240" s="1" t="str">
        <f aca="false">Report!X315</f>
        <v>NF1895808 - MILKA</v>
      </c>
    </row>
    <row r="241" customFormat="false" ht="12.75" hidden="false" customHeight="true" outlineLevel="0" collapsed="false">
      <c r="A241" s="16" t="n">
        <f aca="false">Report!C316</f>
        <v>46211</v>
      </c>
      <c r="B241" s="1" t="str">
        <f aca="false">Report!E316</f>
        <v>BRF S A</v>
      </c>
      <c r="C241" s="17" t="n">
        <f aca="false">Report!U316</f>
        <v>3813.46</v>
      </c>
      <c r="D241" s="1" t="str">
        <f aca="false">Report!X316</f>
        <v>NF 1598766-02/02 MILKA</v>
      </c>
    </row>
    <row r="242" customFormat="false" ht="12.75" hidden="false" customHeight="true" outlineLevel="0" collapsed="false">
      <c r="A242" s="16" t="n">
        <f aca="false">Report!C317</f>
        <v>46211</v>
      </c>
      <c r="B242" s="1" t="str">
        <f aca="false">Report!E317</f>
        <v>BRF S A</v>
      </c>
      <c r="C242" s="17" t="n">
        <f aca="false">Report!U317</f>
        <v>6714.04</v>
      </c>
      <c r="D242" s="1" t="str">
        <f aca="false">Report!X317</f>
        <v>NF 1600670-01 MILKA</v>
      </c>
    </row>
    <row r="243" customFormat="false" ht="12.75" hidden="false" customHeight="true" outlineLevel="0" collapsed="false">
      <c r="A243" s="16" t="n">
        <f aca="false">Report!C318</f>
        <v>46211</v>
      </c>
      <c r="B243" s="1" t="str">
        <f aca="false">Report!E318</f>
        <v>CB COMERCIO E DISTRIBUIDORA DE ALIMENTOS</v>
      </c>
      <c r="C243" s="17" t="n">
        <f aca="false">Report!U318</f>
        <v>985.29</v>
      </c>
      <c r="D243" s="1" t="str">
        <f aca="false">Report!X318</f>
        <v>941304-B/C  NF844855 - MILKA</v>
      </c>
    </row>
    <row r="244" customFormat="false" ht="12.75" hidden="false" customHeight="true" outlineLevel="0" collapsed="false">
      <c r="A244" s="16" t="n">
        <f aca="false">Report!C321</f>
        <v>46211</v>
      </c>
      <c r="B244" s="1" t="str">
        <f aca="false">Report!E321</f>
        <v>COMERCIO E TRANSPORTE BRANDAO LTDA</v>
      </c>
      <c r="C244" s="17" t="n">
        <f aca="false">Report!U321</f>
        <v>1250</v>
      </c>
      <c r="D244" s="1" t="str">
        <f aca="false">Report!X321</f>
        <v>NF 14811 - DEBORA</v>
      </c>
    </row>
    <row r="245" customFormat="false" ht="12.75" hidden="false" customHeight="true" outlineLevel="0" collapsed="false">
      <c r="A245" s="16" t="n">
        <f aca="false">Report!C322</f>
        <v>46211</v>
      </c>
      <c r="B245" s="1" t="str">
        <f aca="false">Report!E322</f>
        <v>CRBS S/A</v>
      </c>
      <c r="C245" s="17" t="n">
        <f aca="false">Report!U322</f>
        <v>714.96</v>
      </c>
      <c r="D245" s="1" t="str">
        <f aca="false">Report!X322</f>
        <v>NF 885204 - MILKA</v>
      </c>
    </row>
    <row r="246" customFormat="false" ht="12.75" hidden="false" customHeight="true" outlineLevel="0" collapsed="false">
      <c r="A246" s="16" t="n">
        <f aca="false">Report!C323</f>
        <v>46211</v>
      </c>
      <c r="B246" s="1" t="str">
        <f aca="false">Report!E323</f>
        <v>CRBS S/A</v>
      </c>
      <c r="C246" s="17" t="n">
        <f aca="false">Report!U323</f>
        <v>580.08</v>
      </c>
      <c r="D246" s="1" t="str">
        <f aca="false">Report!X323</f>
        <v>NF 885205 - MILKA</v>
      </c>
    </row>
    <row r="247" customFormat="false" ht="12.75" hidden="false" customHeight="true" outlineLevel="0" collapsed="false">
      <c r="A247" s="16" t="n">
        <f aca="false">Report!C324</f>
        <v>46211</v>
      </c>
      <c r="B247" s="1" t="str">
        <f aca="false">Report!E324</f>
        <v>CRBS S/A</v>
      </c>
      <c r="C247" s="17" t="n">
        <f aca="false">Report!U324</f>
        <v>7929.54</v>
      </c>
      <c r="D247" s="1" t="str">
        <f aca="false">Report!X324</f>
        <v>NF 885206 - MILKA</v>
      </c>
    </row>
    <row r="248" customFormat="false" ht="12.75" hidden="false" customHeight="true" outlineLevel="0" collapsed="false">
      <c r="A248" s="16" t="n">
        <f aca="false">Report!C325</f>
        <v>46211</v>
      </c>
      <c r="B248" s="1" t="str">
        <f aca="false">Report!E325</f>
        <v>D DE J SANTOS LTDA</v>
      </c>
      <c r="C248" s="17" t="n">
        <f aca="false">Report!U325</f>
        <v>1335</v>
      </c>
      <c r="D248" s="1" t="str">
        <f aca="false">Report!X325</f>
        <v>NF 256 DELICIA DE FARINHA - MILKA</v>
      </c>
    </row>
    <row r="249" customFormat="false" ht="12.75" hidden="false" customHeight="true" outlineLevel="0" collapsed="false">
      <c r="A249" s="16" t="n">
        <f aca="false">Report!C326</f>
        <v>46211</v>
      </c>
      <c r="B249" s="1" t="str">
        <f aca="false">Report!E326</f>
        <v>DISTRIBUIDORA FARIAS LTDA.</v>
      </c>
      <c r="C249" s="17" t="n">
        <f aca="false">Report!U326</f>
        <v>555.93</v>
      </c>
      <c r="D249" s="1" t="str">
        <f aca="false">Report!X326</f>
        <v>NF 674269 - MILKA</v>
      </c>
    </row>
    <row r="250" customFormat="false" ht="12.75" hidden="false" customHeight="true" outlineLevel="0" collapsed="false">
      <c r="A250" s="16" t="n">
        <f aca="false">Report!C327</f>
        <v>46211</v>
      </c>
      <c r="B250" s="1" t="str">
        <f aca="false">Report!E327</f>
        <v>DISTRIBUIDORA LOPES LTDA</v>
      </c>
      <c r="C250" s="17" t="n">
        <f aca="false">Report!U327</f>
        <v>814.47</v>
      </c>
      <c r="D250" s="1" t="str">
        <f aca="false">Report!X327</f>
        <v>NF 1670627 - MILKA</v>
      </c>
    </row>
    <row r="251" customFormat="false" ht="12.75" hidden="false" customHeight="true" outlineLevel="0" collapsed="false">
      <c r="A251" s="16" t="n">
        <f aca="false">Report!C328</f>
        <v>46211</v>
      </c>
      <c r="B251" s="1" t="str">
        <f aca="false">Report!E328</f>
        <v>DUNORTE DISTRIBUIDORA DE PRODUTOS DE CONSUMO LTDA</v>
      </c>
      <c r="C251" s="17" t="n">
        <f aca="false">Report!U328</f>
        <v>208.8</v>
      </c>
      <c r="D251" s="1" t="str">
        <f aca="false">Report!X328</f>
        <v>NF 3203776 ROTANORTE - MILKA</v>
      </c>
    </row>
    <row r="252" customFormat="false" ht="12.75" hidden="false" customHeight="true" outlineLevel="0" collapsed="false">
      <c r="A252" s="16" t="n">
        <f aca="false">Report!C329</f>
        <v>46211</v>
      </c>
      <c r="B252" s="1" t="str">
        <f aca="false">Report!E329</f>
        <v>DUNORTE DISTRIBUIDORA DE PRODUTOS DE CONSUMO LTDA</v>
      </c>
      <c r="C252" s="17" t="n">
        <f aca="false">Report!U329</f>
        <v>2337.67</v>
      </c>
      <c r="D252" s="1" t="str">
        <f aca="false">Report!X329</f>
        <v>NF 3203774 - MILKA</v>
      </c>
    </row>
    <row r="253" customFormat="false" ht="12.75" hidden="false" customHeight="true" outlineLevel="0" collapsed="false">
      <c r="A253" s="16" t="n">
        <f aca="false">Report!C330</f>
        <v>46211</v>
      </c>
      <c r="B253" s="1" t="str">
        <f aca="false">Report!E330</f>
        <v>DUNORTE DISTRIBUIDORA DE PRODUTOS DE CONSUMO LTDA</v>
      </c>
      <c r="C253" s="17" t="n">
        <f aca="false">Report!U330</f>
        <v>2341.88</v>
      </c>
      <c r="D253" s="1" t="str">
        <f aca="false">Report!X330</f>
        <v>NF 3203775 - MILKA</v>
      </c>
    </row>
    <row r="254" customFormat="false" ht="12.75" hidden="false" customHeight="true" outlineLevel="0" collapsed="false">
      <c r="A254" s="16" t="n">
        <f aca="false">Report!C331</f>
        <v>46211</v>
      </c>
      <c r="B254" s="1" t="str">
        <f aca="false">Report!E331</f>
        <v>EMPRESA BRASILEIRA DE DISTRIBUICAO LTDA</v>
      </c>
      <c r="C254" s="17" t="n">
        <f aca="false">Report!U331</f>
        <v>786.1</v>
      </c>
      <c r="D254" s="1" t="str">
        <f aca="false">Report!X331</f>
        <v>NF 2291498-3 MILKA</v>
      </c>
    </row>
    <row r="255" customFormat="false" ht="12.75" hidden="false" customHeight="true" outlineLevel="0" collapsed="false">
      <c r="A255" s="16" t="n">
        <f aca="false">Report!C332</f>
        <v>46211</v>
      </c>
      <c r="B255" s="1" t="str">
        <f aca="false">Report!E332</f>
        <v>FENNIX BRASIL DISTRIBUIDORA DE PRODUTOS</v>
      </c>
      <c r="C255" s="17" t="n">
        <f aca="false">Report!U332</f>
        <v>722.41</v>
      </c>
      <c r="D255" s="1" t="str">
        <f aca="false">Report!X332</f>
        <v>NF 309639-2 MILKA</v>
      </c>
    </row>
    <row r="256" customFormat="false" ht="12.75" hidden="false" customHeight="true" outlineLevel="0" collapsed="false">
      <c r="A256" s="16" t="n">
        <f aca="false">Report!C333</f>
        <v>46211</v>
      </c>
      <c r="B256" s="1" t="str">
        <f aca="false">Report!E333</f>
        <v>FUNNY PET DISTRIBUIDORA DE ALIMENTOS PAR</v>
      </c>
      <c r="C256" s="17" t="n">
        <f aca="false">Report!U333</f>
        <v>4521.75</v>
      </c>
      <c r="D256" s="1" t="str">
        <f aca="false">Report!X333</f>
        <v>NF 20167 3- MILKA</v>
      </c>
    </row>
    <row r="257" customFormat="false" ht="12.75" hidden="false" customHeight="true" outlineLevel="0" collapsed="false">
      <c r="A257" s="16" t="n">
        <f aca="false">Report!C334</f>
        <v>46211</v>
      </c>
      <c r="B257" s="1" t="str">
        <f aca="false">Report!E334</f>
        <v>GELO DANGELO FABRICACAO DE GELO LTDA</v>
      </c>
      <c r="C257" s="17" t="n">
        <f aca="false">Report!U334</f>
        <v>544</v>
      </c>
      <c r="D257" s="1" t="str">
        <f aca="false">Report!X334</f>
        <v>NF 280 - DEBORA</v>
      </c>
    </row>
    <row r="258" customFormat="false" ht="12.75" hidden="false" customHeight="true" outlineLevel="0" collapsed="false">
      <c r="A258" s="16" t="n">
        <f aca="false">Report!C335</f>
        <v>46211</v>
      </c>
      <c r="B258" s="1" t="str">
        <f aca="false">Report!E335</f>
        <v>GELO DANGELO FABRICACAO DE GELO LTDA</v>
      </c>
      <c r="C258" s="17" t="n">
        <f aca="false">Report!U335</f>
        <v>402</v>
      </c>
      <c r="D258" s="1" t="str">
        <f aca="false">Report!X335</f>
        <v>NF 351 - DEBORA</v>
      </c>
    </row>
    <row r="259" customFormat="false" ht="12.75" hidden="false" customHeight="true" outlineLevel="0" collapsed="false">
      <c r="A259" s="16" t="n">
        <f aca="false">Report!C336</f>
        <v>46211</v>
      </c>
      <c r="B259" s="1" t="str">
        <f aca="false">Report!E336</f>
        <v>J G COMERCIO DE PRODUTOS ALIMENTICIOS LTDA</v>
      </c>
      <c r="C259" s="17" t="n">
        <f aca="false">Report!U336</f>
        <v>1283.28</v>
      </c>
      <c r="D259" s="1" t="str">
        <f aca="false">Report!X336</f>
        <v>452671-B/C  NF388860 - MILKA</v>
      </c>
    </row>
    <row r="260" customFormat="false" ht="12.75" hidden="false" customHeight="true" outlineLevel="0" collapsed="false">
      <c r="A260" s="16" t="n">
        <f aca="false">Report!C337</f>
        <v>46211</v>
      </c>
      <c r="B260" s="1" t="str">
        <f aca="false">Report!E337</f>
        <v>L. J. DA SILVA LTDA</v>
      </c>
      <c r="C260" s="17" t="n">
        <f aca="false">Report!U337</f>
        <v>2120.66</v>
      </c>
      <c r="D260" s="1" t="str">
        <f aca="false">Report!X337</f>
        <v>44062-B/B  NF33133 - MILKA</v>
      </c>
    </row>
    <row r="261" customFormat="false" ht="12.75" hidden="false" customHeight="true" outlineLevel="0" collapsed="false">
      <c r="A261" s="16" t="n">
        <f aca="false">Report!C338</f>
        <v>46211</v>
      </c>
      <c r="B261" s="1" t="str">
        <f aca="false">Report!E338</f>
        <v>LOURIVAL ALMEIDA DA SILVA 17128784845</v>
      </c>
      <c r="C261" s="17" t="n">
        <f aca="false">Report!U338</f>
        <v>160.32</v>
      </c>
      <c r="D261" s="1" t="str">
        <f aca="false">Report!X338</f>
        <v>NF 514 - DEBORA</v>
      </c>
    </row>
    <row r="262" customFormat="false" ht="12.75" hidden="false" customHeight="true" outlineLevel="0" collapsed="false">
      <c r="A262" s="16" t="n">
        <f aca="false">Report!C339</f>
        <v>46211</v>
      </c>
      <c r="B262" s="1" t="str">
        <f aca="false">Report!E339</f>
        <v>MARE DISTRIBUIDORA DE BEBIDAS E DE PRODUTOS ALIMENTICIOS LTDA</v>
      </c>
      <c r="C262" s="17" t="n">
        <f aca="false">Report!U339</f>
        <v>1232.85</v>
      </c>
      <c r="D262" s="1" t="str">
        <f aca="false">Report!X339</f>
        <v>NF 1375586 - MILKA</v>
      </c>
    </row>
    <row r="263" customFormat="false" ht="12.75" hidden="false" customHeight="true" outlineLevel="0" collapsed="false">
      <c r="A263" s="16" t="n">
        <f aca="false">Report!C340</f>
        <v>46211</v>
      </c>
      <c r="B263" s="1" t="str">
        <f aca="false">Report!E340</f>
        <v>NATUREZA COMERCIO DE DESCARTAVEIS LTDA</v>
      </c>
      <c r="C263" s="17" t="n">
        <f aca="false">Report!U340</f>
        <v>1177.59</v>
      </c>
      <c r="D263" s="1" t="str">
        <f aca="false">Report!X340</f>
        <v>NF 727418 -02 MILKA</v>
      </c>
    </row>
    <row r="264" customFormat="false" ht="12.75" hidden="false" customHeight="true" outlineLevel="0" collapsed="false">
      <c r="A264" s="16" t="n">
        <f aca="false">Report!C341</f>
        <v>46211</v>
      </c>
      <c r="B264" s="1" t="str">
        <f aca="false">Report!E341</f>
        <v>NOVA FRIOS COMERCIO ATACADISTA DE LATICINIOS LTDA</v>
      </c>
      <c r="C264" s="17" t="n">
        <f aca="false">Report!U341</f>
        <v>251.5</v>
      </c>
      <c r="D264" s="1" t="str">
        <f aca="false">Report!X341</f>
        <v>NF 3942 BODEGA - MILKA</v>
      </c>
    </row>
    <row r="265" customFormat="false" ht="12.75" hidden="false" customHeight="true" outlineLevel="0" collapsed="false">
      <c r="A265" s="16" t="n">
        <f aca="false">Report!C342</f>
        <v>46211</v>
      </c>
      <c r="B265" s="1" t="str">
        <f aca="false">Report!E342</f>
        <v>OESA COMERCIO E REPRESENTACOES S/A</v>
      </c>
      <c r="C265" s="17" t="n">
        <f aca="false">Report!U342</f>
        <v>2356.28</v>
      </c>
      <c r="D265" s="1" t="str">
        <f aca="false">Report!X342</f>
        <v>NF 413874 -MILKA</v>
      </c>
    </row>
    <row r="266" customFormat="false" ht="12.75" hidden="false" customHeight="true" outlineLevel="0" collapsed="false">
      <c r="A266" s="16" t="n">
        <f aca="false">Report!C343</f>
        <v>46211</v>
      </c>
      <c r="B266" s="1" t="str">
        <f aca="false">Report!E343</f>
        <v>OPPORTUNITY ALIMENTOS PARA ANIMAIS LTDA</v>
      </c>
      <c r="C266" s="17" t="n">
        <f aca="false">Report!U343</f>
        <v>2792.58</v>
      </c>
      <c r="D266" s="1" t="str">
        <f aca="false">Report!X343</f>
        <v>NF 33621-5 MILKA</v>
      </c>
    </row>
    <row r="267" customFormat="false" ht="12.75" hidden="false" customHeight="true" outlineLevel="0" collapsed="false">
      <c r="A267" s="16" t="n">
        <f aca="false">Report!C344</f>
        <v>46211</v>
      </c>
      <c r="B267" s="1" t="str">
        <f aca="false">Report!E344</f>
        <v>PANIFICADORA E CONFEITARIA REAL MADRI LTDA</v>
      </c>
      <c r="C267" s="17" t="n">
        <f aca="false">Report!U344</f>
        <v>980</v>
      </c>
      <c r="D267" s="1" t="str">
        <f aca="false">Report!X344</f>
        <v>NF 694 - MILKA</v>
      </c>
    </row>
    <row r="268" customFormat="false" ht="12.75" hidden="false" customHeight="true" outlineLevel="0" collapsed="false">
      <c r="A268" s="16" t="n">
        <f aca="false">Report!C345</f>
        <v>46211</v>
      </c>
      <c r="B268" s="1" t="str">
        <f aca="false">Report!E345</f>
        <v>PANIFICADORA E CONFEITARIA REAL MADRI LTDA</v>
      </c>
      <c r="C268" s="17" t="n">
        <f aca="false">Report!U345</f>
        <v>99.9</v>
      </c>
      <c r="D268" s="1" t="str">
        <f aca="false">Report!X345</f>
        <v>NF 695 - MILKA</v>
      </c>
    </row>
    <row r="269" customFormat="false" ht="12.75" hidden="false" customHeight="true" outlineLevel="0" collapsed="false">
      <c r="A269" s="16" t="n">
        <f aca="false">Report!C346</f>
        <v>46211</v>
      </c>
      <c r="B269" s="1" t="str">
        <f aca="false">Report!E346</f>
        <v>PANIFICADORA E CONFEITARIA REAL MADRI LTDA</v>
      </c>
      <c r="C269" s="17" t="n">
        <f aca="false">Report!U346</f>
        <v>307.2</v>
      </c>
      <c r="D269" s="1" t="str">
        <f aca="false">Report!X346</f>
        <v>NF 692 - MILKA</v>
      </c>
    </row>
    <row r="270" customFormat="false" ht="12.75" hidden="false" customHeight="true" outlineLevel="0" collapsed="false">
      <c r="A270" s="16" t="n">
        <f aca="false">Report!C347</f>
        <v>46211</v>
      </c>
      <c r="B270" s="1" t="str">
        <f aca="false">Report!E347</f>
        <v>PIARARA COMERCIO, IMPORTACAO E EXPORTACAO LTDA</v>
      </c>
      <c r="C270" s="17" t="n">
        <f aca="false">Report!U347</f>
        <v>568.92</v>
      </c>
      <c r="D270" s="1" t="str">
        <f aca="false">Report!X347</f>
        <v>NF 193491-2 MILKA</v>
      </c>
    </row>
    <row r="271" customFormat="false" ht="12.75" hidden="false" customHeight="true" outlineLevel="0" collapsed="false">
      <c r="A271" s="16" t="n">
        <f aca="false">Report!C348</f>
        <v>46211</v>
      </c>
      <c r="B271" s="1" t="str">
        <f aca="false">Report!E348</f>
        <v>PRIME PET DISTRIBUIDORA LTDA</v>
      </c>
      <c r="C271" s="17" t="n">
        <f aca="false">Report!U348</f>
        <v>250.35</v>
      </c>
      <c r="D271" s="1" t="str">
        <f aca="false">Report!X348</f>
        <v>NF 10336 -05 MILKA</v>
      </c>
    </row>
    <row r="272" customFormat="false" ht="12.75" hidden="false" customHeight="true" outlineLevel="0" collapsed="false">
      <c r="A272" s="16" t="n">
        <f aca="false">Report!C349</f>
        <v>46211</v>
      </c>
      <c r="B272" s="1" t="str">
        <f aca="false">Report!E349</f>
        <v>RENATO DE O AZEVEDO E CIA LTDA - EPP</v>
      </c>
      <c r="C272" s="17" t="n">
        <f aca="false">Report!U349</f>
        <v>1118</v>
      </c>
      <c r="D272" s="1" t="str">
        <f aca="false">Report!X349</f>
        <v>FEIRA CARLOS - DEBPORA</v>
      </c>
    </row>
    <row r="273" customFormat="false" ht="12.75" hidden="false" customHeight="true" outlineLevel="0" collapsed="false">
      <c r="A273" s="16" t="n">
        <f aca="false">Report!C350</f>
        <v>46211</v>
      </c>
      <c r="B273" s="1" t="str">
        <f aca="false">Report!E350</f>
        <v>RENATO DE O AZEVEDO E CIA LTDA - EPP</v>
      </c>
      <c r="C273" s="17" t="n">
        <f aca="false">Report!U350</f>
        <v>70</v>
      </c>
      <c r="D273" s="1" t="str">
        <f aca="false">Report!X350</f>
        <v>CAMARAO COM CASCA - FEIRA CARLOS - DEBORA</v>
      </c>
    </row>
    <row r="274" customFormat="false" ht="12.75" hidden="false" customHeight="true" outlineLevel="0" collapsed="false">
      <c r="A274" s="16" t="n">
        <f aca="false">Report!C351</f>
        <v>46211</v>
      </c>
      <c r="B274" s="1" t="str">
        <f aca="false">Report!E351</f>
        <v>VIA CERTA IMPORTACAO E DISTRIBUICAO DE A</v>
      </c>
      <c r="C274" s="17" t="n">
        <f aca="false">Report!U351</f>
        <v>318.32</v>
      </c>
      <c r="D274" s="1" t="str">
        <f aca="false">Report!X351</f>
        <v>NF 50625-1 MILKA</v>
      </c>
    </row>
    <row r="275" customFormat="false" ht="12.75" hidden="false" customHeight="true" outlineLevel="0" collapsed="false">
      <c r="A275" s="16" t="n">
        <f aca="false">Report!C352</f>
        <v>46211</v>
      </c>
      <c r="B275" s="1" t="str">
        <f aca="false">Report!E352</f>
        <v>VIA CERTA INDUSTRIA E COMERCIO DE SANEANTES LTDA</v>
      </c>
      <c r="C275" s="17" t="n">
        <f aca="false">Report!U352</f>
        <v>405.76</v>
      </c>
      <c r="D275" s="1" t="str">
        <f aca="false">Report!X352</f>
        <v>NF 41693-1 MILKA</v>
      </c>
    </row>
    <row r="276" customFormat="false" ht="12.75" hidden="false" customHeight="true" outlineLevel="0" collapsed="false">
      <c r="A276" s="16" t="n">
        <f aca="false">Report!C353</f>
        <v>46212</v>
      </c>
      <c r="B276" s="1" t="str">
        <f aca="false">Report!E353</f>
        <v>A M A DE LIMA INDUSTRIA E COMERCIO DE PRODUTOS ALIMENTICIOS LTDA</v>
      </c>
      <c r="C276" s="17" t="n">
        <f aca="false">Report!U353</f>
        <v>82.46</v>
      </c>
      <c r="D276" s="1" t="str">
        <f aca="false">Report!X353</f>
        <v>NF384/PGTO PARA SR. RENATO - MILKA</v>
      </c>
    </row>
    <row r="277" customFormat="false" ht="12.75" hidden="false" customHeight="true" outlineLevel="0" collapsed="false">
      <c r="A277" s="16" t="n">
        <f aca="false">Report!C354</f>
        <v>46212</v>
      </c>
      <c r="B277" s="1" t="str">
        <f aca="false">Report!E354</f>
        <v>ADICSO FABIAN GONZALEZ MONTILLA 70302186</v>
      </c>
      <c r="C277" s="17" t="n">
        <f aca="false">Report!U354</f>
        <v>588</v>
      </c>
      <c r="D277" s="1" t="str">
        <f aca="false">Report!X354</f>
        <v>NF523 BLOOM - MILKA</v>
      </c>
    </row>
    <row r="278" customFormat="false" ht="12.75" hidden="false" customHeight="true" outlineLevel="0" collapsed="false">
      <c r="A278" s="16" t="n">
        <f aca="false">Report!C355</f>
        <v>46212</v>
      </c>
      <c r="B278" s="1" t="str">
        <f aca="false">Report!E355</f>
        <v>ADRIANA DISTRIBUIDORA DE PRODUTOS ALIMEN</v>
      </c>
      <c r="C278" s="17" t="n">
        <f aca="false">Report!U355</f>
        <v>1402.88</v>
      </c>
      <c r="D278" s="1" t="str">
        <f aca="false">Report!X355</f>
        <v>NF 878848-2 MILKA</v>
      </c>
    </row>
    <row r="279" customFormat="false" ht="12.75" hidden="false" customHeight="true" outlineLevel="0" collapsed="false">
      <c r="A279" s="16" t="n">
        <f aca="false">Report!C356</f>
        <v>46212</v>
      </c>
      <c r="B279" s="1" t="str">
        <f aca="false">Report!E356</f>
        <v>BRASIL NORTE BEBIDAS S/A</v>
      </c>
      <c r="C279" s="17" t="n">
        <f aca="false">Report!U356</f>
        <v>7646.07</v>
      </c>
      <c r="D279" s="1" t="str">
        <f aca="false">Report!X356</f>
        <v>NF 1899789 - MILKA</v>
      </c>
    </row>
    <row r="280" customFormat="false" ht="12.75" hidden="false" customHeight="true" outlineLevel="0" collapsed="false">
      <c r="A280" s="16" t="n">
        <f aca="false">Report!C357</f>
        <v>46212</v>
      </c>
      <c r="B280" s="1" t="str">
        <f aca="false">Report!E357</f>
        <v>BRASIL NORTE BEBIDAS S/A</v>
      </c>
      <c r="C280" s="17" t="n">
        <f aca="false">Report!U357</f>
        <v>1219.53</v>
      </c>
      <c r="D280" s="1" t="str">
        <f aca="false">Report!X357</f>
        <v>NF 1175957 - MILKA</v>
      </c>
    </row>
    <row r="281" customFormat="false" ht="12.75" hidden="false" customHeight="true" outlineLevel="0" collapsed="false">
      <c r="A281" s="16" t="n">
        <f aca="false">Report!C358</f>
        <v>46212</v>
      </c>
      <c r="B281" s="1" t="str">
        <f aca="false">Report!E358</f>
        <v>BRASIL NORTE BEBIDAS S/A</v>
      </c>
      <c r="C281" s="17" t="n">
        <f aca="false">Report!U358</f>
        <v>994.33</v>
      </c>
      <c r="D281" s="1" t="str">
        <f aca="false">Report!X358</f>
        <v>NF 1174710 - MILKA</v>
      </c>
    </row>
    <row r="282" customFormat="false" ht="12.75" hidden="false" customHeight="true" outlineLevel="0" collapsed="false">
      <c r="A282" s="16" t="n">
        <f aca="false">Report!C359</f>
        <v>46212</v>
      </c>
      <c r="B282" s="1" t="str">
        <f aca="false">Report!E359</f>
        <v>C. R. PARENTE ABREU</v>
      </c>
      <c r="C282" s="17" t="n">
        <f aca="false">Report!U359</f>
        <v>472.6</v>
      </c>
      <c r="D282" s="1" t="str">
        <f aca="false">Report!X359</f>
        <v>NF 11381-1 MILKA</v>
      </c>
    </row>
    <row r="283" customFormat="false" ht="12.75" hidden="false" customHeight="true" outlineLevel="0" collapsed="false">
      <c r="A283" s="16" t="n">
        <f aca="false">Report!C360</f>
        <v>46212</v>
      </c>
      <c r="B283" s="1" t="str">
        <f aca="false">Report!E360</f>
        <v>DISTRIBUIDORA LOPES LTDA</v>
      </c>
      <c r="C283" s="17" t="n">
        <f aca="false">Report!U360</f>
        <v>1279.74</v>
      </c>
      <c r="D283" s="1" t="str">
        <f aca="false">Report!X360</f>
        <v>NF 1675757-1 MILKA</v>
      </c>
    </row>
    <row r="284" customFormat="false" ht="12.75" hidden="false" customHeight="true" outlineLevel="0" collapsed="false">
      <c r="A284" s="16" t="n">
        <f aca="false">Report!C361</f>
        <v>46212</v>
      </c>
      <c r="B284" s="1" t="str">
        <f aca="false">Report!E361</f>
        <v>DUNORTE DISTRIBUIDORA DE PRODUTOS DE CONSUMO LTDA</v>
      </c>
      <c r="C284" s="17" t="n">
        <f aca="false">Report!U361</f>
        <v>654.48</v>
      </c>
      <c r="D284" s="1" t="str">
        <f aca="false">Report!X361</f>
        <v>NF 3204500 - MILKA</v>
      </c>
    </row>
    <row r="285" customFormat="false" ht="12.75" hidden="false" customHeight="true" outlineLevel="0" collapsed="false">
      <c r="A285" s="16" t="n">
        <f aca="false">Report!C362</f>
        <v>46212</v>
      </c>
      <c r="B285" s="1" t="str">
        <f aca="false">Report!E362</f>
        <v>EDMARA COMERCIO DE HIGIENE PESSOAL LTDA</v>
      </c>
      <c r="C285" s="17" t="n">
        <f aca="false">Report!U362</f>
        <v>2019.09</v>
      </c>
      <c r="D285" s="1" t="str">
        <f aca="false">Report!X362</f>
        <v>NF 8075 - MILKA</v>
      </c>
    </row>
    <row r="286" customFormat="false" ht="12.75" hidden="false" customHeight="true" outlineLevel="0" collapsed="false">
      <c r="A286" s="16" t="n">
        <f aca="false">Report!C363</f>
        <v>46212</v>
      </c>
      <c r="B286" s="1" t="str">
        <f aca="false">Report!E363</f>
        <v>FENNIX BRASIL DISTRIBUIDORA DE PRODUTOS</v>
      </c>
      <c r="C286" s="17" t="n">
        <f aca="false">Report!U363</f>
        <v>2048.68</v>
      </c>
      <c r="D286" s="1" t="str">
        <f aca="false">Report!X363</f>
        <v>NF 311084 -1 MILKA</v>
      </c>
    </row>
    <row r="287" customFormat="false" ht="12.75" hidden="false" customHeight="true" outlineLevel="0" collapsed="false">
      <c r="A287" s="16" t="n">
        <f aca="false">Report!C364</f>
        <v>46212</v>
      </c>
      <c r="B287" s="1" t="str">
        <f aca="false">Report!E364</f>
        <v>IRMÃOS LIMA  ATACADO  DE ALIMENTOS LTDA</v>
      </c>
      <c r="C287" s="17" t="n">
        <f aca="false">Report!U364</f>
        <v>1250.11</v>
      </c>
      <c r="D287" s="1" t="str">
        <f aca="false">Report!X364</f>
        <v>374805-B/C  NF293860 - MILKA</v>
      </c>
    </row>
    <row r="288" customFormat="false" ht="12.75" hidden="false" customHeight="true" outlineLevel="0" collapsed="false">
      <c r="A288" s="16" t="n">
        <f aca="false">Report!C365</f>
        <v>46212</v>
      </c>
      <c r="B288" s="1" t="str">
        <f aca="false">Report!E365</f>
        <v>J. R. L. NASCIMENTO PANIFICADORA</v>
      </c>
      <c r="C288" s="17" t="n">
        <f aca="false">Report!U365</f>
        <v>990</v>
      </c>
      <c r="D288" s="1" t="str">
        <f aca="false">Report!X365</f>
        <v>NF1037 - MILKA</v>
      </c>
    </row>
    <row r="289" customFormat="false" ht="12.75" hidden="false" customHeight="true" outlineLevel="0" collapsed="false">
      <c r="A289" s="16" t="n">
        <f aca="false">Report!C366</f>
        <v>46212</v>
      </c>
      <c r="B289" s="1" t="str">
        <f aca="false">Report!E366</f>
        <v>JAB COMERCIO DE PRODUTOS ALIMENTICIOS LT</v>
      </c>
      <c r="C289" s="17" t="n">
        <f aca="false">Report!U366</f>
        <v>405</v>
      </c>
      <c r="D289" s="1" t="str">
        <f aca="false">Report!X366</f>
        <v>NF 3469 SANTOPAO - MILKA</v>
      </c>
    </row>
    <row r="290" customFormat="false" ht="12.75" hidden="false" customHeight="true" outlineLevel="0" collapsed="false">
      <c r="A290" s="16" t="n">
        <f aca="false">Report!C367</f>
        <v>46212</v>
      </c>
      <c r="B290" s="1" t="str">
        <f aca="false">Report!E367</f>
        <v>L S M COMERCIO DE ALIMENTOS E NAVEGACAO</v>
      </c>
      <c r="C290" s="17" t="n">
        <f aca="false">Report!U367</f>
        <v>1568.1</v>
      </c>
      <c r="D290" s="1" t="str">
        <f aca="false">Report!X367</f>
        <v>NF 304776 -2 MILKA</v>
      </c>
    </row>
    <row r="291" customFormat="false" ht="12.75" hidden="false" customHeight="true" outlineLevel="0" collapsed="false">
      <c r="A291" s="16" t="n">
        <f aca="false">Report!C368</f>
        <v>46212</v>
      </c>
      <c r="B291" s="1" t="str">
        <f aca="false">Report!E368</f>
        <v>LIMA E BARANDA COMERCIO DE PRODUTOS REGI</v>
      </c>
      <c r="C291" s="17" t="n">
        <f aca="false">Report!U368</f>
        <v>493.5</v>
      </c>
      <c r="D291" s="1" t="str">
        <f aca="false">Report!X368</f>
        <v>NF 31254 - MILKA</v>
      </c>
    </row>
    <row r="292" customFormat="false" ht="12.75" hidden="false" customHeight="true" outlineLevel="0" collapsed="false">
      <c r="A292" s="16" t="n">
        <f aca="false">Report!C369</f>
        <v>46212</v>
      </c>
      <c r="B292" s="1" t="str">
        <f aca="false">Report!E369</f>
        <v>OCIDENTAL COMERCIO DE FRIOS LTDA</v>
      </c>
      <c r="C292" s="17" t="n">
        <f aca="false">Report!U369</f>
        <v>1113.5</v>
      </c>
      <c r="D292" s="1" t="str">
        <f aca="false">Report!X369</f>
        <v>NF 1238549 - MILKA</v>
      </c>
    </row>
    <row r="293" customFormat="false" ht="12.75" hidden="false" customHeight="true" outlineLevel="0" collapsed="false">
      <c r="A293" s="16" t="n">
        <f aca="false">Report!C370</f>
        <v>46212</v>
      </c>
      <c r="B293" s="1" t="str">
        <f aca="false">Report!E370</f>
        <v>PANIFICADORA E CONFEITARIA REAL MADRI LTDA</v>
      </c>
      <c r="C293" s="17" t="n">
        <f aca="false">Report!U370</f>
        <v>849.2</v>
      </c>
      <c r="D293" s="1" t="str">
        <f aca="false">Report!X370</f>
        <v>NF 697 - MILKA</v>
      </c>
    </row>
    <row r="294" customFormat="false" ht="12.75" hidden="false" customHeight="true" outlineLevel="0" collapsed="false">
      <c r="A294" s="16" t="n">
        <f aca="false">Report!C371</f>
        <v>46212</v>
      </c>
      <c r="B294" s="1" t="str">
        <f aca="false">Report!E371</f>
        <v>PIARARA COMERCIO, IMPORTACAO E EXPORTACAO LTDA</v>
      </c>
      <c r="C294" s="17" t="n">
        <f aca="false">Report!U371</f>
        <v>1024.53</v>
      </c>
      <c r="D294" s="1" t="str">
        <f aca="false">Report!X371</f>
        <v>NF 193797 -1 MILKA</v>
      </c>
    </row>
    <row r="295" customFormat="false" ht="12.75" hidden="false" customHeight="true" outlineLevel="0" collapsed="false">
      <c r="A295" s="16" t="n">
        <f aca="false">Report!C372</f>
        <v>46212</v>
      </c>
      <c r="B295" s="1" t="str">
        <f aca="false">Report!E372</f>
        <v>PRIME PET DISTRIBUIDORA LTDA</v>
      </c>
      <c r="C295" s="17" t="n">
        <f aca="false">Report!U372</f>
        <v>319.72</v>
      </c>
      <c r="D295" s="1" t="str">
        <f aca="false">Report!X372</f>
        <v>NF 10643-03/05 MILKA</v>
      </c>
    </row>
    <row r="296" customFormat="false" ht="12.75" hidden="false" customHeight="true" outlineLevel="0" collapsed="false">
      <c r="A296" s="16" t="n">
        <f aca="false">Report!C373</f>
        <v>46212</v>
      </c>
      <c r="B296" s="1" t="str">
        <f aca="false">Report!E373</f>
        <v>REAL BEBIDAS DA AMAZONIA LTDA</v>
      </c>
      <c r="C296" s="17" t="n">
        <f aca="false">Report!U373</f>
        <v>900.5</v>
      </c>
      <c r="D296" s="1" t="str">
        <f aca="false">Report!X373</f>
        <v>NF 595147 - MILKA</v>
      </c>
    </row>
    <row r="297" customFormat="false" ht="12.75" hidden="false" customHeight="true" outlineLevel="0" collapsed="false">
      <c r="A297" s="16" t="n">
        <f aca="false">Report!C374</f>
        <v>46212</v>
      </c>
      <c r="B297" s="1" t="str">
        <f aca="false">Report!E374</f>
        <v>RENATO DE O AZEVEDO E CIA LTDA - EPP</v>
      </c>
      <c r="C297" s="17" t="n">
        <f aca="false">Report!U374</f>
        <v>600</v>
      </c>
      <c r="D297" s="1" t="str">
        <f aca="false">Report!X374</f>
        <v>NF 20726 3IRMAOS/ PGTO P/ JULIETE - MILKA</v>
      </c>
    </row>
    <row r="298" customFormat="false" ht="12.75" hidden="false" customHeight="true" outlineLevel="0" collapsed="false">
      <c r="A298" s="16" t="n">
        <f aca="false">Report!C376</f>
        <v>46212</v>
      </c>
      <c r="B298" s="1" t="str">
        <f aca="false">Report!E376</f>
        <v>SB COMERCIO LTDA</v>
      </c>
      <c r="C298" s="17" t="n">
        <f aca="false">Report!U376</f>
        <v>3937.78</v>
      </c>
      <c r="D298" s="1" t="str">
        <f aca="false">Report!X376</f>
        <v>NF 1957890-2 MILKA</v>
      </c>
    </row>
    <row r="299" customFormat="false" ht="12.75" hidden="false" customHeight="true" outlineLevel="0" collapsed="false">
      <c r="A299" s="16" t="n">
        <f aca="false">Report!C382</f>
        <v>46213</v>
      </c>
      <c r="B299" s="1" t="str">
        <f aca="false">Report!E382</f>
        <v>BRAGA TABACARIA EIRELI ME</v>
      </c>
      <c r="C299" s="17" t="n">
        <f aca="false">Report!U382</f>
        <v>467.2</v>
      </c>
      <c r="D299" s="1" t="str">
        <f aca="false">Report!X382</f>
        <v>NF 18761-03 MILKA</v>
      </c>
    </row>
    <row r="300" customFormat="false" ht="12.75" hidden="false" customHeight="true" outlineLevel="0" collapsed="false">
      <c r="A300" s="16" t="n">
        <f aca="false">Report!C383</f>
        <v>46213</v>
      </c>
      <c r="B300" s="1" t="str">
        <f aca="false">Report!E383</f>
        <v>BRAGA TABACARIA EIRELI ME</v>
      </c>
      <c r="C300" s="17" t="n">
        <f aca="false">Report!U383</f>
        <v>595</v>
      </c>
      <c r="D300" s="1" t="str">
        <f aca="false">Report!X383</f>
        <v>NF 19022-01 MILKA</v>
      </c>
    </row>
    <row r="301" customFormat="false" ht="12.75" hidden="false" customHeight="true" outlineLevel="0" collapsed="false">
      <c r="A301" s="16" t="n">
        <f aca="false">Report!C384</f>
        <v>46213</v>
      </c>
      <c r="B301" s="1" t="str">
        <f aca="false">Report!E384</f>
        <v>BRAGA TABACARIA EIRELI ME</v>
      </c>
      <c r="C301" s="17" t="n">
        <f aca="false">Report!U384</f>
        <v>462</v>
      </c>
      <c r="D301" s="1" t="str">
        <f aca="false">Report!X384</f>
        <v>NF19193 / COMPRA SARINHA E TRIGO - MILKA</v>
      </c>
    </row>
    <row r="302" customFormat="false" ht="12.75" hidden="false" customHeight="true" outlineLevel="0" collapsed="false">
      <c r="A302" s="16" t="n">
        <f aca="false">Report!C385</f>
        <v>46213</v>
      </c>
      <c r="B302" s="1" t="str">
        <f aca="false">Report!E385</f>
        <v>BROTHERS  INDUSTRIA DE ALIMENTOS LTDA</v>
      </c>
      <c r="C302" s="17" t="n">
        <f aca="false">Report!U385</f>
        <v>640.3</v>
      </c>
      <c r="D302" s="1" t="str">
        <f aca="false">Report!X385</f>
        <v>NF 1030056 - MILkA</v>
      </c>
    </row>
    <row r="303" customFormat="false" ht="12.75" hidden="false" customHeight="true" outlineLevel="0" collapsed="false">
      <c r="A303" s="16" t="n">
        <f aca="false">Report!C386</f>
        <v>46213</v>
      </c>
      <c r="B303" s="1" t="str">
        <f aca="false">Report!E386</f>
        <v>C. R. PARENTE ABREU</v>
      </c>
      <c r="C303" s="17" t="n">
        <f aca="false">Report!U386</f>
        <v>406.93</v>
      </c>
      <c r="D303" s="1" t="str">
        <f aca="false">Report!X386</f>
        <v>NF 11352-2 MILKA</v>
      </c>
    </row>
    <row r="304" customFormat="false" ht="12.75" hidden="false" customHeight="true" outlineLevel="0" collapsed="false">
      <c r="A304" s="16" t="n">
        <f aca="false">Report!C391</f>
        <v>46213</v>
      </c>
      <c r="B304" s="1" t="str">
        <f aca="false">Report!E391</f>
        <v>DISTRIBUIDORA FARIAS LTDA.</v>
      </c>
      <c r="C304" s="17" t="n">
        <f aca="false">Report!U391</f>
        <v>478.42</v>
      </c>
      <c r="D304" s="1" t="str">
        <f aca="false">Report!X391</f>
        <v>789209-B/C  NF674930 - MILKA</v>
      </c>
    </row>
    <row r="305" customFormat="false" ht="12.75" hidden="false" customHeight="true" outlineLevel="0" collapsed="false">
      <c r="A305" s="16" t="n">
        <f aca="false">Report!C392</f>
        <v>46213</v>
      </c>
      <c r="B305" s="1" t="str">
        <f aca="false">Report!E392</f>
        <v>DISTRIBUIDORA LOPES LTDA</v>
      </c>
      <c r="C305" s="17" t="n">
        <f aca="false">Report!U392</f>
        <v>600</v>
      </c>
      <c r="D305" s="1" t="str">
        <f aca="false">Report!X392</f>
        <v>NF 1681442 - MILKA</v>
      </c>
    </row>
    <row r="306" customFormat="false" ht="12.75" hidden="false" customHeight="true" outlineLevel="0" collapsed="false">
      <c r="A306" s="16" t="n">
        <f aca="false">Report!C394</f>
        <v>46213</v>
      </c>
      <c r="B306" s="1" t="str">
        <f aca="false">Report!E394</f>
        <v>EDMARA COMERCIO DE HIGIENE PESSOAL LTDA</v>
      </c>
      <c r="C306" s="17" t="n">
        <f aca="false">Report!U394</f>
        <v>526.89</v>
      </c>
      <c r="D306" s="1" t="str">
        <f aca="false">Report!X394</f>
        <v>5120-A/C  NF8208 - MILKA</v>
      </c>
    </row>
    <row r="307" customFormat="false" ht="12.75" hidden="false" customHeight="true" outlineLevel="0" collapsed="false">
      <c r="A307" s="16" t="n">
        <f aca="false">Report!C404</f>
        <v>46213</v>
      </c>
      <c r="B307" s="1" t="str">
        <f aca="false">Report!E404</f>
        <v>J G COMERCIO DE PRODUTOS ALIMENTICIOS LTDA</v>
      </c>
      <c r="C307" s="17" t="n">
        <f aca="false">Report!U404</f>
        <v>2340.64</v>
      </c>
      <c r="D307" s="1" t="str">
        <f aca="false">Report!X404</f>
        <v>454446-A/C  NF390550 - MILKA</v>
      </c>
    </row>
    <row r="308" customFormat="false" ht="12.75" hidden="false" customHeight="true" outlineLevel="0" collapsed="false">
      <c r="A308" s="16" t="n">
        <f aca="false">Report!C405</f>
        <v>46213</v>
      </c>
      <c r="B308" s="1" t="str">
        <f aca="false">Report!E405</f>
        <v>J W N DOS SANTOS</v>
      </c>
      <c r="C308" s="17" t="n">
        <f aca="false">Report!U405</f>
        <v>450</v>
      </c>
      <c r="D308" s="1" t="str">
        <f aca="false">Report!X405</f>
        <v>NF 352 - DEBORA</v>
      </c>
    </row>
    <row r="309" customFormat="false" ht="12.75" hidden="false" customHeight="true" outlineLevel="0" collapsed="false">
      <c r="A309" s="16" t="n">
        <f aca="false">Report!C406</f>
        <v>46213</v>
      </c>
      <c r="B309" s="1" t="str">
        <f aca="false">Report!E406</f>
        <v>J. A. F. DE LIMA</v>
      </c>
      <c r="C309" s="17" t="n">
        <f aca="false">Report!U406</f>
        <v>1118.57</v>
      </c>
      <c r="D309" s="1" t="str">
        <f aca="false">Report!X406</f>
        <v>NF 155121/5 MILKA</v>
      </c>
    </row>
    <row r="310" customFormat="false" ht="12.75" hidden="false" customHeight="true" outlineLevel="0" collapsed="false">
      <c r="A310" s="16" t="n">
        <f aca="false">Report!C416</f>
        <v>46213</v>
      </c>
      <c r="B310" s="1" t="str">
        <f aca="false">Report!E416</f>
        <v>MAXFRI DISTRIUIDORA LTDA</v>
      </c>
      <c r="C310" s="17" t="n">
        <f aca="false">Report!U416</f>
        <v>6374.28</v>
      </c>
      <c r="D310" s="1" t="str">
        <f aca="false">Report!X416</f>
        <v>NF14614 - MILKA</v>
      </c>
    </row>
    <row r="311" customFormat="false" ht="12.75" hidden="false" customHeight="true" outlineLevel="0" collapsed="false">
      <c r="A311" s="16" t="n">
        <f aca="false">Report!C418</f>
        <v>46213</v>
      </c>
      <c r="B311" s="1" t="str">
        <f aca="false">Report!E418</f>
        <v>NESTLÉ BRASIL LTDA.</v>
      </c>
      <c r="C311" s="17" t="n">
        <f aca="false">Report!U418</f>
        <v>895.19</v>
      </c>
      <c r="D311" s="1" t="str">
        <f aca="false">Report!X418</f>
        <v>NF 1424401-01 MILKA</v>
      </c>
    </row>
    <row r="312" customFormat="false" ht="12.75" hidden="false" customHeight="true" outlineLevel="0" collapsed="false">
      <c r="A312" s="16" t="n">
        <f aca="false">Report!C421</f>
        <v>46213</v>
      </c>
      <c r="B312" s="1" t="str">
        <f aca="false">Report!E421</f>
        <v>NT INDUSTRIA E COMERCIO DE PANIFICACAO L</v>
      </c>
      <c r="C312" s="17" t="n">
        <f aca="false">Report!U421</f>
        <v>4396.37</v>
      </c>
      <c r="D312" s="1" t="str">
        <f aca="false">Report!X421</f>
        <v>NF 39625 - MILKA</v>
      </c>
    </row>
    <row r="313" customFormat="false" ht="12.75" hidden="false" customHeight="true" outlineLevel="0" collapsed="false">
      <c r="A313" s="16" t="n">
        <f aca="false">Report!C422</f>
        <v>46213</v>
      </c>
      <c r="B313" s="1" t="str">
        <f aca="false">Report!E422</f>
        <v>OCIDENTAL COMERCIO DE FRIOS LTDA</v>
      </c>
      <c r="C313" s="17" t="n">
        <f aca="false">Report!U422</f>
        <v>2272.59</v>
      </c>
      <c r="D313" s="1" t="str">
        <f aca="false">Report!X422</f>
        <v>NF 1238958-2/3 MILKA</v>
      </c>
    </row>
    <row r="314" customFormat="false" ht="12.75" hidden="false" customHeight="true" outlineLevel="0" collapsed="false">
      <c r="A314" s="16" t="n">
        <f aca="false">Report!C423</f>
        <v>46213</v>
      </c>
      <c r="B314" s="1" t="str">
        <f aca="false">Report!E423</f>
        <v>OCIDENTAL COMERCIO DE FRIOS LTDA</v>
      </c>
      <c r="C314" s="17" t="n">
        <f aca="false">Report!U423</f>
        <v>537.72</v>
      </c>
      <c r="D314" s="1" t="str">
        <f aca="false">Report!X423</f>
        <v>NF 1241434-1/3 - MILKA</v>
      </c>
    </row>
    <row r="315" customFormat="false" ht="12.75" hidden="false" customHeight="true" outlineLevel="0" collapsed="false">
      <c r="A315" s="16" t="n">
        <f aca="false">Report!C424</f>
        <v>46213</v>
      </c>
      <c r="B315" s="1" t="str">
        <f aca="false">Report!E424</f>
        <v>ORIENTE COM. ATACADISTA E REPRES. LTDA</v>
      </c>
      <c r="C315" s="17" t="n">
        <f aca="false">Report!U424</f>
        <v>754.42</v>
      </c>
      <c r="D315" s="1" t="str">
        <f aca="false">Report!X424</f>
        <v>2435/2  NF2033 - MILKA</v>
      </c>
    </row>
    <row r="316" customFormat="false" ht="12.75" hidden="false" customHeight="true" outlineLevel="0" collapsed="false">
      <c r="A316" s="16" t="n">
        <f aca="false">Report!C425</f>
        <v>46213</v>
      </c>
      <c r="B316" s="1" t="str">
        <f aca="false">Report!E425</f>
        <v>PIARARA COMERCIO, IMPORTACAO E EXPORTACAO LTDA</v>
      </c>
      <c r="C316" s="17" t="n">
        <f aca="false">Report!U425</f>
        <v>372.09</v>
      </c>
      <c r="D316" s="1" t="str">
        <f aca="false">Report!X425</f>
        <v>NF193354-3 MILKA</v>
      </c>
    </row>
    <row r="317" customFormat="false" ht="12.75" hidden="false" customHeight="true" outlineLevel="0" collapsed="false">
      <c r="A317" s="16" t="n">
        <f aca="false">Report!C434</f>
        <v>46213</v>
      </c>
      <c r="B317" s="1" t="str">
        <f aca="false">Report!E434</f>
        <v>RENATO DE O AZEVEDO E CIA LTDA - EPP</v>
      </c>
      <c r="C317" s="17" t="n">
        <f aca="false">Report!U434</f>
        <v>3482.02</v>
      </c>
      <c r="D317" s="1" t="str">
        <f aca="false">Report!X434</f>
        <v>FEIRA SR RENATO - DEBORA</v>
      </c>
    </row>
    <row r="318" customFormat="false" ht="12.75" hidden="false" customHeight="true" outlineLevel="0" collapsed="false">
      <c r="A318" s="16" t="n">
        <f aca="false">Report!C438</f>
        <v>46213</v>
      </c>
      <c r="B318" s="1" t="str">
        <f aca="false">Report!E438</f>
        <v>SABIA COMERCIO DE COSMETICOS LTDA</v>
      </c>
      <c r="C318" s="17" t="n">
        <f aca="false">Report!U438</f>
        <v>477.39</v>
      </c>
      <c r="D318" s="1" t="str">
        <f aca="false">Report!X438</f>
        <v>NF 250257-1 MILKA</v>
      </c>
    </row>
    <row r="319" customFormat="false" ht="12.75" hidden="false" customHeight="true" outlineLevel="0" collapsed="false">
      <c r="A319" s="16" t="n">
        <f aca="false">Report!C441</f>
        <v>46213</v>
      </c>
      <c r="B319" s="1" t="str">
        <f aca="false">Report!E441</f>
        <v>SOUZA CRUZ LTDA.</v>
      </c>
      <c r="C319" s="17" t="n">
        <f aca="false">Report!U441</f>
        <v>5229.61</v>
      </c>
      <c r="D319" s="1" t="str">
        <f aca="false">Report!X441</f>
        <v>NF 565012-02 MILKA</v>
      </c>
    </row>
    <row r="320" customFormat="false" ht="12.75" hidden="false" customHeight="true" outlineLevel="0" collapsed="false">
      <c r="A320" s="16" t="n">
        <f aca="false">Report!C445</f>
        <v>46213</v>
      </c>
      <c r="B320" s="1" t="str">
        <f aca="false">Report!E445</f>
        <v>VITAPAN COMERCIO VAREJISTA DE PRODUTOS ALIMENTICIOS LTDA</v>
      </c>
      <c r="C320" s="17" t="n">
        <f aca="false">Report!U445</f>
        <v>918</v>
      </c>
      <c r="D320" s="1" t="str">
        <f aca="false">Report!X445</f>
        <v>NF10235 - MILKA</v>
      </c>
    </row>
    <row r="321" customFormat="false" ht="12.75" hidden="false" customHeight="true" outlineLevel="0" collapsed="false">
      <c r="A321" s="16" t="n">
        <f aca="false">Report!C446</f>
        <v>46214</v>
      </c>
      <c r="B321" s="1" t="str">
        <f aca="false">Report!E446</f>
        <v>ADRIANA DISTRIBUIDORA DE PRODUTOS ALIMEN</v>
      </c>
      <c r="C321" s="17" t="n">
        <f aca="false">Report!U446</f>
        <v>376.07</v>
      </c>
      <c r="D321" s="1" t="str">
        <f aca="false">Report!X446</f>
        <v>NF 877772-3 MILKA</v>
      </c>
    </row>
    <row r="322" customFormat="false" ht="12.75" hidden="false" customHeight="true" outlineLevel="0" collapsed="false">
      <c r="A322" s="16" t="n">
        <f aca="false">Report!C447</f>
        <v>46214</v>
      </c>
      <c r="B322" s="1" t="str">
        <f aca="false">Report!E447</f>
        <v>ALEXSANDRO BEZERRA DA SILVA</v>
      </c>
      <c r="C322" s="17" t="n">
        <f aca="false">Report!U447</f>
        <v>2812.19</v>
      </c>
      <c r="D322" s="1" t="str">
        <f aca="false">Report!X447</f>
        <v>192032562  NF 264 POTIGUAR - MILKA</v>
      </c>
    </row>
    <row r="323" customFormat="false" ht="12.75" hidden="false" customHeight="true" outlineLevel="0" collapsed="false">
      <c r="A323" s="16" t="n">
        <f aca="false">Report!C448</f>
        <v>46214</v>
      </c>
      <c r="B323" s="1" t="str">
        <f aca="false">Report!E448</f>
        <v>BRASIL NORTE BEBIDAS S/A</v>
      </c>
      <c r="C323" s="17" t="n">
        <f aca="false">Report!U448</f>
        <v>2217.35</v>
      </c>
      <c r="D323" s="1" t="str">
        <f aca="false">Report!X448</f>
        <v>NF 1179702 - MILKA</v>
      </c>
    </row>
    <row r="324" customFormat="false" ht="12.75" hidden="false" customHeight="true" outlineLevel="0" collapsed="false">
      <c r="A324" s="16" t="n">
        <f aca="false">Report!C449</f>
        <v>46214</v>
      </c>
      <c r="B324" s="1" t="str">
        <f aca="false">Report!E449</f>
        <v>BRASIL NORTE BEBIDAS S/A</v>
      </c>
      <c r="C324" s="17" t="n">
        <f aca="false">Report!U449</f>
        <v>2834.04</v>
      </c>
      <c r="D324" s="1" t="str">
        <f aca="false">Report!X449</f>
        <v>NF 1905191 - MILKA</v>
      </c>
    </row>
    <row r="325" customFormat="false" ht="12.75" hidden="false" customHeight="true" outlineLevel="0" collapsed="false">
      <c r="A325" s="16" t="n">
        <f aca="false">Report!C450</f>
        <v>46214</v>
      </c>
      <c r="B325" s="1" t="str">
        <f aca="false">Report!E450</f>
        <v>COMERCIO DE FRIOS MANAUS LTDA</v>
      </c>
      <c r="C325" s="17" t="n">
        <f aca="false">Report!U450</f>
        <v>5250</v>
      </c>
      <c r="D325" s="1" t="str">
        <f aca="false">Report!X450</f>
        <v>NF172452 - MILKA</v>
      </c>
    </row>
    <row r="326" customFormat="false" ht="12.75" hidden="false" customHeight="true" outlineLevel="0" collapsed="false">
      <c r="A326" s="16" t="n">
        <f aca="false">Report!C451</f>
        <v>46214</v>
      </c>
      <c r="B326" s="1" t="str">
        <f aca="false">Report!E451</f>
        <v>COMERCIO E TRANSPORTE BRANDAO LTDA</v>
      </c>
      <c r="C326" s="17" t="n">
        <f aca="false">Report!U451</f>
        <v>1120</v>
      </c>
      <c r="D326" s="1" t="str">
        <f aca="false">Report!X451</f>
        <v>NF 14834 - DEBORA</v>
      </c>
    </row>
    <row r="327" customFormat="false" ht="12.75" hidden="false" customHeight="true" outlineLevel="0" collapsed="false">
      <c r="A327" s="16" t="n">
        <f aca="false">Report!C452</f>
        <v>46214</v>
      </c>
      <c r="B327" s="1" t="str">
        <f aca="false">Report!E452</f>
        <v>GELO DANGELO FABRICACAO DE GELO LTDA</v>
      </c>
      <c r="C327" s="17" t="n">
        <f aca="false">Report!U452</f>
        <v>405.5</v>
      </c>
      <c r="D327" s="1" t="str">
        <f aca="false">Report!X452</f>
        <v>361 - DEBORA</v>
      </c>
    </row>
    <row r="328" customFormat="false" ht="12.75" hidden="false" customHeight="true" outlineLevel="0" collapsed="false">
      <c r="A328" s="16" t="n">
        <f aca="false">Report!C453</f>
        <v>46214</v>
      </c>
      <c r="B328" s="1" t="str">
        <f aca="false">Report!E453</f>
        <v>J. A. F. DE LIMA</v>
      </c>
      <c r="C328" s="17" t="n">
        <f aca="false">Report!U453</f>
        <v>875.56</v>
      </c>
      <c r="D328" s="1" t="str">
        <f aca="false">Report!X453</f>
        <v>NF 156818 - MILKA</v>
      </c>
    </row>
    <row r="329" customFormat="false" ht="12.75" hidden="false" customHeight="true" outlineLevel="0" collapsed="false">
      <c r="A329" s="16" t="n">
        <f aca="false">Report!C454</f>
        <v>46214</v>
      </c>
      <c r="B329" s="1" t="str">
        <f aca="false">Report!E454</f>
        <v>MAXFRI DISTRIUIDORA LTDA</v>
      </c>
      <c r="C329" s="17" t="n">
        <f aca="false">Report!U454</f>
        <v>5611.52</v>
      </c>
      <c r="D329" s="1" t="str">
        <f aca="false">Report!X454</f>
        <v>NF14625 - MILKA</v>
      </c>
    </row>
    <row r="330" customFormat="false" ht="12.75" hidden="false" customHeight="true" outlineLevel="0" collapsed="false">
      <c r="A330" s="16" t="n">
        <f aca="false">Report!C456</f>
        <v>46214</v>
      </c>
      <c r="B330" s="1" t="str">
        <f aca="false">Report!E456</f>
        <v>PRIMICIA DISTRIBUIDORA DE FRIOS LTDA</v>
      </c>
      <c r="C330" s="17" t="n">
        <f aca="false">Report!U456</f>
        <v>1328.5</v>
      </c>
      <c r="D330" s="1" t="str">
        <f aca="false">Report!X456</f>
        <v>NF 3003 - MILKA</v>
      </c>
    </row>
    <row r="331" customFormat="false" ht="12.75" hidden="false" customHeight="true" outlineLevel="0" collapsed="false">
      <c r="A331" s="16" t="n">
        <f aca="false">Report!C457</f>
        <v>46214</v>
      </c>
      <c r="B331" s="1" t="str">
        <f aca="false">Report!E457</f>
        <v>RENATO DE O AZEVEDO E CIA LTDA - EPP</v>
      </c>
      <c r="C331" s="17" t="n">
        <f aca="false">Report!U457</f>
        <v>2719</v>
      </c>
      <c r="D331" s="1" t="str">
        <f aca="false">Report!X457</f>
        <v>FEIRA VERDURAS DO CARLOS - DEBORA</v>
      </c>
    </row>
    <row r="332" customFormat="false" ht="12.75" hidden="false" customHeight="true" outlineLevel="0" collapsed="false">
      <c r="A332" s="16" t="n">
        <f aca="false">Report!C458</f>
        <v>46214</v>
      </c>
      <c r="B332" s="1" t="str">
        <f aca="false">Report!E458</f>
        <v>RENATO DE O AZEVEDO E CIA LTDA - EPP</v>
      </c>
      <c r="C332" s="17" t="n">
        <f aca="false">Report!U458</f>
        <v>70</v>
      </c>
      <c r="D332" s="1" t="str">
        <f aca="false">Report!X458</f>
        <v>CAMARAO COM CASCA - FEIRA CARLOS - DEBORA</v>
      </c>
    </row>
    <row r="333" customFormat="false" ht="12.75" hidden="false" customHeight="true" outlineLevel="0" collapsed="false">
      <c r="A333" s="16" t="n">
        <f aca="false">Report!C460</f>
        <v>46215</v>
      </c>
      <c r="B333" s="1" t="str">
        <f aca="false">Report!E460</f>
        <v>COMERCIO DE FRIOS MANAUS LTDA</v>
      </c>
      <c r="C333" s="17" t="n">
        <f aca="false">Report!U460</f>
        <v>5723.8</v>
      </c>
      <c r="D333" s="1" t="str">
        <f aca="false">Report!X460</f>
        <v>NF 172527 - MILKA</v>
      </c>
    </row>
    <row r="334" customFormat="false" ht="12.75" hidden="false" customHeight="true" outlineLevel="0" collapsed="false">
      <c r="A334" s="16" t="n">
        <f aca="false">Report!C461</f>
        <v>46215</v>
      </c>
      <c r="B334" s="1" t="str">
        <f aca="false">Report!E461</f>
        <v>OPPORTUNITY ALIMENTOS PARA ANIMAIS LTDA</v>
      </c>
      <c r="C334" s="17" t="n">
        <f aca="false">Report!U461</f>
        <v>1975</v>
      </c>
      <c r="D334" s="1" t="str">
        <f aca="false">Report!X461</f>
        <v>NF 34212-1 MILKA</v>
      </c>
    </row>
    <row r="335" customFormat="false" ht="12.75" hidden="false" customHeight="true" outlineLevel="0" collapsed="false">
      <c r="A335" s="16" t="n">
        <f aca="false">Report!C462</f>
        <v>46215</v>
      </c>
      <c r="B335" s="1" t="str">
        <f aca="false">Report!E462</f>
        <v>TAPAJOS COM DE PERFUMARIA COSMETICOS E G</v>
      </c>
      <c r="C335" s="17" t="n">
        <f aca="false">Report!U462</f>
        <v>628.56</v>
      </c>
      <c r="D335" s="1" t="str">
        <f aca="false">Report!X462</f>
        <v>NF 575595 - MILKA</v>
      </c>
    </row>
    <row r="336" customFormat="false" ht="12.75" hidden="false" customHeight="true" outlineLevel="0" collapsed="false">
      <c r="A336" s="16" t="n">
        <f aca="false">Report!C463</f>
        <v>46215</v>
      </c>
      <c r="B336" s="1" t="str">
        <f aca="false">Report!E463</f>
        <v>VICTORIA COMERCIO INTERNACIONAL DE ALIME</v>
      </c>
      <c r="C336" s="17" t="n">
        <f aca="false">Report!U463</f>
        <v>495.44</v>
      </c>
      <c r="D336" s="1" t="str">
        <f aca="false">Report!X463</f>
        <v>12490-B/B  NF11908 - MILKA</v>
      </c>
    </row>
    <row r="337" customFormat="false" ht="12.75" hidden="false" customHeight="true" outlineLevel="0" collapsed="false">
      <c r="A337" s="16" t="n">
        <f aca="false">Report!C464</f>
        <v>46216</v>
      </c>
      <c r="B337" s="1" t="str">
        <f aca="false">Report!E464</f>
        <v>ADRIANA DISTRIBUIDORA DE PRODUTOS ALIMEN</v>
      </c>
      <c r="C337" s="17" t="n">
        <f aca="false">Report!U464</f>
        <v>1326.94</v>
      </c>
      <c r="D337" s="1" t="str">
        <f aca="false">Report!X464</f>
        <v>NF 882141 -1 MILKA</v>
      </c>
    </row>
    <row r="338" customFormat="false" ht="12.75" hidden="false" customHeight="true" outlineLevel="0" collapsed="false">
      <c r="A338" s="16" t="n">
        <f aca="false">Report!C465</f>
        <v>46216</v>
      </c>
      <c r="B338" s="1" t="str">
        <f aca="false">Report!E465</f>
        <v>ADRIANO FEITOSA OLIVEIRA LTDA</v>
      </c>
      <c r="C338" s="17" t="n">
        <f aca="false">Report!U465</f>
        <v>2745</v>
      </c>
      <c r="D338" s="1" t="str">
        <f aca="false">Report!X465</f>
        <v>NF 330 - MILKA</v>
      </c>
    </row>
    <row r="339" customFormat="false" ht="12.75" hidden="false" customHeight="true" outlineLevel="0" collapsed="false">
      <c r="A339" s="16" t="n">
        <f aca="false">Report!C467</f>
        <v>46216</v>
      </c>
      <c r="B339" s="1" t="str">
        <f aca="false">Report!E467</f>
        <v>AMMAC INDUSTRIA E COMERCIO DE ALIMENTOS</v>
      </c>
      <c r="C339" s="17" t="n">
        <f aca="false">Report!U467</f>
        <v>1033.13</v>
      </c>
      <c r="D339" s="1" t="str">
        <f aca="false">Report!X467</f>
        <v>NF128773 MITTOS / PAGO NO PIX EM 13/07/26 - MILKA</v>
      </c>
    </row>
    <row r="340" customFormat="false" ht="12.75" hidden="false" customHeight="true" outlineLevel="0" collapsed="false">
      <c r="A340" s="16" t="n">
        <f aca="false">Report!C468</f>
        <v>46216</v>
      </c>
      <c r="B340" s="1" t="str">
        <f aca="false">Report!E468</f>
        <v>ATACADAO S.A.</v>
      </c>
      <c r="C340" s="17" t="n">
        <f aca="false">Report!U468</f>
        <v>1035</v>
      </c>
      <c r="D340" s="1" t="str">
        <f aca="false">Report!X468</f>
        <v>NF 1894397 - MILKA</v>
      </c>
    </row>
    <row r="341" customFormat="false" ht="12.75" hidden="false" customHeight="true" outlineLevel="0" collapsed="false">
      <c r="A341" s="16" t="n">
        <f aca="false">Report!C470</f>
        <v>46216</v>
      </c>
      <c r="B341" s="1" t="str">
        <f aca="false">Report!E470</f>
        <v>BRAGA TABACARIA EIRELI ME</v>
      </c>
      <c r="C341" s="17" t="n">
        <f aca="false">Report!U470</f>
        <v>952.56</v>
      </c>
      <c r="D341" s="1" t="str">
        <f aca="false">Report!X470</f>
        <v>COMPRA DE CIGARRO / PGTO BRAGA TABACARIA - MILKA</v>
      </c>
    </row>
    <row r="342" customFormat="false" ht="12.75" hidden="false" customHeight="true" outlineLevel="0" collapsed="false">
      <c r="A342" s="16" t="n">
        <f aca="false">Report!C471</f>
        <v>46216</v>
      </c>
      <c r="B342" s="1" t="str">
        <f aca="false">Report!E471</f>
        <v>C. R. PARENTE ABREU</v>
      </c>
      <c r="C342" s="17" t="n">
        <f aca="false">Report!U471</f>
        <v>472.6</v>
      </c>
      <c r="D342" s="1" t="str">
        <f aca="false">Report!X471</f>
        <v>NF 11381-2 MILKA</v>
      </c>
    </row>
    <row r="343" customFormat="false" ht="12.75" hidden="false" customHeight="true" outlineLevel="0" collapsed="false">
      <c r="A343" s="16" t="n">
        <f aca="false">Report!C472</f>
        <v>46216</v>
      </c>
      <c r="B343" s="1" t="str">
        <f aca="false">Report!E472</f>
        <v>C. R. PARENTE ABREU</v>
      </c>
      <c r="C343" s="17" t="n">
        <f aca="false">Report!U472</f>
        <v>259.39</v>
      </c>
      <c r="D343" s="1" t="str">
        <f aca="false">Report!X472</f>
        <v>NF 11400 -01 KARU -  MILKA</v>
      </c>
    </row>
    <row r="344" customFormat="false" ht="12.75" hidden="false" customHeight="true" outlineLevel="0" collapsed="false">
      <c r="A344" s="16" t="n">
        <f aca="false">Report!C473</f>
        <v>46216</v>
      </c>
      <c r="B344" s="1" t="str">
        <f aca="false">Report!E473</f>
        <v>CRBS S/A</v>
      </c>
      <c r="C344" s="17" t="n">
        <f aca="false">Report!U473</f>
        <v>169.18</v>
      </c>
      <c r="D344" s="1" t="str">
        <f aca="false">Report!X473</f>
        <v>NF 875364 - MILKA</v>
      </c>
    </row>
    <row r="345" customFormat="false" ht="12.75" hidden="false" customHeight="true" outlineLevel="0" collapsed="false">
      <c r="A345" s="16" t="n">
        <f aca="false">Report!C474</f>
        <v>46216</v>
      </c>
      <c r="B345" s="1" t="str">
        <f aca="false">Report!E474</f>
        <v>CRBS S/A</v>
      </c>
      <c r="C345" s="17" t="n">
        <f aca="false">Report!U474</f>
        <v>325.67</v>
      </c>
      <c r="D345" s="1" t="str">
        <f aca="false">Report!X474</f>
        <v>NF 875363 - MILKA</v>
      </c>
    </row>
    <row r="346" customFormat="false" ht="12.75" hidden="false" customHeight="true" outlineLevel="0" collapsed="false">
      <c r="A346" s="16" t="n">
        <f aca="false">Report!C476</f>
        <v>46216</v>
      </c>
      <c r="B346" s="1" t="str">
        <f aca="false">Report!E476</f>
        <v>DISTRIBUIDORA LOPES LTDA</v>
      </c>
      <c r="C346" s="17" t="n">
        <f aca="false">Report!U476</f>
        <v>1878.71</v>
      </c>
      <c r="D346" s="1" t="str">
        <f aca="false">Report!X476</f>
        <v>NF 1672665 - MILKA</v>
      </c>
    </row>
    <row r="347" customFormat="false" ht="12.75" hidden="false" customHeight="true" outlineLevel="0" collapsed="false">
      <c r="A347" s="16" t="n">
        <f aca="false">Report!C477</f>
        <v>46216</v>
      </c>
      <c r="B347" s="1" t="str">
        <f aca="false">Report!E477</f>
        <v>DISTRIBUIDORA LOPES LTDA</v>
      </c>
      <c r="C347" s="17" t="n">
        <f aca="false">Report!U477</f>
        <v>1680.21</v>
      </c>
      <c r="D347" s="1" t="str">
        <f aca="false">Report!X477</f>
        <v>NF 1677170-1 MILKA</v>
      </c>
    </row>
    <row r="348" customFormat="false" ht="12.75" hidden="false" customHeight="true" outlineLevel="0" collapsed="false">
      <c r="A348" s="16" t="n">
        <f aca="false">Report!C478</f>
        <v>46216</v>
      </c>
      <c r="B348" s="1" t="str">
        <f aca="false">Report!E478</f>
        <v>DURAES DISTRIBUIDORA DE ESTIVAS LTDA</v>
      </c>
      <c r="C348" s="17" t="n">
        <f aca="false">Report!U478</f>
        <v>924.18</v>
      </c>
      <c r="D348" s="1" t="str">
        <f aca="false">Report!X478</f>
        <v>NF 646739 - MILKA</v>
      </c>
    </row>
    <row r="349" customFormat="false" ht="12.75" hidden="false" customHeight="true" outlineLevel="0" collapsed="false">
      <c r="A349" s="16" t="n">
        <f aca="false">Report!C479</f>
        <v>46216</v>
      </c>
      <c r="B349" s="1" t="str">
        <f aca="false">Report!E479</f>
        <v>FORTVET DISTRIBUIDORA LTDA</v>
      </c>
      <c r="C349" s="17" t="n">
        <f aca="false">Report!U479</f>
        <v>663.81</v>
      </c>
      <c r="D349" s="1" t="str">
        <f aca="false">Report!X479</f>
        <v>NF 2524-1 MILKA</v>
      </c>
    </row>
    <row r="350" customFormat="false" ht="12.75" hidden="false" customHeight="true" outlineLevel="0" collapsed="false">
      <c r="A350" s="16" t="n">
        <f aca="false">Report!C480</f>
        <v>46216</v>
      </c>
      <c r="B350" s="1" t="str">
        <f aca="false">Report!E480</f>
        <v>FUNNY PET DISTRIBUIDORA DE ALIMENTOS PAR</v>
      </c>
      <c r="C350" s="17" t="n">
        <f aca="false">Report!U480</f>
        <v>8427.06</v>
      </c>
      <c r="D350" s="1" t="str">
        <f aca="false">Report!X480</f>
        <v>NF 20498-1 MILKA</v>
      </c>
    </row>
    <row r="351" customFormat="false" ht="12.75" hidden="false" customHeight="true" outlineLevel="0" collapsed="false">
      <c r="A351" s="16" t="n">
        <f aca="false">Report!C481</f>
        <v>46216</v>
      </c>
      <c r="B351" s="1" t="str">
        <f aca="false">Report!E481</f>
        <v>GRADE DE COCA COLA</v>
      </c>
      <c r="C351" s="17" t="n">
        <f aca="false">Report!U481</f>
        <v>4.2</v>
      </c>
      <c r="D351" s="1" t="str">
        <f aca="false">Report!X481</f>
        <v>NF1905191 TARIFA BOLETO COCA - KEILA</v>
      </c>
    </row>
    <row r="352" customFormat="false" ht="12.75" hidden="false" customHeight="true" outlineLevel="0" collapsed="false">
      <c r="A352" s="16" t="n">
        <f aca="false">Report!C487</f>
        <v>46216</v>
      </c>
      <c r="B352" s="1" t="str">
        <f aca="false">Report!E487</f>
        <v>MAXFRI DISTRIUIDORA LTDA</v>
      </c>
      <c r="C352" s="17" t="n">
        <f aca="false">Report!U487</f>
        <v>1767.88</v>
      </c>
      <c r="D352" s="1" t="str">
        <f aca="false">Report!X487</f>
        <v>NF14636 - MILKA</v>
      </c>
    </row>
    <row r="353" customFormat="false" ht="12.75" hidden="false" customHeight="true" outlineLevel="0" collapsed="false">
      <c r="A353" s="16" t="n">
        <f aca="false">Report!C488</f>
        <v>46216</v>
      </c>
      <c r="B353" s="1" t="str">
        <f aca="false">Report!E488</f>
        <v>OESA COMERCIO E REPRESENTACOES S/A</v>
      </c>
      <c r="C353" s="17" t="n">
        <f aca="false">Report!U488</f>
        <v>1350.99</v>
      </c>
      <c r="D353" s="1" t="str">
        <f aca="false">Report!X488</f>
        <v>NF 419583-1 MILKA</v>
      </c>
    </row>
    <row r="354" customFormat="false" ht="12.75" hidden="false" customHeight="true" outlineLevel="0" collapsed="false">
      <c r="A354" s="16" t="n">
        <f aca="false">Report!C489</f>
        <v>46216</v>
      </c>
      <c r="B354" s="1" t="str">
        <f aca="false">Report!E489</f>
        <v>P. A. P. CAVALCANTE LTDA</v>
      </c>
      <c r="C354" s="17" t="n">
        <f aca="false">Report!U489</f>
        <v>460</v>
      </c>
      <c r="D354" s="1" t="str">
        <f aca="false">Report!X489</f>
        <v>NF375 / PGTO PARA PAULA - MILKA</v>
      </c>
    </row>
    <row r="355" customFormat="false" ht="12.75" hidden="false" customHeight="true" outlineLevel="0" collapsed="false">
      <c r="A355" s="16" t="n">
        <f aca="false">Report!C490</f>
        <v>46216</v>
      </c>
      <c r="B355" s="1" t="str">
        <f aca="false">Report!E490</f>
        <v>PANIFICADORA E CONFEITARIA REAL MADRI LTDA</v>
      </c>
      <c r="C355" s="17" t="n">
        <f aca="false">Report!U490</f>
        <v>700</v>
      </c>
      <c r="D355" s="1" t="str">
        <f aca="false">Report!X490</f>
        <v>NF 700 - MILKA</v>
      </c>
    </row>
    <row r="356" customFormat="false" ht="12.75" hidden="false" customHeight="true" outlineLevel="0" collapsed="false">
      <c r="A356" s="16" t="n">
        <f aca="false">Report!C491</f>
        <v>46216</v>
      </c>
      <c r="B356" s="1" t="str">
        <f aca="false">Report!E491</f>
        <v>PANIFICADORA E CONFEITARIA REAL MADRI LTDA</v>
      </c>
      <c r="C356" s="17" t="n">
        <f aca="false">Report!U491</f>
        <v>284.7</v>
      </c>
      <c r="D356" s="1" t="str">
        <f aca="false">Report!X491</f>
        <v>NF 699 - MILKA</v>
      </c>
    </row>
    <row r="357" customFormat="false" ht="12.75" hidden="false" customHeight="true" outlineLevel="0" collapsed="false">
      <c r="A357" s="16" t="n">
        <f aca="false">Report!C492</f>
        <v>46216</v>
      </c>
      <c r="B357" s="1" t="str">
        <f aca="false">Report!E492</f>
        <v>PANIFICADORA E CONFEITARIA REAL MADRI LTDA</v>
      </c>
      <c r="C357" s="17" t="n">
        <f aca="false">Report!U492</f>
        <v>697.1</v>
      </c>
      <c r="D357" s="1" t="str">
        <f aca="false">Report!X492</f>
        <v>NF 706 REAL MADRID - MILKA</v>
      </c>
    </row>
    <row r="358" customFormat="false" ht="12.75" hidden="false" customHeight="true" outlineLevel="0" collapsed="false">
      <c r="A358" s="16" t="n">
        <f aca="false">Report!C493</f>
        <v>46216</v>
      </c>
      <c r="B358" s="1" t="str">
        <f aca="false">Report!E493</f>
        <v>PANIFICADORA E CONFEITARIA REAL MADRI LTDA</v>
      </c>
      <c r="C358" s="17" t="n">
        <f aca="false">Report!U493</f>
        <v>1120</v>
      </c>
      <c r="D358" s="1" t="str">
        <f aca="false">Report!X493</f>
        <v>NF 709 REAL MADRID - MILKA</v>
      </c>
    </row>
    <row r="359" customFormat="false" ht="12.75" hidden="false" customHeight="true" outlineLevel="0" collapsed="false">
      <c r="A359" s="16" t="n">
        <f aca="false">Report!C494</f>
        <v>46216</v>
      </c>
      <c r="B359" s="1" t="str">
        <f aca="false">Report!E494</f>
        <v>PANIFICADORA E CONFEITARIA REAL MADRI LTDA</v>
      </c>
      <c r="C359" s="17" t="n">
        <f aca="false">Report!U494</f>
        <v>372.25</v>
      </c>
      <c r="D359" s="1" t="str">
        <f aca="false">Report!X494</f>
        <v>NF 703 - MILKA</v>
      </c>
    </row>
    <row r="360" customFormat="false" ht="12.75" hidden="false" customHeight="true" outlineLevel="0" collapsed="false">
      <c r="A360" s="16" t="n">
        <f aca="false">Report!C495</f>
        <v>46216</v>
      </c>
      <c r="B360" s="1" t="str">
        <f aca="false">Report!E495</f>
        <v>RENATO DE O AZEVEDO E CIA LTDA - EPP</v>
      </c>
      <c r="C360" s="17" t="n">
        <f aca="false">Report!U495</f>
        <v>1295</v>
      </c>
      <c r="D360" s="1" t="str">
        <f aca="false">Report!X495</f>
        <v>PGTO P/ DONA GERALDA - MILKA</v>
      </c>
    </row>
    <row r="361" customFormat="false" ht="12.75" hidden="false" customHeight="true" outlineLevel="0" collapsed="false">
      <c r="A361" s="16" t="n">
        <f aca="false">Report!C498</f>
        <v>46216</v>
      </c>
      <c r="B361" s="1" t="str">
        <f aca="false">Report!E498</f>
        <v>SAO JOSE COMERCIO DE LATICINIOS E FRIOS</v>
      </c>
      <c r="C361" s="17" t="n">
        <f aca="false">Report!U498</f>
        <v>1584</v>
      </c>
      <c r="D361" s="1" t="str">
        <f aca="false">Report!X498</f>
        <v>6781036  NF 3552 SABORE - MILKA</v>
      </c>
    </row>
    <row r="362" customFormat="false" ht="12.75" hidden="false" customHeight="true" outlineLevel="0" collapsed="false">
      <c r="A362" s="16" t="n">
        <f aca="false">Report!C499</f>
        <v>46216</v>
      </c>
      <c r="B362" s="1" t="str">
        <f aca="false">Report!E499</f>
        <v>T. M. L. DA SILVA LTDA</v>
      </c>
      <c r="C362" s="17" t="n">
        <f aca="false">Report!U499</f>
        <v>627</v>
      </c>
      <c r="D362" s="1" t="str">
        <f aca="false">Report!X499</f>
        <v>NF 15107 AMAZONGURT - MILKA</v>
      </c>
    </row>
    <row r="363" customFormat="false" ht="12.75" hidden="false" customHeight="true" outlineLevel="0" collapsed="false">
      <c r="A363" s="16" t="n">
        <f aca="false">Report!C500</f>
        <v>46216</v>
      </c>
      <c r="B363" s="1" t="str">
        <f aca="false">Report!E500</f>
        <v>VICTORIA COMERCIO INTERNACIONAL DE ALIME</v>
      </c>
      <c r="C363" s="17" t="n">
        <f aca="false">Report!U500</f>
        <v>1393.33</v>
      </c>
      <c r="D363" s="1" t="str">
        <f aca="false">Report!X500</f>
        <v>NF 12051 - MILKA</v>
      </c>
    </row>
    <row r="364" customFormat="false" ht="12.75" hidden="false" customHeight="true" outlineLevel="0" collapsed="false">
      <c r="A364" s="16" t="n">
        <f aca="false">Report!C501</f>
        <v>46216</v>
      </c>
      <c r="B364" s="1" t="str">
        <f aca="false">Report!E501</f>
        <v>VITAPAN COMERCIO VAREJISTA DE PRODUTOS ALIMENTICIOS LTDA</v>
      </c>
      <c r="C364" s="17" t="n">
        <f aca="false">Report!U501</f>
        <v>540</v>
      </c>
      <c r="D364" s="1" t="str">
        <f aca="false">Report!X501</f>
        <v>NF 10259 - MILKA</v>
      </c>
    </row>
    <row r="365" customFormat="false" ht="12.75" hidden="false" customHeight="true" outlineLevel="0" collapsed="false">
      <c r="A365" s="16" t="n">
        <f aca="false">Report!C502</f>
        <v>46217</v>
      </c>
      <c r="B365" s="1" t="str">
        <f aca="false">Report!E502</f>
        <v>ADICSO FABIAN GONZALEZ MONTILLA 70302186</v>
      </c>
      <c r="C365" s="17" t="n">
        <f aca="false">Report!U502</f>
        <v>840</v>
      </c>
      <c r="D365" s="1" t="str">
        <f aca="false">Report!X502</f>
        <v>NF 526 BLOOM - MILKA</v>
      </c>
    </row>
    <row r="366" customFormat="false" ht="12.75" hidden="false" customHeight="true" outlineLevel="0" collapsed="false">
      <c r="A366" s="16" t="n">
        <f aca="false">Report!C504</f>
        <v>46217</v>
      </c>
      <c r="B366" s="1" t="str">
        <f aca="false">Report!E504</f>
        <v>BF COMERCIO DE ALIMENTOS REPRESENTACAO L</v>
      </c>
      <c r="C366" s="17" t="n">
        <f aca="false">Report!U504</f>
        <v>2301.99</v>
      </c>
      <c r="D366" s="1" t="str">
        <f aca="false">Report!X504</f>
        <v>NF 20900 RAIZ ALIMENTOS - MILKA</v>
      </c>
    </row>
    <row r="367" customFormat="false" ht="12.75" hidden="false" customHeight="true" outlineLevel="0" collapsed="false">
      <c r="A367" s="16" t="n">
        <f aca="false">Report!C505</f>
        <v>46217</v>
      </c>
      <c r="B367" s="1" t="str">
        <f aca="false">Report!E505</f>
        <v>BROTHERS  INDUSTRIA DE ALIMENTOS LTDA</v>
      </c>
      <c r="C367" s="17" t="n">
        <f aca="false">Report!U505</f>
        <v>509.45</v>
      </c>
      <c r="D367" s="1" t="str">
        <f aca="false">Report!X505</f>
        <v>NF 1030665 - MILKA</v>
      </c>
    </row>
    <row r="368" customFormat="false" ht="12.75" hidden="false" customHeight="true" outlineLevel="0" collapsed="false">
      <c r="A368" s="16" t="n">
        <f aca="false">Report!C506</f>
        <v>46217</v>
      </c>
      <c r="B368" s="1" t="str">
        <f aca="false">Report!E506</f>
        <v>COMERCIO DE FRIOS MANAUS LTDA</v>
      </c>
      <c r="C368" s="17" t="n">
        <f aca="false">Report!U506</f>
        <v>5387.4</v>
      </c>
      <c r="D368" s="1" t="str">
        <f aca="false">Report!X506</f>
        <v>NF 172658 - MILKA</v>
      </c>
    </row>
    <row r="369" customFormat="false" ht="12.75" hidden="false" customHeight="true" outlineLevel="0" collapsed="false">
      <c r="A369" s="16" t="n">
        <f aca="false">Report!C509</f>
        <v>46217</v>
      </c>
      <c r="B369" s="1" t="str">
        <f aca="false">Report!E509</f>
        <v>FORT COMERCIO DE BEBIDA LTDA</v>
      </c>
      <c r="C369" s="17" t="n">
        <f aca="false">Report!U509</f>
        <v>770</v>
      </c>
      <c r="D369" s="1" t="str">
        <f aca="false">Report!X509</f>
        <v>NF143091 TOYA - MILKA</v>
      </c>
    </row>
    <row r="370" customFormat="false" ht="12.75" hidden="false" customHeight="true" outlineLevel="0" collapsed="false">
      <c r="A370" s="16" t="n">
        <f aca="false">Report!C510</f>
        <v>46217</v>
      </c>
      <c r="B370" s="1" t="str">
        <f aca="false">Report!E510</f>
        <v>FRUTAL INDUSTRIA E COMERCIO LTDA</v>
      </c>
      <c r="C370" s="17" t="n">
        <f aca="false">Report!U510</f>
        <v>943.83</v>
      </c>
      <c r="D370" s="1" t="str">
        <f aca="false">Report!X510</f>
        <v>NF 225390 - MILKA</v>
      </c>
    </row>
    <row r="371" customFormat="false" ht="12.75" hidden="false" customHeight="true" outlineLevel="0" collapsed="false">
      <c r="A371" s="16" t="n">
        <f aca="false">Report!C511</f>
        <v>46217</v>
      </c>
      <c r="B371" s="1" t="str">
        <f aca="false">Report!E511</f>
        <v>FRUTAL INDUSTRIA E COMERCIO LTDA</v>
      </c>
      <c r="C371" s="17" t="n">
        <f aca="false">Report!U511</f>
        <v>178.4</v>
      </c>
      <c r="D371" s="1" t="str">
        <f aca="false">Report!X511</f>
        <v>NF 225391 - MILKA</v>
      </c>
    </row>
    <row r="372" customFormat="false" ht="12.75" hidden="false" customHeight="true" outlineLevel="0" collapsed="false">
      <c r="A372" s="16" t="n">
        <f aca="false">Report!C512</f>
        <v>46217</v>
      </c>
      <c r="B372" s="1" t="str">
        <f aca="false">Report!E512</f>
        <v>GELO DANGELO FABRICACAO DE GELO LTDA</v>
      </c>
      <c r="C372" s="17" t="n">
        <f aca="false">Report!U512</f>
        <v>394</v>
      </c>
      <c r="D372" s="1" t="str">
        <f aca="false">Report!X512</f>
        <v>NF 368 - DEBORA</v>
      </c>
    </row>
    <row r="373" customFormat="false" ht="12.75" hidden="false" customHeight="true" outlineLevel="0" collapsed="false">
      <c r="A373" s="16" t="n">
        <f aca="false">Report!C513</f>
        <v>46217</v>
      </c>
      <c r="B373" s="1" t="str">
        <f aca="false">Report!E513</f>
        <v>JAB COMERCIO DE PRODUTOS ALIMENTICIOS LT</v>
      </c>
      <c r="C373" s="17" t="n">
        <f aca="false">Report!U513</f>
        <v>353</v>
      </c>
      <c r="D373" s="1" t="str">
        <f aca="false">Report!X513</f>
        <v>NF 3502 SANTOPAO - MILKA</v>
      </c>
    </row>
    <row r="374" customFormat="false" ht="12.75" hidden="false" customHeight="true" outlineLevel="0" collapsed="false">
      <c r="A374" s="16" t="n">
        <f aca="false">Report!C514</f>
        <v>46217</v>
      </c>
      <c r="B374" s="1" t="str">
        <f aca="false">Report!E514</f>
        <v>MAXFRI DISTRIUIDORA LTDA</v>
      </c>
      <c r="C374" s="17" t="n">
        <f aca="false">Report!U514</f>
        <v>1595.65</v>
      </c>
      <c r="D374" s="1" t="str">
        <f aca="false">Report!X514</f>
        <v>NF14643 - MILKA</v>
      </c>
    </row>
    <row r="375" customFormat="false" ht="12.75" hidden="false" customHeight="true" outlineLevel="0" collapsed="false">
      <c r="A375" s="16" t="n">
        <f aca="false">Report!C515</f>
        <v>46217</v>
      </c>
      <c r="B375" s="1" t="str">
        <f aca="false">Report!E515</f>
        <v>NATUREZA COMERCIO DE DESCARTAVEIS LTDA</v>
      </c>
      <c r="C375" s="17" t="n">
        <f aca="false">Report!U515</f>
        <v>206.31</v>
      </c>
      <c r="D375" s="1" t="str">
        <f aca="false">Report!X515</f>
        <v>NF 731754 - MILKA</v>
      </c>
    </row>
    <row r="376" customFormat="false" ht="12.75" hidden="false" customHeight="true" outlineLevel="0" collapsed="false">
      <c r="A376" s="16" t="n">
        <f aca="false">Report!C516</f>
        <v>46217</v>
      </c>
      <c r="B376" s="1" t="str">
        <f aca="false">Report!E516</f>
        <v>NESTLÉ BRASIL LTDA.</v>
      </c>
      <c r="C376" s="17" t="n">
        <f aca="false">Report!U516</f>
        <v>494.27</v>
      </c>
      <c r="D376" s="1" t="str">
        <f aca="false">Report!X516</f>
        <v>NF 1423353 - MILKA</v>
      </c>
    </row>
    <row r="377" customFormat="false" ht="12.75" hidden="false" customHeight="true" outlineLevel="0" collapsed="false">
      <c r="A377" s="16" t="n">
        <f aca="false">Report!C517</f>
        <v>46217</v>
      </c>
      <c r="B377" s="1" t="str">
        <f aca="false">Report!E517</f>
        <v>NEXUS DISTRIBUIDORA</v>
      </c>
      <c r="C377" s="17" t="n">
        <f aca="false">Report!U517</f>
        <v>584.73</v>
      </c>
      <c r="D377" s="1" t="str">
        <f aca="false">Report!X517</f>
        <v>NF 101974 - MILKA</v>
      </c>
    </row>
    <row r="378" customFormat="false" ht="12.75" hidden="false" customHeight="true" outlineLevel="0" collapsed="false">
      <c r="A378" s="16" t="n">
        <f aca="false">Report!C518</f>
        <v>46217</v>
      </c>
      <c r="B378" s="1" t="str">
        <f aca="false">Report!E518</f>
        <v>NOVA FRIOS COMERCIO ATACADISTA DE LATICINIOS LTDA</v>
      </c>
      <c r="C378" s="17" t="n">
        <f aca="false">Report!U518</f>
        <v>241.6</v>
      </c>
      <c r="D378" s="1" t="str">
        <f aca="false">Report!X518</f>
        <v>NF 3999 BODEGA DO PAO - MILKA</v>
      </c>
    </row>
    <row r="379" customFormat="false" ht="12.75" hidden="false" customHeight="true" outlineLevel="0" collapsed="false">
      <c r="A379" s="16" t="n">
        <f aca="false">Report!C519</f>
        <v>46217</v>
      </c>
      <c r="B379" s="1" t="str">
        <f aca="false">Report!E519</f>
        <v>NSB COMERCIO ATACADISTA E VAREJISTA DE P</v>
      </c>
      <c r="C379" s="17" t="n">
        <f aca="false">Report!U519</f>
        <v>287.8</v>
      </c>
      <c r="D379" s="1" t="str">
        <f aca="false">Report!X519</f>
        <v>192333641  NF7876 - MILKA</v>
      </c>
    </row>
    <row r="380" customFormat="false" ht="12.75" hidden="false" customHeight="true" outlineLevel="0" collapsed="false">
      <c r="A380" s="16" t="n">
        <f aca="false">Report!C520</f>
        <v>46217</v>
      </c>
      <c r="B380" s="1" t="str">
        <f aca="false">Report!E520</f>
        <v>NT INDUSTRIA E COMERCIO DE PANIFICACAO L</v>
      </c>
      <c r="C380" s="17" t="n">
        <f aca="false">Report!U520</f>
        <v>4298.22</v>
      </c>
      <c r="D380" s="1" t="str">
        <f aca="false">Report!X520</f>
        <v>NF 39854 - MILKA</v>
      </c>
    </row>
    <row r="381" customFormat="false" ht="12.75" hidden="false" customHeight="true" outlineLevel="0" collapsed="false">
      <c r="A381" s="16" t="n">
        <f aca="false">Report!C521</f>
        <v>46217</v>
      </c>
      <c r="B381" s="1" t="str">
        <f aca="false">Report!E521</f>
        <v>OESA COMERCIO E REPRESENTACOES S/A</v>
      </c>
      <c r="C381" s="17" t="n">
        <f aca="false">Report!U521</f>
        <v>1120.61</v>
      </c>
      <c r="D381" s="1" t="str">
        <f aca="false">Report!X521</f>
        <v>NF 423615 -1 MILKA</v>
      </c>
    </row>
    <row r="382" customFormat="false" ht="12.75" hidden="false" customHeight="true" outlineLevel="0" collapsed="false">
      <c r="A382" s="16" t="n">
        <f aca="false">Report!C522</f>
        <v>46217</v>
      </c>
      <c r="B382" s="1" t="str">
        <f aca="false">Report!E522</f>
        <v>PRIME PET DISTRIBUIDORA LTDA</v>
      </c>
      <c r="C382" s="17" t="n">
        <f aca="false">Report!U522</f>
        <v>1060.9</v>
      </c>
      <c r="D382" s="1" t="str">
        <f aca="false">Report!X522</f>
        <v>NF 10589-04/05 MILKA</v>
      </c>
    </row>
    <row r="383" customFormat="false" ht="12.75" hidden="false" customHeight="true" outlineLevel="0" collapsed="false">
      <c r="A383" s="16" t="n">
        <f aca="false">Report!C523</f>
        <v>46217</v>
      </c>
      <c r="B383" s="1" t="str">
        <f aca="false">Report!E523</f>
        <v>RENATO DE O AZEVEDO E CIA LTDA - EPP</v>
      </c>
      <c r="C383" s="17" t="n">
        <f aca="false">Report!U523</f>
        <v>290</v>
      </c>
      <c r="D383" s="1" t="str">
        <f aca="false">Report!X523</f>
        <v>VISCERA DE BOI /SR. RENATO - MILKA</v>
      </c>
    </row>
    <row r="384" customFormat="false" ht="12.75" hidden="false" customHeight="true" outlineLevel="0" collapsed="false">
      <c r="A384" s="16" t="n">
        <f aca="false">Report!C524</f>
        <v>46217</v>
      </c>
      <c r="B384" s="1" t="str">
        <f aca="false">Report!E524</f>
        <v>RENATO DE O AZEVEDO E CIA LTDA - EPP</v>
      </c>
      <c r="C384" s="17" t="n">
        <f aca="false">Report!U524</f>
        <v>280</v>
      </c>
      <c r="D384" s="1" t="str">
        <f aca="false">Report!X524</f>
        <v>ACAI DE ANORI - DEBORA</v>
      </c>
    </row>
    <row r="385" customFormat="false" ht="12.75" hidden="false" customHeight="true" outlineLevel="0" collapsed="false">
      <c r="A385" s="16" t="n">
        <f aca="false">Report!C525</f>
        <v>46217</v>
      </c>
      <c r="B385" s="1" t="str">
        <f aca="false">Report!E525</f>
        <v>RENATO DE O AZEVEDO E CIA LTDA - EPP</v>
      </c>
      <c r="C385" s="17" t="n">
        <f aca="false">Report!U525</f>
        <v>280</v>
      </c>
      <c r="D385" s="1" t="str">
        <f aca="false">Report!X525</f>
        <v>ACAI DE ANORI - DEBORA</v>
      </c>
    </row>
    <row r="386" customFormat="false" ht="12.75" hidden="false" customHeight="true" outlineLevel="0" collapsed="false">
      <c r="A386" s="16" t="n">
        <f aca="false">Report!C526</f>
        <v>46217</v>
      </c>
      <c r="B386" s="1" t="str">
        <f aca="false">Report!E526</f>
        <v>RENATO DE O AZEVEDO E CIA LTDA - EPP</v>
      </c>
      <c r="C386" s="17" t="n">
        <f aca="false">Report!U526</f>
        <v>3395.95</v>
      </c>
      <c r="D386" s="1" t="str">
        <f aca="false">Report!X526</f>
        <v>FEIRA SR RENATO - DEBORA</v>
      </c>
    </row>
    <row r="387" customFormat="false" ht="12.75" hidden="false" customHeight="true" outlineLevel="0" collapsed="false">
      <c r="A387" s="16" t="n">
        <f aca="false">Report!C528</f>
        <v>46217</v>
      </c>
      <c r="B387" s="1" t="str">
        <f aca="false">Report!E528</f>
        <v>SILVA E SANTOS FRIGORIFICO LTDA</v>
      </c>
      <c r="C387" s="17" t="n">
        <f aca="false">Report!U528</f>
        <v>2880</v>
      </c>
      <c r="D387" s="1" t="str">
        <f aca="false">Report!X528</f>
        <v>NF 31659 - MILKA</v>
      </c>
    </row>
    <row r="388" customFormat="false" ht="12.75" hidden="false" customHeight="true" outlineLevel="0" collapsed="false">
      <c r="A388" s="16" t="n">
        <f aca="false">Report!C529</f>
        <v>46217</v>
      </c>
      <c r="B388" s="1" t="str">
        <f aca="false">Report!E529</f>
        <v>SMV COMERCIO DE PRODUTOS ALIMENTICIOS LT</v>
      </c>
      <c r="C388" s="17" t="n">
        <f aca="false">Report!U529</f>
        <v>525.07</v>
      </c>
      <c r="D388" s="1" t="str">
        <f aca="false">Report!X529</f>
        <v>6860-1/2  NF6597 - MILKA</v>
      </c>
    </row>
    <row r="389" customFormat="false" ht="12.75" hidden="false" customHeight="true" outlineLevel="0" collapsed="false">
      <c r="A389" s="16" t="n">
        <f aca="false">Report!C530</f>
        <v>46217</v>
      </c>
      <c r="B389" s="1" t="str">
        <f aca="false">Report!E530</f>
        <v>TRES CORACOES ALIMENTOS S.A.</v>
      </c>
      <c r="C389" s="17" t="n">
        <f aca="false">Report!U530</f>
        <v>901.94</v>
      </c>
      <c r="D389" s="1" t="str">
        <f aca="false">Report!X530</f>
        <v>NF 348726 - MILKA</v>
      </c>
    </row>
    <row r="390" customFormat="false" ht="12.75" hidden="false" customHeight="true" outlineLevel="0" collapsed="false">
      <c r="A390" s="16" t="n">
        <f aca="false">Report!C532</f>
        <v>46218</v>
      </c>
      <c r="B390" s="1" t="str">
        <f aca="false">Report!E532</f>
        <v>ATACADAO S.A.</v>
      </c>
      <c r="C390" s="17" t="n">
        <f aca="false">Report!U532</f>
        <v>757</v>
      </c>
      <c r="D390" s="1" t="str">
        <f aca="false">Report!X532</f>
        <v>NF 1892632 - MILKA</v>
      </c>
    </row>
    <row r="391" customFormat="false" ht="12.75" hidden="false" customHeight="true" outlineLevel="0" collapsed="false">
      <c r="A391" s="16" t="n">
        <f aca="false">Report!C533</f>
        <v>46218</v>
      </c>
      <c r="B391" s="1" t="str">
        <f aca="false">Report!E533</f>
        <v>ATACADAO S.A.</v>
      </c>
      <c r="C391" s="17" t="n">
        <f aca="false">Report!U533</f>
        <v>1686.85</v>
      </c>
      <c r="D391" s="1" t="str">
        <f aca="false">Report!X533</f>
        <v>NF 1895762 - MILKA</v>
      </c>
    </row>
    <row r="392" customFormat="false" ht="12.75" hidden="false" customHeight="true" outlineLevel="0" collapsed="false">
      <c r="A392" s="16" t="n">
        <f aca="false">Report!C534</f>
        <v>46218</v>
      </c>
      <c r="B392" s="1" t="str">
        <f aca="false">Report!E534</f>
        <v>ATACADAO S.A.</v>
      </c>
      <c r="C392" s="17" t="n">
        <f aca="false">Report!U534</f>
        <v>519.51</v>
      </c>
      <c r="D392" s="1" t="str">
        <f aca="false">Report!X534</f>
        <v>NF 1895809 - MILKA</v>
      </c>
    </row>
    <row r="393" customFormat="false" ht="12.75" hidden="false" customHeight="true" outlineLevel="0" collapsed="false">
      <c r="A393" s="16" t="n">
        <f aca="false">Report!C535</f>
        <v>46218</v>
      </c>
      <c r="B393" s="1" t="str">
        <f aca="false">Report!E535</f>
        <v>BRF S A</v>
      </c>
      <c r="C393" s="17" t="n">
        <f aca="false">Report!U535</f>
        <v>6714.04</v>
      </c>
      <c r="D393" s="1" t="str">
        <f aca="false">Report!X535</f>
        <v>NF 1600670-02 MILKA</v>
      </c>
    </row>
    <row r="394" customFormat="false" ht="12.75" hidden="false" customHeight="true" outlineLevel="0" collapsed="false">
      <c r="A394" s="16" t="n">
        <f aca="false">Report!C536</f>
        <v>46218</v>
      </c>
      <c r="B394" s="1" t="str">
        <f aca="false">Report!E536</f>
        <v>BRF S A</v>
      </c>
      <c r="C394" s="17" t="n">
        <f aca="false">Report!U536</f>
        <v>2368.52</v>
      </c>
      <c r="D394" s="1" t="str">
        <f aca="false">Report!X536</f>
        <v>NF 1603506-01/02 MILKA</v>
      </c>
    </row>
    <row r="395" customFormat="false" ht="12.75" hidden="false" customHeight="true" outlineLevel="0" collapsed="false">
      <c r="A395" s="16" t="n">
        <f aca="false">Report!C537</f>
        <v>46218</v>
      </c>
      <c r="B395" s="1" t="str">
        <f aca="false">Report!E537</f>
        <v>CB COMERCIO E DISTRIBUIDORA DE ALIMENTOS</v>
      </c>
      <c r="C395" s="17" t="n">
        <f aca="false">Report!U537</f>
        <v>985.3</v>
      </c>
      <c r="D395" s="1" t="str">
        <f aca="false">Report!X537</f>
        <v>941304-C/C  NF844855 - MILKA</v>
      </c>
    </row>
    <row r="396" customFormat="false" ht="12.75" hidden="false" customHeight="true" outlineLevel="0" collapsed="false">
      <c r="A396" s="16" t="n">
        <f aca="false">Report!C538</f>
        <v>46218</v>
      </c>
      <c r="B396" s="1" t="str">
        <f aca="false">Report!E538</f>
        <v>COMERCIO E TRANSPORTE BRANDAO LTDA</v>
      </c>
      <c r="C396" s="17" t="n">
        <f aca="false">Report!U538</f>
        <v>340</v>
      </c>
      <c r="D396" s="1" t="str">
        <f aca="false">Report!X538</f>
        <v>NF 14862 - DEBORA</v>
      </c>
    </row>
    <row r="397" customFormat="false" ht="12.75" hidden="false" customHeight="true" outlineLevel="0" collapsed="false">
      <c r="A397" s="16" t="n">
        <f aca="false">Report!C539</f>
        <v>46218</v>
      </c>
      <c r="B397" s="1" t="str">
        <f aca="false">Report!E539</f>
        <v>DISTRIBUIDORA LOPES LTDA</v>
      </c>
      <c r="C397" s="17" t="n">
        <f aca="false">Report!U539</f>
        <v>1065.06</v>
      </c>
      <c r="D397" s="1" t="str">
        <f aca="false">Report!X539</f>
        <v>NF 1679265-1 MILKA</v>
      </c>
    </row>
    <row r="398" customFormat="false" ht="12.75" hidden="false" customHeight="true" outlineLevel="0" collapsed="false">
      <c r="A398" s="16" t="n">
        <f aca="false">Report!C540</f>
        <v>46218</v>
      </c>
      <c r="B398" s="1" t="str">
        <f aca="false">Report!E540</f>
        <v>DISTRIBUIDORA LOPES LTDA</v>
      </c>
      <c r="C398" s="17" t="n">
        <f aca="false">Report!U540</f>
        <v>1271.27</v>
      </c>
      <c r="D398" s="1" t="str">
        <f aca="false">Report!X540</f>
        <v>NF 1679646-1 MILKA </v>
      </c>
    </row>
    <row r="399" customFormat="false" ht="12.75" hidden="false" customHeight="true" outlineLevel="0" collapsed="false">
      <c r="A399" s="16" t="n">
        <f aca="false">Report!C541</f>
        <v>46218</v>
      </c>
      <c r="B399" s="1" t="str">
        <f aca="false">Report!E541</f>
        <v>EDSON AGUIAR DE SOUZA</v>
      </c>
      <c r="C399" s="17" t="n">
        <f aca="false">Report!U541</f>
        <v>261</v>
      </c>
      <c r="D399" s="1" t="str">
        <f aca="false">Report!X541</f>
        <v>NF 1644513 - DEBORA</v>
      </c>
    </row>
    <row r="400" customFormat="false" ht="12.75" hidden="false" customHeight="true" outlineLevel="0" collapsed="false">
      <c r="A400" s="16" t="n">
        <f aca="false">Report!C542</f>
        <v>46218</v>
      </c>
      <c r="B400" s="1" t="str">
        <f aca="false">Report!E542</f>
        <v>EDSON AGUIAR DE SOUZA</v>
      </c>
      <c r="C400" s="17" t="n">
        <f aca="false">Report!U542</f>
        <v>315</v>
      </c>
      <c r="D400" s="1" t="str">
        <f aca="false">Report!X542</f>
        <v>NF 1644532 - DEBORA</v>
      </c>
    </row>
    <row r="401" customFormat="false" ht="12.75" hidden="false" customHeight="true" outlineLevel="0" collapsed="false">
      <c r="A401" s="16" t="n">
        <f aca="false">Report!C543</f>
        <v>46218</v>
      </c>
      <c r="B401" s="1" t="str">
        <f aca="false">Report!E543</f>
        <v>EDSON AGUIAR DE SOUZA</v>
      </c>
      <c r="C401" s="17" t="n">
        <f aca="false">Report!U543</f>
        <v>210</v>
      </c>
      <c r="D401" s="1" t="str">
        <f aca="false">Report!X543</f>
        <v>NF 1644528 - DEBORA</v>
      </c>
    </row>
    <row r="402" customFormat="false" ht="12.75" hidden="false" customHeight="true" outlineLevel="0" collapsed="false">
      <c r="A402" s="16" t="n">
        <f aca="false">Report!C544</f>
        <v>46218</v>
      </c>
      <c r="B402" s="1" t="str">
        <f aca="false">Report!E544</f>
        <v>EDSON AGUIAR DE SOUZA</v>
      </c>
      <c r="C402" s="17" t="n">
        <f aca="false">Report!U544</f>
        <v>210</v>
      </c>
      <c r="D402" s="1" t="str">
        <f aca="false">Report!X544</f>
        <v>NF 1644535 - DEBORA</v>
      </c>
    </row>
    <row r="403" customFormat="false" ht="12.75" hidden="false" customHeight="true" outlineLevel="0" collapsed="false">
      <c r="A403" s="16" t="n">
        <f aca="false">Report!C545</f>
        <v>46218</v>
      </c>
      <c r="B403" s="1" t="str">
        <f aca="false">Report!E545</f>
        <v>EDSON AGUIAR DE SOUZA</v>
      </c>
      <c r="C403" s="17" t="n">
        <f aca="false">Report!U545</f>
        <v>246</v>
      </c>
      <c r="D403" s="1" t="str">
        <f aca="false">Report!X545</f>
        <v>NF 1644538 - DEBORA</v>
      </c>
    </row>
    <row r="404" customFormat="false" ht="12.75" hidden="false" customHeight="true" outlineLevel="0" collapsed="false">
      <c r="A404" s="16" t="n">
        <f aca="false">Report!C546</f>
        <v>46218</v>
      </c>
      <c r="B404" s="1" t="str">
        <f aca="false">Report!E546</f>
        <v>EDSON AGUIAR DE SOUZA</v>
      </c>
      <c r="C404" s="17" t="n">
        <f aca="false">Report!U546</f>
        <v>90</v>
      </c>
      <c r="D404" s="1" t="str">
        <f aca="false">Report!X546</f>
        <v>NF 1645598 - DEBORA</v>
      </c>
    </row>
    <row r="405" customFormat="false" ht="12.75" hidden="false" customHeight="true" outlineLevel="0" collapsed="false">
      <c r="A405" s="16" t="n">
        <f aca="false">Report!C547</f>
        <v>46218</v>
      </c>
      <c r="B405" s="1" t="str">
        <f aca="false">Report!E547</f>
        <v>EDSON AGUIAR DE SOUZA</v>
      </c>
      <c r="C405" s="17" t="n">
        <f aca="false">Report!U547</f>
        <v>261</v>
      </c>
      <c r="D405" s="1" t="str">
        <f aca="false">Report!X547</f>
        <v>NF 1647045 - DEBORA</v>
      </c>
    </row>
    <row r="406" customFormat="false" ht="12.75" hidden="false" customHeight="true" outlineLevel="0" collapsed="false">
      <c r="A406" s="16" t="n">
        <f aca="false">Report!C548</f>
        <v>46218</v>
      </c>
      <c r="B406" s="1" t="str">
        <f aca="false">Report!E548</f>
        <v>EDSON AGUIAR DE SOUZA</v>
      </c>
      <c r="C406" s="17" t="n">
        <f aca="false">Report!U548</f>
        <v>210</v>
      </c>
      <c r="D406" s="1" t="str">
        <f aca="false">Report!X548</f>
        <v>NF 1647051 - DEBORA</v>
      </c>
    </row>
    <row r="407" customFormat="false" ht="12.75" hidden="false" customHeight="true" outlineLevel="0" collapsed="false">
      <c r="A407" s="16" t="n">
        <f aca="false">Report!C549</f>
        <v>46218</v>
      </c>
      <c r="B407" s="1" t="str">
        <f aca="false">Report!E549</f>
        <v>EDSON AGUIAR DE SOUZA</v>
      </c>
      <c r="C407" s="17" t="n">
        <f aca="false">Report!U549</f>
        <v>225</v>
      </c>
      <c r="D407" s="1" t="str">
        <f aca="false">Report!X549</f>
        <v>NF 1647750 - DEBORA</v>
      </c>
    </row>
    <row r="408" customFormat="false" ht="12.75" hidden="false" customHeight="true" outlineLevel="0" collapsed="false">
      <c r="A408" s="16" t="n">
        <f aca="false">Report!C551</f>
        <v>46218</v>
      </c>
      <c r="B408" s="1" t="str">
        <f aca="false">Report!E551</f>
        <v>FEMAR IND E COM DE BEBIDAS LTDA</v>
      </c>
      <c r="C408" s="17" t="n">
        <f aca="false">Report!U551</f>
        <v>636.67</v>
      </c>
      <c r="D408" s="1" t="str">
        <f aca="false">Report!X551</f>
        <v>NF 51879 - MILKA</v>
      </c>
    </row>
    <row r="409" customFormat="false" ht="12.75" hidden="false" customHeight="true" outlineLevel="0" collapsed="false">
      <c r="A409" s="16" t="n">
        <f aca="false">Report!C554</f>
        <v>46218</v>
      </c>
      <c r="B409" s="1" t="str">
        <f aca="false">Report!E554</f>
        <v>J G COMERCIO DE PRODUTOS ALIMENTICIOS LTDA</v>
      </c>
      <c r="C409" s="17" t="n">
        <f aca="false">Report!U554</f>
        <v>1283.27</v>
      </c>
      <c r="D409" s="1" t="str">
        <f aca="false">Report!X554</f>
        <v>452671-C/C  NF388860 - MILKA</v>
      </c>
    </row>
    <row r="410" customFormat="false" ht="12.75" hidden="false" customHeight="true" outlineLevel="0" collapsed="false">
      <c r="A410" s="16" t="n">
        <f aca="false">Report!C555</f>
        <v>46218</v>
      </c>
      <c r="B410" s="1" t="str">
        <f aca="false">Report!E555</f>
        <v>L S M COMERCIO DE ALIMENTOS E NAVEGACAO</v>
      </c>
      <c r="C410" s="17" t="n">
        <f aca="false">Report!U555</f>
        <v>1613.93</v>
      </c>
      <c r="D410" s="1" t="str">
        <f aca="false">Report!X555</f>
        <v>NF 306058-1 MILKA</v>
      </c>
    </row>
    <row r="411" customFormat="false" ht="12.75" hidden="false" customHeight="true" outlineLevel="0" collapsed="false">
      <c r="A411" s="16" t="n">
        <f aca="false">Report!C556</f>
        <v>46218</v>
      </c>
      <c r="B411" s="1" t="str">
        <f aca="false">Report!E556</f>
        <v>NESTLÉ BRASIL LTDA.</v>
      </c>
      <c r="C411" s="17" t="n">
        <f aca="false">Report!U556</f>
        <v>1345.38</v>
      </c>
      <c r="D411" s="1" t="str">
        <f aca="false">Report!X556</f>
        <v>NF 1420457 - MILKA</v>
      </c>
    </row>
    <row r="412" customFormat="false" ht="12.75" hidden="false" customHeight="true" outlineLevel="0" collapsed="false">
      <c r="A412" s="16" t="n">
        <f aca="false">Report!C557</f>
        <v>46218</v>
      </c>
      <c r="B412" s="1" t="str">
        <f aca="false">Report!E557</f>
        <v>NESTLÉ BRASIL LTDA.</v>
      </c>
      <c r="C412" s="17" t="n">
        <f aca="false">Report!U557</f>
        <v>1083.11</v>
      </c>
      <c r="D412" s="1" t="str">
        <f aca="false">Report!X557</f>
        <v>NF1425692-01/03 MILKA</v>
      </c>
    </row>
    <row r="413" customFormat="false" ht="12.75" hidden="false" customHeight="true" outlineLevel="0" collapsed="false">
      <c r="A413" s="16" t="n">
        <f aca="false">Report!C560</f>
        <v>46218</v>
      </c>
      <c r="B413" s="1" t="str">
        <f aca="false">Report!E560</f>
        <v>PIARARA COMERCIO, IMPORTACAO E EXPORTACAO LTDA</v>
      </c>
      <c r="C413" s="17" t="n">
        <f aca="false">Report!U560</f>
        <v>568.92</v>
      </c>
      <c r="D413" s="1" t="str">
        <f aca="false">Report!X560</f>
        <v>NF 193491-3 MILKA</v>
      </c>
    </row>
    <row r="414" customFormat="false" ht="12.75" hidden="false" customHeight="true" outlineLevel="0" collapsed="false">
      <c r="A414" s="16" t="n">
        <f aca="false">Report!C563</f>
        <v>46218</v>
      </c>
      <c r="B414" s="1" t="str">
        <f aca="false">Report!E563</f>
        <v>RENATO DE O AZEVEDO E CIA LTDA - EPP</v>
      </c>
      <c r="C414" s="17" t="n">
        <f aca="false">Report!U563</f>
        <v>1592</v>
      </c>
      <c r="D414" s="1" t="str">
        <f aca="false">Report!X563</f>
        <v>FEIRA DO CARLOS - DEBORA</v>
      </c>
    </row>
    <row r="415" customFormat="false" ht="12.75" hidden="false" customHeight="true" outlineLevel="0" collapsed="false">
      <c r="A415" s="16" t="n">
        <f aca="false">Report!C564</f>
        <v>46218</v>
      </c>
      <c r="B415" s="1" t="str">
        <f aca="false">Report!E564</f>
        <v>TAPAJOS COM DE PERFUMARIA COSMETICOS E G</v>
      </c>
      <c r="C415" s="17" t="n">
        <f aca="false">Report!U564</f>
        <v>1497.41</v>
      </c>
      <c r="D415" s="1" t="str">
        <f aca="false">Report!X564</f>
        <v>NF 576439-1 MILKA</v>
      </c>
    </row>
    <row r="416" customFormat="false" ht="12.75" hidden="false" customHeight="true" outlineLevel="0" collapsed="false">
      <c r="A416" s="16" t="n">
        <f aca="false">Report!C565</f>
        <v>46219</v>
      </c>
      <c r="B416" s="1" t="str">
        <f aca="false">Report!E565</f>
        <v>ADICSO FABIAN GONZALEZ MONTILLA 70302186</v>
      </c>
      <c r="C416" s="17" t="n">
        <f aca="false">Report!U565</f>
        <v>840</v>
      </c>
      <c r="D416" s="1" t="str">
        <f aca="false">Report!X565</f>
        <v>NF 531 BLOOM - MILKA</v>
      </c>
    </row>
    <row r="417" customFormat="false" ht="12.75" hidden="false" customHeight="true" outlineLevel="0" collapsed="false">
      <c r="A417" s="16" t="n">
        <f aca="false">Report!C566</f>
        <v>46219</v>
      </c>
      <c r="B417" s="1" t="str">
        <f aca="false">Report!E566</f>
        <v>ADRIANA DISTRIBUIDORA DE PRODUTOS ALIMEN</v>
      </c>
      <c r="C417" s="17" t="n">
        <f aca="false">Report!U566</f>
        <v>1402.88</v>
      </c>
      <c r="D417" s="1" t="str">
        <f aca="false">Report!X566</f>
        <v>NF 878848-3 MILKA</v>
      </c>
    </row>
    <row r="418" customFormat="false" ht="12.75" hidden="false" customHeight="true" outlineLevel="0" collapsed="false">
      <c r="A418" s="16" t="n">
        <f aca="false">Report!C567</f>
        <v>46219</v>
      </c>
      <c r="B418" s="1" t="str">
        <f aca="false">Report!E567</f>
        <v>BRAGA TABACARIA EIRELI ME</v>
      </c>
      <c r="C418" s="17" t="n">
        <f aca="false">Report!U567</f>
        <v>118.45</v>
      </c>
      <c r="D418" s="1" t="str">
        <f aca="false">Report!X567</f>
        <v>COMPRAS S/NF XAROPE -ANDREZA </v>
      </c>
    </row>
    <row r="419" customFormat="false" ht="12.75" hidden="false" customHeight="true" outlineLevel="0" collapsed="false">
      <c r="A419" s="16" t="n">
        <f aca="false">Report!C568</f>
        <v>46219</v>
      </c>
      <c r="B419" s="1" t="str">
        <f aca="false">Report!E568</f>
        <v>BRASIL NORTE BEBIDAS S/A</v>
      </c>
      <c r="C419" s="17" t="n">
        <f aca="false">Report!U568</f>
        <v>56.96</v>
      </c>
      <c r="D419" s="1" t="str">
        <f aca="false">Report!X568</f>
        <v>NF 1910367 - MILKA</v>
      </c>
    </row>
    <row r="420" customFormat="false" ht="12.75" hidden="false" customHeight="true" outlineLevel="0" collapsed="false">
      <c r="A420" s="16" t="n">
        <f aca="false">Report!C569</f>
        <v>46219</v>
      </c>
      <c r="B420" s="1" t="str">
        <f aca="false">Report!E569</f>
        <v>BRASIL NORTE BEBIDAS S/A</v>
      </c>
      <c r="C420" s="17" t="n">
        <f aca="false">Report!U569</f>
        <v>335.01</v>
      </c>
      <c r="D420" s="1" t="str">
        <f aca="false">Report!X569</f>
        <v>NF 1182811 - MILKA</v>
      </c>
    </row>
    <row r="421" customFormat="false" ht="12.75" hidden="false" customHeight="true" outlineLevel="0" collapsed="false">
      <c r="A421" s="16" t="n">
        <f aca="false">Report!C570</f>
        <v>46219</v>
      </c>
      <c r="B421" s="1" t="str">
        <f aca="false">Report!E570</f>
        <v>BRASIL NORTE BEBIDAS S/A</v>
      </c>
      <c r="C421" s="17" t="n">
        <f aca="false">Report!U570</f>
        <v>3237</v>
      </c>
      <c r="D421" s="1" t="str">
        <f aca="false">Report!X570</f>
        <v>NF 1184135 - MILKA</v>
      </c>
    </row>
    <row r="422" customFormat="false" ht="12.75" hidden="false" customHeight="true" outlineLevel="0" collapsed="false">
      <c r="A422" s="16" t="n">
        <f aca="false">Report!C571</f>
        <v>46219</v>
      </c>
      <c r="B422" s="1" t="str">
        <f aca="false">Report!E571</f>
        <v>BRASIL NORTE BEBIDAS S/A</v>
      </c>
      <c r="C422" s="17" t="n">
        <f aca="false">Report!U571</f>
        <v>6181.16</v>
      </c>
      <c r="D422" s="1" t="str">
        <f aca="false">Report!X571</f>
        <v>NF 1910815 - MILKA</v>
      </c>
    </row>
    <row r="423" customFormat="false" ht="12.75" hidden="false" customHeight="true" outlineLevel="0" collapsed="false">
      <c r="A423" s="16" t="n">
        <f aca="false">Report!C572</f>
        <v>46219</v>
      </c>
      <c r="B423" s="1" t="str">
        <f aca="false">Report!E572</f>
        <v>C. R. PARENTE ABREU</v>
      </c>
      <c r="C423" s="17" t="n">
        <f aca="false">Report!U572</f>
        <v>259.39</v>
      </c>
      <c r="D423" s="1" t="str">
        <f aca="false">Report!X572</f>
        <v>NF 11400 -02 KARU - MILKA</v>
      </c>
    </row>
    <row r="424" customFormat="false" ht="12.75" hidden="false" customHeight="true" outlineLevel="0" collapsed="false">
      <c r="A424" s="16" t="n">
        <f aca="false">Report!C573</f>
        <v>46219</v>
      </c>
      <c r="B424" s="1" t="str">
        <f aca="false">Report!E573</f>
        <v>C. R. PARENTE ABREU</v>
      </c>
      <c r="C424" s="17" t="n">
        <f aca="false">Report!U573</f>
        <v>378.43</v>
      </c>
      <c r="D424" s="1" t="str">
        <f aca="false">Report!X573</f>
        <v>NF 11415-1 MILKA</v>
      </c>
    </row>
    <row r="425" customFormat="false" ht="12.75" hidden="false" customHeight="true" outlineLevel="0" collapsed="false">
      <c r="A425" s="16" t="n">
        <f aca="false">Report!C574</f>
        <v>46219</v>
      </c>
      <c r="B425" s="1" t="str">
        <f aca="false">Report!E574</f>
        <v>CHERRYS SEMI JOIAS LTDA</v>
      </c>
      <c r="C425" s="17" t="n">
        <f aca="false">Report!U574</f>
        <v>465</v>
      </c>
      <c r="D425" s="1" t="str">
        <f aca="false">Report!X574</f>
        <v>NF 464 - MILKA</v>
      </c>
    </row>
    <row r="426" customFormat="false" ht="12.75" hidden="false" customHeight="true" outlineLevel="0" collapsed="false">
      <c r="A426" s="16" t="n">
        <f aca="false">Report!C575</f>
        <v>46219</v>
      </c>
      <c r="B426" s="1" t="str">
        <f aca="false">Report!E575</f>
        <v>DISTRIBUIDORA LOPES LTDA</v>
      </c>
      <c r="C426" s="17" t="n">
        <f aca="false">Report!U575</f>
        <v>1279.76</v>
      </c>
      <c r="D426" s="1" t="str">
        <f aca="false">Report!X575</f>
        <v>NF 1675757-2 MILKA</v>
      </c>
    </row>
    <row r="427" customFormat="false" ht="12.75" hidden="false" customHeight="true" outlineLevel="0" collapsed="false">
      <c r="A427" s="16" t="n">
        <f aca="false">Report!C576</f>
        <v>46219</v>
      </c>
      <c r="B427" s="1" t="str">
        <f aca="false">Report!E576</f>
        <v>DISTRIBUIDORA LOPES LTDA</v>
      </c>
      <c r="C427" s="17" t="n">
        <f aca="false">Report!U576</f>
        <v>1310.03</v>
      </c>
      <c r="D427" s="1" t="str">
        <f aca="false">Report!X576</f>
        <v>NF 1680082-1 MILKA </v>
      </c>
    </row>
    <row r="428" customFormat="false" ht="12.75" hidden="false" customHeight="true" outlineLevel="0" collapsed="false">
      <c r="A428" s="16" t="n">
        <f aca="false">Report!C577</f>
        <v>46219</v>
      </c>
      <c r="B428" s="1" t="str">
        <f aca="false">Report!E577</f>
        <v>FENNIX BRASIL DISTRIBUIDORA DE PRODUTOS</v>
      </c>
      <c r="C428" s="17" t="n">
        <f aca="false">Report!U577</f>
        <v>2048.68</v>
      </c>
      <c r="D428" s="1" t="str">
        <f aca="false">Report!X577</f>
        <v>NF 311084 -2 MILKA</v>
      </c>
    </row>
    <row r="429" customFormat="false" ht="12.75" hidden="false" customHeight="true" outlineLevel="0" collapsed="false">
      <c r="A429" s="16" t="n">
        <f aca="false">Report!C579</f>
        <v>46219</v>
      </c>
      <c r="B429" s="1" t="str">
        <f aca="false">Report!E579</f>
        <v>FUNNY PET DISTRIBUIDORA DE ALIMENTOS PAR</v>
      </c>
      <c r="C429" s="17" t="n">
        <f aca="false">Report!U579</f>
        <v>1263.3</v>
      </c>
      <c r="D429" s="1" t="str">
        <f aca="false">Report!X579</f>
        <v>NF 20352-2 MILKA</v>
      </c>
    </row>
    <row r="430" customFormat="false" ht="12.75" hidden="false" customHeight="true" outlineLevel="0" collapsed="false">
      <c r="A430" s="16" t="n">
        <f aca="false">Report!C580</f>
        <v>46219</v>
      </c>
      <c r="B430" s="1" t="str">
        <f aca="false">Report!E580</f>
        <v>IRMÃOS LIMA  ATACADO  DE ALIMENTOS LTDA</v>
      </c>
      <c r="C430" s="17" t="n">
        <f aca="false">Report!U580</f>
        <v>1250.11</v>
      </c>
      <c r="D430" s="1" t="str">
        <f aca="false">Report!X580</f>
        <v>374805-C/C  NF293860 - MILKA</v>
      </c>
    </row>
    <row r="431" customFormat="false" ht="12.75" hidden="false" customHeight="true" outlineLevel="0" collapsed="false">
      <c r="A431" s="16" t="n">
        <f aca="false">Report!C581</f>
        <v>46219</v>
      </c>
      <c r="B431" s="1" t="str">
        <f aca="false">Report!E581</f>
        <v>L S M COMERCIO DE ALIMENTOS E NAVEGACAO</v>
      </c>
      <c r="C431" s="17" t="n">
        <f aca="false">Report!U581</f>
        <v>1568.1</v>
      </c>
      <c r="D431" s="1" t="str">
        <f aca="false">Report!X581</f>
        <v>NF 304776 -3 MILKA</v>
      </c>
    </row>
    <row r="432" customFormat="false" ht="12.75" hidden="false" customHeight="true" outlineLevel="0" collapsed="false">
      <c r="A432" s="16" t="n">
        <f aca="false">Report!C582</f>
        <v>46219</v>
      </c>
      <c r="B432" s="1" t="str">
        <f aca="false">Report!E582</f>
        <v>LIMA E BARANDA COMERCIO DE PRODUTOS REGI</v>
      </c>
      <c r="C432" s="17" t="n">
        <f aca="false">Report!U582</f>
        <v>363.5</v>
      </c>
      <c r="D432" s="1" t="str">
        <f aca="false">Report!X582</f>
        <v>NF31367 - MILKA</v>
      </c>
    </row>
    <row r="433" customFormat="false" ht="12.75" hidden="false" customHeight="true" outlineLevel="0" collapsed="false">
      <c r="A433" s="16" t="n">
        <f aca="false">Report!C583</f>
        <v>46219</v>
      </c>
      <c r="B433" s="1" t="str">
        <f aca="false">Report!E583</f>
        <v>MARQUES &amp; MELO LTDA - FILIAL</v>
      </c>
      <c r="C433" s="17" t="n">
        <f aca="false">Report!U583</f>
        <v>1012.57</v>
      </c>
      <c r="D433" s="1" t="str">
        <f aca="false">Report!X583</f>
        <v>NF 496957 - MILKA</v>
      </c>
    </row>
    <row r="434" customFormat="false" ht="12.75" hidden="false" customHeight="true" outlineLevel="0" collapsed="false">
      <c r="A434" s="16" t="n">
        <f aca="false">Report!C584</f>
        <v>46219</v>
      </c>
      <c r="B434" s="1" t="str">
        <f aca="false">Report!E584</f>
        <v>NESTLÉ BRASIL LTDA.</v>
      </c>
      <c r="C434" s="17" t="n">
        <f aca="false">Report!U584</f>
        <v>1493.87</v>
      </c>
      <c r="D434" s="1" t="str">
        <f aca="false">Report!X584</f>
        <v>NF 1420957 - MILKA</v>
      </c>
    </row>
    <row r="435" customFormat="false" ht="12.75" hidden="false" customHeight="true" outlineLevel="0" collapsed="false">
      <c r="A435" s="16" t="n">
        <f aca="false">Report!C585</f>
        <v>46219</v>
      </c>
      <c r="B435" s="1" t="str">
        <f aca="false">Report!E585</f>
        <v>OCIDENTAL COMERCIO DE FRIOS LTDA</v>
      </c>
      <c r="C435" s="17" t="n">
        <f aca="false">Report!U585</f>
        <v>983.77</v>
      </c>
      <c r="D435" s="1" t="str">
        <f aca="false">Report!X585</f>
        <v>NF 1240896-1/2 MILKA</v>
      </c>
    </row>
    <row r="436" customFormat="false" ht="12.75" hidden="false" customHeight="true" outlineLevel="0" collapsed="false">
      <c r="A436" s="16" t="n">
        <f aca="false">Report!C586</f>
        <v>46219</v>
      </c>
      <c r="B436" s="1" t="str">
        <f aca="false">Report!E586</f>
        <v>PANIFICADORA E CONFEITARIA REAL MADRI LTDA</v>
      </c>
      <c r="C436" s="17" t="n">
        <f aca="false">Report!U586</f>
        <v>664.48</v>
      </c>
      <c r="D436" s="1" t="str">
        <f aca="false">Report!X586</f>
        <v>NF710 - MILKA</v>
      </c>
    </row>
    <row r="437" customFormat="false" ht="12.75" hidden="false" customHeight="true" outlineLevel="0" collapsed="false">
      <c r="A437" s="16" t="n">
        <f aca="false">Report!C587</f>
        <v>46219</v>
      </c>
      <c r="B437" s="1" t="str">
        <f aca="false">Report!E587</f>
        <v>PIARARA COMERCIO, IMPORTACAO E EXPORTACAO LTDA</v>
      </c>
      <c r="C437" s="17" t="n">
        <f aca="false">Report!U587</f>
        <v>1024.54</v>
      </c>
      <c r="D437" s="1" t="str">
        <f aca="false">Report!X587</f>
        <v>NF 193797 -2 MILKA</v>
      </c>
    </row>
    <row r="438" customFormat="false" ht="12.75" hidden="false" customHeight="true" outlineLevel="0" collapsed="false">
      <c r="A438" s="16" t="n">
        <f aca="false">Report!C588</f>
        <v>46219</v>
      </c>
      <c r="B438" s="1" t="str">
        <f aca="false">Report!E588</f>
        <v>PRIME PET DISTRIBUIDORA LTDA</v>
      </c>
      <c r="C438" s="17" t="n">
        <f aca="false">Report!U588</f>
        <v>1488.3</v>
      </c>
      <c r="D438" s="1" t="str">
        <f aca="false">Report!X588</f>
        <v>NF 10262 -06/09 MILKA</v>
      </c>
    </row>
    <row r="439" customFormat="false" ht="12.75" hidden="false" customHeight="true" outlineLevel="0" collapsed="false">
      <c r="A439" s="16" t="n">
        <f aca="false">Report!C589</f>
        <v>46219</v>
      </c>
      <c r="B439" s="1" t="str">
        <f aca="false">Report!E589</f>
        <v>RV TECNOLOGIA E SISTEMAS S.A. - MA</v>
      </c>
      <c r="C439" s="17" t="n">
        <f aca="false">Report!U589</f>
        <v>36.15</v>
      </c>
      <c r="D439" s="1" t="str">
        <f aca="false">Report!X589</f>
        <v>RECARGA CELULAR MO1-ANDREZA</v>
      </c>
    </row>
    <row r="440" customFormat="false" ht="12.75" hidden="false" customHeight="true" outlineLevel="0" collapsed="false">
      <c r="A440" s="16" t="n">
        <f aca="false">Report!C592</f>
        <v>46219</v>
      </c>
      <c r="B440" s="1" t="str">
        <f aca="false">Report!E592</f>
        <v>SB COMERCIO LTDA</v>
      </c>
      <c r="C440" s="17" t="n">
        <f aca="false">Report!U592</f>
        <v>3937.78</v>
      </c>
      <c r="D440" s="1" t="str">
        <f aca="false">Report!X592</f>
        <v>NF 1957890-3 MILKA</v>
      </c>
    </row>
    <row r="441" customFormat="false" ht="12.75" hidden="false" customHeight="true" outlineLevel="0" collapsed="false">
      <c r="A441" s="16" t="n">
        <f aca="false">Report!C593</f>
        <v>46219</v>
      </c>
      <c r="B441" s="1" t="str">
        <f aca="false">Report!E593</f>
        <v>SILVA E SANTOS FRIGORIFICO LTDA</v>
      </c>
      <c r="C441" s="17" t="n">
        <f aca="false">Report!U593</f>
        <v>3130</v>
      </c>
      <c r="D441" s="1" t="str">
        <f aca="false">Report!X593</f>
        <v>NF31702 - MILKA</v>
      </c>
    </row>
    <row r="442" customFormat="false" ht="12.75" hidden="false" customHeight="true" outlineLevel="0" collapsed="false">
      <c r="A442" s="16" t="n">
        <f aca="false">Report!C594</f>
        <v>46219</v>
      </c>
      <c r="B442" s="1" t="str">
        <f aca="false">Report!E594</f>
        <v>SOUZA CRUZ LTDA.</v>
      </c>
      <c r="C442" s="17" t="n">
        <f aca="false">Report!U594</f>
        <v>5877.89</v>
      </c>
      <c r="D442" s="1" t="str">
        <f aca="false">Report!X594</f>
        <v>NF 566298 -01 MILKA</v>
      </c>
    </row>
    <row r="443" customFormat="false" ht="12.75" hidden="false" customHeight="true" outlineLevel="0" collapsed="false">
      <c r="A443" s="16" t="n">
        <f aca="false">Report!C595</f>
        <v>46219</v>
      </c>
      <c r="B443" s="1" t="str">
        <f aca="false">Report!E595</f>
        <v>T A DE MATTOS COMIM EIRELI</v>
      </c>
      <c r="C443" s="17" t="n">
        <f aca="false">Report!U595</f>
        <v>228</v>
      </c>
      <c r="D443" s="1" t="str">
        <f aca="false">Report!X595</f>
        <v>NF 10653 - MILKA</v>
      </c>
    </row>
    <row r="444" customFormat="false" ht="12.75" hidden="false" customHeight="true" outlineLevel="0" collapsed="false">
      <c r="A444" s="16" t="n">
        <f aca="false">Report!C596</f>
        <v>46220</v>
      </c>
      <c r="B444" s="1" t="str">
        <f aca="false">Report!E596</f>
        <v>BRAGA TABACARIA EIRELI ME</v>
      </c>
      <c r="C444" s="17" t="n">
        <f aca="false">Report!U596</f>
        <v>595</v>
      </c>
      <c r="D444" s="1" t="str">
        <f aca="false">Report!X596</f>
        <v>NF 19022-02 MILKA</v>
      </c>
    </row>
    <row r="445" customFormat="false" ht="12.75" hidden="false" customHeight="true" outlineLevel="0" collapsed="false">
      <c r="A445" s="16" t="n">
        <f aca="false">Report!C597</f>
        <v>46220</v>
      </c>
      <c r="B445" s="1" t="str">
        <f aca="false">Report!E597</f>
        <v>BROTHERS  INDUSTRIA DE ALIMENTOS LTDA</v>
      </c>
      <c r="C445" s="17" t="n">
        <f aca="false">Report!U597</f>
        <v>756.45</v>
      </c>
      <c r="D445" s="1" t="str">
        <f aca="false">Report!X597</f>
        <v>NF 1031245 - MILKA</v>
      </c>
    </row>
    <row r="446" customFormat="false" ht="12.75" hidden="false" customHeight="true" outlineLevel="0" collapsed="false">
      <c r="A446" s="16" t="n">
        <f aca="false">Report!C598</f>
        <v>46220</v>
      </c>
      <c r="B446" s="1" t="str">
        <f aca="false">Report!E598</f>
        <v>COMERCIO E TRANSPORTE BRANDAO LTDA</v>
      </c>
      <c r="C446" s="17" t="n">
        <f aca="false">Report!U598</f>
        <v>990</v>
      </c>
      <c r="D446" s="1" t="str">
        <f aca="false">Report!X598</f>
        <v>NF 14888 - DEBORA</v>
      </c>
    </row>
    <row r="447" customFormat="false" ht="12.75" hidden="false" customHeight="true" outlineLevel="0" collapsed="false">
      <c r="A447" s="16" t="n">
        <f aca="false">Report!C599</f>
        <v>46220</v>
      </c>
      <c r="B447" s="1" t="str">
        <f aca="false">Report!E599</f>
        <v>CRBS S/A</v>
      </c>
      <c r="C447" s="17" t="n">
        <f aca="false">Report!U599</f>
        <v>552.36</v>
      </c>
      <c r="D447" s="1" t="str">
        <f aca="false">Report!X599</f>
        <v>NF900346 AMBEV C/ TARIFA INCLUSA - MILKA</v>
      </c>
    </row>
    <row r="448" customFormat="false" ht="12.75" hidden="false" customHeight="true" outlineLevel="0" collapsed="false">
      <c r="A448" s="16" t="n">
        <f aca="false">Report!C600</f>
        <v>46220</v>
      </c>
      <c r="B448" s="1" t="str">
        <f aca="false">Report!E600</f>
        <v>CRBS S/A</v>
      </c>
      <c r="C448" s="17" t="n">
        <f aca="false">Report!U600</f>
        <v>1321.58</v>
      </c>
      <c r="D448" s="1" t="str">
        <f aca="false">Report!X600</f>
        <v>NF900347 AMBEV / BONIFICACAO INCLUSA - MILKA</v>
      </c>
    </row>
    <row r="449" customFormat="false" ht="12.75" hidden="false" customHeight="true" outlineLevel="0" collapsed="false">
      <c r="A449" s="16" t="n">
        <f aca="false">Report!C601</f>
        <v>46220</v>
      </c>
      <c r="B449" s="1" t="str">
        <f aca="false">Report!E601</f>
        <v>DISTRIBUIDORA FARIAS LTDA.</v>
      </c>
      <c r="C449" s="17" t="n">
        <f aca="false">Report!U601</f>
        <v>478.43</v>
      </c>
      <c r="D449" s="1" t="str">
        <f aca="false">Report!X601</f>
        <v>789209-C/C  NF674930 - MILKA</v>
      </c>
    </row>
    <row r="450" customFormat="false" ht="12.75" hidden="false" customHeight="true" outlineLevel="0" collapsed="false">
      <c r="A450" s="16" t="n">
        <f aca="false">Report!C602</f>
        <v>46220</v>
      </c>
      <c r="B450" s="1" t="str">
        <f aca="false">Report!E602</f>
        <v>EDMARA COMERCIO DE HIGIENE PESSOAL LTDA</v>
      </c>
      <c r="C450" s="17" t="n">
        <f aca="false">Report!U602</f>
        <v>526.89</v>
      </c>
      <c r="D450" s="1" t="str">
        <f aca="false">Report!X602</f>
        <v>5120-B/C  NF8208 - MILKA</v>
      </c>
    </row>
    <row r="451" customFormat="false" ht="12.75" hidden="false" customHeight="true" outlineLevel="0" collapsed="false">
      <c r="A451" s="16" t="n">
        <f aca="false">Report!C603</f>
        <v>46220</v>
      </c>
      <c r="B451" s="1" t="str">
        <f aca="false">Report!E603</f>
        <v>EMPRESA BRASILEIRA DE DISTRIBUICAO LTDA</v>
      </c>
      <c r="C451" s="17" t="n">
        <f aca="false">Report!U603</f>
        <v>1646.34</v>
      </c>
      <c r="D451" s="1" t="str">
        <f aca="false">Report!X603</f>
        <v>NF 2295786 - MILKA</v>
      </c>
    </row>
    <row r="452" customFormat="false" ht="12.75" hidden="false" customHeight="true" outlineLevel="0" collapsed="false">
      <c r="A452" s="16" t="n">
        <f aca="false">Report!C606</f>
        <v>46220</v>
      </c>
      <c r="B452" s="1" t="str">
        <f aca="false">Report!E606</f>
        <v>FRUTAL INDUSTRIA E COMERCIO LTDA</v>
      </c>
      <c r="C452" s="17" t="n">
        <f aca="false">Report!U606</f>
        <v>460.18</v>
      </c>
      <c r="D452" s="1" t="str">
        <f aca="false">Report!X606</f>
        <v>NF 225770 - MILKA</v>
      </c>
    </row>
    <row r="453" customFormat="false" ht="12.75" hidden="false" customHeight="true" outlineLevel="0" collapsed="false">
      <c r="A453" s="16" t="n">
        <f aca="false">Report!C607</f>
        <v>46220</v>
      </c>
      <c r="B453" s="1" t="str">
        <f aca="false">Report!E607</f>
        <v>GELO DANGELO FABRICACAO DE GELO LTDA</v>
      </c>
      <c r="C453" s="17" t="n">
        <f aca="false">Report!U607</f>
        <v>416.5</v>
      </c>
      <c r="D453" s="1" t="str">
        <f aca="false">Report!X607</f>
        <v>NF 375 - DEBORA</v>
      </c>
    </row>
    <row r="454" customFormat="false" ht="12.75" hidden="false" customHeight="true" outlineLevel="0" collapsed="false">
      <c r="A454" s="16" t="n">
        <f aca="false">Report!C608</f>
        <v>46220</v>
      </c>
      <c r="B454" s="1" t="str">
        <f aca="false">Report!E608</f>
        <v>H L M PADARIA E CONFEITARIA LTDA</v>
      </c>
      <c r="C454" s="17" t="n">
        <f aca="false">Report!U608</f>
        <v>560</v>
      </c>
      <c r="D454" s="1" t="str">
        <f aca="false">Report!X608</f>
        <v>NF 26 - 20/06 - DEBORA</v>
      </c>
    </row>
    <row r="455" customFormat="false" ht="12.75" hidden="false" customHeight="true" outlineLevel="0" collapsed="false">
      <c r="A455" s="16" t="n">
        <f aca="false">Report!C609</f>
        <v>46220</v>
      </c>
      <c r="B455" s="1" t="str">
        <f aca="false">Report!E609</f>
        <v>H L M PADARIA E CONFEITARIA LTDA</v>
      </c>
      <c r="C455" s="17" t="n">
        <f aca="false">Report!U609</f>
        <v>480</v>
      </c>
      <c r="D455" s="1" t="str">
        <f aca="false">Report!X609</f>
        <v>NF 33 - DEBORA</v>
      </c>
    </row>
    <row r="456" customFormat="false" ht="12.75" hidden="false" customHeight="true" outlineLevel="0" collapsed="false">
      <c r="A456" s="16" t="n">
        <f aca="false">Report!C610</f>
        <v>46220</v>
      </c>
      <c r="B456" s="1" t="str">
        <f aca="false">Report!E610</f>
        <v>H L M PADARIA E CONFEITARIA LTDA</v>
      </c>
      <c r="C456" s="17" t="n">
        <f aca="false">Report!U610</f>
        <v>440</v>
      </c>
      <c r="D456" s="1" t="str">
        <f aca="false">Report!X610</f>
        <v>NF 25 - 11/07 - DEBORA</v>
      </c>
    </row>
    <row r="457" customFormat="false" ht="12.75" hidden="false" customHeight="true" outlineLevel="0" collapsed="false">
      <c r="A457" s="16" t="n">
        <f aca="false">Report!C611</f>
        <v>46220</v>
      </c>
      <c r="B457" s="1" t="str">
        <f aca="false">Report!E611</f>
        <v>H L M PADARIA E CONFEITARIA LTDA</v>
      </c>
      <c r="C457" s="17" t="n">
        <f aca="false">Report!U611</f>
        <v>300</v>
      </c>
      <c r="D457" s="1" t="str">
        <f aca="false">Report!X611</f>
        <v>NF 32 - 16/07 - DEBORA</v>
      </c>
    </row>
    <row r="458" customFormat="false" ht="12.75" hidden="false" customHeight="true" outlineLevel="0" collapsed="false">
      <c r="A458" s="16" t="n">
        <f aca="false">Report!C612</f>
        <v>46220</v>
      </c>
      <c r="B458" s="1" t="str">
        <f aca="false">Report!E612</f>
        <v>H L M PADARIA E CONFEITARIA LTDA</v>
      </c>
      <c r="C458" s="17" t="n">
        <f aca="false">Report!U612</f>
        <v>420</v>
      </c>
      <c r="D458" s="1" t="str">
        <f aca="false">Report!X612</f>
        <v>NF 31 - DEBORA</v>
      </c>
    </row>
    <row r="459" customFormat="false" ht="12.75" hidden="false" customHeight="true" outlineLevel="0" collapsed="false">
      <c r="A459" s="16" t="n">
        <f aca="false">Report!C613</f>
        <v>46220</v>
      </c>
      <c r="B459" s="1" t="str">
        <f aca="false">Report!E613</f>
        <v>H L M PADARIA E CONFEITARIA LTDA</v>
      </c>
      <c r="C459" s="17" t="n">
        <f aca="false">Report!U613</f>
        <v>480</v>
      </c>
      <c r="D459" s="1" t="str">
        <f aca="false">Report!X613</f>
        <v>NF 29 - 10/07 - DEBORA</v>
      </c>
    </row>
    <row r="460" customFormat="false" ht="12.75" hidden="false" customHeight="true" outlineLevel="0" collapsed="false">
      <c r="A460" s="16" t="n">
        <f aca="false">Report!C614</f>
        <v>46220</v>
      </c>
      <c r="B460" s="1" t="str">
        <f aca="false">Report!E614</f>
        <v>H L M PADARIA E CONFEITARIA LTDA</v>
      </c>
      <c r="C460" s="17" t="n">
        <f aca="false">Report!U614</f>
        <v>400</v>
      </c>
      <c r="D460" s="1" t="str">
        <f aca="false">Report!X614</f>
        <v>NF 28 - 08/07 - DEBORA</v>
      </c>
    </row>
    <row r="461" customFormat="false" ht="12.75" hidden="false" customHeight="true" outlineLevel="0" collapsed="false">
      <c r="A461" s="16" t="n">
        <f aca="false">Report!C615</f>
        <v>46220</v>
      </c>
      <c r="B461" s="1" t="str">
        <f aca="false">Report!E615</f>
        <v>H L M PADARIA E CONFEITARIA LTDA</v>
      </c>
      <c r="C461" s="17" t="n">
        <f aca="false">Report!U615</f>
        <v>440</v>
      </c>
      <c r="D461" s="1" t="str">
        <f aca="false">Report!X615</f>
        <v>NF 30 - 04/07 - DEBORA</v>
      </c>
    </row>
    <row r="462" customFormat="false" ht="12.75" hidden="false" customHeight="true" outlineLevel="0" collapsed="false">
      <c r="A462" s="16" t="n">
        <f aca="false">Report!C616</f>
        <v>46220</v>
      </c>
      <c r="B462" s="1" t="str">
        <f aca="false">Report!E616</f>
        <v>H L M PADARIA E CONFEITARIA LTDA</v>
      </c>
      <c r="C462" s="17" t="n">
        <f aca="false">Report!U616</f>
        <v>240</v>
      </c>
      <c r="D462" s="1" t="str">
        <f aca="false">Report!X616</f>
        <v>NF 27 - 01/07 - DEBORA</v>
      </c>
    </row>
    <row r="463" customFormat="false" ht="12.75" hidden="false" customHeight="true" outlineLevel="0" collapsed="false">
      <c r="A463" s="16" t="n">
        <f aca="false">Report!C617</f>
        <v>46220</v>
      </c>
      <c r="B463" s="1" t="str">
        <f aca="false">Report!E617</f>
        <v>H L M PADARIA E CONFEITARIA LTDA</v>
      </c>
      <c r="C463" s="17" t="n">
        <f aca="false">Report!U617</f>
        <v>560</v>
      </c>
      <c r="D463" s="1" t="str">
        <f aca="false">Report!X617</f>
        <v>NF 1 - 29/06 - DEBORA</v>
      </c>
    </row>
    <row r="464" customFormat="false" ht="12.75" hidden="false" customHeight="true" outlineLevel="0" collapsed="false">
      <c r="A464" s="16" t="n">
        <f aca="false">Report!C618</f>
        <v>46220</v>
      </c>
      <c r="B464" s="1" t="str">
        <f aca="false">Report!E618</f>
        <v>H L M PADARIA E CONFEITARIA LTDA</v>
      </c>
      <c r="C464" s="17" t="n">
        <f aca="false">Report!U618</f>
        <v>240</v>
      </c>
      <c r="D464" s="1" t="str">
        <f aca="false">Report!X618</f>
        <v>NF 24 - 26/06 - DEBORA</v>
      </c>
    </row>
    <row r="465" customFormat="false" ht="12.75" hidden="false" customHeight="true" outlineLevel="0" collapsed="false">
      <c r="A465" s="16" t="n">
        <f aca="false">Report!C619</f>
        <v>46220</v>
      </c>
      <c r="B465" s="1" t="str">
        <f aca="false">Report!E619</f>
        <v>J G COMERCIO DE PRODUTOS ALIMENTICIOS LTDA</v>
      </c>
      <c r="C465" s="17" t="n">
        <f aca="false">Report!U619</f>
        <v>2340.64</v>
      </c>
      <c r="D465" s="1" t="str">
        <f aca="false">Report!X619</f>
        <v>454446-B/C  NF390550 - MILKA</v>
      </c>
    </row>
    <row r="466" customFormat="false" ht="12.75" hidden="false" customHeight="true" outlineLevel="0" collapsed="false">
      <c r="A466" s="16" t="n">
        <f aca="false">Report!C620</f>
        <v>46220</v>
      </c>
      <c r="B466" s="1" t="str">
        <f aca="false">Report!E620</f>
        <v>J G COMERCIO DE PRODUTOS ALIMENTICIOS LTDA</v>
      </c>
      <c r="C466" s="17" t="n">
        <f aca="false">Report!U620</f>
        <v>785.66</v>
      </c>
      <c r="D466" s="1" t="str">
        <f aca="false">Report!X620</f>
        <v>455810-A/C  NF391785 MASTERFRIGO - MILKA</v>
      </c>
    </row>
    <row r="467" customFormat="false" ht="12.75" hidden="false" customHeight="true" outlineLevel="0" collapsed="false">
      <c r="A467" s="16" t="n">
        <f aca="false">Report!C621</f>
        <v>46220</v>
      </c>
      <c r="B467" s="1" t="str">
        <f aca="false">Report!E621</f>
        <v>J W N DOS SANTOS</v>
      </c>
      <c r="C467" s="17" t="n">
        <f aca="false">Report!U621</f>
        <v>270</v>
      </c>
      <c r="D467" s="1" t="str">
        <f aca="false">Report!X621</f>
        <v>NF 363 - DEBORA</v>
      </c>
    </row>
    <row r="468" customFormat="false" ht="12.75" hidden="false" customHeight="true" outlineLevel="0" collapsed="false">
      <c r="A468" s="16" t="n">
        <f aca="false">Report!C622</f>
        <v>46220</v>
      </c>
      <c r="B468" s="1" t="str">
        <f aca="false">Report!E622</f>
        <v>J. S. MOREIRA ALVES LTDA</v>
      </c>
      <c r="C468" s="17" t="n">
        <f aca="false">Report!U622</f>
        <v>580.5</v>
      </c>
      <c r="D468" s="1" t="str">
        <f aca="false">Report!X622</f>
        <v>NF2602 MESA FARTA- MILKA</v>
      </c>
    </row>
    <row r="469" customFormat="false" ht="12.75" hidden="false" customHeight="true" outlineLevel="0" collapsed="false">
      <c r="A469" s="16" t="n">
        <f aca="false">Report!C623</f>
        <v>46220</v>
      </c>
      <c r="B469" s="1" t="str">
        <f aca="false">Report!E623</f>
        <v>NESTLÉ BRASIL LTDA.</v>
      </c>
      <c r="C469" s="17" t="n">
        <f aca="false">Report!U623</f>
        <v>868.86</v>
      </c>
      <c r="D469" s="1" t="str">
        <f aca="false">Report!X623</f>
        <v>NF 1424401-02 MILKA</v>
      </c>
    </row>
    <row r="470" customFormat="false" ht="12.75" hidden="false" customHeight="true" outlineLevel="0" collapsed="false">
      <c r="A470" s="16" t="n">
        <f aca="false">Report!C625</f>
        <v>46220</v>
      </c>
      <c r="B470" s="1" t="str">
        <f aca="false">Report!E625</f>
        <v>NORTELAC DISTRIBUIDORA DE FRIOS LTDA</v>
      </c>
      <c r="C470" s="17" t="n">
        <f aca="false">Report!U625</f>
        <v>1380</v>
      </c>
      <c r="D470" s="1" t="str">
        <f aca="false">Report!X625</f>
        <v>NF43438 - MILKA</v>
      </c>
    </row>
    <row r="471" customFormat="false" ht="12.75" hidden="false" customHeight="true" outlineLevel="0" collapsed="false">
      <c r="A471" s="16" t="n">
        <f aca="false">Report!C626</f>
        <v>46220</v>
      </c>
      <c r="B471" s="1" t="str">
        <f aca="false">Report!E626</f>
        <v>NT INDUSTRIA E COMERCIO DE PANIFICACAO L</v>
      </c>
      <c r="C471" s="17" t="n">
        <f aca="false">Report!U626</f>
        <v>5344.86</v>
      </c>
      <c r="D471" s="1" t="str">
        <f aca="false">Report!X626</f>
        <v>NF 40130 - MILKA</v>
      </c>
    </row>
    <row r="472" customFormat="false" ht="12.75" hidden="false" customHeight="true" outlineLevel="0" collapsed="false">
      <c r="A472" s="16" t="n">
        <f aca="false">Report!C627</f>
        <v>46220</v>
      </c>
      <c r="B472" s="1" t="str">
        <f aca="false">Report!E627</f>
        <v>OCIDENTAL COMERCIO DE FRIOS LTDA</v>
      </c>
      <c r="C472" s="17" t="n">
        <f aca="false">Report!U627</f>
        <v>2272.59</v>
      </c>
      <c r="D472" s="1" t="str">
        <f aca="false">Report!X627</f>
        <v>NF 1238958-3/3 MILKA</v>
      </c>
    </row>
    <row r="473" customFormat="false" ht="12.75" hidden="false" customHeight="true" outlineLevel="0" collapsed="false">
      <c r="A473" s="16" t="n">
        <f aca="false">Report!C628</f>
        <v>46220</v>
      </c>
      <c r="B473" s="1" t="str">
        <f aca="false">Report!E628</f>
        <v>OCIDENTAL COMERCIO DE FRIOS LTDA</v>
      </c>
      <c r="C473" s="17" t="n">
        <f aca="false">Report!U628</f>
        <v>537.72</v>
      </c>
      <c r="D473" s="1" t="str">
        <f aca="false">Report!X628</f>
        <v>NF 1241434-2/3 - MILKA</v>
      </c>
    </row>
    <row r="474" customFormat="false" ht="12.75" hidden="false" customHeight="true" outlineLevel="0" collapsed="false">
      <c r="A474" s="16" t="n">
        <f aca="false">Report!C629</f>
        <v>46220</v>
      </c>
      <c r="B474" s="1" t="str">
        <f aca="false">Report!E629</f>
        <v>ORIENTE COM. ATACADISTA E REPRES. LTDA</v>
      </c>
      <c r="C474" s="17" t="n">
        <f aca="false">Report!U629</f>
        <v>754.66</v>
      </c>
      <c r="D474" s="1" t="str">
        <f aca="false">Report!X629</f>
        <v>2435/3  NF2033 - MILKA</v>
      </c>
    </row>
    <row r="475" customFormat="false" ht="12.75" hidden="false" customHeight="true" outlineLevel="0" collapsed="false">
      <c r="A475" s="16" t="n">
        <f aca="false">Report!C630</f>
        <v>46220</v>
      </c>
      <c r="B475" s="1" t="str">
        <f aca="false">Report!E630</f>
        <v>PANIFICADORA E CONFEITARIA REAL MADRI LTDA</v>
      </c>
      <c r="C475" s="17" t="n">
        <f aca="false">Report!U630</f>
        <v>374.7</v>
      </c>
      <c r="D475" s="1" t="str">
        <f aca="false">Report!X630</f>
        <v>NF 713 - MILKA</v>
      </c>
    </row>
    <row r="476" customFormat="false" ht="12.75" hidden="false" customHeight="true" outlineLevel="0" collapsed="false">
      <c r="A476" s="16" t="n">
        <f aca="false">Report!C631</f>
        <v>46220</v>
      </c>
      <c r="B476" s="1" t="str">
        <f aca="false">Report!E631</f>
        <v>PANIFICADORA E CONFEITARIA REAL MADRI LTDA</v>
      </c>
      <c r="C476" s="17" t="n">
        <f aca="false">Report!U631</f>
        <v>1120</v>
      </c>
      <c r="D476" s="1" t="str">
        <f aca="false">Report!X631</f>
        <v>NF 715 - MILKA</v>
      </c>
    </row>
    <row r="477" customFormat="false" ht="12.75" hidden="false" customHeight="true" outlineLevel="0" collapsed="false">
      <c r="A477" s="16" t="n">
        <f aca="false">Report!C632</f>
        <v>46220</v>
      </c>
      <c r="B477" s="1" t="str">
        <f aca="false">Report!E632</f>
        <v>RENATO DE O AZEVEDO E CIA LTDA - EPP</v>
      </c>
      <c r="C477" s="17" t="n">
        <f aca="false">Report!U632</f>
        <v>1395</v>
      </c>
      <c r="D477" s="1" t="str">
        <f aca="false">Report!X632</f>
        <v>COMPRA FARINHA CRUZEIRO /PGTO JOSE CLAUDIO - MILKA </v>
      </c>
    </row>
    <row r="478" customFormat="false" ht="12.75" hidden="false" customHeight="true" outlineLevel="0" collapsed="false">
      <c r="A478" s="16" t="n">
        <f aca="false">Report!C633</f>
        <v>46220</v>
      </c>
      <c r="B478" s="1" t="str">
        <f aca="false">Report!E633</f>
        <v>RENATO DE O AZEVEDO E CIA LTDA - EPP</v>
      </c>
      <c r="C478" s="17" t="n">
        <f aca="false">Report!U633</f>
        <v>2682</v>
      </c>
      <c r="D478" s="1" t="str">
        <f aca="false">Report!X633</f>
        <v>FEIRA CARLOS - DEBORA</v>
      </c>
    </row>
    <row r="479" customFormat="false" ht="12.75" hidden="false" customHeight="true" outlineLevel="0" collapsed="false">
      <c r="A479" s="16" t="n">
        <f aca="false">Report!C634</f>
        <v>46220</v>
      </c>
      <c r="B479" s="1" t="str">
        <f aca="false">Report!E634</f>
        <v>RENATO DE O AZEVEDO E CIA LTDA - EPP</v>
      </c>
      <c r="C479" s="17" t="n">
        <f aca="false">Report!U634</f>
        <v>160</v>
      </c>
      <c r="D479" s="1" t="str">
        <f aca="false">Report!X634</f>
        <v>CAMARAO COM E SEM CASCA - FEIRA CARLOS - DEBORA</v>
      </c>
    </row>
    <row r="480" customFormat="false" ht="12.75" hidden="false" customHeight="true" outlineLevel="0" collapsed="false">
      <c r="A480" s="16" t="n">
        <f aca="false">Report!C635</f>
        <v>46220</v>
      </c>
      <c r="B480" s="1" t="str">
        <f aca="false">Report!E635</f>
        <v>RENATO DE O AZEVEDO E CIA LTDA - EPP</v>
      </c>
      <c r="C480" s="17" t="n">
        <f aca="false">Report!U635</f>
        <v>3110</v>
      </c>
      <c r="D480" s="1" t="str">
        <f aca="false">Report!X635</f>
        <v>FEIRA SR RENATO - DEBORA</v>
      </c>
    </row>
    <row r="481" customFormat="false" ht="12.75" hidden="false" customHeight="true" outlineLevel="0" collapsed="false">
      <c r="A481" s="16" t="n">
        <f aca="false">Report!C637</f>
        <v>46220</v>
      </c>
      <c r="B481" s="1" t="str">
        <f aca="false">Report!E637</f>
        <v>SABIA COMERCIO DE COSMETICOS LTDA</v>
      </c>
      <c r="C481" s="17" t="n">
        <f aca="false">Report!U637</f>
        <v>477.39</v>
      </c>
      <c r="D481" s="1" t="str">
        <f aca="false">Report!X637</f>
        <v>NF 250257-2 MILKA</v>
      </c>
    </row>
    <row r="482" customFormat="false" ht="12.75" hidden="false" customHeight="true" outlineLevel="0" collapsed="false">
      <c r="A482" s="16" t="n">
        <f aca="false">Report!C638</f>
        <v>46220</v>
      </c>
      <c r="B482" s="1" t="str">
        <f aca="false">Report!E638</f>
        <v>SOUZA CRUZ LTDA.</v>
      </c>
      <c r="C482" s="17" t="n">
        <f aca="false">Report!U638</f>
        <v>282.34</v>
      </c>
      <c r="D482" s="1" t="str">
        <f aca="false">Report!X638</f>
        <v>NF 566543 - MILKA</v>
      </c>
    </row>
    <row r="483" customFormat="false" ht="12.75" hidden="false" customHeight="true" outlineLevel="0" collapsed="false">
      <c r="A483" s="16" t="n">
        <f aca="false">Report!C639</f>
        <v>46220</v>
      </c>
      <c r="B483" s="1" t="str">
        <f aca="false">Report!E639</f>
        <v>VITAPAN COMERCIO VAREJISTA DE PRODUTOS ALIMENTICIOS LTDA</v>
      </c>
      <c r="C483" s="17" t="n">
        <f aca="false">Report!U639</f>
        <v>540</v>
      </c>
      <c r="D483" s="1" t="str">
        <f aca="false">Report!X639</f>
        <v>NF 10280 - MILKA</v>
      </c>
    </row>
    <row r="484" customFormat="false" ht="12.75" hidden="false" customHeight="true" outlineLevel="0" collapsed="false">
      <c r="A484" s="16" t="n">
        <f aca="false">Report!C640</f>
        <v>46221</v>
      </c>
      <c r="B484" s="1" t="str">
        <f aca="false">Report!E640</f>
        <v>ALEXSANDRO BEZERRA DA SILVA</v>
      </c>
      <c r="C484" s="17" t="n">
        <f aca="false">Report!U640</f>
        <v>2812.18</v>
      </c>
      <c r="D484" s="1" t="str">
        <f aca="false">Report!X640</f>
        <v>192032563  NF 264 POTIGUAR - MILKA</v>
      </c>
    </row>
    <row r="485" customFormat="false" ht="12.75" hidden="false" customHeight="true" outlineLevel="0" collapsed="false">
      <c r="A485" s="16" t="n">
        <f aca="false">Report!C641</f>
        <v>46221</v>
      </c>
      <c r="B485" s="1" t="str">
        <f aca="false">Report!E641</f>
        <v>ALEXSANDRO BEZERRA DA SILVA</v>
      </c>
      <c r="C485" s="17" t="n">
        <f aca="false">Report!U641</f>
        <v>1646.64</v>
      </c>
      <c r="D485" s="1" t="str">
        <f aca="false">Report!X641</f>
        <v>192925187  NF271 COMERCIAL POTIGUAR - MILKA</v>
      </c>
    </row>
    <row r="486" customFormat="false" ht="12.75" hidden="false" customHeight="true" outlineLevel="0" collapsed="false">
      <c r="A486" s="16" t="n">
        <f aca="false">Report!C642</f>
        <v>46221</v>
      </c>
      <c r="B486" s="1" t="str">
        <f aca="false">Report!E642</f>
        <v>COMERCIO DE FRIOS MANAUS LTDA</v>
      </c>
      <c r="C486" s="17" t="n">
        <f aca="false">Report!U642</f>
        <v>6394.2</v>
      </c>
      <c r="D486" s="1" t="str">
        <f aca="false">Report!X642</f>
        <v>NF172856 - MILKA</v>
      </c>
    </row>
    <row r="487" customFormat="false" ht="12.75" hidden="false" customHeight="true" outlineLevel="0" collapsed="false">
      <c r="A487" s="16" t="n">
        <f aca="false">Report!C643</f>
        <v>46221</v>
      </c>
      <c r="B487" s="1" t="str">
        <f aca="false">Report!E643</f>
        <v>DINÂMICA SOLUÇÕES EM SUPRIMENTOS E GESTÃ</v>
      </c>
      <c r="C487" s="17" t="n">
        <f aca="false">Report!U643</f>
        <v>607.5</v>
      </c>
      <c r="D487" s="1" t="str">
        <f aca="false">Report!X643</f>
        <v>NF 742-01 MILKA</v>
      </c>
    </row>
    <row r="488" customFormat="false" ht="12.75" hidden="false" customHeight="true" outlineLevel="0" collapsed="false">
      <c r="A488" s="16" t="n">
        <f aca="false">Report!C644</f>
        <v>46221</v>
      </c>
      <c r="B488" s="1" t="str">
        <f aca="false">Report!E644</f>
        <v>FORTVET DISTRIBUIDORA LTDA</v>
      </c>
      <c r="C488" s="17" t="n">
        <f aca="false">Report!U644</f>
        <v>1098.8</v>
      </c>
      <c r="D488" s="1" t="str">
        <f aca="false">Report!X644</f>
        <v>NF 2494-1 MILKA</v>
      </c>
    </row>
    <row r="489" customFormat="false" ht="12.75" hidden="false" customHeight="true" outlineLevel="0" collapsed="false">
      <c r="A489" s="16" t="n">
        <f aca="false">Report!C645</f>
        <v>46221</v>
      </c>
      <c r="B489" s="1" t="str">
        <f aca="false">Report!E645</f>
        <v>FUNNY PET DISTRIBUIDORA DE ALIMENTOS PAR</v>
      </c>
      <c r="C489" s="17" t="n">
        <f aca="false">Report!U645</f>
        <v>4521.75</v>
      </c>
      <c r="D489" s="1" t="str">
        <f aca="false">Report!X645</f>
        <v>NF 20167 4- MILKA</v>
      </c>
    </row>
    <row r="490" customFormat="false" ht="12.75" hidden="false" customHeight="true" outlineLevel="0" collapsed="false">
      <c r="A490" s="16" t="n">
        <f aca="false">Report!C646</f>
        <v>46221</v>
      </c>
      <c r="B490" s="1" t="str">
        <f aca="false">Report!E646</f>
        <v>H L M PADARIA E CONFEITARIA LTDA</v>
      </c>
      <c r="C490" s="17" t="n">
        <f aca="false">Report!U646</f>
        <v>560</v>
      </c>
      <c r="D490" s="1" t="str">
        <f aca="false">Report!X646</f>
        <v>NF 34 - DEBORA</v>
      </c>
    </row>
    <row r="491" customFormat="false" ht="12.75" hidden="false" customHeight="true" outlineLevel="0" collapsed="false">
      <c r="A491" s="16" t="n">
        <f aca="false">Report!C647</f>
        <v>46221</v>
      </c>
      <c r="B491" s="1" t="str">
        <f aca="false">Report!E647</f>
        <v>MAXFRI DISTRIUIDORA LTDA</v>
      </c>
      <c r="C491" s="17" t="n">
        <f aca="false">Report!U647</f>
        <v>8622.58</v>
      </c>
      <c r="D491" s="1" t="str">
        <f aca="false">Report!X647</f>
        <v>NF 14684 - MILKA</v>
      </c>
    </row>
    <row r="492" customFormat="false" ht="12.75" hidden="false" customHeight="true" outlineLevel="0" collapsed="false">
      <c r="A492" s="16" t="n">
        <f aca="false">Report!C648</f>
        <v>46221</v>
      </c>
      <c r="B492" s="1" t="str">
        <f aca="false">Report!E648</f>
        <v>ORIENTE COM. ATACADISTA E REPRES. LTDA</v>
      </c>
      <c r="C492" s="17" t="n">
        <f aca="false">Report!U648</f>
        <v>689.5</v>
      </c>
      <c r="D492" s="1" t="str">
        <f aca="false">Report!X648</f>
        <v>2477/1  NF2053 - MILKA</v>
      </c>
    </row>
    <row r="493" customFormat="false" ht="12.75" hidden="false" customHeight="true" outlineLevel="0" collapsed="false">
      <c r="A493" s="16" t="n">
        <f aca="false">Report!C651</f>
        <v>46221</v>
      </c>
      <c r="B493" s="1" t="str">
        <f aca="false">Report!E651</f>
        <v>PRIME PET DISTRIBUIDORA LTDA</v>
      </c>
      <c r="C493" s="17" t="n">
        <f aca="false">Report!U651</f>
        <v>250.35</v>
      </c>
      <c r="D493" s="1" t="str">
        <f aca="false">Report!X651</f>
        <v>NF 10336 -06 MILKA</v>
      </c>
    </row>
    <row r="494" customFormat="false" ht="12.75" hidden="false" customHeight="true" outlineLevel="0" collapsed="false">
      <c r="A494" s="16" t="n">
        <f aca="false">Report!C652</f>
        <v>46222</v>
      </c>
      <c r="B494" s="1" t="str">
        <f aca="false">Report!E652</f>
        <v>ADF DISTRIBUIDORA DE BEBIDAS LTDA</v>
      </c>
      <c r="C494" s="17" t="n">
        <f aca="false">Report!U652</f>
        <v>374</v>
      </c>
      <c r="D494" s="1" t="str">
        <f aca="false">Report!X652</f>
        <v>NF 473149 - MILKA</v>
      </c>
    </row>
    <row r="495" customFormat="false" ht="12.75" hidden="false" customHeight="true" outlineLevel="0" collapsed="false">
      <c r="A495" s="16" t="n">
        <f aca="false">Report!C653</f>
        <v>46222</v>
      </c>
      <c r="B495" s="1" t="str">
        <f aca="false">Report!E653</f>
        <v>AMAZON DISTRIBUIDORA DE PRODUTOS ALIMENT</v>
      </c>
      <c r="C495" s="17" t="n">
        <f aca="false">Report!U653</f>
        <v>436.29</v>
      </c>
      <c r="D495" s="1" t="str">
        <f aca="false">Report!X653</f>
        <v>NF 89871 AMZ - MILKA</v>
      </c>
    </row>
    <row r="496" customFormat="false" ht="12.75" hidden="false" customHeight="true" outlineLevel="0" collapsed="false">
      <c r="A496" s="16" t="n">
        <f aca="false">Report!C654</f>
        <v>46222</v>
      </c>
      <c r="B496" s="1" t="str">
        <f aca="false">Report!E654</f>
        <v>BRF S A</v>
      </c>
      <c r="C496" s="17" t="n">
        <f aca="false">Report!U654</f>
        <v>650.23</v>
      </c>
      <c r="D496" s="1" t="str">
        <f aca="false">Report!X654</f>
        <v>NF 1604302-01/02 MILKA</v>
      </c>
    </row>
    <row r="497" customFormat="false" ht="12.75" hidden="false" customHeight="true" outlineLevel="0" collapsed="false">
      <c r="A497" s="16" t="n">
        <f aca="false">Report!C655</f>
        <v>46222</v>
      </c>
      <c r="B497" s="1" t="str">
        <f aca="false">Report!E655</f>
        <v>E. SALES DO NASCIMENTO</v>
      </c>
      <c r="C497" s="17" t="n">
        <f aca="false">Report!U655</f>
        <v>410.72</v>
      </c>
      <c r="D497" s="1" t="str">
        <f aca="false">Report!X655</f>
        <v>NF 707 -01 MILKA</v>
      </c>
    </row>
    <row r="498" customFormat="false" ht="12.75" hidden="false" customHeight="true" outlineLevel="0" collapsed="false">
      <c r="A498" s="16" t="n">
        <f aca="false">Report!C656</f>
        <v>46222</v>
      </c>
      <c r="B498" s="1" t="str">
        <f aca="false">Report!E656</f>
        <v>PRIME PET DISTRIBUIDORA LTDA</v>
      </c>
      <c r="C498" s="17" t="n">
        <f aca="false">Report!U656</f>
        <v>319.72</v>
      </c>
      <c r="D498" s="1" t="str">
        <f aca="false">Report!X656</f>
        <v>NF 10643-04/05 MILKA</v>
      </c>
    </row>
    <row r="499" customFormat="false" ht="12.75" hidden="false" customHeight="true" outlineLevel="0" collapsed="false">
      <c r="A499" s="16" t="n">
        <f aca="false">Report!C657</f>
        <v>46223</v>
      </c>
      <c r="B499" s="1" t="str">
        <f aca="false">Report!E657</f>
        <v>A M A DE LIMA INDUSTRIA E COMERCIO DE PRODUTOS ALIMENTICIOS LTDA</v>
      </c>
      <c r="C499" s="17" t="n">
        <f aca="false">Report!U657</f>
        <v>302.5</v>
      </c>
      <c r="D499" s="1" t="str">
        <f aca="false">Report!X657</f>
        <v>NF 1140 - DEBORA</v>
      </c>
    </row>
    <row r="500" customFormat="false" ht="12.75" hidden="false" customHeight="true" outlineLevel="0" collapsed="false">
      <c r="A500" s="16" t="n">
        <f aca="false">Report!C658</f>
        <v>46223</v>
      </c>
      <c r="B500" s="1" t="str">
        <f aca="false">Report!E658</f>
        <v>ADRIANA DISTRIBUIDORA DE PRODUTOS ALIMEN</v>
      </c>
      <c r="C500" s="17" t="n">
        <f aca="false">Report!U658</f>
        <v>1326.93</v>
      </c>
      <c r="D500" s="1" t="str">
        <f aca="false">Report!X658</f>
        <v>NF 882141 -2 MILKA</v>
      </c>
    </row>
    <row r="501" customFormat="false" ht="12.75" hidden="false" customHeight="true" outlineLevel="0" collapsed="false">
      <c r="A501" s="16" t="n">
        <f aca="false">Report!C659</f>
        <v>46223</v>
      </c>
      <c r="B501" s="1" t="str">
        <f aca="false">Report!E659</f>
        <v>ATACADAO S.A.</v>
      </c>
      <c r="C501" s="17" t="n">
        <f aca="false">Report!U659</f>
        <v>977.5</v>
      </c>
      <c r="D501" s="1" t="str">
        <f aca="false">Report!X659</f>
        <v>NF 1894398 - MILKA</v>
      </c>
    </row>
    <row r="502" customFormat="false" ht="12.75" hidden="false" customHeight="true" outlineLevel="0" collapsed="false">
      <c r="A502" s="16" t="n">
        <f aca="false">Report!C660</f>
        <v>46223</v>
      </c>
      <c r="B502" s="1" t="str">
        <f aca="false">Report!E660</f>
        <v>ATACADAO S.A.</v>
      </c>
      <c r="C502" s="17" t="n">
        <f aca="false">Report!U660</f>
        <v>499.5</v>
      </c>
      <c r="D502" s="1" t="str">
        <f aca="false">Report!X660</f>
        <v>NF 1897392 - MILKA</v>
      </c>
    </row>
    <row r="503" customFormat="false" ht="12.75" hidden="false" customHeight="true" outlineLevel="0" collapsed="false">
      <c r="A503" s="16" t="n">
        <f aca="false">Report!C661</f>
        <v>46223</v>
      </c>
      <c r="B503" s="1" t="str">
        <f aca="false">Report!E661</f>
        <v>C. R. PARENTE ABREU</v>
      </c>
      <c r="C503" s="17" t="n">
        <f aca="false">Report!U661</f>
        <v>378.43</v>
      </c>
      <c r="D503" s="1" t="str">
        <f aca="false">Report!X661</f>
        <v>NF 11415-2 MILKA</v>
      </c>
    </row>
    <row r="504" customFormat="false" ht="12.75" hidden="false" customHeight="true" outlineLevel="0" collapsed="false">
      <c r="A504" s="16" t="n">
        <f aca="false">Report!C662</f>
        <v>46223</v>
      </c>
      <c r="B504" s="1" t="str">
        <f aca="false">Report!E662</f>
        <v>C. R. PARENTE ABREU</v>
      </c>
      <c r="C504" s="17" t="n">
        <f aca="false">Report!U662</f>
        <v>417.42</v>
      </c>
      <c r="D504" s="1" t="str">
        <f aca="false">Report!X662</f>
        <v>NF 11430-1 KARU MILKA</v>
      </c>
    </row>
    <row r="505" customFormat="false" ht="12.75" hidden="false" customHeight="true" outlineLevel="0" collapsed="false">
      <c r="A505" s="16" t="n">
        <f aca="false">Report!C668</f>
        <v>46223</v>
      </c>
      <c r="B505" s="1" t="str">
        <f aca="false">Report!E668</f>
        <v>DISTRIBUIDORA LOPES LTDA</v>
      </c>
      <c r="C505" s="17" t="n">
        <f aca="false">Report!U668</f>
        <v>1680.21</v>
      </c>
      <c r="D505" s="1" t="str">
        <f aca="false">Report!X668</f>
        <v>NF 1677170-2 MILKA</v>
      </c>
    </row>
    <row r="506" customFormat="false" ht="12.75" hidden="false" customHeight="true" outlineLevel="0" collapsed="false">
      <c r="A506" s="16" t="n">
        <f aca="false">Report!C673</f>
        <v>46223</v>
      </c>
      <c r="B506" s="1" t="str">
        <f aca="false">Report!E673</f>
        <v>FORTVET DISTRIBUIDORA LTDA</v>
      </c>
      <c r="C506" s="17" t="n">
        <f aca="false">Report!U673</f>
        <v>663.81</v>
      </c>
      <c r="D506" s="1" t="str">
        <f aca="false">Report!X673</f>
        <v>NF 2524-2 MILKA</v>
      </c>
    </row>
    <row r="507" customFormat="false" ht="12.75" hidden="false" customHeight="true" outlineLevel="0" collapsed="false">
      <c r="A507" s="16" t="n">
        <f aca="false">Report!C674</f>
        <v>46223</v>
      </c>
      <c r="B507" s="1" t="str">
        <f aca="false">Report!E674</f>
        <v>GELO DANGELO FABRICACAO DE GELO LTDA</v>
      </c>
      <c r="C507" s="17" t="n">
        <f aca="false">Report!U674</f>
        <v>405.5</v>
      </c>
      <c r="D507" s="1" t="str">
        <f aca="false">Report!X674</f>
        <v>NF 381 - DEBORA</v>
      </c>
    </row>
    <row r="508" customFormat="false" ht="12.75" hidden="false" customHeight="true" outlineLevel="0" collapsed="false">
      <c r="A508" s="16" t="n">
        <f aca="false">Report!C675</f>
        <v>46223</v>
      </c>
      <c r="B508" s="1" t="str">
        <f aca="false">Report!E675</f>
        <v>H. L. DO NASCIMENTO</v>
      </c>
      <c r="C508" s="17" t="n">
        <f aca="false">Report!U675</f>
        <v>1285.3</v>
      </c>
      <c r="D508" s="1" t="str">
        <f aca="false">Report!X675</f>
        <v>NF 5787 FAZENDINHA - MILKA</v>
      </c>
    </row>
    <row r="509" customFormat="false" ht="12.75" hidden="false" customHeight="true" outlineLevel="0" collapsed="false">
      <c r="A509" s="16" t="n">
        <f aca="false">Report!C677</f>
        <v>46223</v>
      </c>
      <c r="B509" s="1" t="str">
        <f aca="false">Report!E677</f>
        <v>JAB COMERCIO DE PRODUTOS ALIMENTICIOS LT</v>
      </c>
      <c r="C509" s="17" t="n">
        <f aca="false">Report!U677</f>
        <v>297</v>
      </c>
      <c r="D509" s="1" t="str">
        <f aca="false">Report!X677</f>
        <v>NF 3541 SANTO PAO - MILKA</v>
      </c>
    </row>
    <row r="510" customFormat="false" ht="12.75" hidden="false" customHeight="true" outlineLevel="0" collapsed="false">
      <c r="A510" s="16" t="n">
        <f aca="false">Report!C678</f>
        <v>46223</v>
      </c>
      <c r="B510" s="1" t="str">
        <f aca="false">Report!E678</f>
        <v>KAROLINY RODRIGUES SOUZA VENANCIO 915783</v>
      </c>
      <c r="C510" s="17" t="n">
        <f aca="false">Report!U678</f>
        <v>250</v>
      </c>
      <c r="D510" s="1" t="str">
        <f aca="false">Report!X678</f>
        <v>NF1790 BIS.DONA MARIA - MILKA</v>
      </c>
    </row>
    <row r="511" customFormat="false" ht="12.75" hidden="false" customHeight="true" outlineLevel="0" collapsed="false">
      <c r="A511" s="16" t="n">
        <f aca="false">Report!C681</f>
        <v>46223</v>
      </c>
      <c r="B511" s="1" t="str">
        <f aca="false">Report!E681</f>
        <v>MAXFRI DISTRIUIDORA LTDA</v>
      </c>
      <c r="C511" s="17" t="n">
        <f aca="false">Report!U681</f>
        <v>1607.58</v>
      </c>
      <c r="D511" s="1" t="str">
        <f aca="false">Report!X681</f>
        <v>NF14695 - MILKA</v>
      </c>
    </row>
    <row r="512" customFormat="false" ht="12.75" hidden="false" customHeight="true" outlineLevel="0" collapsed="false">
      <c r="A512" s="16" t="n">
        <f aca="false">Report!C683</f>
        <v>46223</v>
      </c>
      <c r="B512" s="1" t="str">
        <f aca="false">Report!E683</f>
        <v>NOVA FRIOS COMERCIO ATACADISTA DE LATICINIOS LTDA</v>
      </c>
      <c r="C512" s="17" t="n">
        <f aca="false">Report!U683</f>
        <v>358.25</v>
      </c>
      <c r="D512" s="1" t="str">
        <f aca="false">Report!X683</f>
        <v>NF 4053 BODEGA DO PAO - MILKA</v>
      </c>
    </row>
    <row r="513" customFormat="false" ht="12.75" hidden="false" customHeight="true" outlineLevel="0" collapsed="false">
      <c r="A513" s="16" t="n">
        <f aca="false">Report!C684</f>
        <v>46223</v>
      </c>
      <c r="B513" s="1" t="str">
        <f aca="false">Report!E684</f>
        <v>NT INDUSTRIA E COMERCIO DE PANIFICACAO L</v>
      </c>
      <c r="C513" s="17" t="n">
        <f aca="false">Report!U684</f>
        <v>2754.99</v>
      </c>
      <c r="D513" s="1" t="str">
        <f aca="false">Report!X684</f>
        <v>NF 40389 - MILKA</v>
      </c>
    </row>
    <row r="514" customFormat="false" ht="12.75" hidden="false" customHeight="true" outlineLevel="0" collapsed="false">
      <c r="A514" s="16" t="n">
        <f aca="false">Report!C685</f>
        <v>46223</v>
      </c>
      <c r="B514" s="1" t="str">
        <f aca="false">Report!E685</f>
        <v>OESA COMERCIO E REPRESENTACOES S/A</v>
      </c>
      <c r="C514" s="17" t="n">
        <f aca="false">Report!U685</f>
        <v>1351</v>
      </c>
      <c r="D514" s="1" t="str">
        <f aca="false">Report!X685</f>
        <v>NF 419583-2 MILKA</v>
      </c>
    </row>
    <row r="515" customFormat="false" ht="12.75" hidden="false" customHeight="true" outlineLevel="0" collapsed="false">
      <c r="A515" s="16" t="n">
        <f aca="false">Report!C686</f>
        <v>46223</v>
      </c>
      <c r="B515" s="1" t="str">
        <f aca="false">Report!E686</f>
        <v>OESA COMERCIO E REPRESENTACOES S/A</v>
      </c>
      <c r="C515" s="17" t="n">
        <f aca="false">Report!U686</f>
        <v>1805.4</v>
      </c>
      <c r="D515" s="1" t="str">
        <f aca="false">Report!X686</f>
        <v>NF 419611 - MILKA</v>
      </c>
    </row>
    <row r="516" customFormat="false" ht="12.75" hidden="false" customHeight="true" outlineLevel="0" collapsed="false">
      <c r="A516" s="16" t="n">
        <f aca="false">Report!C688</f>
        <v>46223</v>
      </c>
      <c r="B516" s="1" t="str">
        <f aca="false">Report!E688</f>
        <v>OPPORTUNITY ALIMENTOS PARA ANIMAIS LTDA</v>
      </c>
      <c r="C516" s="17" t="n">
        <f aca="false">Report!U688</f>
        <v>3377.6</v>
      </c>
      <c r="D516" s="1" t="str">
        <f aca="false">Report!X688</f>
        <v>NF 34300-1 MILKA</v>
      </c>
    </row>
    <row r="517" customFormat="false" ht="12.75" hidden="false" customHeight="true" outlineLevel="0" collapsed="false">
      <c r="A517" s="16" t="n">
        <f aca="false">Report!C690</f>
        <v>46223</v>
      </c>
      <c r="B517" s="1" t="str">
        <f aca="false">Report!E690</f>
        <v>RISADINHA LTDA</v>
      </c>
      <c r="C517" s="17" t="n">
        <f aca="false">Report!U690</f>
        <v>1755.4</v>
      </c>
      <c r="D517" s="1" t="str">
        <f aca="false">Report!X690</f>
        <v>NF 657246 -02 MILKA</v>
      </c>
    </row>
    <row r="518" customFormat="false" ht="12.75" hidden="false" customHeight="true" outlineLevel="0" collapsed="false">
      <c r="A518" s="16" t="n">
        <f aca="false">Report!C691</f>
        <v>46223</v>
      </c>
      <c r="B518" s="1" t="str">
        <f aca="false">Report!E691</f>
        <v>RV TECNOLOGIA E SISTEMAS S.A</v>
      </c>
      <c r="C518" s="17" t="n">
        <f aca="false">Report!U691</f>
        <v>105.45</v>
      </c>
      <c r="D518" s="1" t="str">
        <f aca="false">Report!X691</f>
        <v>RV RECARGA-ANDREZA</v>
      </c>
    </row>
    <row r="519" customFormat="false" ht="12.75" hidden="false" customHeight="true" outlineLevel="0" collapsed="false">
      <c r="A519" s="16" t="n">
        <f aca="false">Report!C692</f>
        <v>46223</v>
      </c>
      <c r="B519" s="1" t="str">
        <f aca="false">Report!E692</f>
        <v>SAO JOSE COMERCIO DE LATICINIOS E FRIOS</v>
      </c>
      <c r="C519" s="17" t="n">
        <f aca="false">Report!U692</f>
        <v>1584</v>
      </c>
      <c r="D519" s="1" t="str">
        <f aca="false">Report!X692</f>
        <v>6781037  NF 3552 SABORE - MILKA</v>
      </c>
    </row>
    <row r="520" customFormat="false" ht="12.75" hidden="false" customHeight="true" outlineLevel="0" collapsed="false">
      <c r="A520" s="16" t="n">
        <f aca="false">Report!C693</f>
        <v>46223</v>
      </c>
      <c r="B520" s="1" t="str">
        <f aca="false">Report!E693</f>
        <v>SAO JOSE COMERCIO DE LATICINIOS E FRIOS</v>
      </c>
      <c r="C520" s="17" t="n">
        <f aca="false">Report!U693</f>
        <v>448.5</v>
      </c>
      <c r="D520" s="1" t="str">
        <f aca="false">Report!X693</f>
        <v>NF 3599 SABORE /USO E CONSUMO/ DESPESA PADARIA - MILKA</v>
      </c>
    </row>
    <row r="521" customFormat="false" ht="12.75" hidden="false" customHeight="true" outlineLevel="0" collapsed="false">
      <c r="A521" s="16" t="n">
        <f aca="false">Report!C695</f>
        <v>46223</v>
      </c>
      <c r="B521" s="1" t="str">
        <f aca="false">Report!E695</f>
        <v>SOUZA CRUZ LTDA.</v>
      </c>
      <c r="C521" s="17" t="n">
        <f aca="false">Report!U695</f>
        <v>6643.66</v>
      </c>
      <c r="D521" s="1" t="str">
        <f aca="false">Report!X695</f>
        <v>NF 566688 -01 MILKA</v>
      </c>
    </row>
    <row r="522" customFormat="false" ht="12.75" hidden="false" customHeight="true" outlineLevel="0" collapsed="false">
      <c r="A522" s="16" t="n">
        <f aca="false">Report!C697</f>
        <v>46224</v>
      </c>
      <c r="B522" s="1" t="str">
        <f aca="false">Report!E697</f>
        <v>ADICSO FABIAN GONZALEZ MONTILLA 70302186</v>
      </c>
      <c r="C522" s="17" t="n">
        <f aca="false">Report!U697</f>
        <v>960</v>
      </c>
      <c r="D522" s="1" t="str">
        <f aca="false">Report!X697</f>
        <v>NF534 BLOOM - MILKA</v>
      </c>
    </row>
    <row r="523" customFormat="false" ht="12.75" hidden="false" customHeight="true" outlineLevel="0" collapsed="false">
      <c r="A523" s="16" t="n">
        <f aca="false">Report!C698</f>
        <v>46224</v>
      </c>
      <c r="B523" s="1" t="str">
        <f aca="false">Report!E698</f>
        <v>ADRIANO FEITOSA OLIVEIRA LTDA</v>
      </c>
      <c r="C523" s="17" t="n">
        <f aca="false">Report!U698</f>
        <v>1850</v>
      </c>
      <c r="D523" s="1" t="str">
        <f aca="false">Report!X698</f>
        <v>NF 336 - MILKA</v>
      </c>
    </row>
    <row r="524" customFormat="false" ht="12.75" hidden="false" customHeight="true" outlineLevel="0" collapsed="false">
      <c r="A524" s="16" t="n">
        <f aca="false">Report!C699</f>
        <v>46224</v>
      </c>
      <c r="B524" s="1" t="str">
        <f aca="false">Report!E699</f>
        <v>BROTHERS  INDUSTRIA DE ALIMENTOS LTDA</v>
      </c>
      <c r="C524" s="17" t="n">
        <f aca="false">Report!U699</f>
        <v>869.87</v>
      </c>
      <c r="D524" s="1" t="str">
        <f aca="false">Report!X699</f>
        <v>NF1031671 - MILKA</v>
      </c>
    </row>
    <row r="525" customFormat="false" ht="12.75" hidden="false" customHeight="true" outlineLevel="0" collapsed="false">
      <c r="A525" s="16" t="n">
        <f aca="false">Report!C700</f>
        <v>46224</v>
      </c>
      <c r="B525" s="1" t="str">
        <f aca="false">Report!E700</f>
        <v>DA FRUTA DISTRIBUIDORA LTDA</v>
      </c>
      <c r="C525" s="17" t="n">
        <f aca="false">Report!U700</f>
        <v>799.73</v>
      </c>
      <c r="D525" s="1" t="str">
        <f aca="false">Report!X700</f>
        <v>NF 196429 - MILKA</v>
      </c>
    </row>
    <row r="526" customFormat="false" ht="12.75" hidden="false" customHeight="true" outlineLevel="0" collapsed="false">
      <c r="A526" s="16" t="n">
        <f aca="false">Report!C703</f>
        <v>46224</v>
      </c>
      <c r="B526" s="1" t="str">
        <f aca="false">Report!E703</f>
        <v>ELIAS MARTINS DA SILVA</v>
      </c>
      <c r="C526" s="17" t="n">
        <f aca="false">Report!U703</f>
        <v>1592.9</v>
      </c>
      <c r="D526" s="1" t="str">
        <f aca="false">Report!X703</f>
        <v>NF 831704 SUINORTE - MILKA</v>
      </c>
    </row>
    <row r="527" customFormat="false" ht="12.75" hidden="false" customHeight="true" outlineLevel="0" collapsed="false">
      <c r="A527" s="16" t="n">
        <f aca="false">Report!C705</f>
        <v>46224</v>
      </c>
      <c r="B527" s="1" t="str">
        <f aca="false">Report!E705</f>
        <v>H L M PADARIA E CONFEITARIA LTDA</v>
      </c>
      <c r="C527" s="17" t="n">
        <f aca="false">Report!U705</f>
        <v>420</v>
      </c>
      <c r="D527" s="1" t="str">
        <f aca="false">Report!X705</f>
        <v>NF 66 - DEBORA</v>
      </c>
    </row>
    <row r="528" customFormat="false" ht="12.75" hidden="false" customHeight="true" outlineLevel="0" collapsed="false">
      <c r="A528" s="16" t="n">
        <f aca="false">Report!C707</f>
        <v>46224</v>
      </c>
      <c r="B528" s="1" t="str">
        <f aca="false">Report!E707</f>
        <v>MARE DISTRIBUIDORA DE BEBIDAS E DE PRODUTOS ALIMENTICIOS LTDA</v>
      </c>
      <c r="C528" s="17" t="n">
        <f aca="false">Report!U707</f>
        <v>3494.6</v>
      </c>
      <c r="D528" s="1" t="str">
        <f aca="false">Report!X707</f>
        <v>NF 1385956 MAGISTRAL - MILKA</v>
      </c>
    </row>
    <row r="529" customFormat="false" ht="12.75" hidden="false" customHeight="true" outlineLevel="0" collapsed="false">
      <c r="A529" s="16" t="n">
        <f aca="false">Report!C708</f>
        <v>46224</v>
      </c>
      <c r="B529" s="1" t="str">
        <f aca="false">Report!E708</f>
        <v>MARTINS COM SERV DISTR SA</v>
      </c>
      <c r="C529" s="17" t="n">
        <f aca="false">Report!U708</f>
        <v>891.38</v>
      </c>
      <c r="D529" s="1" t="str">
        <f aca="false">Report!X708</f>
        <v>NF 1775151 / NF 1775152 - MILKA</v>
      </c>
    </row>
    <row r="530" customFormat="false" ht="12.75" hidden="false" customHeight="true" outlineLevel="0" collapsed="false">
      <c r="A530" s="16" t="n">
        <f aca="false">Report!C709</f>
        <v>46224</v>
      </c>
      <c r="B530" s="1" t="str">
        <f aca="false">Report!E709</f>
        <v>MARTINS COM SERV DISTR SA</v>
      </c>
      <c r="C530" s="17" t="n">
        <f aca="false">Report!U709</f>
        <v>3184.13</v>
      </c>
      <c r="D530" s="1" t="str">
        <f aca="false">Report!X709</f>
        <v>18259029 /NF1778370 NF1778371 - 01 MILKA</v>
      </c>
    </row>
    <row r="531" customFormat="false" ht="12.75" hidden="false" customHeight="true" outlineLevel="0" collapsed="false">
      <c r="A531" s="16" t="n">
        <f aca="false">Report!C711</f>
        <v>46224</v>
      </c>
      <c r="B531" s="1" t="str">
        <f aca="false">Report!E711</f>
        <v>NATUREZA COMERCIO DE DESCARTAVEIS LTDA</v>
      </c>
      <c r="C531" s="17" t="n">
        <f aca="false">Report!U711</f>
        <v>346.8</v>
      </c>
      <c r="D531" s="1" t="str">
        <f aca="false">Report!X711</f>
        <v>NF 28355 - MILKA</v>
      </c>
    </row>
    <row r="532" customFormat="false" ht="12.75" hidden="false" customHeight="true" outlineLevel="0" collapsed="false">
      <c r="A532" s="16" t="n">
        <f aca="false">Report!C712</f>
        <v>46224</v>
      </c>
      <c r="B532" s="1" t="str">
        <f aca="false">Report!E712</f>
        <v>NESTLÉ BRASIL LTDA.</v>
      </c>
      <c r="C532" s="17" t="n">
        <f aca="false">Report!U712</f>
        <v>1733.25</v>
      </c>
      <c r="D532" s="1" t="str">
        <f aca="false">Report!X712</f>
        <v>NF 1423352 - MILKA</v>
      </c>
    </row>
    <row r="533" customFormat="false" ht="12.75" hidden="false" customHeight="true" outlineLevel="0" collapsed="false">
      <c r="A533" s="16" t="n">
        <f aca="false">Report!C713</f>
        <v>46224</v>
      </c>
      <c r="B533" s="1" t="str">
        <f aca="false">Report!E713</f>
        <v>NSB COMERCIO ATACADISTA E VAREJISTA DE P</v>
      </c>
      <c r="C533" s="17" t="n">
        <f aca="false">Report!U713</f>
        <v>287.8</v>
      </c>
      <c r="D533" s="1" t="str">
        <f aca="false">Report!X713</f>
        <v>192333642  NF7876 - MILKA</v>
      </c>
    </row>
    <row r="534" customFormat="false" ht="12.75" hidden="false" customHeight="true" outlineLevel="0" collapsed="false">
      <c r="A534" s="16" t="n">
        <f aca="false">Report!C714</f>
        <v>46224</v>
      </c>
      <c r="B534" s="1" t="str">
        <f aca="false">Report!E714</f>
        <v>OESA COMERCIO E REPRESENTACOES S/A</v>
      </c>
      <c r="C534" s="17" t="n">
        <f aca="false">Report!U714</f>
        <v>1120.6</v>
      </c>
      <c r="D534" s="1" t="str">
        <f aca="false">Report!X714</f>
        <v>NF 423615 -2 MILKA</v>
      </c>
    </row>
    <row r="535" customFormat="false" ht="12.75" hidden="false" customHeight="true" outlineLevel="0" collapsed="false">
      <c r="A535" s="16" t="n">
        <f aca="false">Report!C715</f>
        <v>46224</v>
      </c>
      <c r="B535" s="1" t="str">
        <f aca="false">Report!E715</f>
        <v>PANIFICADORA E CONFEITARIA REAL MADRI LTDA</v>
      </c>
      <c r="C535" s="17" t="n">
        <f aca="false">Report!U715</f>
        <v>297.13</v>
      </c>
      <c r="D535" s="1" t="str">
        <f aca="false">Report!X715</f>
        <v>NF 718 - MILKA</v>
      </c>
    </row>
    <row r="536" customFormat="false" ht="12.75" hidden="false" customHeight="true" outlineLevel="0" collapsed="false">
      <c r="A536" s="16" t="n">
        <f aca="false">Report!C716</f>
        <v>46224</v>
      </c>
      <c r="B536" s="1" t="str">
        <f aca="false">Report!E716</f>
        <v>PANIFICADORA E CONFEITARIA REAL MADRI LTDA</v>
      </c>
      <c r="C536" s="17" t="n">
        <f aca="false">Report!U716</f>
        <v>700</v>
      </c>
      <c r="D536" s="1" t="str">
        <f aca="false">Report!X716</f>
        <v>NF 720 - MILKA</v>
      </c>
    </row>
    <row r="537" customFormat="false" ht="12.75" hidden="false" customHeight="true" outlineLevel="0" collapsed="false">
      <c r="A537" s="16" t="n">
        <f aca="false">Report!C717</f>
        <v>46224</v>
      </c>
      <c r="B537" s="1" t="str">
        <f aca="false">Report!E717</f>
        <v>RENATO DE O AZEVEDO E CIA LTDA - EPP</v>
      </c>
      <c r="C537" s="17" t="n">
        <f aca="false">Report!U717</f>
        <v>2320</v>
      </c>
      <c r="D537" s="1" t="str">
        <f aca="false">Report!X717</f>
        <v>FEIRA SR RENATO - DEBORA</v>
      </c>
    </row>
    <row r="538" customFormat="false" ht="12.75" hidden="false" customHeight="true" outlineLevel="0" collapsed="false">
      <c r="A538" s="16" t="n">
        <f aca="false">Report!C718</f>
        <v>46224</v>
      </c>
      <c r="B538" s="1" t="str">
        <f aca="false">Report!E718</f>
        <v>RENATO DE O AZEVEDO E CIA LTDA - EPP</v>
      </c>
      <c r="C538" s="17" t="n">
        <f aca="false">Report!U718</f>
        <v>55</v>
      </c>
      <c r="D538" s="1" t="str">
        <f aca="false">Report!X718</f>
        <v>LIMAO - FEIRA SR RENATO - DEBORA</v>
      </c>
    </row>
    <row r="539" customFormat="false" ht="12.75" hidden="false" customHeight="true" outlineLevel="0" collapsed="false">
      <c r="A539" s="16" t="n">
        <f aca="false">Report!C720</f>
        <v>46224</v>
      </c>
      <c r="B539" s="1" t="str">
        <f aca="false">Report!E720</f>
        <v>SMV COMERCIO DE PRODUTOS ALIMENTICIOS LT</v>
      </c>
      <c r="C539" s="17" t="n">
        <f aca="false">Report!U720</f>
        <v>525.06</v>
      </c>
      <c r="D539" s="1" t="str">
        <f aca="false">Report!X720</f>
        <v>6860-2/2  NF6597 - MILKA</v>
      </c>
    </row>
    <row r="540" customFormat="false" ht="12.75" hidden="false" customHeight="true" outlineLevel="0" collapsed="false">
      <c r="A540" s="16" t="n">
        <f aca="false">Report!C722</f>
        <v>46224</v>
      </c>
      <c r="B540" s="1" t="str">
        <f aca="false">Report!E722</f>
        <v>VITAPAN COMERCIO VAREJISTA DE PRODUTOS ALIMENTICIOS LTDA</v>
      </c>
      <c r="C540" s="17" t="n">
        <f aca="false">Report!U722</f>
        <v>756</v>
      </c>
      <c r="D540" s="1" t="str">
        <f aca="false">Report!X722</f>
        <v>NF 10312 - MILKA</v>
      </c>
    </row>
    <row r="541" customFormat="false" ht="12.75" hidden="false" customHeight="true" outlineLevel="0" collapsed="false">
      <c r="A541" s="16" t="n">
        <f aca="false">Report!C723</f>
        <v>46225</v>
      </c>
      <c r="B541" s="1" t="str">
        <f aca="false">Report!E723</f>
        <v>ADRIANA DISTRIBUIDORA DE PRODUTOS ALIMEN</v>
      </c>
      <c r="C541" s="17" t="n">
        <f aca="false">Report!U723</f>
        <v>1028.46</v>
      </c>
      <c r="D541" s="1" t="str">
        <f aca="false">Report!X723</f>
        <v>NF 880066-1 MILKA</v>
      </c>
    </row>
    <row r="542" customFormat="false" ht="12.75" hidden="false" customHeight="true" outlineLevel="0" collapsed="false">
      <c r="A542" s="16" t="n">
        <f aca="false">Report!C725</f>
        <v>46225</v>
      </c>
      <c r="B542" s="1" t="str">
        <f aca="false">Report!E725</f>
        <v>AMAZON MILK IND. E COMERCIO LTDA</v>
      </c>
      <c r="C542" s="17" t="n">
        <f aca="false">Report!U725</f>
        <v>1438.2</v>
      </c>
      <c r="D542" s="1" t="str">
        <f aca="false">Report!X725</f>
        <v>NF 203761 - MILKA</v>
      </c>
    </row>
    <row r="543" customFormat="false" ht="12.75" hidden="false" customHeight="true" outlineLevel="0" collapsed="false">
      <c r="A543" s="16" t="n">
        <f aca="false">Report!C726</f>
        <v>46225</v>
      </c>
      <c r="B543" s="1" t="str">
        <f aca="false">Report!E726</f>
        <v>ATACADAO S.A.</v>
      </c>
      <c r="C543" s="17" t="n">
        <f aca="false">Report!U726</f>
        <v>1367.5</v>
      </c>
      <c r="D543" s="1" t="str">
        <f aca="false">Report!X726</f>
        <v>NF 1895763 - MILKA</v>
      </c>
    </row>
    <row r="544" customFormat="false" ht="12.75" hidden="false" customHeight="true" outlineLevel="0" collapsed="false">
      <c r="A544" s="16" t="n">
        <f aca="false">Report!C727</f>
        <v>46225</v>
      </c>
      <c r="B544" s="1" t="str">
        <f aca="false">Report!E727</f>
        <v>ATACADAO S.A.</v>
      </c>
      <c r="C544" s="17" t="n">
        <f aca="false">Report!U727</f>
        <v>495.45</v>
      </c>
      <c r="D544" s="1" t="str">
        <f aca="false">Report!X727</f>
        <v>NF 1895810 - MILKA</v>
      </c>
    </row>
    <row r="545" customFormat="false" ht="12.75" hidden="false" customHeight="true" outlineLevel="0" collapsed="false">
      <c r="A545" s="16" t="n">
        <f aca="false">Report!C728</f>
        <v>46225</v>
      </c>
      <c r="B545" s="1" t="str">
        <f aca="false">Report!E728</f>
        <v>BRASIL NORTE BEBIDAS S/A</v>
      </c>
      <c r="C545" s="17" t="n">
        <f aca="false">Report!U728</f>
        <v>257.85</v>
      </c>
      <c r="D545" s="1" t="str">
        <f aca="false">Report!X728</f>
        <v>NF 1174709 - MILKA</v>
      </c>
    </row>
    <row r="546" customFormat="false" ht="12.75" hidden="false" customHeight="true" outlineLevel="0" collapsed="false">
      <c r="A546" s="16" t="n">
        <f aca="false">Report!C729</f>
        <v>46225</v>
      </c>
      <c r="B546" s="1" t="str">
        <f aca="false">Report!E729</f>
        <v>BRASIL NORTE BEBIDAS S/A</v>
      </c>
      <c r="C546" s="17" t="n">
        <f aca="false">Report!U729</f>
        <v>897.72</v>
      </c>
      <c r="D546" s="1" t="str">
        <f aca="false">Report!X729</f>
        <v>NF 1191435 - MILKA</v>
      </c>
    </row>
    <row r="547" customFormat="false" ht="12.75" hidden="false" customHeight="true" outlineLevel="0" collapsed="false">
      <c r="A547" s="16" t="n">
        <f aca="false">Report!C730</f>
        <v>46225</v>
      </c>
      <c r="B547" s="1" t="str">
        <f aca="false">Report!E730</f>
        <v>BRASIL NORTE BEBIDAS S/A</v>
      </c>
      <c r="C547" s="17" t="n">
        <f aca="false">Report!U730</f>
        <v>1827.23</v>
      </c>
      <c r="D547" s="1" t="str">
        <f aca="false">Report!X730</f>
        <v>NF 1922435 - MILKA</v>
      </c>
    </row>
    <row r="548" customFormat="false" ht="12.75" hidden="false" customHeight="true" outlineLevel="0" collapsed="false">
      <c r="A548" s="16" t="n">
        <f aca="false">Report!C731</f>
        <v>46225</v>
      </c>
      <c r="B548" s="1" t="str">
        <f aca="false">Report!E731</f>
        <v>BRASIL NORTE BEBIDAS S/A</v>
      </c>
      <c r="C548" s="17" t="n">
        <f aca="false">Report!U731</f>
        <v>365.08</v>
      </c>
      <c r="D548" s="1" t="str">
        <f aca="false">Report!X731</f>
        <v>NF 1922459 - MILKA</v>
      </c>
    </row>
    <row r="549" customFormat="false" ht="12.75" hidden="false" customHeight="true" outlineLevel="0" collapsed="false">
      <c r="A549" s="16" t="n">
        <f aca="false">Report!C732</f>
        <v>46225</v>
      </c>
      <c r="B549" s="1" t="str">
        <f aca="false">Report!E732</f>
        <v>BRF S A</v>
      </c>
      <c r="C549" s="17" t="n">
        <f aca="false">Report!U732</f>
        <v>2368.51</v>
      </c>
      <c r="D549" s="1" t="str">
        <f aca="false">Report!X732</f>
        <v>NF 1603506-02/02 MILKA</v>
      </c>
    </row>
    <row r="550" customFormat="false" ht="12.75" hidden="false" customHeight="true" outlineLevel="0" collapsed="false">
      <c r="A550" s="16" t="n">
        <f aca="false">Report!C733</f>
        <v>46225</v>
      </c>
      <c r="B550" s="1" t="str">
        <f aca="false">Report!E733</f>
        <v>BRF S A</v>
      </c>
      <c r="C550" s="17" t="n">
        <f aca="false">Report!U733</f>
        <v>3073.81</v>
      </c>
      <c r="D550" s="1" t="str">
        <f aca="false">Report!X733</f>
        <v>NF1605894-01/02 - MILKA</v>
      </c>
    </row>
    <row r="551" customFormat="false" ht="12.75" hidden="false" customHeight="true" outlineLevel="0" collapsed="false">
      <c r="A551" s="16" t="n">
        <f aca="false">Report!C734</f>
        <v>46225</v>
      </c>
      <c r="B551" s="1" t="str">
        <f aca="false">Report!E734</f>
        <v>COMERCIO E TRANSPORTE BRANDAO LTDA</v>
      </c>
      <c r="C551" s="17" t="n">
        <f aca="false">Report!U734</f>
        <v>850</v>
      </c>
      <c r="D551" s="1" t="str">
        <f aca="false">Report!X734</f>
        <v>NF 14911 - DEBORA</v>
      </c>
    </row>
    <row r="552" customFormat="false" ht="12.75" hidden="false" customHeight="true" outlineLevel="0" collapsed="false">
      <c r="A552" s="16" t="n">
        <f aca="false">Report!C735</f>
        <v>46225</v>
      </c>
      <c r="B552" s="1" t="str">
        <f aca="false">Report!E735</f>
        <v>DISTRIBUIDORA LOPES LTDA</v>
      </c>
      <c r="C552" s="17" t="n">
        <f aca="false">Report!U735</f>
        <v>1065.06</v>
      </c>
      <c r="D552" s="1" t="str">
        <f aca="false">Report!X735</f>
        <v>NF 1679265-2 MILKA</v>
      </c>
    </row>
    <row r="553" customFormat="false" ht="12.75" hidden="false" customHeight="true" outlineLevel="0" collapsed="false">
      <c r="A553" s="16" t="n">
        <f aca="false">Report!C736</f>
        <v>46225</v>
      </c>
      <c r="B553" s="1" t="str">
        <f aca="false">Report!E736</f>
        <v>DISTRIBUIDORA LOPES LTDA</v>
      </c>
      <c r="C553" s="17" t="n">
        <f aca="false">Report!U736</f>
        <v>1271.28</v>
      </c>
      <c r="D553" s="1" t="str">
        <f aca="false">Report!X736</f>
        <v>NF 1679646-2 MILKA </v>
      </c>
    </row>
    <row r="554" customFormat="false" ht="12.75" hidden="false" customHeight="true" outlineLevel="0" collapsed="false">
      <c r="A554" s="16" t="n">
        <f aca="false">Report!C737</f>
        <v>46225</v>
      </c>
      <c r="B554" s="1" t="str">
        <f aca="false">Report!E737</f>
        <v>DISTRIBUIDORA LOPES LTDA</v>
      </c>
      <c r="C554" s="17" t="n">
        <f aca="false">Report!U737</f>
        <v>1862.4</v>
      </c>
      <c r="D554" s="1" t="str">
        <f aca="false">Report!X737</f>
        <v>NF 1685233-1 MILKA</v>
      </c>
    </row>
    <row r="555" customFormat="false" ht="12.75" hidden="false" customHeight="true" outlineLevel="0" collapsed="false">
      <c r="A555" s="16" t="n">
        <f aca="false">Report!C738</f>
        <v>46225</v>
      </c>
      <c r="B555" s="1" t="str">
        <f aca="false">Report!E738</f>
        <v>JAB COMERCIO DE PRODUTOS ALIMENTICIOS LT</v>
      </c>
      <c r="C555" s="17" t="n">
        <f aca="false">Report!U738</f>
        <v>315</v>
      </c>
      <c r="D555" s="1" t="str">
        <f aca="false">Report!X738</f>
        <v>NF 10312 SANTOPAO - MILKA</v>
      </c>
    </row>
    <row r="556" customFormat="false" ht="12.75" hidden="false" customHeight="true" outlineLevel="0" collapsed="false">
      <c r="A556" s="16" t="n">
        <f aca="false">Report!C739</f>
        <v>46225</v>
      </c>
      <c r="B556" s="1" t="str">
        <f aca="false">Report!E739</f>
        <v>L S M COMERCIO DE ALIMENTOS E NAVEGACAO</v>
      </c>
      <c r="C556" s="17" t="n">
        <f aca="false">Report!U739</f>
        <v>1613.93</v>
      </c>
      <c r="D556" s="1" t="str">
        <f aca="false">Report!X739</f>
        <v>NF 306058-2 MILKA</v>
      </c>
    </row>
    <row r="557" customFormat="false" ht="12.75" hidden="false" customHeight="true" outlineLevel="0" collapsed="false">
      <c r="A557" s="16" t="n">
        <f aca="false">Report!C740</f>
        <v>46225</v>
      </c>
      <c r="B557" s="1" t="str">
        <f aca="false">Report!E740</f>
        <v>L S M COMERCIO DE ALIMENTOS E NAVEGACAO</v>
      </c>
      <c r="C557" s="17" t="n">
        <f aca="false">Report!U740</f>
        <v>732.47</v>
      </c>
      <c r="D557" s="1" t="str">
        <f aca="false">Report!X740</f>
        <v>NF 307805-1 MILKA</v>
      </c>
    </row>
    <row r="558" customFormat="false" ht="12.75" hidden="false" customHeight="true" outlineLevel="0" collapsed="false">
      <c r="A558" s="16" t="n">
        <f aca="false">Report!C741</f>
        <v>46225</v>
      </c>
      <c r="B558" s="1" t="str">
        <f aca="false">Report!E741</f>
        <v>LELE FABRICACAO DE MASSAS LTDA</v>
      </c>
      <c r="C558" s="17" t="n">
        <f aca="false">Report!U741</f>
        <v>450</v>
      </c>
      <c r="D558" s="1" t="str">
        <f aca="false">Report!X741</f>
        <v>NF 16646 - MILKA</v>
      </c>
    </row>
    <row r="559" customFormat="false" ht="12.75" hidden="false" customHeight="true" outlineLevel="0" collapsed="false">
      <c r="A559" s="16" t="n">
        <f aca="false">Report!C742</f>
        <v>46225</v>
      </c>
      <c r="B559" s="1" t="str">
        <f aca="false">Report!E742</f>
        <v>NESTLÉ BRASIL LTDA.</v>
      </c>
      <c r="C559" s="17" t="n">
        <f aca="false">Report!U742</f>
        <v>1051.26</v>
      </c>
      <c r="D559" s="1" t="str">
        <f aca="false">Report!X742</f>
        <v>NF1425692-02/03 MILKA</v>
      </c>
    </row>
    <row r="560" customFormat="false" ht="12.75" hidden="false" customHeight="true" outlineLevel="0" collapsed="false">
      <c r="A560" s="16" t="n">
        <f aca="false">Report!C743</f>
        <v>46225</v>
      </c>
      <c r="B560" s="1" t="str">
        <f aca="false">Report!E743</f>
        <v>OPPORTUNITY ALIMENTOS PARA ANIMAIS LTDA</v>
      </c>
      <c r="C560" s="17" t="n">
        <f aca="false">Report!U743</f>
        <v>1975</v>
      </c>
      <c r="D560" s="1" t="str">
        <f aca="false">Report!X743</f>
        <v>NF 34212-2 MILKA</v>
      </c>
    </row>
    <row r="561" customFormat="false" ht="12.75" hidden="false" customHeight="true" outlineLevel="0" collapsed="false">
      <c r="A561" s="16" t="n">
        <f aca="false">Report!C744</f>
        <v>46225</v>
      </c>
      <c r="B561" s="1" t="str">
        <f aca="false">Report!E744</f>
        <v>PANIFICADORA E CONFEITARIA REAL MADRI LTDA</v>
      </c>
      <c r="C561" s="17" t="n">
        <f aca="false">Report!U744</f>
        <v>602.15</v>
      </c>
      <c r="D561" s="1" t="str">
        <f aca="false">Report!X744</f>
        <v>NF 721 - MILKA</v>
      </c>
    </row>
    <row r="562" customFormat="false" ht="12.75" hidden="false" customHeight="true" outlineLevel="0" collapsed="false">
      <c r="A562" s="16" t="n">
        <f aca="false">Report!C745</f>
        <v>46225</v>
      </c>
      <c r="B562" s="1" t="str">
        <f aca="false">Report!E745</f>
        <v>RENATO DE O AZEVEDO E CIA LTDA - EPP</v>
      </c>
      <c r="C562" s="17" t="n">
        <f aca="false">Report!U745</f>
        <v>1529</v>
      </c>
      <c r="D562" s="1" t="str">
        <f aca="false">Report!X745</f>
        <v>FEIRA CARLOS - DEBORA</v>
      </c>
    </row>
    <row r="563" customFormat="false" ht="12.75" hidden="false" customHeight="true" outlineLevel="0" collapsed="false">
      <c r="A563" s="16" t="n">
        <f aca="false">Report!C746</f>
        <v>46225</v>
      </c>
      <c r="B563" s="1" t="str">
        <f aca="false">Report!E746</f>
        <v>RENATO DE O AZEVEDO E CIA LTDA - EPP</v>
      </c>
      <c r="C563" s="17" t="n">
        <f aca="false">Report!U746</f>
        <v>70</v>
      </c>
      <c r="D563" s="1" t="str">
        <f aca="false">Report!X746</f>
        <v>FEIRA CARLOS - CAMARAO COM CASCA - DEBORA</v>
      </c>
    </row>
    <row r="564" customFormat="false" ht="12.75" hidden="false" customHeight="true" outlineLevel="0" collapsed="false">
      <c r="A564" s="16" t="n">
        <f aca="false">Report!C747</f>
        <v>46225</v>
      </c>
      <c r="B564" s="1" t="str">
        <f aca="false">Report!E747</f>
        <v>RISADINHA LTDA</v>
      </c>
      <c r="C564" s="17" t="n">
        <f aca="false">Report!U747</f>
        <v>660</v>
      </c>
      <c r="D564" s="1" t="str">
        <f aca="false">Report!X747</f>
        <v>NF 660505-01 MILKA</v>
      </c>
    </row>
    <row r="565" customFormat="false" ht="12.75" hidden="false" customHeight="true" outlineLevel="0" collapsed="false">
      <c r="A565" s="16" t="n">
        <f aca="false">Report!C748</f>
        <v>46225</v>
      </c>
      <c r="B565" s="1" t="str">
        <f aca="false">Report!E748</f>
        <v>TAPAJOS COM DE PERFUMARIA COSMETICOS E G</v>
      </c>
      <c r="C565" s="17" t="n">
        <f aca="false">Report!U748</f>
        <v>1499.41</v>
      </c>
      <c r="D565" s="1" t="str">
        <f aca="false">Report!X748</f>
        <v>NF 576439-2 MILKA</v>
      </c>
    </row>
    <row r="566" customFormat="false" ht="12.75" hidden="false" customHeight="true" outlineLevel="0" collapsed="false">
      <c r="A566" s="16" t="n">
        <f aca="false">Report!C749</f>
        <v>46226</v>
      </c>
      <c r="B566" s="1" t="str">
        <f aca="false">Report!E749</f>
        <v>ADICSO FABIAN GONZALEZ MONTILLA 70302186</v>
      </c>
      <c r="C566" s="17" t="n">
        <f aca="false">Report!U749</f>
        <v>480</v>
      </c>
      <c r="D566" s="1" t="str">
        <f aca="false">Report!X749</f>
        <v>NF 539 BLOOM - MILKA</v>
      </c>
    </row>
    <row r="567" customFormat="false" ht="12.75" hidden="false" customHeight="true" outlineLevel="0" collapsed="false">
      <c r="A567" s="16" t="n">
        <f aca="false">Report!C750</f>
        <v>46226</v>
      </c>
      <c r="B567" s="1" t="str">
        <f aca="false">Report!E750</f>
        <v>AMAZONIA INDUSTRIA E COMERCIO DE POLPAS</v>
      </c>
      <c r="C567" s="17" t="n">
        <f aca="false">Report!U750</f>
        <v>478</v>
      </c>
      <c r="D567" s="1" t="str">
        <f aca="false">Report!X750</f>
        <v>NF 271007 AMAZONIA POLPAS - MILKA</v>
      </c>
    </row>
    <row r="568" customFormat="false" ht="12.75" hidden="false" customHeight="true" outlineLevel="0" collapsed="false">
      <c r="A568" s="16" t="n">
        <f aca="false">Report!C751</f>
        <v>46226</v>
      </c>
      <c r="B568" s="1" t="str">
        <f aca="false">Report!E751</f>
        <v>C. R. PARENTE ABREU</v>
      </c>
      <c r="C568" s="17" t="n">
        <f aca="false">Report!U751</f>
        <v>417.42</v>
      </c>
      <c r="D568" s="1" t="str">
        <f aca="false">Report!X751</f>
        <v>NF 11430-2 KARU MILKA</v>
      </c>
    </row>
    <row r="569" customFormat="false" ht="12.75" hidden="false" customHeight="true" outlineLevel="0" collapsed="false">
      <c r="A569" s="16" t="n">
        <f aca="false">Report!C752</f>
        <v>46226</v>
      </c>
      <c r="B569" s="1" t="str">
        <f aca="false">Report!E752</f>
        <v>C. R. PARENTE ABREU</v>
      </c>
      <c r="C569" s="17" t="n">
        <f aca="false">Report!U752</f>
        <v>624.28</v>
      </c>
      <c r="D569" s="1" t="str">
        <f aca="false">Report!X752</f>
        <v>NF 11447 -1 MILKA</v>
      </c>
    </row>
    <row r="570" customFormat="false" ht="12.75" hidden="false" customHeight="true" outlineLevel="0" collapsed="false">
      <c r="A570" s="16" t="n">
        <f aca="false">Report!C753</f>
        <v>46226</v>
      </c>
      <c r="B570" s="1" t="str">
        <f aca="false">Report!E753</f>
        <v>DISTRIBUIDORA LOPES LTDA</v>
      </c>
      <c r="C570" s="17" t="n">
        <f aca="false">Report!U753</f>
        <v>1310.04</v>
      </c>
      <c r="D570" s="1" t="str">
        <f aca="false">Report!X753</f>
        <v>NF 1680082-2 MILKA </v>
      </c>
    </row>
    <row r="571" customFormat="false" ht="12.75" hidden="false" customHeight="true" outlineLevel="0" collapsed="false">
      <c r="A571" s="16" t="n">
        <f aca="false">Report!C754</f>
        <v>46226</v>
      </c>
      <c r="B571" s="1" t="str">
        <f aca="false">Report!E754</f>
        <v>FENNIX BRASIL DISTRIBUIDORA DE PRODUTOS</v>
      </c>
      <c r="C571" s="17" t="n">
        <f aca="false">Report!U754</f>
        <v>2048.68</v>
      </c>
      <c r="D571" s="1" t="str">
        <f aca="false">Report!X754</f>
        <v>NF 311084 -3 MILKA</v>
      </c>
    </row>
    <row r="572" customFormat="false" ht="12.75" hidden="false" customHeight="true" outlineLevel="0" collapsed="false">
      <c r="A572" s="16" t="n">
        <f aca="false">Report!C755</f>
        <v>46226</v>
      </c>
      <c r="B572" s="1" t="str">
        <f aca="false">Report!E755</f>
        <v>FENNIX BRASIL DISTRIBUIDORA DE PRODUTOS</v>
      </c>
      <c r="C572" s="17" t="n">
        <f aca="false">Report!U755</f>
        <v>917.86</v>
      </c>
      <c r="D572" s="1" t="str">
        <f aca="false">Report!X755</f>
        <v>NF396010 - MILKA</v>
      </c>
    </row>
    <row r="573" customFormat="false" ht="12.75" hidden="false" customHeight="true" outlineLevel="0" collapsed="false">
      <c r="A573" s="16" t="n">
        <f aca="false">Report!C756</f>
        <v>46226</v>
      </c>
      <c r="B573" s="1" t="str">
        <f aca="false">Report!E756</f>
        <v>FENNIX BRASIL DISTRIBUIDORA DE PRODUTOS</v>
      </c>
      <c r="C573" s="17" t="n">
        <f aca="false">Report!U756</f>
        <v>1643.76</v>
      </c>
      <c r="D573" s="1" t="str">
        <f aca="false">Report!X756</f>
        <v>NF 312590-1 MILKA</v>
      </c>
    </row>
    <row r="574" customFormat="false" ht="12.75" hidden="false" customHeight="true" outlineLevel="0" collapsed="false">
      <c r="A574" s="16" t="n">
        <f aca="false">Report!C757</f>
        <v>46226</v>
      </c>
      <c r="B574" s="1" t="str">
        <f aca="false">Report!E757</f>
        <v>H L M PADARIA E CONFEITARIA LTDA</v>
      </c>
      <c r="C574" s="17" t="n">
        <f aca="false">Report!U757</f>
        <v>420</v>
      </c>
      <c r="D574" s="1" t="str">
        <f aca="false">Report!X757</f>
        <v>NF 71 - DEBORA</v>
      </c>
    </row>
    <row r="575" customFormat="false" ht="12.75" hidden="false" customHeight="true" outlineLevel="0" collapsed="false">
      <c r="A575" s="16" t="n">
        <f aca="false">Report!C758</f>
        <v>46226</v>
      </c>
      <c r="B575" s="1" t="str">
        <f aca="false">Report!E758</f>
        <v>LIMA E BARANDA COMERCIO DE PRODUTOS REGI</v>
      </c>
      <c r="C575" s="17" t="n">
        <f aca="false">Report!U758</f>
        <v>233.5</v>
      </c>
      <c r="D575" s="1" t="str">
        <f aca="false">Report!X758</f>
        <v>NF 31493 - MILKA</v>
      </c>
    </row>
    <row r="576" customFormat="false" ht="12.75" hidden="false" customHeight="true" outlineLevel="0" collapsed="false">
      <c r="A576" s="16" t="n">
        <f aca="false">Report!C759</f>
        <v>46226</v>
      </c>
      <c r="B576" s="1" t="str">
        <f aca="false">Report!E759</f>
        <v>MAXFRI DISTRIUIDORA LTDA</v>
      </c>
      <c r="C576" s="17" t="n">
        <f aca="false">Report!U759</f>
        <v>6254.1</v>
      </c>
      <c r="D576" s="1" t="str">
        <f aca="false">Report!X759</f>
        <v>NF14727 - MILKA</v>
      </c>
    </row>
    <row r="577" customFormat="false" ht="12.75" hidden="false" customHeight="true" outlineLevel="0" collapsed="false">
      <c r="A577" s="16" t="n">
        <f aca="false">Report!C760</f>
        <v>46226</v>
      </c>
      <c r="B577" s="1" t="str">
        <f aca="false">Report!E760</f>
        <v>NESTLÉ BRASIL LTDA.</v>
      </c>
      <c r="C577" s="17" t="n">
        <f aca="false">Report!U760</f>
        <v>986.86</v>
      </c>
      <c r="D577" s="1" t="str">
        <f aca="false">Report!X760</f>
        <v>NF 1428642-01 MILKA</v>
      </c>
    </row>
    <row r="578" customFormat="false" ht="12.75" hidden="false" customHeight="true" outlineLevel="0" collapsed="false">
      <c r="A578" s="16" t="n">
        <f aca="false">Report!C762</f>
        <v>46226</v>
      </c>
      <c r="B578" s="1" t="str">
        <f aca="false">Report!E762</f>
        <v>NT INDUSTRIA E COMERCIO DE PANIFICACAO L</v>
      </c>
      <c r="C578" s="17" t="n">
        <f aca="false">Report!U762</f>
        <v>4978.85</v>
      </c>
      <c r="D578" s="1" t="str">
        <f aca="false">Report!X762</f>
        <v>NF40749 - MILKA</v>
      </c>
    </row>
    <row r="579" customFormat="false" ht="12.75" hidden="false" customHeight="true" outlineLevel="0" collapsed="false">
      <c r="A579" s="16" t="n">
        <f aca="false">Report!C763</f>
        <v>46226</v>
      </c>
      <c r="B579" s="1" t="str">
        <f aca="false">Report!E763</f>
        <v>OCIDENTAL COMERCIO DE FRIOS LTDA</v>
      </c>
      <c r="C579" s="17" t="n">
        <f aca="false">Report!U763</f>
        <v>983.78</v>
      </c>
      <c r="D579" s="1" t="str">
        <f aca="false">Report!X763</f>
        <v>NF 1240896-2/2 MILKA</v>
      </c>
    </row>
    <row r="580" customFormat="false" ht="12.75" hidden="false" customHeight="true" outlineLevel="0" collapsed="false">
      <c r="A580" s="16" t="n">
        <f aca="false">Report!C764</f>
        <v>46226</v>
      </c>
      <c r="B580" s="1" t="str">
        <f aca="false">Report!E764</f>
        <v>OCIDENTAL COMERCIO DE FRIOS LTDA</v>
      </c>
      <c r="C580" s="17" t="n">
        <f aca="false">Report!U764</f>
        <v>972.3</v>
      </c>
      <c r="D580" s="1" t="str">
        <f aca="false">Report!X764</f>
        <v>NF 1243403-1 MILKA</v>
      </c>
    </row>
    <row r="581" customFormat="false" ht="12.75" hidden="false" customHeight="true" outlineLevel="0" collapsed="false">
      <c r="A581" s="16" t="n">
        <f aca="false">Report!C765</f>
        <v>46226</v>
      </c>
      <c r="B581" s="1" t="str">
        <f aca="false">Report!E765</f>
        <v>PANIFICADORA E CONFEITARIA REAL MADRI LTDA</v>
      </c>
      <c r="C581" s="17" t="n">
        <f aca="false">Report!U765</f>
        <v>149.85</v>
      </c>
      <c r="D581" s="1" t="str">
        <f aca="false">Report!X765</f>
        <v>NF 723 - MILKA</v>
      </c>
    </row>
    <row r="582" customFormat="false" ht="12.75" hidden="false" customHeight="true" outlineLevel="0" collapsed="false">
      <c r="A582" s="16" t="n">
        <f aca="false">Report!C766</f>
        <v>46226</v>
      </c>
      <c r="B582" s="1" t="str">
        <f aca="false">Report!E766</f>
        <v>PANIFICADORA E CONFEITARIA REAL MADRI LTDA</v>
      </c>
      <c r="C582" s="17" t="n">
        <f aca="false">Report!U766</f>
        <v>501.9</v>
      </c>
      <c r="D582" s="1" t="str">
        <f aca="false">Report!X766</f>
        <v>NF 722 - MILKA</v>
      </c>
    </row>
    <row r="583" customFormat="false" ht="12.75" hidden="false" customHeight="true" outlineLevel="0" collapsed="false">
      <c r="A583" s="16" t="n">
        <f aca="false">Report!C767</f>
        <v>46226</v>
      </c>
      <c r="B583" s="1" t="str">
        <f aca="false">Report!E767</f>
        <v>PIARARA COMERCIO, IMPORTACAO E EXPORTACAO LTDA</v>
      </c>
      <c r="C583" s="17" t="n">
        <f aca="false">Report!U767</f>
        <v>1024.54</v>
      </c>
      <c r="D583" s="1" t="str">
        <f aca="false">Report!X767</f>
        <v>NF 193797 -3 MILKA</v>
      </c>
    </row>
    <row r="584" customFormat="false" ht="12.75" hidden="false" customHeight="true" outlineLevel="0" collapsed="false">
      <c r="A584" s="16" t="n">
        <f aca="false">Report!C768</f>
        <v>46226</v>
      </c>
      <c r="B584" s="1" t="str">
        <f aca="false">Report!E768</f>
        <v>REAL BEBIDAS DA AMAZONIA LTDA</v>
      </c>
      <c r="C584" s="17" t="n">
        <f aca="false">Report!U768</f>
        <v>704</v>
      </c>
      <c r="D584" s="1" t="str">
        <f aca="false">Report!X768</f>
        <v>NF 604178 - MILKA</v>
      </c>
    </row>
    <row r="585" customFormat="false" ht="12.75" hidden="false" customHeight="true" outlineLevel="0" collapsed="false">
      <c r="A585" s="16" t="n">
        <f aca="false">Report!C769</f>
        <v>46226</v>
      </c>
      <c r="B585" s="1" t="str">
        <f aca="false">Report!E769</f>
        <v>RV TECNOLOGIA E SISTEMAS S.A</v>
      </c>
      <c r="C585" s="17" t="n">
        <f aca="false">Report!U769</f>
        <v>55.95</v>
      </c>
      <c r="D585" s="1" t="str">
        <f aca="false">Report!X769</f>
        <v>RECARGA CELULAR MO1 - KEILA</v>
      </c>
    </row>
    <row r="586" customFormat="false" ht="12.75" hidden="false" customHeight="true" outlineLevel="0" collapsed="false">
      <c r="A586" s="16" t="n">
        <f aca="false">Report!C770</f>
        <v>46226</v>
      </c>
      <c r="B586" s="1" t="str">
        <f aca="false">Report!E770</f>
        <v>RV TECNOLOGIA E SISTEMAS S.A</v>
      </c>
      <c r="C586" s="17" t="n">
        <f aca="false">Report!U770</f>
        <v>421.5</v>
      </c>
      <c r="D586" s="1" t="str">
        <f aca="false">Report!X770</f>
        <v>RECARGA CELULAR MO1 - KEILA</v>
      </c>
    </row>
    <row r="587" customFormat="false" ht="12.75" hidden="false" customHeight="true" outlineLevel="0" collapsed="false">
      <c r="A587" s="16" t="n">
        <f aca="false">Report!C771</f>
        <v>46226</v>
      </c>
      <c r="B587" s="1" t="str">
        <f aca="false">Report!E771</f>
        <v>SB COMERCIO LTDA</v>
      </c>
      <c r="C587" s="17" t="n">
        <f aca="false">Report!U771</f>
        <v>3937.78</v>
      </c>
      <c r="D587" s="1" t="str">
        <f aca="false">Report!X771</f>
        <v>NF 1957890-4 MILKA</v>
      </c>
    </row>
    <row r="588" customFormat="false" ht="12.75" hidden="false" customHeight="true" outlineLevel="0" collapsed="false">
      <c r="A588" s="16" t="n">
        <f aca="false">Report!C772</f>
        <v>46226</v>
      </c>
      <c r="B588" s="1" t="str">
        <f aca="false">Report!E772</f>
        <v>SOUZA CRUZ LTDA.</v>
      </c>
      <c r="C588" s="17" t="n">
        <f aca="false">Report!U772</f>
        <v>5877.9</v>
      </c>
      <c r="D588" s="1" t="str">
        <f aca="false">Report!X772</f>
        <v>NF 566298 -02 MILKA</v>
      </c>
    </row>
    <row r="589" customFormat="false" ht="12.75" hidden="false" customHeight="true" outlineLevel="0" collapsed="false">
      <c r="A589" s="16" t="n">
        <f aca="false">Report!C773</f>
        <v>46226</v>
      </c>
      <c r="B589" s="1" t="str">
        <f aca="false">Report!E773</f>
        <v>VITAPAN COMERCIO VAREJISTA DE PRODUTOS ALIMENTICIOS LTDA</v>
      </c>
      <c r="C589" s="17" t="n">
        <f aca="false">Report!U773</f>
        <v>972</v>
      </c>
      <c r="D589" s="1" t="str">
        <f aca="false">Report!X773</f>
        <v>NF 10334 - MILKA</v>
      </c>
    </row>
    <row r="590" customFormat="false" ht="12.75" hidden="false" customHeight="true" outlineLevel="0" collapsed="false">
      <c r="A590" s="16" t="n">
        <f aca="false">Report!C774</f>
        <v>46227</v>
      </c>
      <c r="B590" s="1" t="str">
        <f aca="false">Report!E774</f>
        <v>AMAZONIA COMERCIO DE MASSAS LTDA</v>
      </c>
      <c r="C590" s="17" t="n">
        <f aca="false">Report!U774</f>
        <v>550</v>
      </c>
      <c r="D590" s="1" t="str">
        <f aca="false">Report!X774</f>
        <v>NF 3299 IMPERIO DO CANUDINHO - MILKA</v>
      </c>
    </row>
    <row r="591" customFormat="false" ht="12.75" hidden="false" customHeight="true" outlineLevel="0" collapsed="false">
      <c r="A591" s="16" t="n">
        <f aca="false">Report!C775</f>
        <v>46227</v>
      </c>
      <c r="B591" s="1" t="str">
        <f aca="false">Report!E775</f>
        <v>BRAGA TABACARIA EIRELI ME</v>
      </c>
      <c r="C591" s="17" t="n">
        <f aca="false">Report!U775</f>
        <v>595</v>
      </c>
      <c r="D591" s="1" t="str">
        <f aca="false">Report!X775</f>
        <v>NF 19022-03 MILKA</v>
      </c>
    </row>
    <row r="592" customFormat="false" ht="12.75" hidden="false" customHeight="true" outlineLevel="0" collapsed="false">
      <c r="A592" s="16" t="n">
        <f aca="false">Report!C776</f>
        <v>46227</v>
      </c>
      <c r="B592" s="1" t="str">
        <f aca="false">Report!E776</f>
        <v>BROTHERS  INDUSTRIA DE ALIMENTOS LTDA</v>
      </c>
      <c r="C592" s="17" t="n">
        <f aca="false">Report!U776</f>
        <v>653.6</v>
      </c>
      <c r="D592" s="1" t="str">
        <f aca="false">Report!X776</f>
        <v>NF 1032212 - MILKA</v>
      </c>
    </row>
    <row r="593" customFormat="false" ht="12.75" hidden="false" customHeight="true" outlineLevel="0" collapsed="false">
      <c r="A593" s="16" t="n">
        <f aca="false">Report!C777</f>
        <v>46227</v>
      </c>
      <c r="B593" s="1" t="str">
        <f aca="false">Report!E777</f>
        <v>COMERCIO DE FRIOS MANAUS LTDA</v>
      </c>
      <c r="C593" s="17" t="n">
        <f aca="false">Report!U777</f>
        <v>5478.8</v>
      </c>
      <c r="D593" s="1" t="str">
        <f aca="false">Report!X777</f>
        <v>NF173143 - MILKA</v>
      </c>
    </row>
    <row r="594" customFormat="false" ht="12.75" hidden="false" customHeight="true" outlineLevel="0" collapsed="false">
      <c r="A594" s="16" t="n">
        <f aca="false">Report!C778</f>
        <v>46227</v>
      </c>
      <c r="B594" s="1" t="str">
        <f aca="false">Report!E778</f>
        <v>DISTRIBUIDORA FARIAS LTDA.</v>
      </c>
      <c r="C594" s="17" t="n">
        <f aca="false">Report!U778</f>
        <v>871.13</v>
      </c>
      <c r="D594" s="1" t="str">
        <f aca="false">Report!X778</f>
        <v>804856-A/C  NF681131 - MILKA</v>
      </c>
    </row>
    <row r="595" customFormat="false" ht="12.75" hidden="false" customHeight="true" outlineLevel="0" collapsed="false">
      <c r="A595" s="16" t="n">
        <f aca="false">Report!C779</f>
        <v>46227</v>
      </c>
      <c r="B595" s="1" t="str">
        <f aca="false">Report!E779</f>
        <v>EDMARA COMERCIO DE HIGIENE PESSOAL LTDA</v>
      </c>
      <c r="C595" s="17" t="n">
        <f aca="false">Report!U779</f>
        <v>526.88</v>
      </c>
      <c r="D595" s="1" t="str">
        <f aca="false">Report!X779</f>
        <v>5120-C/C  NF8208 - MILKA</v>
      </c>
    </row>
    <row r="596" customFormat="false" ht="12.75" hidden="false" customHeight="true" outlineLevel="0" collapsed="false">
      <c r="A596" s="16" t="n">
        <f aca="false">Report!C780</f>
        <v>46227</v>
      </c>
      <c r="B596" s="1" t="str">
        <f aca="false">Report!E780</f>
        <v>EDMARA COMERCIO DE HIGIENE PESSOAL LTDA</v>
      </c>
      <c r="C596" s="17" t="n">
        <f aca="false">Report!U780</f>
        <v>550</v>
      </c>
      <c r="D596" s="1" t="str">
        <f aca="false">Report!X780</f>
        <v>NF8365 USO E CONSUMO/DESPESA LOJA - MILKA</v>
      </c>
    </row>
    <row r="597" customFormat="false" ht="12.75" hidden="false" customHeight="true" outlineLevel="0" collapsed="false">
      <c r="A597" s="16" t="n">
        <f aca="false">Report!C782</f>
        <v>46227</v>
      </c>
      <c r="B597" s="1" t="str">
        <f aca="false">Report!E782</f>
        <v>FORTVET DISTRIBUIDORA LTDA</v>
      </c>
      <c r="C597" s="17" t="n">
        <f aca="false">Report!U782</f>
        <v>527.3</v>
      </c>
      <c r="D597" s="1" t="str">
        <f aca="false">Report!X782</f>
        <v>NF 2737-1 MILKA</v>
      </c>
    </row>
    <row r="598" customFormat="false" ht="12.75" hidden="false" customHeight="true" outlineLevel="0" collapsed="false">
      <c r="A598" s="16" t="n">
        <f aca="false">Report!C784</f>
        <v>46227</v>
      </c>
      <c r="B598" s="1" t="str">
        <f aca="false">Report!E784</f>
        <v>H L M PADARIA E CONFEITARIA LTDA</v>
      </c>
      <c r="C598" s="17" t="n">
        <f aca="false">Report!U784</f>
        <v>300</v>
      </c>
      <c r="D598" s="1" t="str">
        <f aca="false">Report!X784</f>
        <v>NF 75 - DEBORA</v>
      </c>
    </row>
    <row r="599" customFormat="false" ht="12.75" hidden="false" customHeight="true" outlineLevel="0" collapsed="false">
      <c r="A599" s="16" t="n">
        <f aca="false">Report!C785</f>
        <v>46227</v>
      </c>
      <c r="B599" s="1" t="str">
        <f aca="false">Report!E785</f>
        <v>J G COMERCIO DE PRODUTOS ALIMENTICIOS LTDA</v>
      </c>
      <c r="C599" s="17" t="n">
        <f aca="false">Report!U785</f>
        <v>2340.64</v>
      </c>
      <c r="D599" s="1" t="str">
        <f aca="false">Report!X785</f>
        <v>454446-C/C  NF390550 - MILKA</v>
      </c>
    </row>
    <row r="600" customFormat="false" ht="12.75" hidden="false" customHeight="true" outlineLevel="0" collapsed="false">
      <c r="A600" s="16" t="n">
        <f aca="false">Report!C786</f>
        <v>46227</v>
      </c>
      <c r="B600" s="1" t="str">
        <f aca="false">Report!E786</f>
        <v>J G COMERCIO DE PRODUTOS ALIMENTICIOS LTDA</v>
      </c>
      <c r="C600" s="17" t="n">
        <f aca="false">Report!U786</f>
        <v>785.66</v>
      </c>
      <c r="D600" s="1" t="str">
        <f aca="false">Report!X786</f>
        <v>455810-B/C  NF391785 MASTERFRIGO - MILKA</v>
      </c>
    </row>
    <row r="601" customFormat="false" ht="12.75" hidden="false" customHeight="true" outlineLevel="0" collapsed="false">
      <c r="A601" s="16" t="n">
        <f aca="false">Report!C787</f>
        <v>46227</v>
      </c>
      <c r="B601" s="1" t="str">
        <f aca="false">Report!E787</f>
        <v>J W N DOS SANTOS</v>
      </c>
      <c r="C601" s="17" t="n">
        <f aca="false">Report!U787</f>
        <v>560</v>
      </c>
      <c r="D601" s="1" t="str">
        <f aca="false">Report!X787</f>
        <v>NF 377 - DEBORA</v>
      </c>
    </row>
    <row r="602" customFormat="false" ht="12.75" hidden="false" customHeight="true" outlineLevel="0" collapsed="false">
      <c r="A602" s="16" t="n">
        <f aca="false">Report!C788</f>
        <v>46227</v>
      </c>
      <c r="B602" s="1" t="str">
        <f aca="false">Report!E788</f>
        <v>J. S. MOREIRA ALVES LTDA</v>
      </c>
      <c r="C602" s="17" t="n">
        <f aca="false">Report!U788</f>
        <v>493</v>
      </c>
      <c r="D602" s="1" t="str">
        <f aca="false">Report!X788</f>
        <v>NF2634 MESA FARTA - MILKA</v>
      </c>
    </row>
    <row r="603" customFormat="false" ht="12.75" hidden="false" customHeight="true" outlineLevel="0" collapsed="false">
      <c r="A603" s="16" t="n">
        <f aca="false">Report!C789</f>
        <v>46227</v>
      </c>
      <c r="B603" s="1" t="str">
        <f aca="false">Report!E789</f>
        <v>L. J. DA SILVA LTDA</v>
      </c>
      <c r="C603" s="17" t="n">
        <f aca="false">Report!U789</f>
        <v>2838.97</v>
      </c>
      <c r="D603" s="1" t="str">
        <f aca="false">Report!X789</f>
        <v>NF 34608-01 C/ ACRESCIMO - MILKA</v>
      </c>
    </row>
    <row r="604" customFormat="false" ht="12.75" hidden="false" customHeight="true" outlineLevel="0" collapsed="false">
      <c r="A604" s="16" t="n">
        <f aca="false">Report!C790</f>
        <v>46227</v>
      </c>
      <c r="B604" s="1" t="str">
        <f aca="false">Report!E790</f>
        <v>NESTLÉ BRASIL LTDA.</v>
      </c>
      <c r="C604" s="17" t="n">
        <f aca="false">Report!U790</f>
        <v>868.87</v>
      </c>
      <c r="D604" s="1" t="str">
        <f aca="false">Report!X790</f>
        <v>NF 1424401-03 MILKA</v>
      </c>
    </row>
    <row r="605" customFormat="false" ht="12.75" hidden="false" customHeight="true" outlineLevel="0" collapsed="false">
      <c r="A605" s="16" t="n">
        <f aca="false">Report!C791</f>
        <v>46227</v>
      </c>
      <c r="B605" s="1" t="str">
        <f aca="false">Report!E791</f>
        <v>NORTELAC DISTRIBUIDORA DE FRIOS LTDA</v>
      </c>
      <c r="C605" s="17" t="n">
        <f aca="false">Report!U791</f>
        <v>1840</v>
      </c>
      <c r="D605" s="1" t="str">
        <f aca="false">Report!X791</f>
        <v>NF 43986 - MILKA</v>
      </c>
    </row>
    <row r="606" customFormat="false" ht="12.75" hidden="false" customHeight="true" outlineLevel="0" collapsed="false">
      <c r="A606" s="16" t="n">
        <f aca="false">Report!C792</f>
        <v>46227</v>
      </c>
      <c r="B606" s="1" t="str">
        <f aca="false">Report!E792</f>
        <v>NOVA FRIOS COMERCIO ATACADISTA DE LATICINIOS LTDA</v>
      </c>
      <c r="C606" s="17" t="n">
        <f aca="false">Report!U792</f>
        <v>422</v>
      </c>
      <c r="D606" s="1" t="str">
        <f aca="false">Report!X792</f>
        <v>NF 4110 BODEGA DO PAO - MILKA</v>
      </c>
    </row>
    <row r="607" customFormat="false" ht="12.75" hidden="false" customHeight="true" outlineLevel="0" collapsed="false">
      <c r="A607" s="16" t="n">
        <f aca="false">Report!C793</f>
        <v>46227</v>
      </c>
      <c r="B607" s="1" t="str">
        <f aca="false">Report!E793</f>
        <v>OCIDENTAL COMERCIO DE FRIOS LTDA</v>
      </c>
      <c r="C607" s="17" t="n">
        <f aca="false">Report!U793</f>
        <v>537.72</v>
      </c>
      <c r="D607" s="1" t="str">
        <f aca="false">Report!X793</f>
        <v>NF 1241434-3/3 - MILKA</v>
      </c>
    </row>
    <row r="608" customFormat="false" ht="12.75" hidden="false" customHeight="true" outlineLevel="0" collapsed="false">
      <c r="A608" s="16" t="n">
        <f aca="false">Report!C794</f>
        <v>46227</v>
      </c>
      <c r="B608" s="1" t="str">
        <f aca="false">Report!E794</f>
        <v>PANIFICADORA E CONFEITARIA REAL MADRI LTDA</v>
      </c>
      <c r="C608" s="17" t="n">
        <f aca="false">Report!U794</f>
        <v>1120</v>
      </c>
      <c r="D608" s="1" t="str">
        <f aca="false">Report!X794</f>
        <v>NF 725 - MILKA</v>
      </c>
    </row>
    <row r="609" customFormat="false" ht="12.75" hidden="false" customHeight="true" outlineLevel="0" collapsed="false">
      <c r="A609" s="16" t="n">
        <f aca="false">Report!C795</f>
        <v>46227</v>
      </c>
      <c r="B609" s="1" t="str">
        <f aca="false">Report!E795</f>
        <v>PRIME PET DISTRIBUIDORA LTDA</v>
      </c>
      <c r="C609" s="17" t="n">
        <f aca="false">Report!U795</f>
        <v>1060.88</v>
      </c>
      <c r="D609" s="1" t="str">
        <f aca="false">Report!X795</f>
        <v>NF 10589-05/05 MILKA</v>
      </c>
    </row>
    <row r="610" customFormat="false" ht="12.75" hidden="false" customHeight="true" outlineLevel="0" collapsed="false">
      <c r="A610" s="16" t="n">
        <f aca="false">Report!C796</f>
        <v>46227</v>
      </c>
      <c r="B610" s="1" t="str">
        <f aca="false">Report!E796</f>
        <v>PRIMICIA DISTRIBUIDORA DE FRIOS LTDA</v>
      </c>
      <c r="C610" s="17" t="n">
        <f aca="false">Report!U796</f>
        <v>1393.5</v>
      </c>
      <c r="D610" s="1" t="str">
        <f aca="false">Report!X796</f>
        <v>NF 3067 - MILKA</v>
      </c>
    </row>
    <row r="611" customFormat="false" ht="12.75" hidden="false" customHeight="true" outlineLevel="0" collapsed="false">
      <c r="A611" s="16" t="n">
        <f aca="false">Report!C797</f>
        <v>46227</v>
      </c>
      <c r="B611" s="1" t="str">
        <f aca="false">Report!E797</f>
        <v>REAL BEBIDAS DA AMAZONIA LTDA</v>
      </c>
      <c r="C611" s="17" t="n">
        <f aca="false">Report!U797</f>
        <v>210</v>
      </c>
      <c r="D611" s="1" t="str">
        <f aca="false">Report!X797</f>
        <v>NF 605021 - MILKA</v>
      </c>
    </row>
    <row r="612" customFormat="false" ht="12.75" hidden="false" customHeight="true" outlineLevel="0" collapsed="false">
      <c r="A612" s="16" t="n">
        <f aca="false">Report!C798</f>
        <v>46227</v>
      </c>
      <c r="B612" s="1" t="str">
        <f aca="false">Report!E798</f>
        <v>RENATO DE O AZEVEDO E CIA LTDA - EPP</v>
      </c>
      <c r="C612" s="17" t="n">
        <f aca="false">Report!U798</f>
        <v>2970</v>
      </c>
      <c r="D612" s="1" t="str">
        <f aca="false">Report!X798</f>
        <v>FEIRA SR RENATO - DEBORA</v>
      </c>
    </row>
    <row r="613" customFormat="false" ht="12.75" hidden="false" customHeight="true" outlineLevel="0" collapsed="false">
      <c r="A613" s="16" t="n">
        <f aca="false">Report!C799</f>
        <v>46227</v>
      </c>
      <c r="B613" s="1" t="str">
        <f aca="false">Report!E799</f>
        <v>SAO JOSE COMERCIO DE LATICINIOS E FRIOS</v>
      </c>
      <c r="C613" s="17" t="n">
        <f aca="false">Report!U799</f>
        <v>2108.5</v>
      </c>
      <c r="D613" s="1" t="str">
        <f aca="false">Report!X799</f>
        <v>NF3634 SABORE FATIADO - MILKA</v>
      </c>
    </row>
    <row r="614" customFormat="false" ht="12.75" hidden="false" customHeight="true" outlineLevel="0" collapsed="false">
      <c r="A614" s="16" t="n">
        <f aca="false">Report!C800</f>
        <v>46227</v>
      </c>
      <c r="B614" s="1" t="str">
        <f aca="false">Report!E800</f>
        <v>SOUZA CRUZ LTDA.</v>
      </c>
      <c r="C614" s="17" t="n">
        <f aca="false">Report!U800</f>
        <v>6643.67</v>
      </c>
      <c r="D614" s="1" t="str">
        <f aca="false">Report!X800</f>
        <v>NF 566688 -02 MILKA</v>
      </c>
    </row>
    <row r="615" customFormat="false" ht="12.75" hidden="false" customHeight="true" outlineLevel="0" collapsed="false">
      <c r="A615" s="16" t="n">
        <f aca="false">Report!C801</f>
        <v>46227</v>
      </c>
      <c r="B615" s="1" t="str">
        <f aca="false">Report!E801</f>
        <v>VIA CERTA INDUSTRIA E COMERCIO DE SANEANTES LTDA</v>
      </c>
      <c r="C615" s="17" t="n">
        <f aca="false">Report!U801</f>
        <v>304.8</v>
      </c>
      <c r="D615" s="1" t="str">
        <f aca="false">Report!X801</f>
        <v>NF 42934 - MILKA</v>
      </c>
    </row>
    <row r="616" customFormat="false" ht="12.75" hidden="false" customHeight="true" outlineLevel="0" collapsed="false">
      <c r="A616" s="16" t="n">
        <f aca="false">Report!C803</f>
        <v>46228</v>
      </c>
      <c r="B616" s="1" t="str">
        <f aca="false">Report!E803</f>
        <v>52.017.917 IRANCELIO LIRA DE CASTRO</v>
      </c>
      <c r="C616" s="17" t="n">
        <f aca="false">Report!U803</f>
        <v>309.99</v>
      </c>
      <c r="D616" s="1" t="str">
        <f aca="false">Report!X803</f>
        <v>NFS-e 109 COMPRA / DOC.16048691 PIPOCA POP GIO - MILKA</v>
      </c>
    </row>
    <row r="617" customFormat="false" ht="12.75" hidden="false" customHeight="true" outlineLevel="0" collapsed="false">
      <c r="A617" s="16" t="n">
        <f aca="false">Report!C804</f>
        <v>46228</v>
      </c>
      <c r="B617" s="1" t="str">
        <f aca="false">Report!E804</f>
        <v>A C DUARTE DE CASTRO EPP.</v>
      </c>
      <c r="C617" s="17" t="n">
        <f aca="false">Report!U804</f>
        <v>666.65</v>
      </c>
      <c r="D617" s="1" t="str">
        <f aca="false">Report!X804</f>
        <v>NF 6277 / PARC 06/06 - MILKA</v>
      </c>
    </row>
    <row r="618" customFormat="false" ht="12.75" hidden="false" customHeight="true" outlineLevel="0" collapsed="false">
      <c r="A618" s="16" t="n">
        <f aca="false">Report!C805</f>
        <v>46228</v>
      </c>
      <c r="B618" s="1" t="str">
        <f aca="false">Report!E805</f>
        <v>A. CORREA JUNIOR</v>
      </c>
      <c r="C618" s="17" t="n">
        <f aca="false">Report!U805</f>
        <v>2564.18</v>
      </c>
      <c r="D618" s="1" t="str">
        <f aca="false">Report!X805</f>
        <v>MP JRACESSORIOS 01/3-ANDREZA</v>
      </c>
    </row>
    <row r="619" customFormat="false" ht="12.75" hidden="false" customHeight="true" outlineLevel="0" collapsed="false">
      <c r="A619" s="16" t="n">
        <f aca="false">Report!C806</f>
        <v>46228</v>
      </c>
      <c r="B619" s="1" t="str">
        <f aca="false">Report!E806</f>
        <v>ALEXSANDRO BEZERRA DA SILVA</v>
      </c>
      <c r="C619" s="17" t="n">
        <f aca="false">Report!U806</f>
        <v>1646.64</v>
      </c>
      <c r="D619" s="1" t="str">
        <f aca="false">Report!X806</f>
        <v>192925188  NF271 COMERCIAL POTIGUAR - MILKA</v>
      </c>
    </row>
    <row r="620" customFormat="false" ht="12.75" hidden="false" customHeight="true" outlineLevel="0" collapsed="false">
      <c r="A620" s="16" t="n">
        <f aca="false">Report!C807</f>
        <v>46228</v>
      </c>
      <c r="B620" s="1" t="str">
        <f aca="false">Report!E807</f>
        <v>BRASIL NORTE BEBIDAS S/A</v>
      </c>
      <c r="C620" s="17" t="n">
        <f aca="false">Report!U807</f>
        <v>5949.9</v>
      </c>
      <c r="D620" s="1" t="str">
        <f aca="false">Report!X807</f>
        <v>NF1929170 COCA - MILKA</v>
      </c>
    </row>
    <row r="621" customFormat="false" ht="12.75" hidden="false" customHeight="true" outlineLevel="0" collapsed="false">
      <c r="A621" s="16" t="n">
        <f aca="false">Report!C808</f>
        <v>46228</v>
      </c>
      <c r="B621" s="1" t="str">
        <f aca="false">Report!E808</f>
        <v>BRASIL NORTE BEBIDAS S/A</v>
      </c>
      <c r="C621" s="17" t="n">
        <f aca="false">Report!U808</f>
        <v>1291.62</v>
      </c>
      <c r="D621" s="1" t="str">
        <f aca="false">Report!X808</f>
        <v>NF1198018 COCA - MILKA</v>
      </c>
    </row>
    <row r="622" customFormat="false" ht="12.75" hidden="false" customHeight="true" outlineLevel="0" collapsed="false">
      <c r="A622" s="16" t="n">
        <f aca="false">Report!C809</f>
        <v>46228</v>
      </c>
      <c r="B622" s="1" t="str">
        <f aca="false">Report!E809</f>
        <v>BRASIL NORTE BEBIDAS S/A</v>
      </c>
      <c r="C622" s="17" t="n">
        <f aca="false">Report!U809</f>
        <v>224.97</v>
      </c>
      <c r="D622" s="1" t="str">
        <f aca="false">Report!X809</f>
        <v>NF1928560 COCA - MILKA</v>
      </c>
    </row>
    <row r="623" customFormat="false" ht="12.75" hidden="false" customHeight="true" outlineLevel="0" collapsed="false">
      <c r="A623" s="16" t="n">
        <f aca="false">Report!C810</f>
        <v>46228</v>
      </c>
      <c r="B623" s="1" t="str">
        <f aca="false">Report!E810</f>
        <v>COMERCIO DE FRIOS MANAUS LTDA</v>
      </c>
      <c r="C623" s="17" t="n">
        <f aca="false">Report!U810</f>
        <v>3528.5</v>
      </c>
      <c r="D623" s="1" t="str">
        <f aca="false">Report!X810</f>
        <v>NF173212 - MILKA</v>
      </c>
    </row>
    <row r="624" customFormat="false" ht="12.75" hidden="false" customHeight="true" outlineLevel="0" collapsed="false">
      <c r="A624" s="16" t="n">
        <f aca="false">Report!C811</f>
        <v>46228</v>
      </c>
      <c r="B624" s="1" t="str">
        <f aca="false">Report!E811</f>
        <v>COMERCIO E TRANSPORTE BRANDAO LTDA</v>
      </c>
      <c r="C624" s="17" t="n">
        <f aca="false">Report!U811</f>
        <v>490</v>
      </c>
      <c r="D624" s="1" t="str">
        <f aca="false">Report!X811</f>
        <v>NF 14945 - DEBORA</v>
      </c>
    </row>
    <row r="625" customFormat="false" ht="12.75" hidden="false" customHeight="true" outlineLevel="0" collapsed="false">
      <c r="A625" s="16" t="n">
        <f aca="false">Report!C812</f>
        <v>46228</v>
      </c>
      <c r="B625" s="1" t="str">
        <f aca="false">Report!E812</f>
        <v>DINÂMICA SOLUÇÕES EM SUPRIMENTOS E GESTÃ</v>
      </c>
      <c r="C625" s="17" t="n">
        <f aca="false">Report!U812</f>
        <v>607.5</v>
      </c>
      <c r="D625" s="1" t="str">
        <f aca="false">Report!X812</f>
        <v>NF 742-02 MILKA</v>
      </c>
    </row>
    <row r="626" customFormat="false" ht="12.75" hidden="false" customHeight="true" outlineLevel="0" collapsed="false">
      <c r="A626" s="16" t="n">
        <f aca="false">Report!C813</f>
        <v>46228</v>
      </c>
      <c r="B626" s="1" t="str">
        <f aca="false">Report!E813</f>
        <v>DISTRIBUIDORA LOPES LTDA</v>
      </c>
      <c r="C626" s="17" t="n">
        <f aca="false">Report!U813</f>
        <v>1731.24</v>
      </c>
      <c r="D626" s="1" t="str">
        <f aca="false">Report!X813</f>
        <v>NF 1686012 -1 MILKA</v>
      </c>
    </row>
    <row r="627" customFormat="false" ht="12.75" hidden="false" customHeight="true" outlineLevel="0" collapsed="false">
      <c r="A627" s="16" t="n">
        <f aca="false">Report!C815</f>
        <v>46228</v>
      </c>
      <c r="B627" s="1" t="str">
        <f aca="false">Report!E815</f>
        <v>GELO DANGELO FABRICACAO DE GELO LTDA</v>
      </c>
      <c r="C627" s="17" t="n">
        <f aca="false">Report!U815</f>
        <v>518</v>
      </c>
      <c r="D627" s="1" t="str">
        <f aca="false">Report!X815</f>
        <v>NF 394 - DEBORA</v>
      </c>
    </row>
    <row r="628" customFormat="false" ht="12.75" hidden="false" customHeight="true" outlineLevel="0" collapsed="false">
      <c r="A628" s="16" t="n">
        <f aca="false">Report!C816</f>
        <v>46228</v>
      </c>
      <c r="B628" s="1" t="str">
        <f aca="false">Report!E816</f>
        <v>H L M PADARIA E CONFEITARIA LTDA</v>
      </c>
      <c r="C628" s="17" t="n">
        <f aca="false">Report!U816</f>
        <v>420</v>
      </c>
      <c r="D628" s="1" t="str">
        <f aca="false">Report!X816</f>
        <v>NF 80 - DEBORA</v>
      </c>
    </row>
    <row r="629" customFormat="false" ht="12.75" hidden="false" customHeight="true" outlineLevel="0" collapsed="false">
      <c r="A629" s="16" t="n">
        <f aca="false">Report!C817</f>
        <v>46228</v>
      </c>
      <c r="B629" s="1" t="str">
        <f aca="false">Report!E817</f>
        <v>JAB COMERCIO DE PRODUTOS ALIMENTICIOS LT</v>
      </c>
      <c r="C629" s="17" t="n">
        <f aca="false">Report!U817</f>
        <v>274</v>
      </c>
      <c r="D629" s="1" t="str">
        <f aca="false">Report!X817</f>
        <v>NF 3576 SANTO PAO - MILKA</v>
      </c>
    </row>
    <row r="630" customFormat="false" ht="12.75" hidden="false" customHeight="true" outlineLevel="0" collapsed="false">
      <c r="A630" s="16" t="n">
        <f aca="false">Report!C820</f>
        <v>46228</v>
      </c>
      <c r="B630" s="1" t="str">
        <f aca="false">Report!E820</f>
        <v>M.R.G COMERCIO DE MAQUINAS EIRELI.</v>
      </c>
      <c r="C630" s="17" t="n">
        <f aca="false">Report!U820</f>
        <v>233.33</v>
      </c>
      <c r="D630" s="1" t="str">
        <f aca="false">Report!X820</f>
        <v>NF 14298 / 4PARC / REFORMA PADARIA - MILKA</v>
      </c>
    </row>
    <row r="631" customFormat="false" ht="12.75" hidden="false" customHeight="true" outlineLevel="0" collapsed="false">
      <c r="A631" s="16" t="n">
        <f aca="false">Report!C822</f>
        <v>46228</v>
      </c>
      <c r="B631" s="1" t="str">
        <f aca="false">Report!E822</f>
        <v>MAXFRI DISTRIUIDORA LTDA</v>
      </c>
      <c r="C631" s="17" t="n">
        <f aca="false">Report!U822</f>
        <v>8621</v>
      </c>
      <c r="D631" s="1" t="str">
        <f aca="false">Report!X822</f>
        <v>NF14750 - MILKA</v>
      </c>
    </row>
    <row r="632" customFormat="false" ht="12.75" hidden="false" customHeight="true" outlineLevel="0" collapsed="false">
      <c r="A632" s="16" t="n">
        <f aca="false">Report!C823</f>
        <v>46228</v>
      </c>
      <c r="B632" s="1" t="str">
        <f aca="false">Report!E823</f>
        <v>MELISSA COMERCIO E DISTRIBUIDORA DE GAS</v>
      </c>
      <c r="C632" s="17" t="n">
        <f aca="false">Report!U823</f>
        <v>180</v>
      </c>
      <c r="D632" s="1" t="str">
        <f aca="false">Report!X823</f>
        <v>NF 1036 - DEBORA</v>
      </c>
    </row>
    <row r="633" customFormat="false" ht="12.75" hidden="false" customHeight="true" outlineLevel="0" collapsed="false">
      <c r="A633" s="16" t="n">
        <f aca="false">Report!C825</f>
        <v>46228</v>
      </c>
      <c r="B633" s="1" t="str">
        <f aca="false">Report!E825</f>
        <v>ORIENTE COM. ATACADISTA E REPRES. LTDA</v>
      </c>
      <c r="C633" s="17" t="n">
        <f aca="false">Report!U825</f>
        <v>689.5</v>
      </c>
      <c r="D633" s="1" t="str">
        <f aca="false">Report!X825</f>
        <v>2477/2  NF2053 - MILKA</v>
      </c>
    </row>
    <row r="634" customFormat="false" ht="12.75" hidden="false" customHeight="true" outlineLevel="0" collapsed="false">
      <c r="A634" s="16" t="n">
        <f aca="false">Report!C827</f>
        <v>46228</v>
      </c>
      <c r="B634" s="1" t="str">
        <f aca="false">Report!E827</f>
        <v>PRIME PET DISTRIBUIDORA LTDA</v>
      </c>
      <c r="C634" s="17" t="n">
        <f aca="false">Report!U827</f>
        <v>1849.57</v>
      </c>
      <c r="D634" s="1" t="str">
        <f aca="false">Report!X827</f>
        <v>NF 11002-01/07 MILKA </v>
      </c>
    </row>
    <row r="635" customFormat="false" ht="12.75" hidden="false" customHeight="true" outlineLevel="0" collapsed="false">
      <c r="A635" s="16" t="n">
        <f aca="false">Report!C830</f>
        <v>46228</v>
      </c>
      <c r="B635" s="1" t="str">
        <f aca="false">Report!E830</f>
        <v>RENATO DE O AZEVEDO E CIA LTDA - EPP</v>
      </c>
      <c r="C635" s="17" t="n">
        <f aca="false">Report!U830</f>
        <v>2759</v>
      </c>
      <c r="D635" s="1" t="str">
        <f aca="false">Report!X830</f>
        <v>FEIRA CARLOS - DEBORA</v>
      </c>
    </row>
    <row r="636" customFormat="false" ht="12.75" hidden="false" customHeight="true" outlineLevel="0" collapsed="false">
      <c r="A636" s="16" t="n">
        <f aca="false">Report!C831</f>
        <v>46228</v>
      </c>
      <c r="B636" s="1" t="str">
        <f aca="false">Report!E831</f>
        <v>RENATO DE O AZEVEDO E CIA LTDA - EPP</v>
      </c>
      <c r="C636" s="17" t="n">
        <f aca="false">Report!U831</f>
        <v>165</v>
      </c>
      <c r="D636" s="1" t="str">
        <f aca="false">Report!X831</f>
        <v>FEIRA CARLOS - CAMARAO COM E SEM CASCA - DEBORA</v>
      </c>
    </row>
    <row r="637" customFormat="false" ht="12.75" hidden="false" customHeight="true" outlineLevel="0" collapsed="false">
      <c r="A637" s="16" t="n">
        <f aca="false">Report!C832</f>
        <v>46229</v>
      </c>
      <c r="B637" s="1" t="str">
        <f aca="false">Report!E832</f>
        <v>BRF S A</v>
      </c>
      <c r="C637" s="17" t="n">
        <f aca="false">Report!U832</f>
        <v>650.23</v>
      </c>
      <c r="D637" s="1" t="str">
        <f aca="false">Report!X832</f>
        <v>NF 1604302-02/02 MILKA</v>
      </c>
    </row>
    <row r="638" customFormat="false" ht="12.75" hidden="false" customHeight="true" outlineLevel="0" collapsed="false">
      <c r="A638" s="16" t="n">
        <f aca="false">Report!C833</f>
        <v>46229</v>
      </c>
      <c r="B638" s="1" t="str">
        <f aca="false">Report!E833</f>
        <v>E. SALES DO NASCIMENTO</v>
      </c>
      <c r="C638" s="17" t="n">
        <f aca="false">Report!U833</f>
        <v>410.7</v>
      </c>
      <c r="D638" s="1" t="str">
        <f aca="false">Report!X833</f>
        <v>NF 707 -02 MILKA</v>
      </c>
    </row>
    <row r="639" customFormat="false" ht="12.75" hidden="false" customHeight="true" outlineLevel="0" collapsed="false">
      <c r="A639" s="16" t="n">
        <f aca="false">Report!C836</f>
        <v>46229</v>
      </c>
      <c r="B639" s="1" t="str">
        <f aca="false">Report!E836</f>
        <v>FUNNY PET DISTRIBUIDORA DE ALIMENTOS PAR</v>
      </c>
      <c r="C639" s="17" t="n">
        <f aca="false">Report!U836</f>
        <v>1263.3</v>
      </c>
      <c r="D639" s="1" t="str">
        <f aca="false">Report!X836</f>
        <v>NF 20352-3 MILKA</v>
      </c>
    </row>
    <row r="640" customFormat="false" ht="12.75" hidden="false" customHeight="true" outlineLevel="0" collapsed="false">
      <c r="A640" s="16" t="n">
        <f aca="false">Report!C837</f>
        <v>46229</v>
      </c>
      <c r="B640" s="1" t="str">
        <f aca="false">Report!E837</f>
        <v>PRIME PET DISTRIBUIDORA LTDA</v>
      </c>
      <c r="C640" s="17" t="n">
        <f aca="false">Report!U837</f>
        <v>1488.3</v>
      </c>
      <c r="D640" s="1" t="str">
        <f aca="false">Report!X837</f>
        <v>NF 10262 -07/09 MILKA</v>
      </c>
    </row>
    <row r="641" customFormat="false" ht="12.75" hidden="false" customHeight="true" outlineLevel="0" collapsed="false">
      <c r="A641" s="16" t="n">
        <f aca="false">Report!C838</f>
        <v>46230</v>
      </c>
      <c r="B641" s="1" t="str">
        <f aca="false">Report!E838</f>
        <v>ADRIANA DISTRIBUIDORA DE PRODUTOS ALIMEN</v>
      </c>
      <c r="C641" s="17" t="n">
        <f aca="false">Report!U838</f>
        <v>1326.93</v>
      </c>
      <c r="D641" s="1" t="str">
        <f aca="false">Report!X838</f>
        <v>NF 882141 -3 MILKA</v>
      </c>
    </row>
    <row r="642" customFormat="false" ht="12.75" hidden="false" customHeight="true" outlineLevel="0" collapsed="false">
      <c r="A642" s="16" t="n">
        <f aca="false">Report!C841</f>
        <v>46230</v>
      </c>
      <c r="B642" s="1" t="str">
        <f aca="false">Report!E841</f>
        <v>C. R. PARENTE ABREU</v>
      </c>
      <c r="C642" s="17" t="n">
        <f aca="false">Report!U841</f>
        <v>624.28</v>
      </c>
      <c r="D642" s="1" t="str">
        <f aca="false">Report!X841</f>
        <v>NF 11447 -2 MILKA</v>
      </c>
    </row>
    <row r="643" customFormat="false" ht="12.75" hidden="false" customHeight="true" outlineLevel="0" collapsed="false">
      <c r="A643" s="16" t="n">
        <f aca="false">Report!C843</f>
        <v>46230</v>
      </c>
      <c r="B643" s="1" t="str">
        <f aca="false">Report!E843</f>
        <v>COMERCIO DE FRIOS MANAUS LTDA</v>
      </c>
      <c r="C643" s="17" t="n">
        <f aca="false">Report!U843</f>
        <v>3632.9</v>
      </c>
      <c r="D643" s="1" t="str">
        <f aca="false">Report!X843</f>
        <v>NF 173326 - MILKA</v>
      </c>
    </row>
    <row r="644" customFormat="false" ht="12.75" hidden="false" customHeight="true" outlineLevel="0" collapsed="false">
      <c r="A644" s="16" t="n">
        <f aca="false">Report!C845</f>
        <v>46230</v>
      </c>
      <c r="B644" s="1" t="str">
        <f aca="false">Report!E845</f>
        <v>DISTRIBUIDORA LOPES LTDA</v>
      </c>
      <c r="C644" s="17" t="n">
        <f aca="false">Report!U845</f>
        <v>2652.75</v>
      </c>
      <c r="D644" s="1" t="str">
        <f aca="false">Report!X845</f>
        <v>NF 1686926 - MILKA</v>
      </c>
    </row>
    <row r="645" customFormat="false" ht="12.75" hidden="false" customHeight="true" outlineLevel="0" collapsed="false">
      <c r="A645" s="16" t="n">
        <f aca="false">Report!C846</f>
        <v>46230</v>
      </c>
      <c r="B645" s="1" t="str">
        <f aca="false">Report!E846</f>
        <v>DISTRIBUIDORA LOPES LTDA</v>
      </c>
      <c r="C645" s="17" t="n">
        <f aca="false">Report!U846</f>
        <v>1039.08</v>
      </c>
      <c r="D645" s="1" t="str">
        <f aca="false">Report!X846</f>
        <v>NF 1690878-1 MILKA / DESCONTO NO BOLETO</v>
      </c>
    </row>
    <row r="646" customFormat="false" ht="12.75" hidden="false" customHeight="true" outlineLevel="0" collapsed="false">
      <c r="A646" s="16" t="n">
        <f aca="false">Report!C847</f>
        <v>46230</v>
      </c>
      <c r="B646" s="1" t="str">
        <f aca="false">Report!E847</f>
        <v>FC COMERCIO VAREJISTA DE OUTROS PRODUTOS</v>
      </c>
      <c r="C646" s="17" t="n">
        <f aca="false">Report!U847</f>
        <v>260</v>
      </c>
      <c r="D646" s="1" t="str">
        <f aca="false">Report!X847</f>
        <v>NF 385 FRUTA CAFE - MILKA</v>
      </c>
    </row>
    <row r="647" customFormat="false" ht="12.75" hidden="false" customHeight="true" outlineLevel="0" collapsed="false">
      <c r="A647" s="16" t="n">
        <f aca="false">Report!C848</f>
        <v>46230</v>
      </c>
      <c r="B647" s="1" t="str">
        <f aca="false">Report!E848</f>
        <v>FORTVET DISTRIBUIDORA LTDA</v>
      </c>
      <c r="C647" s="17" t="n">
        <f aca="false">Report!U848</f>
        <v>663.82</v>
      </c>
      <c r="D647" s="1" t="str">
        <f aca="false">Report!X848</f>
        <v>NF 2524-3 MILKA</v>
      </c>
    </row>
    <row r="648" customFormat="false" ht="12.75" hidden="false" customHeight="true" outlineLevel="0" collapsed="false">
      <c r="A648" s="16" t="n">
        <f aca="false">Report!C849</f>
        <v>46230</v>
      </c>
      <c r="B648" s="1" t="str">
        <f aca="false">Report!E849</f>
        <v>FRUTAL INDUSTRIA E COMERCIO LTDA</v>
      </c>
      <c r="C648" s="17" t="n">
        <f aca="false">Report!U849</f>
        <v>505.19</v>
      </c>
      <c r="D648" s="1" t="str">
        <f aca="false">Report!X849</f>
        <v>NF 226411 - MILKA</v>
      </c>
    </row>
    <row r="649" customFormat="false" ht="12.75" hidden="false" customHeight="true" outlineLevel="0" collapsed="false">
      <c r="A649" s="16" t="n">
        <f aca="false">Report!C850</f>
        <v>46230</v>
      </c>
      <c r="B649" s="1" t="str">
        <f aca="false">Report!E850</f>
        <v>GELO DANGELO FABRICACAO DE GELO LTDA</v>
      </c>
      <c r="C649" s="17" t="n">
        <f aca="false">Report!U850</f>
        <v>424</v>
      </c>
      <c r="D649" s="1" t="str">
        <f aca="false">Report!X850</f>
        <v>NF 396 - DEBORA</v>
      </c>
    </row>
    <row r="650" customFormat="false" ht="12.75" hidden="false" customHeight="true" outlineLevel="0" collapsed="false">
      <c r="A650" s="16" t="n">
        <f aca="false">Report!C851</f>
        <v>46230</v>
      </c>
      <c r="B650" s="1" t="str">
        <f aca="false">Report!E851</f>
        <v>H L M PADARIA E CONFEITARIA LTDA</v>
      </c>
      <c r="C650" s="17" t="n">
        <f aca="false">Report!U851</f>
        <v>420</v>
      </c>
      <c r="D650" s="1" t="str">
        <f aca="false">Report!X851</f>
        <v>NF 85 - DEBORA</v>
      </c>
    </row>
    <row r="651" customFormat="false" ht="12.75" hidden="false" customHeight="true" outlineLevel="0" collapsed="false">
      <c r="A651" s="16" t="n">
        <f aca="false">Report!C854</f>
        <v>46230</v>
      </c>
      <c r="B651" s="1" t="str">
        <f aca="false">Report!E854</f>
        <v>MARTINS COM SERV DISTR SA</v>
      </c>
      <c r="C651" s="17" t="n">
        <f aca="false">Report!U854</f>
        <v>3224.65</v>
      </c>
      <c r="D651" s="1" t="str">
        <f aca="false">Report!X854</f>
        <v>NF 1773396/ NF 1773397 -02 MILKA</v>
      </c>
    </row>
    <row r="652" customFormat="false" ht="12.75" hidden="false" customHeight="true" outlineLevel="0" collapsed="false">
      <c r="A652" s="16" t="n">
        <f aca="false">Report!C855</f>
        <v>46230</v>
      </c>
      <c r="B652" s="1" t="str">
        <f aca="false">Report!E855</f>
        <v>MAXFRI DISTRIUIDORA LTDA</v>
      </c>
      <c r="C652" s="17" t="n">
        <f aca="false">Report!U855</f>
        <v>1314</v>
      </c>
      <c r="D652" s="1" t="str">
        <f aca="false">Report!X855</f>
        <v>NF 14759 - MILKA</v>
      </c>
    </row>
    <row r="653" customFormat="false" ht="12.75" hidden="false" customHeight="true" outlineLevel="0" collapsed="false">
      <c r="A653" s="16" t="n">
        <f aca="false">Report!C857</f>
        <v>46230</v>
      </c>
      <c r="B653" s="1" t="str">
        <f aca="false">Report!E857</f>
        <v>NORTELAC DISTRIBUIDORA DE FRIOS LTDA</v>
      </c>
      <c r="C653" s="17" t="n">
        <f aca="false">Report!U857</f>
        <v>1380</v>
      </c>
      <c r="D653" s="1" t="str">
        <f aca="false">Report!X857</f>
        <v>NF 44115 - MILKA</v>
      </c>
    </row>
    <row r="654" customFormat="false" ht="12.75" hidden="false" customHeight="true" outlineLevel="0" collapsed="false">
      <c r="A654" s="16" t="n">
        <f aca="false">Report!C858</f>
        <v>46230</v>
      </c>
      <c r="B654" s="1" t="str">
        <f aca="false">Report!E858</f>
        <v>NT INDUSTRIA E COMERCIO DE PANIFICACAO L</v>
      </c>
      <c r="C654" s="17" t="n">
        <f aca="false">Report!U858</f>
        <v>3889.11</v>
      </c>
      <c r="D654" s="1" t="str">
        <f aca="false">Report!X858</f>
        <v>NF 40994 - MILKA</v>
      </c>
    </row>
    <row r="655" customFormat="false" ht="12.75" hidden="false" customHeight="true" outlineLevel="0" collapsed="false">
      <c r="A655" s="16" t="n">
        <f aca="false">Report!C859</f>
        <v>46230</v>
      </c>
      <c r="B655" s="1" t="str">
        <f aca="false">Report!E859</f>
        <v>OESA COMERCIO E REPRESENTACOES S/A</v>
      </c>
      <c r="C655" s="17" t="n">
        <f aca="false">Report!U859</f>
        <v>1351</v>
      </c>
      <c r="D655" s="1" t="str">
        <f aca="false">Report!X859</f>
        <v>NF 419583-3 MILKA</v>
      </c>
    </row>
    <row r="656" customFormat="false" ht="12.75" hidden="false" customHeight="true" outlineLevel="0" collapsed="false">
      <c r="A656" s="16" t="n">
        <f aca="false">Report!C860</f>
        <v>46230</v>
      </c>
      <c r="B656" s="1" t="str">
        <f aca="false">Report!E860</f>
        <v>PANIFICADORA E CONFEITARIA REAL MADRI LTDA</v>
      </c>
      <c r="C656" s="17" t="n">
        <f aca="false">Report!U860</f>
        <v>424.6</v>
      </c>
      <c r="D656" s="1" t="str">
        <f aca="false">Report!X860</f>
        <v>NF 727 - MILKA</v>
      </c>
    </row>
    <row r="657" customFormat="false" ht="12.75" hidden="false" customHeight="true" outlineLevel="0" collapsed="false">
      <c r="A657" s="16" t="n">
        <f aca="false">Report!C861</f>
        <v>46230</v>
      </c>
      <c r="B657" s="1" t="str">
        <f aca="false">Report!E861</f>
        <v>PANIFICADORA E CONFEITARIA REAL MADRI LTDA</v>
      </c>
      <c r="C657" s="17" t="n">
        <f aca="false">Report!U861</f>
        <v>840</v>
      </c>
      <c r="D657" s="1" t="str">
        <f aca="false">Report!X861</f>
        <v>NF 729 - DEBORA</v>
      </c>
    </row>
    <row r="658" customFormat="false" ht="12.75" hidden="false" customHeight="true" outlineLevel="0" collapsed="false">
      <c r="A658" s="16" t="n">
        <f aca="false">Report!C862</f>
        <v>46230</v>
      </c>
      <c r="B658" s="1" t="str">
        <f aca="false">Report!E862</f>
        <v>RENATO DE O AZEVEDO E CIA LTDA - EPP</v>
      </c>
      <c r="C658" s="17" t="n">
        <f aca="false">Report!U862</f>
        <v>1420</v>
      </c>
      <c r="D658" s="1" t="str">
        <f aca="false">Report!X862</f>
        <v>FAR.CRUZEIRO/PGTO JOSE CLAUDIO - MILKA</v>
      </c>
    </row>
    <row r="659" customFormat="false" ht="12.75" hidden="false" customHeight="true" outlineLevel="0" collapsed="false">
      <c r="A659" s="16" t="n">
        <f aca="false">Report!C863</f>
        <v>46230</v>
      </c>
      <c r="B659" s="1" t="str">
        <f aca="false">Report!E863</f>
        <v>RENATO DE O AZEVEDO E CIA LTDA - EPP</v>
      </c>
      <c r="C659" s="17" t="n">
        <f aca="false">Report!U863</f>
        <v>1470</v>
      </c>
      <c r="D659" s="1" t="str">
        <f aca="false">Report!X863</f>
        <v>FARINHA 3 IRMAOS/ PGTO JULIETE - MILKA</v>
      </c>
    </row>
    <row r="660" customFormat="false" ht="12.75" hidden="false" customHeight="true" outlineLevel="0" collapsed="false">
      <c r="A660" s="16" t="n">
        <f aca="false">Report!C864</f>
        <v>46230</v>
      </c>
      <c r="B660" s="1" t="str">
        <f aca="false">Report!E864</f>
        <v>RENATO DE O AZEVEDO E CIA LTDA - EPP</v>
      </c>
      <c r="C660" s="17" t="n">
        <f aca="false">Report!U864</f>
        <v>600</v>
      </c>
      <c r="D660" s="1" t="str">
        <f aca="false">Report!X864</f>
        <v>FARINHA 3 IRAMOS / PGTO JULIETE - MILKA</v>
      </c>
    </row>
    <row r="661" customFormat="false" ht="12.75" hidden="false" customHeight="true" outlineLevel="0" collapsed="false">
      <c r="A661" s="16" t="n">
        <f aca="false">Report!C865</f>
        <v>46230</v>
      </c>
      <c r="B661" s="1" t="str">
        <f aca="false">Report!E865</f>
        <v>RV TECNOLOGIA E SISTEMAS S.A</v>
      </c>
      <c r="C661" s="17" t="n">
        <f aca="false">Report!U865</f>
        <v>135.15</v>
      </c>
      <c r="D661" s="1" t="str">
        <f aca="false">Report!X865</f>
        <v>RV RECARGA -ANDREZA</v>
      </c>
    </row>
    <row r="662" customFormat="false" ht="12.75" hidden="false" customHeight="true" outlineLevel="0" collapsed="false">
      <c r="A662" s="16" t="n">
        <f aca="false">Report!C866</f>
        <v>46230</v>
      </c>
      <c r="B662" s="1" t="str">
        <f aca="false">Report!E866</f>
        <v>SOUZA CRUZ LTDA.</v>
      </c>
      <c r="C662" s="17" t="n">
        <f aca="false">Report!U866</f>
        <v>5880.89</v>
      </c>
      <c r="D662" s="1" t="str">
        <f aca="false">Report!X866</f>
        <v>NF 567587 -01 C/TAIFA MILKA</v>
      </c>
    </row>
    <row r="663" customFormat="false" ht="12.75" hidden="false" customHeight="true" outlineLevel="0" collapsed="false">
      <c r="A663" s="16" t="n">
        <f aca="false">Report!C867</f>
        <v>46230</v>
      </c>
      <c r="B663" s="1" t="str">
        <f aca="false">Report!E867</f>
        <v>T. M. L. DA SILVA LTDA</v>
      </c>
      <c r="C663" s="17" t="n">
        <f aca="false">Report!U867</f>
        <v>742.4</v>
      </c>
      <c r="D663" s="1" t="str">
        <f aca="false">Report!X867</f>
        <v>NF 15153 AMAZONGURT - MILKA</v>
      </c>
    </row>
    <row r="664" customFormat="false" ht="12.75" hidden="false" customHeight="true" outlineLevel="0" collapsed="false">
      <c r="A664" s="16" t="n">
        <f aca="false">Report!C868</f>
        <v>46231</v>
      </c>
      <c r="B664" s="1" t="str">
        <f aca="false">Report!E868</f>
        <v>ADICSO FABIAN GONZALEZ MONTILLA 70302186</v>
      </c>
      <c r="C664" s="17" t="n">
        <f aca="false">Report!U868</f>
        <v>792</v>
      </c>
      <c r="D664" s="1" t="str">
        <f aca="false">Report!X868</f>
        <v>NF 543 BLOOM - MILKA</v>
      </c>
    </row>
    <row r="665" customFormat="false" ht="12.75" hidden="false" customHeight="true" outlineLevel="0" collapsed="false">
      <c r="A665" s="16" t="n">
        <f aca="false">Report!C869</f>
        <v>46231</v>
      </c>
      <c r="B665" s="1" t="str">
        <f aca="false">Report!E869</f>
        <v>ADRIANO FEITOSA OLIVEIRA LTDA</v>
      </c>
      <c r="C665" s="17" t="n">
        <f aca="false">Report!U869</f>
        <v>2119</v>
      </c>
      <c r="D665" s="1" t="str">
        <f aca="false">Report!X869</f>
        <v>NF 343 - PGTO NO PIX P/ DISTRIB. OLIVEIRA - MILKA</v>
      </c>
    </row>
    <row r="666" customFormat="false" ht="12.75" hidden="false" customHeight="true" outlineLevel="0" collapsed="false">
      <c r="A666" s="16" t="n">
        <f aca="false">Report!C870</f>
        <v>46231</v>
      </c>
      <c r="B666" s="1" t="str">
        <f aca="false">Report!E870</f>
        <v>BROTHERS  INDUSTRIA DE ALIMENTOS LTDA</v>
      </c>
      <c r="C666" s="17" t="n">
        <f aca="false">Report!U870</f>
        <v>538.17</v>
      </c>
      <c r="D666" s="1" t="str">
        <f aca="false">Report!X870</f>
        <v>NF 1032774 - MILKA</v>
      </c>
    </row>
    <row r="667" customFormat="false" ht="12.75" hidden="false" customHeight="true" outlineLevel="0" collapsed="false">
      <c r="A667" s="16" t="n">
        <f aca="false">Report!C874</f>
        <v>46231</v>
      </c>
      <c r="B667" s="1" t="str">
        <f aca="false">Report!E874</f>
        <v>MARTINS COM SERV DISTR SA</v>
      </c>
      <c r="C667" s="17" t="n">
        <f aca="false">Report!U874</f>
        <v>3184.12</v>
      </c>
      <c r="D667" s="1" t="str">
        <f aca="false">Report!X874</f>
        <v>18259030 /NF1778370 NF1778371 - 02 MILKA</v>
      </c>
    </row>
    <row r="668" customFormat="false" ht="12.75" hidden="false" customHeight="true" outlineLevel="0" collapsed="false">
      <c r="A668" s="16" t="n">
        <f aca="false">Report!C875</f>
        <v>46231</v>
      </c>
      <c r="B668" s="1" t="str">
        <f aca="false">Report!E875</f>
        <v>NSB COMERCIO ATACADISTA E VAREJISTA DE P</v>
      </c>
      <c r="C668" s="17" t="n">
        <f aca="false">Report!U875</f>
        <v>287.8</v>
      </c>
      <c r="D668" s="1" t="str">
        <f aca="false">Report!X875</f>
        <v>192333643  NF7876 - MILKA</v>
      </c>
    </row>
    <row r="669" customFormat="false" ht="12.75" hidden="false" customHeight="true" outlineLevel="0" collapsed="false">
      <c r="A669" s="16" t="n">
        <f aca="false">Report!C876</f>
        <v>46231</v>
      </c>
      <c r="B669" s="1" t="str">
        <f aca="false">Report!E876</f>
        <v>OESA COMERCIO E REPRESENTACOES S/A</v>
      </c>
      <c r="C669" s="17" t="n">
        <f aca="false">Report!U876</f>
        <v>1120.6</v>
      </c>
      <c r="D669" s="1" t="str">
        <f aca="false">Report!X876</f>
        <v>NF 423615 -3 MILKA</v>
      </c>
    </row>
    <row r="670" customFormat="false" ht="12.75" hidden="false" customHeight="true" outlineLevel="0" collapsed="false">
      <c r="A670" s="16" t="n">
        <f aca="false">Report!C877</f>
        <v>46231</v>
      </c>
      <c r="B670" s="1" t="str">
        <f aca="false">Report!E877</f>
        <v>PANIFICADORA E CONFEITARIA REAL MADRI LTDA</v>
      </c>
      <c r="C670" s="17" t="n">
        <f aca="false">Report!U877</f>
        <v>498.96</v>
      </c>
      <c r="D670" s="1" t="str">
        <f aca="false">Report!X877</f>
        <v>NF 732 - MILKA</v>
      </c>
    </row>
    <row r="671" customFormat="false" ht="12.75" hidden="false" customHeight="true" outlineLevel="0" collapsed="false">
      <c r="A671" s="16" t="n">
        <f aca="false">Report!C878</f>
        <v>46231</v>
      </c>
      <c r="B671" s="1" t="str">
        <f aca="false">Report!E878</f>
        <v>PRIME PET DISTRIBUIDORA LTDA</v>
      </c>
      <c r="C671" s="17" t="n">
        <f aca="false">Report!U878</f>
        <v>250.35</v>
      </c>
      <c r="D671" s="1" t="str">
        <f aca="false">Report!X878</f>
        <v>NF 10336 -07 MILKA</v>
      </c>
    </row>
    <row r="672" customFormat="false" ht="12.75" hidden="false" customHeight="true" outlineLevel="0" collapsed="false">
      <c r="A672" s="16" t="n">
        <f aca="false">Report!C880</f>
        <v>46231</v>
      </c>
      <c r="B672" s="1" t="str">
        <f aca="false">Report!E880</f>
        <v>RENATO DE O AZEVEDO E CIA LTDA - EPP</v>
      </c>
      <c r="C672" s="17" t="n">
        <f aca="false">Report!U880</f>
        <v>350</v>
      </c>
      <c r="D672" s="1" t="str">
        <f aca="false">Report!X880</f>
        <v>ACAI DE ANORI - 10/07 - DEBORA</v>
      </c>
    </row>
    <row r="673" customFormat="false" ht="12.75" hidden="false" customHeight="true" outlineLevel="0" collapsed="false">
      <c r="A673" s="16" t="n">
        <f aca="false">Report!C881</f>
        <v>46231</v>
      </c>
      <c r="B673" s="1" t="str">
        <f aca="false">Report!E881</f>
        <v>RENATO DE O AZEVEDO E CIA LTDA - EPP</v>
      </c>
      <c r="C673" s="17" t="n">
        <f aca="false">Report!U881</f>
        <v>560</v>
      </c>
      <c r="D673" s="1" t="str">
        <f aca="false">Report!X881</f>
        <v>ACAI DE ANORI - 11/07 - DEBORA</v>
      </c>
    </row>
    <row r="674" customFormat="false" ht="12.75" hidden="false" customHeight="true" outlineLevel="0" collapsed="false">
      <c r="A674" s="16" t="n">
        <f aca="false">Report!C882</f>
        <v>46231</v>
      </c>
      <c r="B674" s="1" t="str">
        <f aca="false">Report!E882</f>
        <v>RENATO DE O AZEVEDO E CIA LTDA - EPP</v>
      </c>
      <c r="C674" s="17" t="n">
        <f aca="false">Report!U882</f>
        <v>280</v>
      </c>
      <c r="D674" s="1" t="str">
        <f aca="false">Report!X882</f>
        <v>ACAI DE ANORI - 14/07 - DEBORA</v>
      </c>
    </row>
    <row r="675" customFormat="false" ht="12.75" hidden="false" customHeight="true" outlineLevel="0" collapsed="false">
      <c r="A675" s="16" t="n">
        <f aca="false">Report!C883</f>
        <v>46231</v>
      </c>
      <c r="B675" s="1" t="str">
        <f aca="false">Report!E883</f>
        <v>RENATO DE O AZEVEDO E CIA LTDA - EPP</v>
      </c>
      <c r="C675" s="17" t="n">
        <f aca="false">Report!U883</f>
        <v>280</v>
      </c>
      <c r="D675" s="1" t="str">
        <f aca="false">Report!X883</f>
        <v>ACAI DE ANORI - 15/07 - DEBORA</v>
      </c>
    </row>
    <row r="676" customFormat="false" ht="12.75" hidden="false" customHeight="true" outlineLevel="0" collapsed="false">
      <c r="A676" s="16" t="n">
        <f aca="false">Report!C884</f>
        <v>46231</v>
      </c>
      <c r="B676" s="1" t="str">
        <f aca="false">Report!E884</f>
        <v>RENATO DE O AZEVEDO E CIA LTDA - EPP</v>
      </c>
      <c r="C676" s="17" t="n">
        <f aca="false">Report!U884</f>
        <v>280</v>
      </c>
      <c r="D676" s="1" t="str">
        <f aca="false">Report!X884</f>
        <v>ACAI DE ANORI - 16/07 - DEBORA</v>
      </c>
    </row>
    <row r="677" customFormat="false" ht="12.75" hidden="false" customHeight="true" outlineLevel="0" collapsed="false">
      <c r="A677" s="16" t="n">
        <f aca="false">Report!C885</f>
        <v>46231</v>
      </c>
      <c r="B677" s="1" t="str">
        <f aca="false">Report!E885</f>
        <v>RENATO DE O AZEVEDO E CIA LTDA - EPP</v>
      </c>
      <c r="C677" s="17" t="n">
        <f aca="false">Report!U885</f>
        <v>280</v>
      </c>
      <c r="D677" s="1" t="str">
        <f aca="false">Report!X885</f>
        <v>ACAI DE ANORI - 17/07 - DEBORA</v>
      </c>
    </row>
    <row r="678" customFormat="false" ht="12.75" hidden="false" customHeight="true" outlineLevel="0" collapsed="false">
      <c r="A678" s="16" t="n">
        <f aca="false">Report!C886</f>
        <v>46231</v>
      </c>
      <c r="B678" s="1" t="str">
        <f aca="false">Report!E886</f>
        <v>RENATO DE O AZEVEDO E CIA LTDA - EPP</v>
      </c>
      <c r="C678" s="17" t="n">
        <f aca="false">Report!U886</f>
        <v>2812.5</v>
      </c>
      <c r="D678" s="1" t="str">
        <f aca="false">Report!X886</f>
        <v>FEIRA SR RENATO - DEBORA</v>
      </c>
    </row>
    <row r="679" customFormat="false" ht="12.75" hidden="false" customHeight="true" outlineLevel="0" collapsed="false">
      <c r="A679" s="16" t="n">
        <f aca="false">Report!C888</f>
        <v>46231</v>
      </c>
      <c r="B679" s="1" t="str">
        <f aca="false">Report!E888</f>
        <v>VITAPAN COMERCIO VAREJISTA DE PRODUTOS ALIMENTICIOS LTDA</v>
      </c>
      <c r="C679" s="17" t="n">
        <f aca="false">Report!U888</f>
        <v>702</v>
      </c>
      <c r="D679" s="1" t="str">
        <f aca="false">Report!X888</f>
        <v>NF 10372 - MILKA</v>
      </c>
    </row>
    <row r="680" customFormat="false" ht="12.75" hidden="false" customHeight="true" outlineLevel="0" collapsed="false">
      <c r="A680" s="16" t="n">
        <f aca="false">Report!C889</f>
        <v>46232</v>
      </c>
      <c r="B680" s="1" t="str">
        <f aca="false">Report!E889</f>
        <v>AMAZON MILK IND. E COMERCIO LTDA</v>
      </c>
      <c r="C680" s="17" t="n">
        <f aca="false">Report!U889</f>
        <v>1896.53</v>
      </c>
      <c r="D680" s="1" t="str">
        <f aca="false">Report!X889</f>
        <v>NF 203762- MILKA</v>
      </c>
    </row>
    <row r="681" customFormat="false" ht="12.75" hidden="false" customHeight="true" outlineLevel="0" collapsed="false">
      <c r="A681" s="16" t="n">
        <f aca="false">Report!C890</f>
        <v>46232</v>
      </c>
      <c r="B681" s="1" t="str">
        <f aca="false">Report!E890</f>
        <v>BRASIL NORTE BEBIDAS S/A</v>
      </c>
      <c r="C681" s="17" t="n">
        <f aca="false">Report!U890</f>
        <v>417.71</v>
      </c>
      <c r="D681" s="1" t="str">
        <f aca="false">Report!X890</f>
        <v>NF 1933730 C/ TARIFA - MILKA</v>
      </c>
    </row>
    <row r="682" customFormat="false" ht="12.75" hidden="false" customHeight="true" outlineLevel="0" collapsed="false">
      <c r="A682" s="16" t="n">
        <f aca="false">Report!C891</f>
        <v>46232</v>
      </c>
      <c r="B682" s="1" t="str">
        <f aca="false">Report!E891</f>
        <v>BRF S A</v>
      </c>
      <c r="C682" s="17" t="n">
        <f aca="false">Report!U891</f>
        <v>3073.8</v>
      </c>
      <c r="D682" s="1" t="str">
        <f aca="false">Report!X891</f>
        <v>NF1605894-02/02 - MILKA</v>
      </c>
    </row>
    <row r="683" customFormat="false" ht="12.75" hidden="false" customHeight="true" outlineLevel="0" collapsed="false">
      <c r="A683" s="16" t="n">
        <f aca="false">Report!C892</f>
        <v>46232</v>
      </c>
      <c r="B683" s="1" t="str">
        <f aca="false">Report!E892</f>
        <v>BRF S A</v>
      </c>
      <c r="C683" s="17" t="n">
        <f aca="false">Report!U892</f>
        <v>4171.51</v>
      </c>
      <c r="D683" s="1" t="str">
        <f aca="false">Report!X892</f>
        <v>NF 1608648 -01/02  MILKA</v>
      </c>
    </row>
    <row r="684" customFormat="false" ht="12.75" hidden="false" customHeight="true" outlineLevel="0" collapsed="false">
      <c r="A684" s="16" t="n">
        <f aca="false">Report!C893</f>
        <v>46232</v>
      </c>
      <c r="B684" s="1" t="str">
        <f aca="false">Report!E893</f>
        <v>COMERCIO E TRANSPORTE BRANDAO LTDA</v>
      </c>
      <c r="C684" s="17" t="n">
        <f aca="false">Report!U893</f>
        <v>720</v>
      </c>
      <c r="D684" s="1" t="str">
        <f aca="false">Report!X893</f>
        <v>14967 - DEBORA</v>
      </c>
    </row>
    <row r="685" customFormat="false" ht="12.75" hidden="false" customHeight="true" outlineLevel="0" collapsed="false">
      <c r="A685" s="16" t="n">
        <f aca="false">Report!C894</f>
        <v>46232</v>
      </c>
      <c r="B685" s="1" t="str">
        <f aca="false">Report!E894</f>
        <v>D N COMERCIO ATACADISTA DE EMBALAGENS E</v>
      </c>
      <c r="C685" s="17" t="n">
        <f aca="false">Report!U894</f>
        <v>612</v>
      </c>
      <c r="D685" s="1" t="str">
        <f aca="false">Report!X894</f>
        <v>NF 413 - DEBORA</v>
      </c>
    </row>
    <row r="686" customFormat="false" ht="12.75" hidden="false" customHeight="true" outlineLevel="0" collapsed="false">
      <c r="A686" s="16" t="n">
        <f aca="false">Report!C895</f>
        <v>46232</v>
      </c>
      <c r="B686" s="1" t="str">
        <f aca="false">Report!E895</f>
        <v>DISTRIBUIDORA LOPES LTDA</v>
      </c>
      <c r="C686" s="17" t="n">
        <f aca="false">Report!U895</f>
        <v>1862.4</v>
      </c>
      <c r="D686" s="1" t="str">
        <f aca="false">Report!X895</f>
        <v>NF 1685233-2 MILKA</v>
      </c>
    </row>
    <row r="687" customFormat="false" ht="12.75" hidden="false" customHeight="true" outlineLevel="0" collapsed="false">
      <c r="A687" s="16" t="n">
        <f aca="false">Report!C896</f>
        <v>46232</v>
      </c>
      <c r="B687" s="1" t="str">
        <f aca="false">Report!E896</f>
        <v>DISTRIBUIDORA LOPES LTDA</v>
      </c>
      <c r="C687" s="17" t="n">
        <f aca="false">Report!U896</f>
        <v>2148.41</v>
      </c>
      <c r="D687" s="1" t="str">
        <f aca="false">Report!X896</f>
        <v>NF 1685064 - MILKA</v>
      </c>
    </row>
    <row r="688" customFormat="false" ht="12.75" hidden="false" customHeight="true" outlineLevel="0" collapsed="false">
      <c r="A688" s="16" t="n">
        <f aca="false">Report!C898</f>
        <v>46232</v>
      </c>
      <c r="B688" s="1" t="str">
        <f aca="false">Report!E898</f>
        <v>H. L. DO NASCIMENTO</v>
      </c>
      <c r="C688" s="17" t="n">
        <f aca="false">Report!U898</f>
        <v>933.95</v>
      </c>
      <c r="D688" s="1" t="str">
        <f aca="false">Report!X898</f>
        <v>NF 5843 FAZENDINHA - MILKA</v>
      </c>
    </row>
    <row r="689" customFormat="false" ht="12.75" hidden="false" customHeight="true" outlineLevel="0" collapsed="false">
      <c r="A689" s="16" t="n">
        <f aca="false">Report!C899</f>
        <v>46232</v>
      </c>
      <c r="B689" s="1" t="str">
        <f aca="false">Report!E899</f>
        <v>INNOVAR DISTRIBUIDORA DE COSMETICOS E MEDICAMENTOS LTDA</v>
      </c>
      <c r="C689" s="17" t="n">
        <f aca="false">Report!U899</f>
        <v>698.4</v>
      </c>
      <c r="D689" s="1" t="str">
        <f aca="false">Report!X899</f>
        <v>NF 104122 - MILKA</v>
      </c>
    </row>
    <row r="690" customFormat="false" ht="12.75" hidden="false" customHeight="true" outlineLevel="0" collapsed="false">
      <c r="A690" s="16" t="n">
        <f aca="false">Report!C901</f>
        <v>46232</v>
      </c>
      <c r="B690" s="1" t="str">
        <f aca="false">Report!E901</f>
        <v>JAB COMERCIO DE PRODUTOS ALIMENTICIOS LT</v>
      </c>
      <c r="C690" s="17" t="n">
        <f aca="false">Report!U901</f>
        <v>274</v>
      </c>
      <c r="D690" s="1" t="str">
        <f aca="false">Report!X901</f>
        <v>NF 3590 SANTO PAO - MILKA</v>
      </c>
    </row>
    <row r="691" customFormat="false" ht="12.75" hidden="false" customHeight="true" outlineLevel="0" collapsed="false">
      <c r="A691" s="16" t="n">
        <f aca="false">Report!C902</f>
        <v>46232</v>
      </c>
      <c r="B691" s="1" t="str">
        <f aca="false">Report!E902</f>
        <v>L S M COMERCIO DE ALIMENTOS E NAVEGACAO</v>
      </c>
      <c r="C691" s="17" t="n">
        <f aca="false">Report!U902</f>
        <v>1613.94</v>
      </c>
      <c r="D691" s="1" t="str">
        <f aca="false">Report!X902</f>
        <v>NF 306058-3 MILKA</v>
      </c>
    </row>
    <row r="692" customFormat="false" ht="12.75" hidden="false" customHeight="true" outlineLevel="0" collapsed="false">
      <c r="A692" s="16" t="n">
        <f aca="false">Report!C903</f>
        <v>46232</v>
      </c>
      <c r="B692" s="1" t="str">
        <f aca="false">Report!E903</f>
        <v>L S M COMERCIO DE ALIMENTOS E NAVEGACAO</v>
      </c>
      <c r="C692" s="17" t="n">
        <f aca="false">Report!U903</f>
        <v>732.47</v>
      </c>
      <c r="D692" s="1" t="str">
        <f aca="false">Report!X903</f>
        <v>NF 307805-2 MILKA</v>
      </c>
    </row>
    <row r="693" customFormat="false" ht="12.75" hidden="false" customHeight="true" outlineLevel="0" collapsed="false">
      <c r="A693" s="16" t="n">
        <f aca="false">Report!C904</f>
        <v>46232</v>
      </c>
      <c r="B693" s="1" t="str">
        <f aca="false">Report!E904</f>
        <v>MARQUES &amp; MELO LTDA - FILIAL</v>
      </c>
      <c r="C693" s="17" t="n">
        <f aca="false">Report!U904</f>
        <v>395.5</v>
      </c>
      <c r="D693" s="1" t="str">
        <f aca="false">Report!X904</f>
        <v>NF 499471 - MILKA</v>
      </c>
    </row>
    <row r="694" customFormat="false" ht="12.75" hidden="false" customHeight="true" outlineLevel="0" collapsed="false">
      <c r="A694" s="16" t="n">
        <f aca="false">Report!C905</f>
        <v>46232</v>
      </c>
      <c r="B694" s="1" t="str">
        <f aca="false">Report!E905</f>
        <v>NESTLÉ BRASIL LTDA.</v>
      </c>
      <c r="C694" s="17" t="n">
        <f aca="false">Report!U905</f>
        <v>1051.26</v>
      </c>
      <c r="D694" s="1" t="str">
        <f aca="false">Report!X905</f>
        <v>NF1425692-03/03 MILKA</v>
      </c>
    </row>
    <row r="695" customFormat="false" ht="12.75" hidden="false" customHeight="true" outlineLevel="0" collapsed="false">
      <c r="A695" s="16" t="n">
        <f aca="false">Report!C906</f>
        <v>46232</v>
      </c>
      <c r="B695" s="1" t="str">
        <f aca="false">Report!E906</f>
        <v>PRIME PET DISTRIBUIDORA LTDA</v>
      </c>
      <c r="C695" s="17" t="n">
        <f aca="false">Report!U906</f>
        <v>319.7</v>
      </c>
      <c r="D695" s="1" t="str">
        <f aca="false">Report!X906</f>
        <v>NF 10643-05/05 MILKA</v>
      </c>
    </row>
    <row r="696" customFormat="false" ht="12.75" hidden="false" customHeight="true" outlineLevel="0" collapsed="false">
      <c r="A696" s="16" t="n">
        <f aca="false">Report!C907</f>
        <v>46232</v>
      </c>
      <c r="B696" s="1" t="str">
        <f aca="false">Report!E907</f>
        <v>RENATO DE O AZEVEDO E CIA LTDA - EPP</v>
      </c>
      <c r="C696" s="17" t="n">
        <f aca="false">Report!U907</f>
        <v>1183</v>
      </c>
      <c r="D696" s="1" t="str">
        <f aca="false">Report!X907</f>
        <v>FEIRA CARLOS - DEBORA</v>
      </c>
    </row>
    <row r="697" customFormat="false" ht="12.75" hidden="false" customHeight="true" outlineLevel="0" collapsed="false">
      <c r="A697" s="16" t="n">
        <f aca="false">Report!C908</f>
        <v>46232</v>
      </c>
      <c r="B697" s="1" t="str">
        <f aca="false">Report!E908</f>
        <v>RENATO DE O AZEVEDO E CIA LTDA - EPP</v>
      </c>
      <c r="C697" s="17" t="n">
        <f aca="false">Report!U908</f>
        <v>420</v>
      </c>
      <c r="D697" s="1" t="str">
        <f aca="false">Report!X908</f>
        <v>ACAI DE ANORI - 18/07 - DEBORA</v>
      </c>
    </row>
    <row r="698" customFormat="false" ht="12.75" hidden="false" customHeight="true" outlineLevel="0" collapsed="false">
      <c r="A698" s="16" t="n">
        <f aca="false">Report!C909</f>
        <v>46232</v>
      </c>
      <c r="B698" s="1" t="str">
        <f aca="false">Report!E909</f>
        <v>RENATO DE O AZEVEDO E CIA LTDA - EPP</v>
      </c>
      <c r="C698" s="17" t="n">
        <f aca="false">Report!U909</f>
        <v>350</v>
      </c>
      <c r="D698" s="1" t="str">
        <f aca="false">Report!X909</f>
        <v>ACAI DE ANORI - 20/07 - DEBORA</v>
      </c>
    </row>
    <row r="699" customFormat="false" ht="12.75" hidden="false" customHeight="true" outlineLevel="0" collapsed="false">
      <c r="A699" s="16" t="n">
        <f aca="false">Report!C910</f>
        <v>46232</v>
      </c>
      <c r="B699" s="1" t="str">
        <f aca="false">Report!E910</f>
        <v>RENATO DE O AZEVEDO E CIA LTDA - EPP</v>
      </c>
      <c r="C699" s="17" t="n">
        <f aca="false">Report!U910</f>
        <v>280</v>
      </c>
      <c r="D699" s="1" t="str">
        <f aca="false">Report!X910</f>
        <v>ACAI DE ANORI - 21/07 - DEBORA</v>
      </c>
    </row>
    <row r="700" customFormat="false" ht="12.75" hidden="false" customHeight="true" outlineLevel="0" collapsed="false">
      <c r="A700" s="16" t="n">
        <f aca="false">Report!C911</f>
        <v>46232</v>
      </c>
      <c r="B700" s="1" t="str">
        <f aca="false">Report!E911</f>
        <v>RENATO DE O AZEVEDO E CIA LTDA - EPP</v>
      </c>
      <c r="C700" s="17" t="n">
        <f aca="false">Report!U911</f>
        <v>280</v>
      </c>
      <c r="D700" s="1" t="str">
        <f aca="false">Report!X911</f>
        <v>ACAI DE ANORI - 22/07 - DEBORA</v>
      </c>
    </row>
    <row r="701" customFormat="false" ht="12.75" hidden="false" customHeight="true" outlineLevel="0" collapsed="false">
      <c r="A701" s="16" t="n">
        <f aca="false">Report!C912</f>
        <v>46232</v>
      </c>
      <c r="B701" s="1" t="str">
        <f aca="false">Report!E912</f>
        <v>RENATO DE O AZEVEDO E CIA LTDA - EPP</v>
      </c>
      <c r="C701" s="17" t="n">
        <f aca="false">Report!U912</f>
        <v>280</v>
      </c>
      <c r="D701" s="1" t="str">
        <f aca="false">Report!X912</f>
        <v>ACAI DE ANORI - 23/07 - DEBORA</v>
      </c>
    </row>
    <row r="702" customFormat="false" ht="12.75" hidden="false" customHeight="true" outlineLevel="0" collapsed="false">
      <c r="A702" s="16" t="n">
        <f aca="false">Report!C913</f>
        <v>46232</v>
      </c>
      <c r="B702" s="1" t="str">
        <f aca="false">Report!E913</f>
        <v>RENATO DE O AZEVEDO E CIA LTDA - EPP</v>
      </c>
      <c r="C702" s="17" t="n">
        <f aca="false">Report!U913</f>
        <v>280</v>
      </c>
      <c r="D702" s="1" t="str">
        <f aca="false">Report!X913</f>
        <v>ACAI DE ANORI - 24/07 - DEBORA</v>
      </c>
    </row>
    <row r="703" customFormat="false" ht="12.75" hidden="false" customHeight="true" outlineLevel="0" collapsed="false">
      <c r="A703" s="16" t="n">
        <f aca="false">Report!C914</f>
        <v>46232</v>
      </c>
      <c r="B703" s="1" t="str">
        <f aca="false">Report!E914</f>
        <v>RENATO DE O AZEVEDO E CIA LTDA - EPP</v>
      </c>
      <c r="C703" s="17" t="n">
        <f aca="false">Report!U914</f>
        <v>420</v>
      </c>
      <c r="D703" s="1" t="str">
        <f aca="false">Report!X914</f>
        <v>ACAI DE ANORI - 25/07 - DEBORA</v>
      </c>
    </row>
    <row r="704" customFormat="false" ht="12.75" hidden="false" customHeight="true" outlineLevel="0" collapsed="false">
      <c r="A704" s="16" t="n">
        <f aca="false">Report!C915</f>
        <v>46232</v>
      </c>
      <c r="B704" s="1" t="str">
        <f aca="false">Report!E915</f>
        <v>RENATO DE O AZEVEDO E CIA LTDA - EPP</v>
      </c>
      <c r="C704" s="17" t="n">
        <f aca="false">Report!U915</f>
        <v>350</v>
      </c>
      <c r="D704" s="1" t="str">
        <f aca="false">Report!X915</f>
        <v>ACAI DE ANORI - 27/07 - DEBORA</v>
      </c>
    </row>
    <row r="705" customFormat="false" ht="12.75" hidden="false" customHeight="true" outlineLevel="0" collapsed="false">
      <c r="A705" s="16" t="n">
        <f aca="false">Report!C916</f>
        <v>46232</v>
      </c>
      <c r="B705" s="1" t="str">
        <f aca="false">Report!E916</f>
        <v>RENATO DE O AZEVEDO E CIA LTDA - EPP</v>
      </c>
      <c r="C705" s="17" t="n">
        <f aca="false">Report!U916</f>
        <v>350</v>
      </c>
      <c r="D705" s="1" t="str">
        <f aca="false">Report!X916</f>
        <v>ACAI DE ANORI - 28/07 - DEBORA</v>
      </c>
    </row>
    <row r="706" customFormat="false" ht="12.75" hidden="false" customHeight="true" outlineLevel="0" collapsed="false">
      <c r="A706" s="16" t="n">
        <f aca="false">Report!C917</f>
        <v>46233</v>
      </c>
      <c r="B706" s="1" t="str">
        <f aca="false">Report!E917</f>
        <v>A K LIMA DE ANDRADE</v>
      </c>
      <c r="C706" s="17" t="n">
        <f aca="false">Report!U917</f>
        <v>879</v>
      </c>
      <c r="D706" s="1" t="str">
        <f aca="false">Report!X917</f>
        <v>NF 2741 SP CEREAL - MILKA</v>
      </c>
    </row>
    <row r="707" customFormat="false" ht="12.75" hidden="false" customHeight="true" outlineLevel="0" collapsed="false">
      <c r="A707" s="16" t="n">
        <f aca="false">Report!C918</f>
        <v>46233</v>
      </c>
      <c r="B707" s="1" t="str">
        <f aca="false">Report!E918</f>
        <v>ADICSO FABIAN GONZALEZ MONTILLA 70302186</v>
      </c>
      <c r="C707" s="17" t="n">
        <f aca="false">Report!U918</f>
        <v>816</v>
      </c>
      <c r="D707" s="1" t="str">
        <f aca="false">Report!X918</f>
        <v>NF 550 BLOOM  - MILKA</v>
      </c>
    </row>
    <row r="708" customFormat="false" ht="12.75" hidden="false" customHeight="true" outlineLevel="0" collapsed="false">
      <c r="A708" s="16" t="n">
        <f aca="false">Report!C919</f>
        <v>46233</v>
      </c>
      <c r="B708" s="1" t="str">
        <f aca="false">Report!E919</f>
        <v>ADRIANO FEITOSA OLIVEIRA LTDA</v>
      </c>
      <c r="C708" s="17" t="n">
        <f aca="false">Report!U919</f>
        <v>570</v>
      </c>
      <c r="D708" s="1" t="str">
        <f aca="false">Report!X919</f>
        <v>NF 346 PGTO. P/ ADRIANO DISTRIB. - MILKA</v>
      </c>
    </row>
    <row r="709" customFormat="false" ht="12.75" hidden="false" customHeight="true" outlineLevel="0" collapsed="false">
      <c r="A709" s="16" t="n">
        <f aca="false">Report!C920</f>
        <v>46233</v>
      </c>
      <c r="B709" s="1" t="str">
        <f aca="false">Report!E920</f>
        <v>BF COMERCIO DE ALIMENTOS REPRESENTACAO L</v>
      </c>
      <c r="C709" s="17" t="n">
        <f aca="false">Report!U920</f>
        <v>1317.6</v>
      </c>
      <c r="D709" s="1" t="str">
        <f aca="false">Report!X920</f>
        <v>NF 20994 - MILKA</v>
      </c>
    </row>
    <row r="710" customFormat="false" ht="12.75" hidden="false" customHeight="true" outlineLevel="0" collapsed="false">
      <c r="A710" s="16" t="n">
        <f aca="false">Report!C921</f>
        <v>46233</v>
      </c>
      <c r="B710" s="1" t="str">
        <f aca="false">Report!E921</f>
        <v>BONNA VITTA INDUSTRIA E COMERCIO LTDA.</v>
      </c>
      <c r="C710" s="17" t="n">
        <f aca="false">Report!U921</f>
        <v>1399.86</v>
      </c>
      <c r="D710" s="1" t="str">
        <f aca="false">Report!X921</f>
        <v>NF 1350 - MILKA</v>
      </c>
    </row>
    <row r="711" customFormat="false" ht="12.75" hidden="false" customHeight="true" outlineLevel="0" collapsed="false">
      <c r="A711" s="16" t="n">
        <f aca="false">Report!C922</f>
        <v>46233</v>
      </c>
      <c r="B711" s="1" t="str">
        <f aca="false">Report!E922</f>
        <v>BRASIL NORTE BEBIDAS S/A</v>
      </c>
      <c r="C711" s="17" t="n">
        <f aca="false">Report!U922</f>
        <v>1638.55</v>
      </c>
      <c r="D711" s="1" t="str">
        <f aca="false">Report!X922</f>
        <v>NF 1203714 C/ TARIFA INCLUSA - MILKA</v>
      </c>
    </row>
    <row r="712" customFormat="false" ht="12.75" hidden="false" customHeight="true" outlineLevel="0" collapsed="false">
      <c r="A712" s="16" t="n">
        <f aca="false">Report!C923</f>
        <v>46233</v>
      </c>
      <c r="B712" s="1" t="str">
        <f aca="false">Report!E923</f>
        <v>BRASIL NORTE BEBIDAS S/A</v>
      </c>
      <c r="C712" s="17" t="n">
        <f aca="false">Report!U923</f>
        <v>2622.9</v>
      </c>
      <c r="D712" s="1" t="str">
        <f aca="false">Report!X923</f>
        <v>NF 1936376 COCA - MILKA</v>
      </c>
    </row>
    <row r="713" customFormat="false" ht="12.75" hidden="false" customHeight="true" outlineLevel="0" collapsed="false">
      <c r="A713" s="16" t="n">
        <f aca="false">Report!C924</f>
        <v>46233</v>
      </c>
      <c r="B713" s="1" t="str">
        <f aca="false">Report!E924</f>
        <v>BRASIL NORTE BEBIDAS S/A</v>
      </c>
      <c r="C713" s="17" t="n">
        <f aca="false">Report!U924</f>
        <v>160.78</v>
      </c>
      <c r="D713" s="1" t="str">
        <f aca="false">Report!X924</f>
        <v>NF 1936062 COCA - MILKA</v>
      </c>
    </row>
    <row r="714" customFormat="false" ht="12.75" hidden="false" customHeight="true" outlineLevel="0" collapsed="false">
      <c r="A714" s="16" t="n">
        <f aca="false">Report!C925</f>
        <v>46233</v>
      </c>
      <c r="B714" s="1" t="str">
        <f aca="false">Report!E925</f>
        <v>C. R. PARENTE ABREU</v>
      </c>
      <c r="C714" s="17" t="n">
        <f aca="false">Report!U925</f>
        <v>713.31</v>
      </c>
      <c r="D714" s="1" t="str">
        <f aca="false">Report!X925</f>
        <v>NF 11479-1 KARU - MILKA </v>
      </c>
    </row>
    <row r="715" customFormat="false" ht="12.75" hidden="false" customHeight="true" outlineLevel="0" collapsed="false">
      <c r="A715" s="16" t="n">
        <f aca="false">Report!C926</f>
        <v>46233</v>
      </c>
      <c r="B715" s="1" t="str">
        <f aca="false">Report!E926</f>
        <v>CB COMERCIO E DISTRIBUIDORA DE ALIMENTOS</v>
      </c>
      <c r="C715" s="17" t="n">
        <f aca="false">Report!U926</f>
        <v>748.7</v>
      </c>
      <c r="D715" s="1" t="str">
        <f aca="false">Report!X926</f>
        <v>952611-A/C  NF854275 - MILKA</v>
      </c>
    </row>
    <row r="716" customFormat="false" ht="12.75" hidden="false" customHeight="true" outlineLevel="0" collapsed="false">
      <c r="A716" s="16" t="n">
        <f aca="false">Report!C927</f>
        <v>46233</v>
      </c>
      <c r="B716" s="1" t="str">
        <f aca="false">Report!E927</f>
        <v>DA FRUTA DISTRIBUIDORA LTDA</v>
      </c>
      <c r="C716" s="17" t="n">
        <f aca="false">Report!U927</f>
        <v>950.4</v>
      </c>
      <c r="D716" s="1" t="str">
        <f aca="false">Report!X927</f>
        <v>NF 196700 - MILKA</v>
      </c>
    </row>
    <row r="717" customFormat="false" ht="12.75" hidden="false" customHeight="true" outlineLevel="0" collapsed="false">
      <c r="A717" s="16" t="n">
        <f aca="false">Report!C929</f>
        <v>46233</v>
      </c>
      <c r="B717" s="1" t="str">
        <f aca="false">Report!E929</f>
        <v>FENNIX BRASIL DISTRIBUIDORA DE PRODUTOS</v>
      </c>
      <c r="C717" s="17" t="n">
        <f aca="false">Report!U929</f>
        <v>1643.75</v>
      </c>
      <c r="D717" s="1" t="str">
        <f aca="false">Report!X929</f>
        <v>NF 312590-2 MILKA</v>
      </c>
    </row>
    <row r="718" customFormat="false" ht="12.75" hidden="false" customHeight="true" outlineLevel="0" collapsed="false">
      <c r="A718" s="16" t="n">
        <f aca="false">Report!C930</f>
        <v>46233</v>
      </c>
      <c r="B718" s="1" t="str">
        <f aca="false">Report!E930</f>
        <v>FORTVET DISTRIBUIDORA LTDA</v>
      </c>
      <c r="C718" s="17" t="n">
        <f aca="false">Report!U930</f>
        <v>445.38</v>
      </c>
      <c r="D718" s="1" t="str">
        <f aca="false">Report!X930</f>
        <v>NF 2808-1 MILKA</v>
      </c>
    </row>
    <row r="719" customFormat="false" ht="12.75" hidden="false" customHeight="true" outlineLevel="0" collapsed="false">
      <c r="A719" s="16" t="n">
        <f aca="false">Report!C931</f>
        <v>46233</v>
      </c>
      <c r="B719" s="1" t="str">
        <f aca="false">Report!E931</f>
        <v>H L M PADARIA E CONFEITARIA LTDA</v>
      </c>
      <c r="C719" s="17" t="n">
        <f aca="false">Report!U931</f>
        <v>420</v>
      </c>
      <c r="D719" s="1" t="str">
        <f aca="false">Report!X931</f>
        <v>NF 97 - DEBORA</v>
      </c>
    </row>
    <row r="720" customFormat="false" ht="12.75" hidden="false" customHeight="true" outlineLevel="0" collapsed="false">
      <c r="A720" s="16" t="n">
        <f aca="false">Report!C932</f>
        <v>46233</v>
      </c>
      <c r="B720" s="1" t="str">
        <f aca="false">Report!E932</f>
        <v>H L M PADARIA E CONFEITARIA LTDA</v>
      </c>
      <c r="C720" s="17" t="n">
        <f aca="false">Report!U932</f>
        <v>440</v>
      </c>
      <c r="D720" s="1" t="str">
        <f aca="false">Report!X932</f>
        <v>NF 98 - DEBORA</v>
      </c>
    </row>
    <row r="721" customFormat="false" ht="12.75" hidden="false" customHeight="true" outlineLevel="0" collapsed="false">
      <c r="A721" s="16" t="n">
        <f aca="false">Report!C933</f>
        <v>46233</v>
      </c>
      <c r="B721" s="1" t="str">
        <f aca="false">Report!E933</f>
        <v>H L M PADARIA E CONFEITARIA LTDA</v>
      </c>
      <c r="C721" s="17" t="n">
        <f aca="false">Report!U933</f>
        <v>420</v>
      </c>
      <c r="D721" s="1" t="str">
        <f aca="false">Report!X933</f>
        <v>NF 96 - DEBORA</v>
      </c>
    </row>
    <row r="722" customFormat="false" ht="12.75" hidden="false" customHeight="true" outlineLevel="0" collapsed="false">
      <c r="A722" s="16" t="n">
        <f aca="false">Report!C935</f>
        <v>46233</v>
      </c>
      <c r="B722" s="1" t="str">
        <f aca="false">Report!E935</f>
        <v>LIMA E BARANDA COMERCIO DE PRODUTOS REGI</v>
      </c>
      <c r="C722" s="17" t="n">
        <f aca="false">Report!U935</f>
        <v>266</v>
      </c>
      <c r="D722" s="1" t="str">
        <f aca="false">Report!X935</f>
        <v>NF 31601 - MILKA</v>
      </c>
    </row>
    <row r="723" customFormat="false" ht="12.75" hidden="false" customHeight="true" outlineLevel="0" collapsed="false">
      <c r="A723" s="16" t="n">
        <f aca="false">Report!C937</f>
        <v>46233</v>
      </c>
      <c r="B723" s="1" t="str">
        <f aca="false">Report!E937</f>
        <v>NESTLÉ BRASIL LTDA.</v>
      </c>
      <c r="C723" s="17" t="n">
        <f aca="false">Report!U937</f>
        <v>957.84</v>
      </c>
      <c r="D723" s="1" t="str">
        <f aca="false">Report!X937</f>
        <v>NF 1428642-02 MILKA</v>
      </c>
    </row>
    <row r="724" customFormat="false" ht="12.75" hidden="false" customHeight="true" outlineLevel="0" collapsed="false">
      <c r="A724" s="16" t="n">
        <f aca="false">Report!C938</f>
        <v>46233</v>
      </c>
      <c r="B724" s="1" t="str">
        <f aca="false">Report!E938</f>
        <v>NESTLÉ BRASIL LTDA.</v>
      </c>
      <c r="C724" s="17" t="n">
        <f aca="false">Report!U938</f>
        <v>1773.63</v>
      </c>
      <c r="D724" s="1" t="str">
        <f aca="false">Report!X938</f>
        <v>NF 1431708-01/03 MILKA</v>
      </c>
    </row>
    <row r="725" customFormat="false" ht="12.75" hidden="false" customHeight="true" outlineLevel="0" collapsed="false">
      <c r="A725" s="16" t="n">
        <f aca="false">Report!C939</f>
        <v>46233</v>
      </c>
      <c r="B725" s="1" t="str">
        <f aca="false">Report!E939</f>
        <v>OCIDENTAL COMERCIO DE FRIOS LTDA</v>
      </c>
      <c r="C725" s="17" t="n">
        <f aca="false">Report!U939</f>
        <v>972.31</v>
      </c>
      <c r="D725" s="1" t="str">
        <f aca="false">Report!X939</f>
        <v>NF 1243403-2 MILKA</v>
      </c>
    </row>
    <row r="726" customFormat="false" ht="12.75" hidden="false" customHeight="true" outlineLevel="0" collapsed="false">
      <c r="A726" s="16" t="n">
        <f aca="false">Report!C940</f>
        <v>46233</v>
      </c>
      <c r="B726" s="1" t="str">
        <f aca="false">Report!E940</f>
        <v>OCIDENTAL COMERCIO DE FRIOS LTDA</v>
      </c>
      <c r="C726" s="17" t="n">
        <f aca="false">Report!U940</f>
        <v>828.44</v>
      </c>
      <c r="D726" s="1" t="str">
        <f aca="false">Report!X940</f>
        <v>NF 1245715-1/2 MILKA</v>
      </c>
    </row>
    <row r="727" customFormat="false" ht="12.75" hidden="false" customHeight="true" outlineLevel="0" collapsed="false">
      <c r="A727" s="16" t="n">
        <f aca="false">Report!C941</f>
        <v>46233</v>
      </c>
      <c r="B727" s="1" t="str">
        <f aca="false">Report!E941</f>
        <v>OPPORTUNITY ALIMENTOS PARA ANIMAIS LTDA</v>
      </c>
      <c r="C727" s="17" t="n">
        <f aca="false">Report!U941</f>
        <v>3377.6</v>
      </c>
      <c r="D727" s="1" t="str">
        <f aca="false">Report!X941</f>
        <v>NF 34300-2 MILKA</v>
      </c>
    </row>
    <row r="728" customFormat="false" ht="12.75" hidden="false" customHeight="true" outlineLevel="0" collapsed="false">
      <c r="A728" s="16" t="n">
        <f aca="false">Report!C942</f>
        <v>46233</v>
      </c>
      <c r="B728" s="1" t="str">
        <f aca="false">Report!E942</f>
        <v>REAL BEBIDAS DA AMAZONIA LTDA</v>
      </c>
      <c r="C728" s="17" t="n">
        <f aca="false">Report!U942</f>
        <v>420</v>
      </c>
      <c r="D728" s="1" t="str">
        <f aca="false">Report!X942</f>
        <v>NF 608658 - DEBORA</v>
      </c>
    </row>
    <row r="729" customFormat="false" ht="12.75" hidden="false" customHeight="true" outlineLevel="0" collapsed="false">
      <c r="A729" s="16" t="n">
        <f aca="false">Report!C943</f>
        <v>46233</v>
      </c>
      <c r="B729" s="1" t="str">
        <f aca="false">Report!E943</f>
        <v>RV TECNOLOGIA E SISTEMAS S.A</v>
      </c>
      <c r="C729" s="17" t="n">
        <f aca="false">Report!U943</f>
        <v>131.3</v>
      </c>
      <c r="D729" s="1" t="str">
        <f aca="false">Report!X943</f>
        <v>RV RECARGA CELULAR-ANDREZA</v>
      </c>
    </row>
    <row r="730" customFormat="false" ht="12.75" hidden="false" customHeight="true" outlineLevel="0" collapsed="false">
      <c r="A730" s="16" t="n">
        <f aca="false">Report!C947</f>
        <v>46233</v>
      </c>
      <c r="B730" s="1" t="str">
        <f aca="false">Report!E947</f>
        <v>SB COMERCIO LTDA</v>
      </c>
      <c r="C730" s="17" t="n">
        <f aca="false">Report!U947</f>
        <v>3937.79</v>
      </c>
      <c r="D730" s="1" t="str">
        <f aca="false">Report!X947</f>
        <v>NF 1957890-5 MILKA</v>
      </c>
    </row>
    <row r="731" customFormat="false" ht="12.75" hidden="false" customHeight="true" outlineLevel="0" collapsed="false">
      <c r="A731" s="16" t="n">
        <f aca="false">Report!C950</f>
        <v>46234</v>
      </c>
      <c r="B731" s="1" t="str">
        <f aca="false">Report!E950</f>
        <v>BROTHERS  INDUSTRIA DE ALIMENTOS LTDA</v>
      </c>
      <c r="C731" s="17" t="n">
        <f aca="false">Report!U950</f>
        <v>455.45</v>
      </c>
      <c r="D731" s="1" t="str">
        <f aca="false">Report!X950</f>
        <v>NF 1033389 -MILKA</v>
      </c>
    </row>
    <row r="732" customFormat="false" ht="12.75" hidden="false" customHeight="true" outlineLevel="0" collapsed="false">
      <c r="A732" s="16" t="n">
        <f aca="false">Report!C951</f>
        <v>46234</v>
      </c>
      <c r="B732" s="1" t="str">
        <f aca="false">Report!E951</f>
        <v>COMERCIO DE FRIOS MANAUS LTDA</v>
      </c>
      <c r="C732" s="17" t="n">
        <f aca="false">Report!U951</f>
        <v>4683.5</v>
      </c>
      <c r="D732" s="1" t="str">
        <f aca="false">Report!X951</f>
        <v>NF 173548 - MILKA</v>
      </c>
    </row>
    <row r="733" customFormat="false" ht="12.75" hidden="false" customHeight="true" outlineLevel="0" collapsed="false">
      <c r="A733" s="16" t="n">
        <f aca="false">Report!C952</f>
        <v>46234</v>
      </c>
      <c r="B733" s="1" t="str">
        <f aca="false">Report!E952</f>
        <v>COMERCIO E TRANSPORTE BRANDAO LTDA</v>
      </c>
      <c r="C733" s="17" t="n">
        <f aca="false">Report!U952</f>
        <v>1010</v>
      </c>
      <c r="D733" s="1" t="str">
        <f aca="false">Report!X952</f>
        <v>NF 14996 - DEBORA</v>
      </c>
    </row>
    <row r="734" customFormat="false" ht="12.75" hidden="false" customHeight="true" outlineLevel="0" collapsed="false">
      <c r="A734" s="16" t="n">
        <f aca="false">Report!C953</f>
        <v>46234</v>
      </c>
      <c r="B734" s="1" t="str">
        <f aca="false">Report!E953</f>
        <v>CRBS S/A</v>
      </c>
      <c r="C734" s="17" t="n">
        <f aca="false">Report!U953</f>
        <v>337.06</v>
      </c>
      <c r="D734" s="1" t="str">
        <f aca="false">Report!X953</f>
        <v>NF 920837 C/TARIFA INCLUSA - MILKA</v>
      </c>
    </row>
    <row r="735" customFormat="false" ht="12.75" hidden="false" customHeight="true" outlineLevel="0" collapsed="false">
      <c r="A735" s="16" t="n">
        <f aca="false">Report!C954</f>
        <v>46234</v>
      </c>
      <c r="B735" s="1" t="str">
        <f aca="false">Report!E954</f>
        <v>DISTRIBUIDORA FARIAS LTDA.</v>
      </c>
      <c r="C735" s="17" t="n">
        <f aca="false">Report!U954</f>
        <v>871.13</v>
      </c>
      <c r="D735" s="1" t="str">
        <f aca="false">Report!X954</f>
        <v>804856-B/C  NF681131 - MILKA</v>
      </c>
    </row>
    <row r="736" customFormat="false" ht="12.75" hidden="false" customHeight="true" outlineLevel="0" collapsed="false">
      <c r="A736" s="16" t="n">
        <f aca="false">Report!C955</f>
        <v>46234</v>
      </c>
      <c r="B736" s="1" t="str">
        <f aca="false">Report!E955</f>
        <v>EDMARA COMERCIO DE HIGIENE PESSOAL LTDA</v>
      </c>
      <c r="C736" s="17" t="n">
        <f aca="false">Report!U955</f>
        <v>523.67</v>
      </c>
      <c r="D736" s="1" t="str">
        <f aca="false">Report!X955</f>
        <v>5350-A/C  NF8364 - MILKA</v>
      </c>
    </row>
    <row r="737" customFormat="false" ht="12.75" hidden="false" customHeight="true" outlineLevel="0" collapsed="false">
      <c r="A737" s="16" t="n">
        <f aca="false">Report!C956</f>
        <v>46234</v>
      </c>
      <c r="B737" s="1" t="str">
        <f aca="false">Report!E956</f>
        <v>EDSON AGUIAR DE SOUZA</v>
      </c>
      <c r="C737" s="17" t="n">
        <f aca="false">Report!U956</f>
        <v>126</v>
      </c>
      <c r="D737" s="1" t="str">
        <f aca="false">Report!X956</f>
        <v>NF 1655915 - DEBORA</v>
      </c>
    </row>
    <row r="738" customFormat="false" ht="12.75" hidden="false" customHeight="true" outlineLevel="0" collapsed="false">
      <c r="A738" s="16" t="n">
        <f aca="false">Report!C957</f>
        <v>46234</v>
      </c>
      <c r="B738" s="1" t="str">
        <f aca="false">Report!E957</f>
        <v>EDSON AGUIAR DE SOUZA</v>
      </c>
      <c r="C738" s="17" t="n">
        <f aca="false">Report!U957</f>
        <v>225</v>
      </c>
      <c r="D738" s="1" t="str">
        <f aca="false">Report!X957</f>
        <v>NF 1655918 - DEBORA</v>
      </c>
    </row>
    <row r="739" customFormat="false" ht="12.75" hidden="false" customHeight="true" outlineLevel="0" collapsed="false">
      <c r="A739" s="16" t="n">
        <f aca="false">Report!C958</f>
        <v>46234</v>
      </c>
      <c r="B739" s="1" t="str">
        <f aca="false">Report!E958</f>
        <v>EDSON AGUIAR DE SOUZA</v>
      </c>
      <c r="C739" s="17" t="n">
        <f aca="false">Report!U958</f>
        <v>210</v>
      </c>
      <c r="D739" s="1" t="str">
        <f aca="false">Report!X958</f>
        <v>NF 1655921 - DEBORA</v>
      </c>
    </row>
    <row r="740" customFormat="false" ht="12.75" hidden="false" customHeight="true" outlineLevel="0" collapsed="false">
      <c r="A740" s="16" t="n">
        <f aca="false">Report!C959</f>
        <v>46234</v>
      </c>
      <c r="B740" s="1" t="str">
        <f aca="false">Report!E959</f>
        <v>EDSON AGUIAR DE SOUZA</v>
      </c>
      <c r="C740" s="17" t="n">
        <f aca="false">Report!U959</f>
        <v>315</v>
      </c>
      <c r="D740" s="1" t="str">
        <f aca="false">Report!X959</f>
        <v>NF 1655928 - DEBORA</v>
      </c>
    </row>
    <row r="741" customFormat="false" ht="12.75" hidden="false" customHeight="true" outlineLevel="0" collapsed="false">
      <c r="A741" s="16" t="n">
        <f aca="false">Report!C960</f>
        <v>46234</v>
      </c>
      <c r="B741" s="1" t="str">
        <f aca="false">Report!E960</f>
        <v>EDSON AGUIAR DE SOUZA</v>
      </c>
      <c r="C741" s="17" t="n">
        <f aca="false">Report!U960</f>
        <v>126</v>
      </c>
      <c r="D741" s="1" t="str">
        <f aca="false">Report!X960</f>
        <v>NF 1655930 - DEBORA</v>
      </c>
    </row>
    <row r="742" customFormat="false" ht="12.75" hidden="false" customHeight="true" outlineLevel="0" collapsed="false">
      <c r="A742" s="16" t="n">
        <f aca="false">Report!C961</f>
        <v>46234</v>
      </c>
      <c r="B742" s="1" t="str">
        <f aca="false">Report!E961</f>
        <v>EDSON AGUIAR DE SOUZA</v>
      </c>
      <c r="C742" s="17" t="n">
        <f aca="false">Report!U961</f>
        <v>261</v>
      </c>
      <c r="D742" s="1" t="str">
        <f aca="false">Report!X961</f>
        <v>NF 1655931 - DEBORA</v>
      </c>
    </row>
    <row r="743" customFormat="false" ht="12.75" hidden="false" customHeight="true" outlineLevel="0" collapsed="false">
      <c r="A743" s="16" t="n">
        <f aca="false">Report!C962</f>
        <v>46234</v>
      </c>
      <c r="B743" s="1" t="str">
        <f aca="false">Report!E962</f>
        <v>EDSON AGUIAR DE SOUZA</v>
      </c>
      <c r="C743" s="17" t="n">
        <f aca="false">Report!U962</f>
        <v>126</v>
      </c>
      <c r="D743" s="1" t="str">
        <f aca="false">Report!X962</f>
        <v>NF 1655934 - DEBORA</v>
      </c>
    </row>
    <row r="744" customFormat="false" ht="12.75" hidden="false" customHeight="true" outlineLevel="0" collapsed="false">
      <c r="A744" s="16" t="n">
        <f aca="false">Report!C963</f>
        <v>46234</v>
      </c>
      <c r="B744" s="1" t="str">
        <f aca="false">Report!E963</f>
        <v>EDSON AGUIAR DE SOUZA</v>
      </c>
      <c r="C744" s="17" t="n">
        <f aca="false">Report!U963</f>
        <v>261</v>
      </c>
      <c r="D744" s="1" t="str">
        <f aca="false">Report!X963</f>
        <v>NF 1655935 - DEBORA</v>
      </c>
    </row>
    <row r="745" customFormat="false" ht="12.75" hidden="false" customHeight="true" outlineLevel="0" collapsed="false">
      <c r="A745" s="16" t="n">
        <f aca="false">Report!C964</f>
        <v>46234</v>
      </c>
      <c r="B745" s="1" t="str">
        <f aca="false">Report!E964</f>
        <v>EDSON AGUIAR DE SOUZA</v>
      </c>
      <c r="C745" s="17" t="n">
        <f aca="false">Report!U964</f>
        <v>210</v>
      </c>
      <c r="D745" s="1" t="str">
        <f aca="false">Report!X964</f>
        <v>NF 1656236 - DEBORA</v>
      </c>
    </row>
    <row r="746" customFormat="false" ht="12.75" hidden="false" customHeight="true" outlineLevel="0" collapsed="false">
      <c r="A746" s="16" t="n">
        <f aca="false">Report!C965</f>
        <v>46234</v>
      </c>
      <c r="B746" s="1" t="str">
        <f aca="false">Report!E965</f>
        <v>GELO DANGELO FABRICACAO DE GELO LTDA</v>
      </c>
      <c r="C746" s="17" t="n">
        <f aca="false">Report!U965</f>
        <v>603</v>
      </c>
      <c r="D746" s="1" t="str">
        <f aca="false">Report!X965</f>
        <v>NF 413 - DEBORA</v>
      </c>
    </row>
    <row r="747" customFormat="false" ht="12.75" hidden="false" customHeight="true" outlineLevel="0" collapsed="false">
      <c r="A747" s="16" t="n">
        <f aca="false">Report!C966</f>
        <v>46234</v>
      </c>
      <c r="B747" s="1" t="str">
        <f aca="false">Report!E966</f>
        <v>J G COMERCIO DE PRODUTOS ALIMENTICIOS LTDA</v>
      </c>
      <c r="C747" s="17" t="n">
        <f aca="false">Report!U966</f>
        <v>785.66</v>
      </c>
      <c r="D747" s="1" t="str">
        <f aca="false">Report!X966</f>
        <v>455810-C/C  NF391785 MASTERFRIGO - MILKA</v>
      </c>
    </row>
    <row r="748" customFormat="false" ht="12.75" hidden="false" customHeight="true" outlineLevel="0" collapsed="false">
      <c r="A748" s="16" t="n">
        <f aca="false">Report!C967</f>
        <v>46234</v>
      </c>
      <c r="B748" s="1" t="str">
        <f aca="false">Report!E967</f>
        <v>J W N DOS SANTOS</v>
      </c>
      <c r="C748" s="17" t="n">
        <f aca="false">Report!U967</f>
        <v>572</v>
      </c>
      <c r="D748" s="1" t="str">
        <f aca="false">Report!X967</f>
        <v>NF 387 - DEBORA</v>
      </c>
    </row>
    <row r="749" customFormat="false" ht="12.75" hidden="false" customHeight="true" outlineLevel="0" collapsed="false">
      <c r="A749" s="16" t="n">
        <f aca="false">Report!C968</f>
        <v>46234</v>
      </c>
      <c r="B749" s="1" t="str">
        <f aca="false">Report!E968</f>
        <v>J. S. MOREIRA ALVES LTDA</v>
      </c>
      <c r="C749" s="17" t="n">
        <f aca="false">Report!U968</f>
        <v>638.5</v>
      </c>
      <c r="D749" s="1" t="str">
        <f aca="false">Report!X968</f>
        <v>NF 2667 MESA FARTA - MILKA</v>
      </c>
    </row>
    <row r="750" customFormat="false" ht="12.75" hidden="false" customHeight="true" outlineLevel="0" collapsed="false">
      <c r="A750" s="16" t="n">
        <f aca="false">Report!C969</f>
        <v>46234</v>
      </c>
      <c r="B750" s="1" t="str">
        <f aca="false">Report!E969</f>
        <v>L. J. DA SILVA LTDA</v>
      </c>
      <c r="C750" s="17" t="n">
        <f aca="false">Report!U969</f>
        <v>2838.97</v>
      </c>
      <c r="D750" s="1" t="str">
        <f aca="false">Report!X969</f>
        <v>NF 34608-02 C/ ACRESCIMO - MILKA</v>
      </c>
    </row>
    <row r="751" customFormat="false" ht="12.75" hidden="false" customHeight="true" outlineLevel="0" collapsed="false">
      <c r="A751" s="16" t="n">
        <f aca="false">Report!C970</f>
        <v>46234</v>
      </c>
      <c r="B751" s="1" t="str">
        <f aca="false">Report!E970</f>
        <v>NOVA FRIOS COMERCIO ATACADISTA DE LATICINIOS LTDA</v>
      </c>
      <c r="C751" s="17" t="n">
        <f aca="false">Report!U970</f>
        <v>257</v>
      </c>
      <c r="D751" s="1" t="str">
        <f aca="false">Report!X970</f>
        <v>NF 4183 BODEGA DO PAO - MILKA</v>
      </c>
    </row>
    <row r="752" customFormat="false" ht="12.75" hidden="false" customHeight="true" outlineLevel="0" collapsed="false">
      <c r="A752" s="16" t="n">
        <f aca="false">Report!C971</f>
        <v>46234</v>
      </c>
      <c r="B752" s="1" t="str">
        <f aca="false">Report!E971</f>
        <v>NT INDUSTRIA E COMERCIO DE PANIFICACAO L</v>
      </c>
      <c r="C752" s="17" t="n">
        <f aca="false">Report!U971</f>
        <v>3866.95</v>
      </c>
      <c r="D752" s="1" t="str">
        <f aca="false">Report!X971</f>
        <v>NF 41360 - MILKA</v>
      </c>
    </row>
    <row r="753" customFormat="false" ht="12.75" hidden="false" customHeight="true" outlineLevel="0" collapsed="false">
      <c r="A753" s="16" t="n">
        <f aca="false">Report!C972</f>
        <v>46234</v>
      </c>
      <c r="B753" s="1" t="str">
        <f aca="false">Report!E972</f>
        <v>OESA COMERCIO E REPRESENTACOES S/A</v>
      </c>
      <c r="C753" s="17" t="n">
        <f aca="false">Report!U972</f>
        <v>1180.5</v>
      </c>
      <c r="D753" s="1" t="str">
        <f aca="false">Report!X972</f>
        <v>NF 430879-1 DELLY'S - MILKA</v>
      </c>
    </row>
    <row r="754" customFormat="false" ht="12.75" hidden="false" customHeight="true" outlineLevel="0" collapsed="false">
      <c r="A754" s="16" t="n">
        <f aca="false">Report!C973</f>
        <v>46234</v>
      </c>
      <c r="B754" s="1" t="str">
        <f aca="false">Report!E973</f>
        <v>PANIFICADORA E CONFEITARIA REAL MADRI LTDA</v>
      </c>
      <c r="C754" s="17" t="n">
        <f aca="false">Report!U973</f>
        <v>855.5</v>
      </c>
      <c r="D754" s="1" t="str">
        <f aca="false">Report!X973</f>
        <v>NF 733 - MILKA</v>
      </c>
    </row>
    <row r="755" customFormat="false" ht="12.75" hidden="false" customHeight="true" outlineLevel="0" collapsed="false">
      <c r="A755" s="16" t="n">
        <f aca="false">Report!C974</f>
        <v>46234</v>
      </c>
      <c r="B755" s="1" t="str">
        <f aca="false">Report!E974</f>
        <v>PANIFICADORA E CONFEITARIA REAL MADRI LTDA</v>
      </c>
      <c r="C755" s="17" t="n">
        <f aca="false">Report!U974</f>
        <v>1120</v>
      </c>
      <c r="D755" s="1" t="str">
        <f aca="false">Report!X974</f>
        <v>NF 734 - MILKA</v>
      </c>
    </row>
    <row r="756" customFormat="false" ht="12.75" hidden="false" customHeight="true" outlineLevel="0" collapsed="false">
      <c r="A756" s="16" t="n">
        <f aca="false">Report!C975</f>
        <v>46234</v>
      </c>
      <c r="B756" s="1" t="str">
        <f aca="false">Report!E975</f>
        <v>PIARARA COMERCIO, IMPORTACAO E EXPORTACAO LTDA</v>
      </c>
      <c r="C756" s="17" t="n">
        <f aca="false">Report!U975</f>
        <v>808.44</v>
      </c>
      <c r="D756" s="1" t="str">
        <f aca="false">Report!X975</f>
        <v>NF 194574 -1 MILKA</v>
      </c>
    </row>
    <row r="757" customFormat="false" ht="12.75" hidden="false" customHeight="true" outlineLevel="0" collapsed="false">
      <c r="A757" s="16" t="n">
        <f aca="false">Report!C977</f>
        <v>46234</v>
      </c>
      <c r="B757" s="1" t="str">
        <f aca="false">Report!E977</f>
        <v>RENATO DE O AZEVEDO E CIA LTDA - EPP</v>
      </c>
      <c r="C757" s="17" t="n">
        <f aca="false">Report!U977</f>
        <v>2731</v>
      </c>
      <c r="D757" s="1" t="str">
        <f aca="false">Report!X977</f>
        <v>FEIRA CARLOS - DEBORA</v>
      </c>
    </row>
    <row r="758" customFormat="false" ht="12.75" hidden="false" customHeight="true" outlineLevel="0" collapsed="false">
      <c r="A758" s="16" t="n">
        <f aca="false">Report!C978</f>
        <v>46234</v>
      </c>
      <c r="B758" s="1" t="str">
        <f aca="false">Report!E978</f>
        <v>RENATO DE O AZEVEDO E CIA LTDA - EPP</v>
      </c>
      <c r="C758" s="17" t="n">
        <f aca="false">Report!U978</f>
        <v>35</v>
      </c>
      <c r="D758" s="1" t="str">
        <f aca="false">Report!X978</f>
        <v>FEIRA CARLOS - UVAS PASSAS - DEBORA</v>
      </c>
    </row>
    <row r="759" customFormat="false" ht="12.75" hidden="false" customHeight="true" outlineLevel="0" collapsed="false">
      <c r="A759" s="16" t="n">
        <f aca="false">Report!C979</f>
        <v>46234</v>
      </c>
      <c r="B759" s="1" t="str">
        <f aca="false">Report!E979</f>
        <v>RENATO DE O AZEVEDO E CIA LTDA - EPP</v>
      </c>
      <c r="C759" s="17" t="n">
        <f aca="false">Report!U979</f>
        <v>2682.43</v>
      </c>
      <c r="D759" s="1" t="str">
        <f aca="false">Report!X979</f>
        <v>FEIRA SR RENATO - DEBORA</v>
      </c>
    </row>
    <row r="760" customFormat="false" ht="12.75" hidden="false" customHeight="true" outlineLevel="0" collapsed="false">
      <c r="A760" s="16" t="n">
        <f aca="false">Report!C980</f>
        <v>46234</v>
      </c>
      <c r="B760" s="1" t="str">
        <f aca="false">Report!E980</f>
        <v>SOUZA CRUZ LTDA.</v>
      </c>
      <c r="C760" s="17" t="n">
        <f aca="false">Report!U980</f>
        <v>7635.42</v>
      </c>
      <c r="D760" s="1" t="str">
        <f aca="false">Report!X980</f>
        <v>NF 568312-1 MILKA</v>
      </c>
    </row>
    <row r="761" customFormat="false" ht="12.75" hidden="false" customHeight="true" outlineLevel="0" collapsed="false">
      <c r="A761" s="16" t="n">
        <f aca="false">Report!C982</f>
        <v>46234</v>
      </c>
      <c r="B761" s="1" t="str">
        <f aca="false">Report!E982</f>
        <v>VITAPAN COMERCIO VAREJISTA DE PRODUTOS ALIMENTICIOS LTDA</v>
      </c>
      <c r="C761" s="17" t="n">
        <f aca="false">Report!U982</f>
        <v>1026</v>
      </c>
      <c r="D761" s="1" t="str">
        <f aca="false">Report!X982</f>
        <v>NF 10389 - MILKA</v>
      </c>
    </row>
    <row r="762" customFormat="false" ht="12.75" hidden="false" customHeight="true" outlineLevel="0" collapsed="false">
      <c r="A762" s="16" t="n">
        <f aca="false">Report!C983</f>
        <v>46234</v>
      </c>
      <c r="B762" s="1" t="str">
        <f aca="false">Report!E983</f>
        <v>VOVO DIZA COMERCIO VAREJISTA DE HORTALICAS LTDA</v>
      </c>
      <c r="C762" s="17" t="n">
        <f aca="false">Report!U983</f>
        <v>176</v>
      </c>
      <c r="D762" s="1" t="str">
        <f aca="false">Report!X983</f>
        <v>NF 3896 - DEBORA</v>
      </c>
    </row>
    <row r="763" customFormat="false" ht="12.75" hidden="false" customHeight="true" outlineLevel="0" collapsed="false">
      <c r="A763" s="16" t="n">
        <f aca="false">Report!C984</f>
        <v>46234</v>
      </c>
      <c r="B763" s="1" t="str">
        <f aca="false">Report!E984</f>
        <v>VOVO DIZA COMERCIO VAREJISTA DE HORTALICAS LTDA</v>
      </c>
      <c r="C763" s="17" t="n">
        <f aca="false">Report!U984</f>
        <v>88</v>
      </c>
      <c r="D763" s="1" t="str">
        <f aca="false">Report!X984</f>
        <v>NF 3742 - DEBORA</v>
      </c>
    </row>
    <row r="764" customFormat="false" ht="12.75" hidden="false" customHeight="true" outlineLevel="0" collapsed="false">
      <c r="A764" s="16" t="n">
        <f aca="false">Report!C985</f>
        <v>46234</v>
      </c>
      <c r="B764" s="1" t="str">
        <f aca="false">Report!E985</f>
        <v>VOVO DIZA COMERCIO VAREJISTA DE HORTALICAS LTDA</v>
      </c>
      <c r="C764" s="17" t="n">
        <f aca="false">Report!U985</f>
        <v>200</v>
      </c>
      <c r="D764" s="1" t="str">
        <f aca="false">Report!X985</f>
        <v>NF 3806 - DEBORA</v>
      </c>
    </row>
    <row r="765" customFormat="false" ht="12.75" hidden="false" customHeight="true" outlineLevel="0" collapsed="false">
      <c r="A765" s="16" t="n">
        <f aca="false">Report!C986</f>
        <v>46234</v>
      </c>
      <c r="B765" s="1" t="str">
        <f aca="false">Report!E986</f>
        <v>VOVO DIZA COMERCIO VAREJISTA DE HORTALICAS LTDA</v>
      </c>
      <c r="C765" s="17" t="n">
        <f aca="false">Report!U986</f>
        <v>200</v>
      </c>
      <c r="D765" s="1" t="str">
        <f aca="false">Report!X986</f>
        <v>NF 3931 - DEBORA</v>
      </c>
    </row>
    <row r="766" customFormat="false" ht="12.75" hidden="false" customHeight="true" outlineLevel="0" collapsed="false">
      <c r="A766" s="16" t="n">
        <f aca="false">Report!C987</f>
        <v>46234</v>
      </c>
      <c r="B766" s="1" t="str">
        <f aca="false">Report!E987</f>
        <v>VOVO DIZA COMERCIO VAREJISTA DE HORTALICAS LTDA</v>
      </c>
      <c r="C766" s="17" t="n">
        <f aca="false">Report!U987</f>
        <v>200</v>
      </c>
      <c r="D766" s="1" t="str">
        <f aca="false">Report!X987</f>
        <v>NF 3844 - DEBORA</v>
      </c>
    </row>
    <row r="767" customFormat="false" ht="12.75" hidden="false" customHeight="true" outlineLevel="0" collapsed="false">
      <c r="A767" s="16" t="n">
        <f aca="false">Report!C988</f>
        <v>46234</v>
      </c>
      <c r="B767" s="1" t="str">
        <f aca="false">Report!E988</f>
        <v>VOVO DIZA COMERCIO VAREJISTA DE HORTALICAS LTDA</v>
      </c>
      <c r="C767" s="17" t="n">
        <f aca="false">Report!U988</f>
        <v>200</v>
      </c>
      <c r="D767" s="1" t="str">
        <f aca="false">Report!X988</f>
        <v>NF 3978 - DEBORA</v>
      </c>
    </row>
    <row r="768" customFormat="false" ht="12.75" hidden="false" customHeight="true" outlineLevel="0" collapsed="false">
      <c r="A768" s="16" t="n">
        <f aca="false">Report!C989</f>
        <v>46235</v>
      </c>
      <c r="B768" s="1" t="str">
        <f aca="false">Report!E989</f>
        <v>BRASIL NORTE BEBIDAS S/A</v>
      </c>
      <c r="C768" s="17" t="n">
        <f aca="false">Report!U989</f>
        <v>1459.28</v>
      </c>
      <c r="D768" s="1" t="str">
        <f aca="false">Report!X989</f>
        <v>NF 1209351 COCA C/TARIFA - MILKA</v>
      </c>
    </row>
    <row r="769" customFormat="false" ht="12.75" hidden="false" customHeight="true" outlineLevel="0" collapsed="false">
      <c r="A769" s="16" t="n">
        <f aca="false">Report!C990</f>
        <v>46235</v>
      </c>
      <c r="B769" s="1" t="str">
        <f aca="false">Report!E990</f>
        <v>BRASIL NORTE BEBIDAS S/A</v>
      </c>
      <c r="C769" s="17" t="n">
        <f aca="false">Report!U990</f>
        <v>1253.43</v>
      </c>
      <c r="D769" s="1" t="str">
        <f aca="false">Report!X990</f>
        <v>NF1942481 COCA - MILKA</v>
      </c>
    </row>
    <row r="770" customFormat="false" ht="12.75" hidden="false" customHeight="true" outlineLevel="0" collapsed="false">
      <c r="A770" s="16" t="n">
        <f aca="false">Report!C992</f>
        <v>46235</v>
      </c>
      <c r="B770" s="1" t="str">
        <f aca="false">Report!E992</f>
        <v>COMERCIO DE FRIOS MANAUS LTDA</v>
      </c>
      <c r="C770" s="17" t="n">
        <f aca="false">Report!U992</f>
        <v>5927</v>
      </c>
      <c r="D770" s="1" t="str">
        <f aca="false">Report!X992</f>
        <v>NF 173595 - MILKA</v>
      </c>
    </row>
    <row r="771" customFormat="false" ht="12.75" hidden="false" customHeight="true" outlineLevel="0" collapsed="false">
      <c r="A771" s="16" t="n">
        <f aca="false">Report!C993</f>
        <v>46235</v>
      </c>
      <c r="B771" s="1" t="str">
        <f aca="false">Report!E993</f>
        <v>DISTRIBUIDORA LOPES LTDA</v>
      </c>
      <c r="C771" s="17" t="n">
        <f aca="false">Report!U993</f>
        <v>1731.26</v>
      </c>
      <c r="D771" s="1" t="str">
        <f aca="false">Report!X993</f>
        <v>NF 1686012 -2 MILKA</v>
      </c>
    </row>
    <row r="772" customFormat="false" ht="12.75" hidden="false" customHeight="true" outlineLevel="0" collapsed="false">
      <c r="A772" s="16" t="n">
        <f aca="false">Report!C997</f>
        <v>46235</v>
      </c>
      <c r="B772" s="1" t="str">
        <f aca="false">Report!E997</f>
        <v>MAXFRI DISTRIUIDORA LTDA</v>
      </c>
      <c r="C772" s="17" t="n">
        <f aca="false">Report!U997</f>
        <v>4716.8</v>
      </c>
      <c r="D772" s="1" t="str">
        <f aca="false">Report!X997</f>
        <v>NF 14815 - MILKA</v>
      </c>
    </row>
    <row r="773" customFormat="false" ht="12.75" hidden="false" customHeight="true" outlineLevel="0" collapsed="false">
      <c r="A773" s="16" t="n">
        <f aca="false">Report!C998</f>
        <v>46235</v>
      </c>
      <c r="B773" s="1" t="str">
        <f aca="false">Report!E998</f>
        <v>OPPORTUNITY ALIMENTOS PARA ANIMAIS LTDA</v>
      </c>
      <c r="C773" s="17" t="n">
        <f aca="false">Report!U998</f>
        <v>1975</v>
      </c>
      <c r="D773" s="1" t="str">
        <f aca="false">Report!X998</f>
        <v>NF 34212-3 MILKA</v>
      </c>
    </row>
    <row r="774" customFormat="false" ht="12.75" hidden="false" customHeight="true" outlineLevel="0" collapsed="false">
      <c r="A774" s="16" t="n">
        <f aca="false">Report!C999</f>
        <v>46235</v>
      </c>
      <c r="B774" s="1" t="str">
        <f aca="false">Report!E999</f>
        <v>RENATO DE O AZEVEDO E CIA LTDA - EPP</v>
      </c>
      <c r="C774" s="17" t="n">
        <f aca="false">Report!U999</f>
        <v>280</v>
      </c>
      <c r="D774" s="1" t="str">
        <f aca="false">Report!X999</f>
        <v>ACAI DE ANORI - DEBORA</v>
      </c>
    </row>
    <row r="775" customFormat="false" ht="12.75" hidden="false" customHeight="true" outlineLevel="0" collapsed="false">
      <c r="A775" s="16" t="n">
        <f aca="false">Report!C1000</f>
        <v>46235</v>
      </c>
      <c r="B775" s="1" t="str">
        <f aca="false">Report!E1000</f>
        <v>SILVA E SANTOS FRIGORIFICO LTDA</v>
      </c>
      <c r="C775" s="17" t="n">
        <f aca="false">Report!U1000</f>
        <v>1760</v>
      </c>
      <c r="D775" s="1" t="str">
        <f aca="false">Report!X1000</f>
        <v>NF 32051 - MILKA</v>
      </c>
    </row>
    <row r="776" customFormat="false" ht="12.75" hidden="false" customHeight="true" outlineLevel="0" collapsed="false">
      <c r="A776" s="16" t="n">
        <f aca="false">Report!C1001</f>
        <v>46235</v>
      </c>
      <c r="B776" s="1" t="str">
        <f aca="false">Report!E1001</f>
        <v>SILVA E SANTOS FRIGORIFICO LTDA</v>
      </c>
      <c r="C776" s="17" t="n">
        <f aca="false">Report!U1001</f>
        <v>2967.5</v>
      </c>
      <c r="D776" s="1" t="str">
        <f aca="false">Report!X1001</f>
        <v>NF32050 - MILKA</v>
      </c>
    </row>
    <row r="777" customFormat="false" ht="12.75" hidden="false" customHeight="true" outlineLevel="0" collapsed="false">
      <c r="A777" s="16" t="n">
        <f aca="false">Report!C1004</f>
        <v>46236</v>
      </c>
      <c r="B777" s="1" t="str">
        <f aca="false">Report!E1004</f>
        <v>COMERCIO DE FRIOS MANAUS LTDA</v>
      </c>
      <c r="C777" s="17" t="n">
        <f aca="false">Report!U1004</f>
        <v>3547.2</v>
      </c>
      <c r="D777" s="1" t="str">
        <f aca="false">Report!X1004</f>
        <v>NF173664 - MILKA</v>
      </c>
    </row>
    <row r="778" customFormat="false" ht="12.75" hidden="false" customHeight="true" outlineLevel="0" collapsed="false">
      <c r="A778" s="16" t="n">
        <f aca="false">Report!C1005</f>
        <v>46236</v>
      </c>
      <c r="B778" s="1" t="str">
        <f aca="false">Report!E1005</f>
        <v>E. SALES DO NASCIMENTO</v>
      </c>
      <c r="C778" s="17" t="n">
        <f aca="false">Report!U1005</f>
        <v>410.7</v>
      </c>
      <c r="D778" s="1" t="str">
        <f aca="false">Report!X1005</f>
        <v>NF 707 -03 MILKA</v>
      </c>
    </row>
    <row r="779" customFormat="false" ht="12.75" hidden="false" customHeight="true" outlineLevel="0" collapsed="false">
      <c r="A779" s="16" t="n">
        <f aca="false">Report!C1006</f>
        <v>46236</v>
      </c>
      <c r="B779" s="1" t="str">
        <f aca="false">Report!E1006</f>
        <v>FORTVET DISTRIBUIDORA LTDA</v>
      </c>
      <c r="C779" s="17" t="n">
        <f aca="false">Report!U1006</f>
        <v>1098.8</v>
      </c>
      <c r="D779" s="1" t="str">
        <f aca="false">Report!X1006</f>
        <v>NF 2494-2 MILKA</v>
      </c>
    </row>
    <row r="780" customFormat="false" ht="12.75" hidden="false" customHeight="true" outlineLevel="0" collapsed="false">
      <c r="A780" s="16" t="n">
        <f aca="false">Report!C1007</f>
        <v>46237</v>
      </c>
      <c r="B780" s="1" t="str">
        <f aca="false">Report!E1007</f>
        <v>ADRIANO FEITOSA OLIVEIRA LTDA</v>
      </c>
      <c r="C780" s="17" t="n">
        <f aca="false">Report!U1007</f>
        <v>4244.34</v>
      </c>
      <c r="D780" s="1" t="str">
        <f aca="false">Report!X1007</f>
        <v>NF 352 /PGTO PARA DIST. OLIVEIRA - MILKA</v>
      </c>
    </row>
    <row r="781" customFormat="false" ht="12.75" hidden="false" customHeight="true" outlineLevel="0" collapsed="false">
      <c r="A781" s="16" t="n">
        <f aca="false">Report!C1008</f>
        <v>46237</v>
      </c>
      <c r="B781" s="1" t="str">
        <f aca="false">Report!E1008</f>
        <v>C. R. PARENTE ABREU</v>
      </c>
      <c r="C781" s="17" t="n">
        <f aca="false">Report!U1008</f>
        <v>713.31</v>
      </c>
      <c r="D781" s="1" t="str">
        <f aca="false">Report!X1008</f>
        <v>NF 11479-2 KARU - MILKA </v>
      </c>
    </row>
    <row r="782" customFormat="false" ht="12.75" hidden="false" customHeight="true" outlineLevel="0" collapsed="false">
      <c r="A782" s="16" t="n">
        <f aca="false">Report!C1009</f>
        <v>46237</v>
      </c>
      <c r="B782" s="1" t="str">
        <f aca="false">Report!E1009</f>
        <v>C. R. PARENTE ABREU</v>
      </c>
      <c r="C782" s="17" t="n">
        <f aca="false">Report!U1009</f>
        <v>285.48</v>
      </c>
      <c r="D782" s="1" t="str">
        <f aca="false">Report!X1009</f>
        <v>NF 11493-1 KARU - MILKA</v>
      </c>
    </row>
    <row r="783" customFormat="false" ht="12.75" hidden="false" customHeight="true" outlineLevel="0" collapsed="false">
      <c r="A783" s="16" t="n">
        <f aca="false">Report!C1011</f>
        <v>46237</v>
      </c>
      <c r="B783" s="1" t="str">
        <f aca="false">Report!E1011</f>
        <v>COMERCIO DE FRIOS MANAUS LTDA</v>
      </c>
      <c r="C783" s="17" t="n">
        <f aca="false">Report!U1011</f>
        <v>5892.2</v>
      </c>
      <c r="D783" s="1" t="str">
        <f aca="false">Report!X1011</f>
        <v>NF173742 - MILKA</v>
      </c>
    </row>
    <row r="784" customFormat="false" ht="12.75" hidden="false" customHeight="true" outlineLevel="0" collapsed="false">
      <c r="A784" s="16" t="n">
        <f aca="false">Report!C1013</f>
        <v>46237</v>
      </c>
      <c r="B784" s="1" t="str">
        <f aca="false">Report!E1013</f>
        <v>DISTRIBUIDORA LOPES LTDA</v>
      </c>
      <c r="C784" s="17" t="n">
        <f aca="false">Report!U1013</f>
        <v>1039.09</v>
      </c>
      <c r="D784" s="1" t="str">
        <f aca="false">Report!X1013</f>
        <v>NF 1690878-2 MILKA / DESCONTO NO BOLETO</v>
      </c>
    </row>
    <row r="785" customFormat="false" ht="12.75" hidden="false" customHeight="true" outlineLevel="0" collapsed="false">
      <c r="A785" s="16" t="n">
        <f aca="false">Report!C1014</f>
        <v>46237</v>
      </c>
      <c r="B785" s="1" t="str">
        <f aca="false">Report!E1014</f>
        <v>FORT COMERCIO DE BEBIDA LTDA</v>
      </c>
      <c r="C785" s="17" t="n">
        <f aca="false">Report!U1014</f>
        <v>728.4</v>
      </c>
      <c r="D785" s="1" t="str">
        <f aca="false">Report!X1014</f>
        <v>NF 145468 TOYA - MILKA</v>
      </c>
    </row>
    <row r="786" customFormat="false" ht="12.75" hidden="false" customHeight="true" outlineLevel="0" collapsed="false">
      <c r="A786" s="16" t="n">
        <f aca="false">Report!C1015</f>
        <v>46237</v>
      </c>
      <c r="B786" s="1" t="str">
        <f aca="false">Report!E1015</f>
        <v>FRUTAL INDUSTRIA E COMERCIO LTDA</v>
      </c>
      <c r="C786" s="17" t="n">
        <f aca="false">Report!U1015</f>
        <v>331.14</v>
      </c>
      <c r="D786" s="1" t="str">
        <f aca="false">Report!X1015</f>
        <v>NF 227030 - MILKA</v>
      </c>
    </row>
    <row r="787" customFormat="false" ht="12.75" hidden="false" customHeight="true" outlineLevel="0" collapsed="false">
      <c r="A787" s="16" t="n">
        <f aca="false">Report!C1017</f>
        <v>46237</v>
      </c>
      <c r="B787" s="1" t="str">
        <f aca="false">Report!E1017</f>
        <v>L S M COMERCIO DE ALIMENTOS E NAVEGACAO</v>
      </c>
      <c r="C787" s="17" t="n">
        <f aca="false">Report!U1017</f>
        <v>1529.2</v>
      </c>
      <c r="D787" s="1" t="str">
        <f aca="false">Report!X1017</f>
        <v>NF 308176 - MILKA</v>
      </c>
    </row>
    <row r="788" customFormat="false" ht="12.75" hidden="false" customHeight="true" outlineLevel="0" collapsed="false">
      <c r="A788" s="16" t="n">
        <f aca="false">Report!C1018</f>
        <v>46237</v>
      </c>
      <c r="B788" s="1" t="str">
        <f aca="false">Report!E1018</f>
        <v>MARCLEY MACHADO CHAVES</v>
      </c>
      <c r="C788" s="17" t="n">
        <f aca="false">Report!U1018</f>
        <v>1630.16</v>
      </c>
      <c r="D788" s="1" t="str">
        <f aca="false">Report!X1018</f>
        <v>NF 3541 - MILKA</v>
      </c>
    </row>
    <row r="789" customFormat="false" ht="12.75" hidden="false" customHeight="true" outlineLevel="0" collapsed="false">
      <c r="A789" s="16" t="n">
        <f aca="false">Report!C1019</f>
        <v>46237</v>
      </c>
      <c r="B789" s="1" t="str">
        <f aca="false">Report!E1019</f>
        <v>MAXFRI DISTRIUIDORA LTDA</v>
      </c>
      <c r="C789" s="17" t="n">
        <f aca="false">Report!U1019</f>
        <v>2393.6</v>
      </c>
      <c r="D789" s="1" t="str">
        <f aca="false">Report!X1019</f>
        <v>NF 14838 - MILKA</v>
      </c>
    </row>
    <row r="790" customFormat="false" ht="12.75" hidden="false" customHeight="true" outlineLevel="0" collapsed="false">
      <c r="A790" s="16" t="n">
        <f aca="false">Report!C1020</f>
        <v>46237</v>
      </c>
      <c r="B790" s="1" t="str">
        <f aca="false">Report!E1020</f>
        <v>NJF INDUSTRIA E COMERCIO LTDA</v>
      </c>
      <c r="C790" s="17" t="n">
        <f aca="false">Report!U1020</f>
        <v>184.5</v>
      </c>
      <c r="D790" s="1" t="str">
        <f aca="false">Report!X1020</f>
        <v>NF 85345 -1 MILKA</v>
      </c>
    </row>
    <row r="791" customFormat="false" ht="12.75" hidden="false" customHeight="true" outlineLevel="0" collapsed="false">
      <c r="A791" s="16" t="n">
        <f aca="false">Report!C1021</f>
        <v>46237</v>
      </c>
      <c r="B791" s="1" t="str">
        <f aca="false">Report!E1021</f>
        <v>NORTELAC DISTRIBUIDORA DE FRIOS LTDA</v>
      </c>
      <c r="C791" s="17" t="n">
        <f aca="false">Report!U1021</f>
        <v>1380</v>
      </c>
      <c r="D791" s="1" t="str">
        <f aca="false">Report!X1021</f>
        <v>NF44711 - MILKA</v>
      </c>
    </row>
    <row r="792" customFormat="false" ht="12.75" hidden="false" customHeight="true" outlineLevel="0" collapsed="false">
      <c r="A792" s="16" t="n">
        <f aca="false">Report!C1022</f>
        <v>46237</v>
      </c>
      <c r="B792" s="1" t="str">
        <f aca="false">Report!E1022</f>
        <v>NOVA FRIOS COMERCIO ATACADISTA DE LATICINIOS LTDA</v>
      </c>
      <c r="C792" s="17" t="n">
        <f aca="false">Report!U1022</f>
        <v>299.5</v>
      </c>
      <c r="D792" s="1" t="str">
        <f aca="false">Report!X1022</f>
        <v>NF 4203 BODEGA DO PAO - MILKA</v>
      </c>
    </row>
    <row r="793" customFormat="false" ht="12.75" hidden="false" customHeight="true" outlineLevel="0" collapsed="false">
      <c r="A793" s="16" t="n">
        <f aca="false">Report!C1023</f>
        <v>46237</v>
      </c>
      <c r="B793" s="1" t="str">
        <f aca="false">Report!E1023</f>
        <v>OCIDENTAL COMERCIO DE FRIOS LTDA</v>
      </c>
      <c r="C793" s="17" t="n">
        <f aca="false">Report!U1023</f>
        <v>2044.9</v>
      </c>
      <c r="D793" s="1" t="str">
        <f aca="false">Report!X1023</f>
        <v>NF 1249231-1/3 MILKA</v>
      </c>
    </row>
    <row r="794" customFormat="false" ht="12.75" hidden="false" customHeight="true" outlineLevel="0" collapsed="false">
      <c r="A794" s="16" t="n">
        <f aca="false">Report!C1024</f>
        <v>46237</v>
      </c>
      <c r="B794" s="1" t="str">
        <f aca="false">Report!E1024</f>
        <v>PANIFICADORA E CONFEITARIA REAL MADRI LTDA</v>
      </c>
      <c r="C794" s="17" t="n">
        <f aca="false">Report!U1024</f>
        <v>329.7</v>
      </c>
      <c r="D794" s="1" t="str">
        <f aca="false">Report!X1024</f>
        <v>NF 736 - MILKA</v>
      </c>
    </row>
    <row r="795" customFormat="false" ht="12.75" hidden="false" customHeight="true" outlineLevel="0" collapsed="false">
      <c r="A795" s="16" t="n">
        <f aca="false">Report!C1025</f>
        <v>46237</v>
      </c>
      <c r="B795" s="1" t="str">
        <f aca="false">Report!E1025</f>
        <v>PRIMICIA DISTRIBUIDORA DE FRIOS LTDA</v>
      </c>
      <c r="C795" s="17" t="n">
        <f aca="false">Report!U1025</f>
        <v>1408.5</v>
      </c>
      <c r="D795" s="1" t="str">
        <f aca="false">Report!X1025</f>
        <v>NF 3104 - MILKA</v>
      </c>
    </row>
    <row r="796" customFormat="false" ht="12.75" hidden="false" customHeight="true" outlineLevel="0" collapsed="false">
      <c r="A796" s="16" t="n">
        <f aca="false">Report!C1027</f>
        <v>46237</v>
      </c>
      <c r="B796" s="1" t="str">
        <f aca="false">Report!E1027</f>
        <v>RENATO DE O AZEVEDO E CIA LTDA - EPP</v>
      </c>
      <c r="C796" s="17" t="n">
        <f aca="false">Report!U1027</f>
        <v>600</v>
      </c>
      <c r="D796" s="1" t="str">
        <f aca="false">Report!X1027</f>
        <v>FARINHA 3 IRMAOS - MILKA</v>
      </c>
    </row>
    <row r="797" customFormat="false" ht="12.75" hidden="false" customHeight="true" outlineLevel="0" collapsed="false">
      <c r="A797" s="16" t="n">
        <f aca="false">Report!C1030</f>
        <v>46237</v>
      </c>
      <c r="B797" s="1" t="str">
        <f aca="false">Report!E1030</f>
        <v>RV TECNOLOGIA E SISTEMAS S.A</v>
      </c>
      <c r="C797" s="17" t="n">
        <f aca="false">Report!U1030</f>
        <v>600.5</v>
      </c>
      <c r="D797" s="1" t="str">
        <f aca="false">Report!X1030</f>
        <v>RV RECARGA CELULAR  CHIPS-ANDREZA</v>
      </c>
    </row>
    <row r="798" customFormat="false" ht="12.75" hidden="false" customHeight="true" outlineLevel="0" collapsed="false">
      <c r="A798" s="16" t="n">
        <f aca="false">Report!C1031</f>
        <v>46237</v>
      </c>
      <c r="B798" s="1" t="str">
        <f aca="false">Report!E1031</f>
        <v>SOUZA CRUZ LTDA.</v>
      </c>
      <c r="C798" s="17" t="n">
        <f aca="false">Report!U1031</f>
        <v>5740.89</v>
      </c>
      <c r="D798" s="1" t="str">
        <f aca="false">Report!X1031</f>
        <v>NF 567587 -02 MILKA</v>
      </c>
    </row>
    <row r="799" customFormat="false" ht="12.75" hidden="false" customHeight="true" outlineLevel="0" collapsed="false">
      <c r="A799" s="16" t="n">
        <f aca="false">Report!C1032</f>
        <v>46237</v>
      </c>
      <c r="B799" s="1" t="str">
        <f aca="false">Report!E1032</f>
        <v>T. M. L. DA SILVA LTDA</v>
      </c>
      <c r="C799" s="17" t="n">
        <f aca="false">Report!U1032</f>
        <v>730</v>
      </c>
      <c r="D799" s="1" t="str">
        <f aca="false">Report!X1032</f>
        <v>NF 15181 AMAZONGURT - MILKA</v>
      </c>
    </row>
    <row r="800" customFormat="false" ht="12.75" hidden="false" customHeight="true" outlineLevel="0" collapsed="false">
      <c r="A800" s="16" t="n">
        <f aca="false">Report!C1033</f>
        <v>46238</v>
      </c>
      <c r="B800" s="1" t="str">
        <f aca="false">Report!E1033</f>
        <v>ADICSO FABIAN GONZALEZ MONTILLA 70302186</v>
      </c>
      <c r="C800" s="17" t="n">
        <f aca="false">Report!U1033</f>
        <v>840</v>
      </c>
      <c r="D800" s="1" t="str">
        <f aca="false">Report!X1033</f>
        <v>NF 568 BLOOM - MILKA</v>
      </c>
    </row>
    <row r="801" customFormat="false" ht="12.75" hidden="false" customHeight="true" outlineLevel="0" collapsed="false">
      <c r="A801" s="16" t="n">
        <f aca="false">Report!C1034</f>
        <v>46238</v>
      </c>
      <c r="B801" s="1" t="str">
        <f aca="false">Report!E1034</f>
        <v>ATACADAO S.A.</v>
      </c>
      <c r="C801" s="17" t="n">
        <f aca="false">Report!U1034</f>
        <v>479.64</v>
      </c>
      <c r="D801" s="1" t="str">
        <f aca="false">Report!X1034</f>
        <v>NF 1905834 - MILKA</v>
      </c>
    </row>
    <row r="802" customFormat="false" ht="12.75" hidden="false" customHeight="true" outlineLevel="0" collapsed="false">
      <c r="A802" s="16" t="n">
        <f aca="false">Report!C1036</f>
        <v>46238</v>
      </c>
      <c r="B802" s="1" t="str">
        <f aca="false">Report!E1036</f>
        <v>BETA INDUSTRIA E COMERCIO DE ALIMENTOS</v>
      </c>
      <c r="C802" s="17" t="n">
        <f aca="false">Report!U1036</f>
        <v>909.9</v>
      </c>
      <c r="D802" s="1" t="str">
        <f aca="false">Report!X1036</f>
        <v>NF10861 PAPAGUARA - MILKA</v>
      </c>
    </row>
    <row r="803" customFormat="false" ht="12.75" hidden="false" customHeight="true" outlineLevel="0" collapsed="false">
      <c r="A803" s="16" t="n">
        <f aca="false">Report!C1037</f>
        <v>46238</v>
      </c>
      <c r="B803" s="1" t="str">
        <f aca="false">Report!E1037</f>
        <v>BRASIL NORTE BEBIDAS S/A</v>
      </c>
      <c r="C803" s="17" t="n">
        <f aca="false">Report!U1037</f>
        <v>94.32</v>
      </c>
      <c r="D803" s="1" t="str">
        <f aca="false">Report!X1037</f>
        <v>NF 1190625 - MILKA</v>
      </c>
    </row>
    <row r="804" customFormat="false" ht="12.75" hidden="false" customHeight="true" outlineLevel="0" collapsed="false">
      <c r="A804" s="16" t="n">
        <f aca="false">Report!C1038</f>
        <v>46238</v>
      </c>
      <c r="B804" s="1" t="str">
        <f aca="false">Report!E1038</f>
        <v>BROTHERS  INDUSTRIA DE ALIMENTOS LTDA</v>
      </c>
      <c r="C804" s="17" t="n">
        <f aca="false">Report!U1038</f>
        <v>554.3</v>
      </c>
      <c r="D804" s="1" t="str">
        <f aca="false">Report!X1038</f>
        <v>NF 1033944 - MILKA</v>
      </c>
    </row>
    <row r="805" customFormat="false" ht="12.75" hidden="false" customHeight="true" outlineLevel="0" collapsed="false">
      <c r="A805" s="16" t="n">
        <f aca="false">Report!C1039</f>
        <v>46238</v>
      </c>
      <c r="B805" s="1" t="str">
        <f aca="false">Report!E1039</f>
        <v>DUNORTE DISTRIBUIDORA DE PRODUTOS DE CONSUMO LTDA</v>
      </c>
      <c r="C805" s="17" t="n">
        <f aca="false">Report!U1039</f>
        <v>2406.33</v>
      </c>
      <c r="D805" s="1" t="str">
        <f aca="false">Report!X1039</f>
        <v>NF 3216535 - MILKA</v>
      </c>
    </row>
    <row r="806" customFormat="false" ht="12.75" hidden="false" customHeight="true" outlineLevel="0" collapsed="false">
      <c r="A806" s="16" t="n">
        <f aca="false">Report!C1040</f>
        <v>46238</v>
      </c>
      <c r="B806" s="1" t="str">
        <f aca="false">Report!E1040</f>
        <v>EMPRESA BRASILEIRA DE DISTRIBUICAO LTDA</v>
      </c>
      <c r="C806" s="17" t="n">
        <f aca="false">Report!U1040</f>
        <v>2237.12</v>
      </c>
      <c r="D806" s="1" t="str">
        <f aca="false">Report!X1040</f>
        <v>NF 2300748 EBD - MILKA</v>
      </c>
    </row>
    <row r="807" customFormat="false" ht="12.75" hidden="false" customHeight="true" outlineLevel="0" collapsed="false">
      <c r="A807" s="16" t="n">
        <f aca="false">Report!C1041</f>
        <v>46238</v>
      </c>
      <c r="B807" s="1" t="str">
        <f aca="false">Report!E1041</f>
        <v>EMPRESA BRASILEIRA DE DISTRIBUICAO LTDA</v>
      </c>
      <c r="C807" s="17" t="n">
        <f aca="false">Report!U1041</f>
        <v>555.15</v>
      </c>
      <c r="D807" s="1" t="str">
        <f aca="false">Report!X1041</f>
        <v>NF 2300749 EBD - MILKA</v>
      </c>
    </row>
    <row r="808" customFormat="false" ht="12.75" hidden="false" customHeight="true" outlineLevel="0" collapsed="false">
      <c r="A808" s="16" t="n">
        <f aca="false">Report!C1042</f>
        <v>46238</v>
      </c>
      <c r="B808" s="1" t="str">
        <f aca="false">Report!E1042</f>
        <v>FENNIX BRASIL DISTRIBUIDORA DE PRODUTOS</v>
      </c>
      <c r="C808" s="17" t="n">
        <f aca="false">Report!U1042</f>
        <v>1224.01</v>
      </c>
      <c r="D808" s="1" t="str">
        <f aca="false">Report!X1042</f>
        <v>NF 396457 C/ TARIFA INCLUSA - MILKA</v>
      </c>
    </row>
    <row r="809" customFormat="false" ht="12.75" hidden="false" customHeight="true" outlineLevel="0" collapsed="false">
      <c r="A809" s="16" t="n">
        <f aca="false">Report!C1043</f>
        <v>46238</v>
      </c>
      <c r="B809" s="1" t="str">
        <f aca="false">Report!E1043</f>
        <v>H.V.M. XAVIER ALIMENTOS</v>
      </c>
      <c r="C809" s="17" t="n">
        <f aca="false">Report!U1043</f>
        <v>194.4</v>
      </c>
      <c r="D809" s="1" t="str">
        <f aca="false">Report!X1043</f>
        <v>NF 134892 MULTI QUEIJO - MILKA</v>
      </c>
    </row>
    <row r="810" customFormat="false" ht="12.75" hidden="false" customHeight="true" outlineLevel="0" collapsed="false">
      <c r="A810" s="16" t="n">
        <f aca="false">Report!C1044</f>
        <v>46238</v>
      </c>
      <c r="B810" s="1" t="str">
        <f aca="false">Report!E1044</f>
        <v>MARE DISTRIBUIDORA DE BEBIDAS E DE PRODUTOS ALIMENTICIOS LTDA</v>
      </c>
      <c r="C810" s="17" t="n">
        <f aca="false">Report!U1044</f>
        <v>2113.2</v>
      </c>
      <c r="D810" s="1" t="str">
        <f aca="false">Report!X1044</f>
        <v>NF 1398219 MAGISTRAL - MILKA</v>
      </c>
    </row>
    <row r="811" customFormat="false" ht="12.75" hidden="false" customHeight="true" outlineLevel="0" collapsed="false">
      <c r="A811" s="16" t="n">
        <f aca="false">Report!C1045</f>
        <v>46238</v>
      </c>
      <c r="B811" s="1" t="str">
        <f aca="false">Report!E1045</f>
        <v>MARTINS COM SERV DISTR SA</v>
      </c>
      <c r="C811" s="17" t="n">
        <f aca="false">Report!U1045</f>
        <v>3184.12</v>
      </c>
      <c r="D811" s="1" t="str">
        <f aca="false">Report!X1045</f>
        <v>18259031 /NF1778370 NF1778371 - 03 MILKA</v>
      </c>
    </row>
    <row r="812" customFormat="false" ht="12.75" hidden="false" customHeight="true" outlineLevel="0" collapsed="false">
      <c r="A812" s="16" t="n">
        <f aca="false">Report!C1046</f>
        <v>46238</v>
      </c>
      <c r="B812" s="1" t="str">
        <f aca="false">Report!E1046</f>
        <v>NT INDUSTRIA E COMERCIO DE PANIFICACAO L</v>
      </c>
      <c r="C812" s="17" t="n">
        <f aca="false">Report!U1046</f>
        <v>3510.17</v>
      </c>
      <c r="D812" s="1" t="str">
        <f aca="false">Report!X1046</f>
        <v>NF 41617 - MILKA</v>
      </c>
    </row>
    <row r="813" customFormat="false" ht="12.75" hidden="false" customHeight="true" outlineLevel="0" collapsed="false">
      <c r="A813" s="16" t="n">
        <f aca="false">Report!C1047</f>
        <v>46238</v>
      </c>
      <c r="B813" s="1" t="str">
        <f aca="false">Report!E1047</f>
        <v>PANIFICADORA E CONFEITARIA REAL MADRI LTDA</v>
      </c>
      <c r="C813" s="17" t="n">
        <f aca="false">Report!U1047</f>
        <v>700</v>
      </c>
      <c r="D813" s="1" t="str">
        <f aca="false">Report!X1047</f>
        <v>NF 738 - MILKA</v>
      </c>
    </row>
    <row r="814" customFormat="false" ht="12.75" hidden="false" customHeight="true" outlineLevel="0" collapsed="false">
      <c r="A814" s="16" t="n">
        <f aca="false">Report!C1048</f>
        <v>46238</v>
      </c>
      <c r="B814" s="1" t="str">
        <f aca="false">Report!E1048</f>
        <v>PRIME PET DISTRIBUIDORA LTDA</v>
      </c>
      <c r="C814" s="17" t="n">
        <f aca="false">Report!U1048</f>
        <v>1849.57</v>
      </c>
      <c r="D814" s="1" t="str">
        <f aca="false">Report!X1048</f>
        <v>NF 11002-02/07 MILKA </v>
      </c>
    </row>
    <row r="815" customFormat="false" ht="12.75" hidden="false" customHeight="true" outlineLevel="0" collapsed="false">
      <c r="A815" s="16" t="n">
        <f aca="false">Report!C1049</f>
        <v>46238</v>
      </c>
      <c r="B815" s="1" t="str">
        <f aca="false">Report!E1049</f>
        <v>RISADINHA LTDA</v>
      </c>
      <c r="C815" s="17" t="n">
        <f aca="false">Report!U1049</f>
        <v>823.64</v>
      </c>
      <c r="D815" s="1" t="str">
        <f aca="false">Report!X1049</f>
        <v>NF 662479-01 MILKA</v>
      </c>
    </row>
    <row r="816" customFormat="false" ht="12.75" hidden="false" customHeight="true" outlineLevel="0" collapsed="false">
      <c r="A816" s="16" t="n">
        <f aca="false">Report!C1050</f>
        <v>46238</v>
      </c>
      <c r="B816" s="1" t="str">
        <f aca="false">Report!E1050</f>
        <v>T A DE MATTOS COMIM EIRELI</v>
      </c>
      <c r="C816" s="17" t="n">
        <f aca="false">Report!U1050</f>
        <v>228</v>
      </c>
      <c r="D816" s="1" t="str">
        <f aca="false">Report!X1050</f>
        <v>NF 10753 CASA NOSTRA - MILKA</v>
      </c>
    </row>
    <row r="817" customFormat="false" ht="12.75" hidden="false" customHeight="true" outlineLevel="0" collapsed="false">
      <c r="A817" s="16" t="n">
        <f aca="false">Report!C1051</f>
        <v>46238</v>
      </c>
      <c r="B817" s="1" t="str">
        <f aca="false">Report!E1051</f>
        <v>TAPAJOS COM DE PERFUMARIA COSMETICOS E G</v>
      </c>
      <c r="C817" s="17" t="n">
        <f aca="false">Report!U1051</f>
        <v>621.07</v>
      </c>
      <c r="D817" s="1" t="str">
        <f aca="false">Report!X1051</f>
        <v>NF 581016-1 MILKA</v>
      </c>
    </row>
    <row r="818" customFormat="false" ht="12.75" hidden="false" customHeight="true" outlineLevel="0" collapsed="false">
      <c r="A818" s="16" t="n">
        <f aca="false">Report!C1053</f>
        <v>46238</v>
      </c>
      <c r="B818" s="1" t="str">
        <f aca="false">Report!E1053</f>
        <v>VITAPAN COMERCIO VAREJISTA DE PRODUTOS ALIMENTICIOS LTDA</v>
      </c>
      <c r="C818" s="17" t="n">
        <f aca="false">Report!U1053</f>
        <v>864</v>
      </c>
      <c r="D818" s="1" t="str">
        <f aca="false">Report!X1053</f>
        <v>NF 10419 - MILKA</v>
      </c>
    </row>
    <row r="819" customFormat="false" ht="12.75" hidden="false" customHeight="true" outlineLevel="0" collapsed="false">
      <c r="A819" s="16" t="n">
        <f aca="false">Report!C1054</f>
        <v>46239</v>
      </c>
      <c r="B819" s="1" t="str">
        <f aca="false">Report!E1054</f>
        <v>ADRIANA DISTRIBUIDORA DE PRODUTOS ALIMEN</v>
      </c>
      <c r="C819" s="17" t="n">
        <f aca="false">Report!U1054</f>
        <v>1420.57</v>
      </c>
      <c r="D819" s="1" t="str">
        <f aca="false">Report!X1054</f>
        <v>NF 886068-1 MILKA</v>
      </c>
    </row>
    <row r="820" customFormat="false" ht="12.75" hidden="false" customHeight="true" outlineLevel="0" collapsed="false">
      <c r="A820" s="16" t="n">
        <f aca="false">Report!C1055</f>
        <v>46239</v>
      </c>
      <c r="B820" s="1" t="str">
        <f aca="false">Report!E1055</f>
        <v>ATACADAO S.A.</v>
      </c>
      <c r="C820" s="17" t="n">
        <f aca="false">Report!U1055</f>
        <v>832.4</v>
      </c>
      <c r="D820" s="1" t="str">
        <f aca="false">Report!X1055</f>
        <v>NF 1906316 - MILKA</v>
      </c>
    </row>
    <row r="821" customFormat="false" ht="12.75" hidden="false" customHeight="true" outlineLevel="0" collapsed="false">
      <c r="A821" s="16" t="n">
        <f aca="false">Report!C1056</f>
        <v>46239</v>
      </c>
      <c r="B821" s="1" t="str">
        <f aca="false">Report!E1056</f>
        <v>BRF S A</v>
      </c>
      <c r="C821" s="17" t="n">
        <f aca="false">Report!U1056</f>
        <v>447.25</v>
      </c>
      <c r="D821" s="1" t="str">
        <f aca="false">Report!X1056</f>
        <v>NF 1611343-01/02 MILKA</v>
      </c>
    </row>
    <row r="822" customFormat="false" ht="12.75" hidden="false" customHeight="true" outlineLevel="0" collapsed="false">
      <c r="A822" s="16" t="n">
        <f aca="false">Report!C1057</f>
        <v>46239</v>
      </c>
      <c r="B822" s="1" t="str">
        <f aca="false">Report!E1057</f>
        <v>BRF S A</v>
      </c>
      <c r="C822" s="17" t="n">
        <f aca="false">Report!U1057</f>
        <v>4171.51</v>
      </c>
      <c r="D822" s="1" t="str">
        <f aca="false">Report!X1057</f>
        <v>NF 1608648 -02/02   MILKA</v>
      </c>
    </row>
    <row r="823" customFormat="false" ht="12.75" hidden="false" customHeight="true" outlineLevel="0" collapsed="false">
      <c r="A823" s="16" t="n">
        <f aca="false">Report!C1060</f>
        <v>46239</v>
      </c>
      <c r="B823" s="1" t="str">
        <f aca="false">Report!E1060</f>
        <v>CB COMERCIO E DISTRIBUIDORA DE ALIMENTOS</v>
      </c>
      <c r="C823" s="17" t="n">
        <f aca="false">Report!U1060</f>
        <v>546.17</v>
      </c>
      <c r="D823" s="1" t="str">
        <f aca="false">Report!X1060</f>
        <v>NF 854259 - MILKA</v>
      </c>
    </row>
    <row r="824" customFormat="false" ht="12.75" hidden="false" customHeight="true" outlineLevel="0" collapsed="false">
      <c r="A824" s="16" t="n">
        <f aca="false">Report!C1061</f>
        <v>46239</v>
      </c>
      <c r="B824" s="1" t="str">
        <f aca="false">Report!E1061</f>
        <v>DISTRIBUIDORA LOPES LTDA</v>
      </c>
      <c r="C824" s="17" t="n">
        <f aca="false">Report!U1061</f>
        <v>1790.09</v>
      </c>
      <c r="D824" s="1" t="str">
        <f aca="false">Report!X1061</f>
        <v>NF 1696462 C/DESCONTO NO BOLETO - DEBORA</v>
      </c>
    </row>
    <row r="825" customFormat="false" ht="12.75" hidden="false" customHeight="true" outlineLevel="0" collapsed="false">
      <c r="A825" s="16" t="n">
        <f aca="false">Report!C1063</f>
        <v>46239</v>
      </c>
      <c r="B825" s="1" t="str">
        <f aca="false">Report!E1063</f>
        <v>EMPRESA BRASILEIRA DE DISTRIBUICAO LTDA</v>
      </c>
      <c r="C825" s="17" t="n">
        <f aca="false">Report!U1063</f>
        <v>1828.54</v>
      </c>
      <c r="D825" s="1" t="str">
        <f aca="false">Report!X1063</f>
        <v>NF 2301161 EBD - MILKA</v>
      </c>
    </row>
    <row r="826" customFormat="false" ht="12.75" hidden="false" customHeight="true" outlineLevel="0" collapsed="false">
      <c r="A826" s="16" t="n">
        <f aca="false">Report!C1064</f>
        <v>46239</v>
      </c>
      <c r="B826" s="1" t="str">
        <f aca="false">Report!E1064</f>
        <v>FEMAR IND E COM DE BEBIDAS LTDA</v>
      </c>
      <c r="C826" s="17" t="n">
        <f aca="false">Report!U1064</f>
        <v>990.72</v>
      </c>
      <c r="D826" s="1" t="str">
        <f aca="false">Report!X1064</f>
        <v>NF 53383 - MILKA</v>
      </c>
    </row>
    <row r="827" customFormat="false" ht="12.75" hidden="false" customHeight="true" outlineLevel="0" collapsed="false">
      <c r="A827" s="16" t="n">
        <f aca="false">Report!C1065</f>
        <v>46239</v>
      </c>
      <c r="B827" s="1" t="str">
        <f aca="false">Report!E1065</f>
        <v>FUNNY PET DISTRIBUIDORA DE ALIMENTOS PAR</v>
      </c>
      <c r="C827" s="17" t="n">
        <f aca="false">Report!U1065</f>
        <v>1475.42</v>
      </c>
      <c r="D827" s="1" t="str">
        <f aca="false">Report!X1065</f>
        <v>NF 21048-1 MILKA</v>
      </c>
    </row>
    <row r="828" customFormat="false" ht="12.75" hidden="false" customHeight="true" outlineLevel="0" collapsed="false">
      <c r="A828" s="16" t="n">
        <f aca="false">Report!C1067</f>
        <v>46239</v>
      </c>
      <c r="B828" s="1" t="str">
        <f aca="false">Report!E1067</f>
        <v>JAB COMERCIO DE PRODUTOS ALIMENTICIOS LT</v>
      </c>
      <c r="C828" s="17" t="n">
        <f aca="false">Report!U1067</f>
        <v>287</v>
      </c>
      <c r="D828" s="1" t="str">
        <f aca="false">Report!X1067</f>
        <v>NF 3624 SANTO PAO - MILKA</v>
      </c>
    </row>
    <row r="829" customFormat="false" ht="12.75" hidden="false" customHeight="true" outlineLevel="0" collapsed="false">
      <c r="A829" s="16" t="n">
        <f aca="false">Report!C1068</f>
        <v>46239</v>
      </c>
      <c r="B829" s="1" t="str">
        <f aca="false">Report!E1068</f>
        <v>L S M COMERCIO DE ALIMENTOS E NAVEGACAO</v>
      </c>
      <c r="C829" s="17" t="n">
        <f aca="false">Report!U1068</f>
        <v>732.46</v>
      </c>
      <c r="D829" s="1" t="str">
        <f aca="false">Report!X1068</f>
        <v>NF 307805-3 MILKA</v>
      </c>
    </row>
    <row r="830" customFormat="false" ht="12.75" hidden="false" customHeight="true" outlineLevel="0" collapsed="false">
      <c r="A830" s="16" t="n">
        <f aca="false">Report!C1073</f>
        <v>46239</v>
      </c>
      <c r="B830" s="1" t="str">
        <f aca="false">Report!E1073</f>
        <v>ORIENTE COM. ATACADISTA E REPRES. LTDA</v>
      </c>
      <c r="C830" s="17" t="n">
        <f aca="false">Report!U1073</f>
        <v>2195.6</v>
      </c>
      <c r="D830" s="1" t="str">
        <f aca="false">Report!X1073</f>
        <v>3344/1  NF2785 - MILKA</v>
      </c>
    </row>
    <row r="831" customFormat="false" ht="12.75" hidden="false" customHeight="true" outlineLevel="0" collapsed="false">
      <c r="A831" s="16" t="n">
        <f aca="false">Report!C1075</f>
        <v>46239</v>
      </c>
      <c r="B831" s="1" t="str">
        <f aca="false">Report!E1075</f>
        <v>PRIME PET DISTRIBUIDORA LTDA</v>
      </c>
      <c r="C831" s="17" t="n">
        <f aca="false">Report!U1075</f>
        <v>1488.3</v>
      </c>
      <c r="D831" s="1" t="str">
        <f aca="false">Report!X1075</f>
        <v>NF 10262 -08/09 MILKA</v>
      </c>
    </row>
    <row r="832" customFormat="false" ht="12.75" hidden="false" customHeight="true" outlineLevel="0" collapsed="false">
      <c r="A832" s="16" t="n">
        <f aca="false">Report!C1076</f>
        <v>46239</v>
      </c>
      <c r="B832" s="1" t="str">
        <f aca="false">Report!E1076</f>
        <v>RCL COMERCIO DE PRODUTOS ALIMENTICIOS LT</v>
      </c>
      <c r="C832" s="17" t="n">
        <f aca="false">Report!U1076</f>
        <v>527.04</v>
      </c>
      <c r="D832" s="1" t="str">
        <f aca="false">Report!X1076</f>
        <v>NF 218815 - MILKA</v>
      </c>
    </row>
    <row r="833" customFormat="false" ht="12.75" hidden="false" customHeight="true" outlineLevel="0" collapsed="false">
      <c r="A833" s="16" t="n">
        <f aca="false">Report!C1078</f>
        <v>46239</v>
      </c>
      <c r="B833" s="1" t="str">
        <f aca="false">Report!E1078</f>
        <v>RENATO DE O AZEVEDO E CIA LTDA - EPP</v>
      </c>
      <c r="C833" s="17" t="n">
        <f aca="false">Report!U1078</f>
        <v>280</v>
      </c>
      <c r="D833" s="1" t="str">
        <f aca="false">Report!X1078</f>
        <v>DOC.:157430/1 /VISCERA SR.RENATO - MILKA</v>
      </c>
    </row>
    <row r="834" customFormat="false" ht="12.75" hidden="false" customHeight="true" outlineLevel="0" collapsed="false">
      <c r="A834" s="16" t="n">
        <f aca="false">Report!C1081</f>
        <v>46239</v>
      </c>
      <c r="B834" s="1" t="str">
        <f aca="false">Report!E1081</f>
        <v>SILVA E SANTOS FRIGORIFICO LTDA</v>
      </c>
      <c r="C834" s="17" t="n">
        <f aca="false">Report!U1081</f>
        <v>3642.5</v>
      </c>
      <c r="D834" s="1" t="str">
        <f aca="false">Report!X1081</f>
        <v>NF32114 - MILKA</v>
      </c>
    </row>
    <row r="835" customFormat="false" ht="12.75" hidden="false" customHeight="true" outlineLevel="0" collapsed="false">
      <c r="A835" s="16" t="n">
        <f aca="false">Report!C1082</f>
        <v>46239</v>
      </c>
      <c r="B835" s="1" t="str">
        <f aca="false">Report!E1082</f>
        <v>TAPAJOS COM DE PERFUMARIA COSMETICOS E G</v>
      </c>
      <c r="C835" s="17" t="n">
        <f aca="false">Report!U1082</f>
        <v>1471.39</v>
      </c>
      <c r="D835" s="1" t="str">
        <f aca="false">Report!X1082</f>
        <v>NF 581288 - DEBORA</v>
      </c>
    </row>
    <row r="836" customFormat="false" ht="12.75" hidden="false" customHeight="true" outlineLevel="0" collapsed="false">
      <c r="A836" s="16" t="n">
        <f aca="false">Report!C1083</f>
        <v>46239</v>
      </c>
      <c r="B836" s="1" t="str">
        <f aca="false">Report!E1083</f>
        <v>TRES CORACOES ALIMENTOS S.A.</v>
      </c>
      <c r="C836" s="17" t="n">
        <f aca="false">Report!U1083</f>
        <v>2063.42</v>
      </c>
      <c r="D836" s="1" t="str">
        <f aca="false">Report!X1083</f>
        <v>NF353326-01 MILKA</v>
      </c>
    </row>
    <row r="837" customFormat="false" ht="12.75" hidden="false" customHeight="true" outlineLevel="0" collapsed="false">
      <c r="A837" s="16" t="n">
        <f aca="false">Report!C1084</f>
        <v>46240</v>
      </c>
      <c r="B837" s="1" t="str">
        <f aca="false">Report!E1084</f>
        <v>C. R. PARENTE ABREU</v>
      </c>
      <c r="C837" s="17" t="n">
        <f aca="false">Report!U1084</f>
        <v>285.48</v>
      </c>
      <c r="D837" s="1" t="str">
        <f aca="false">Report!X1084</f>
        <v>NF 11493-2 KARU - MILKA</v>
      </c>
    </row>
    <row r="838" customFormat="false" ht="12.75" hidden="false" customHeight="true" outlineLevel="0" collapsed="false">
      <c r="A838" s="16" t="n">
        <f aca="false">Report!C1085</f>
        <v>46240</v>
      </c>
      <c r="B838" s="1" t="str">
        <f aca="false">Report!E1085</f>
        <v>CB COMERCIO E DISTRIBUIDORA DE ALIMENTOS</v>
      </c>
      <c r="C838" s="17" t="n">
        <f aca="false">Report!U1085</f>
        <v>748.7</v>
      </c>
      <c r="D838" s="1" t="str">
        <f aca="false">Report!X1085</f>
        <v>952611-B/C  NF854275 - MILKA</v>
      </c>
    </row>
    <row r="839" customFormat="false" ht="12.75" hidden="false" customHeight="true" outlineLevel="0" collapsed="false">
      <c r="A839" s="16" t="n">
        <f aca="false">Report!C1086</f>
        <v>46240</v>
      </c>
      <c r="B839" s="1" t="str">
        <f aca="false">Report!E1086</f>
        <v>DISTRIBUIDORA FARIAS LTDA.</v>
      </c>
      <c r="C839" s="17" t="n">
        <f aca="false">Report!U1086</f>
        <v>698.48</v>
      </c>
      <c r="D839" s="1" t="str">
        <f aca="false">Report!X1086</f>
        <v>NF 682525 - MILKA</v>
      </c>
    </row>
    <row r="840" customFormat="false" ht="12.75" hidden="false" customHeight="true" outlineLevel="0" collapsed="false">
      <c r="A840" s="16" t="n">
        <f aca="false">Report!C1087</f>
        <v>46240</v>
      </c>
      <c r="B840" s="1" t="str">
        <f aca="false">Report!E1087</f>
        <v>DISTRIBUIDORA LOPES LTDA</v>
      </c>
      <c r="C840" s="17" t="n">
        <f aca="false">Report!U1087</f>
        <v>2799.83</v>
      </c>
      <c r="D840" s="1" t="str">
        <f aca="false">Report!X1087</f>
        <v>NF 1693814 DESCONTO EM BOLETO - MILKA</v>
      </c>
    </row>
    <row r="841" customFormat="false" ht="12.75" hidden="false" customHeight="true" outlineLevel="0" collapsed="false">
      <c r="A841" s="16" t="n">
        <f aca="false">Report!C1088</f>
        <v>46240</v>
      </c>
      <c r="B841" s="1" t="str">
        <f aca="false">Report!E1088</f>
        <v>DUNORTE DISTRIBUIDORA DE PRODUTOS DE CONSUMO LTDA</v>
      </c>
      <c r="C841" s="17" t="n">
        <f aca="false">Report!U1088</f>
        <v>1757.52</v>
      </c>
      <c r="D841" s="1" t="str">
        <f aca="false">Report!X1088</f>
        <v>NF 3220224 - MILKA</v>
      </c>
    </row>
    <row r="842" customFormat="false" ht="12.75" hidden="false" customHeight="true" outlineLevel="0" collapsed="false">
      <c r="A842" s="16" t="n">
        <f aca="false">Report!C1089</f>
        <v>46240</v>
      </c>
      <c r="B842" s="1" t="str">
        <f aca="false">Report!E1089</f>
        <v>DURAES DISTRIBUIDORA DE ESTIVAS LTDA</v>
      </c>
      <c r="C842" s="17" t="n">
        <f aca="false">Report!U1089</f>
        <v>605.92</v>
      </c>
      <c r="D842" s="1" t="str">
        <f aca="false">Report!X1089</f>
        <v>NF 651360 -1 DEBORA</v>
      </c>
    </row>
    <row r="843" customFormat="false" ht="12.75" hidden="false" customHeight="true" outlineLevel="0" collapsed="false">
      <c r="A843" s="16" t="n">
        <f aca="false">Report!C1090</f>
        <v>46240</v>
      </c>
      <c r="B843" s="1" t="str">
        <f aca="false">Report!E1090</f>
        <v>DURAES DISTRIBUIDORA DE ESTIVAS LTDA</v>
      </c>
      <c r="C843" s="17" t="n">
        <f aca="false">Report!U1090</f>
        <v>434.05</v>
      </c>
      <c r="D843" s="1" t="str">
        <f aca="false">Report!X1090</f>
        <v>NF 651362 - DEBORA</v>
      </c>
    </row>
    <row r="844" customFormat="false" ht="12.75" hidden="false" customHeight="true" outlineLevel="0" collapsed="false">
      <c r="A844" s="16" t="n">
        <f aca="false">Report!C1091</f>
        <v>46240</v>
      </c>
      <c r="B844" s="1" t="str">
        <f aca="false">Report!E1091</f>
        <v>EDMARA COMERCIO DE HIGIENE PESSOAL LTDA</v>
      </c>
      <c r="C844" s="17" t="n">
        <f aca="false">Report!U1091</f>
        <v>2621.74</v>
      </c>
      <c r="D844" s="1" t="str">
        <f aca="false">Report!X1091</f>
        <v>5431-A/D  NF8403 - MILKA</v>
      </c>
    </row>
    <row r="845" customFormat="false" ht="12.75" hidden="false" customHeight="true" outlineLevel="0" collapsed="false">
      <c r="A845" s="16" t="n">
        <f aca="false">Report!C1092</f>
        <v>46240</v>
      </c>
      <c r="B845" s="1" t="str">
        <f aca="false">Report!E1092</f>
        <v>FENNIX BRASIL DISTRIBUIDORA DE PRODUTOS</v>
      </c>
      <c r="C845" s="17" t="n">
        <f aca="false">Report!U1092</f>
        <v>907.87</v>
      </c>
      <c r="D845" s="1" t="str">
        <f aca="false">Report!X1092</f>
        <v>NF 314382 - COM TARIFA - DEBORA</v>
      </c>
    </row>
    <row r="846" customFormat="false" ht="12.75" hidden="false" customHeight="true" outlineLevel="0" collapsed="false">
      <c r="A846" s="16" t="n">
        <f aca="false">Report!C1093</f>
        <v>46240</v>
      </c>
      <c r="B846" s="1" t="str">
        <f aca="false">Report!E1093</f>
        <v>FENNIX BRASIL DISTRIBUIDORA DE PRODUTOS</v>
      </c>
      <c r="C846" s="17" t="n">
        <f aca="false">Report!U1093</f>
        <v>1643.75</v>
      </c>
      <c r="D846" s="1" t="str">
        <f aca="false">Report!X1093</f>
        <v>NF 312590-3 MILKA</v>
      </c>
    </row>
    <row r="847" customFormat="false" ht="12.75" hidden="false" customHeight="true" outlineLevel="0" collapsed="false">
      <c r="A847" s="16" t="n">
        <f aca="false">Report!C1094</f>
        <v>46240</v>
      </c>
      <c r="B847" s="1" t="str">
        <f aca="false">Report!E1094</f>
        <v>FENNIX BRASIL DISTRIBUIDORA DE PRODUTOS</v>
      </c>
      <c r="C847" s="17" t="n">
        <f aca="false">Report!U1094</f>
        <v>398.7</v>
      </c>
      <c r="D847" s="1" t="str">
        <f aca="false">Report!X1094</f>
        <v>NF 396990 C/ ACRESCIMO - MILKA</v>
      </c>
    </row>
    <row r="848" customFormat="false" ht="12.75" hidden="false" customHeight="true" outlineLevel="0" collapsed="false">
      <c r="A848" s="16" t="n">
        <f aca="false">Report!C1095</f>
        <v>46240</v>
      </c>
      <c r="B848" s="1" t="str">
        <f aca="false">Report!E1095</f>
        <v>FORTVET DISTRIBUIDORA LTDA</v>
      </c>
      <c r="C848" s="17" t="n">
        <f aca="false">Report!U1095</f>
        <v>445.37</v>
      </c>
      <c r="D848" s="1" t="str">
        <f aca="false">Report!X1095</f>
        <v>NF 2808-2 MILKA</v>
      </c>
    </row>
    <row r="849" customFormat="false" ht="12.75" hidden="false" customHeight="true" outlineLevel="0" collapsed="false">
      <c r="A849" s="16" t="n">
        <f aca="false">Report!C1096</f>
        <v>46240</v>
      </c>
      <c r="B849" s="1" t="str">
        <f aca="false">Report!E1096</f>
        <v>H. L. DO NASCIMENTO</v>
      </c>
      <c r="C849" s="17" t="n">
        <f aca="false">Report!U1096</f>
        <v>365</v>
      </c>
      <c r="D849" s="1" t="str">
        <f aca="false">Report!X1096</f>
        <v>NF 5888 FAZENDINHA - MILKA</v>
      </c>
    </row>
    <row r="850" customFormat="false" ht="12.75" hidden="false" customHeight="true" outlineLevel="0" collapsed="false">
      <c r="A850" s="16" t="n">
        <f aca="false">Report!C1097</f>
        <v>46240</v>
      </c>
      <c r="B850" s="1" t="str">
        <f aca="false">Report!E1097</f>
        <v>MARQUES &amp; MELO LTDA - FILIAL</v>
      </c>
      <c r="C850" s="17" t="n">
        <f aca="false">Report!U1097</f>
        <v>1181.96</v>
      </c>
      <c r="D850" s="1" t="str">
        <f aca="false">Report!X1097</f>
        <v>NF 502189 -01 DISMELO -  MILKA</v>
      </c>
    </row>
    <row r="851" customFormat="false" ht="12.75" hidden="false" customHeight="true" outlineLevel="0" collapsed="false">
      <c r="A851" s="16" t="n">
        <f aca="false">Report!C1098</f>
        <v>46240</v>
      </c>
      <c r="B851" s="1" t="str">
        <f aca="false">Report!E1098</f>
        <v>MAXFRI DISTRIUIDORA LTDA</v>
      </c>
      <c r="C851" s="17" t="n">
        <f aca="false">Report!U1098</f>
        <v>4726.7</v>
      </c>
      <c r="D851" s="1" t="str">
        <f aca="false">Report!X1098</f>
        <v>NF 14881 - MILKA</v>
      </c>
    </row>
    <row r="852" customFormat="false" ht="12.75" hidden="false" customHeight="true" outlineLevel="0" collapsed="false">
      <c r="A852" s="16" t="n">
        <f aca="false">Report!C1099</f>
        <v>46240</v>
      </c>
      <c r="B852" s="1" t="str">
        <f aca="false">Report!E1099</f>
        <v>NATUREZA COMERCIO DE DESCARTAVEIS LTDA</v>
      </c>
      <c r="C852" s="17" t="n">
        <f aca="false">Report!U1099</f>
        <v>340</v>
      </c>
      <c r="D852" s="1" t="str">
        <f aca="false">Report!X1099</f>
        <v>NF 739552 - MILKA</v>
      </c>
    </row>
    <row r="853" customFormat="false" ht="12.75" hidden="false" customHeight="true" outlineLevel="0" collapsed="false">
      <c r="A853" s="16" t="n">
        <f aca="false">Report!C1100</f>
        <v>46240</v>
      </c>
      <c r="B853" s="1" t="str">
        <f aca="false">Report!E1100</f>
        <v>NESTLÉ BRASIL LTDA.</v>
      </c>
      <c r="C853" s="17" t="n">
        <f aca="false">Report!U1100</f>
        <v>1721.47</v>
      </c>
      <c r="D853" s="1" t="str">
        <f aca="false">Report!X1100</f>
        <v>NF 1431708-02/03 MILKA</v>
      </c>
    </row>
    <row r="854" customFormat="false" ht="12.75" hidden="false" customHeight="true" outlineLevel="0" collapsed="false">
      <c r="A854" s="16" t="n">
        <f aca="false">Report!C1101</f>
        <v>46240</v>
      </c>
      <c r="B854" s="1" t="str">
        <f aca="false">Report!E1101</f>
        <v>NESTLÉ BRASIL LTDA.</v>
      </c>
      <c r="C854" s="17" t="n">
        <f aca="false">Report!U1101</f>
        <v>957.84</v>
      </c>
      <c r="D854" s="1" t="str">
        <f aca="false">Report!X1101</f>
        <v>NF 1428642-03 MILKA</v>
      </c>
    </row>
    <row r="855" customFormat="false" ht="12.75" hidden="false" customHeight="true" outlineLevel="0" collapsed="false">
      <c r="A855" s="16" t="n">
        <f aca="false">Report!C1103</f>
        <v>46240</v>
      </c>
      <c r="B855" s="1" t="str">
        <f aca="false">Report!E1103</f>
        <v>OCIDENTAL COMERCIO DE FRIOS LTDA</v>
      </c>
      <c r="C855" s="17" t="n">
        <f aca="false">Report!U1103</f>
        <v>662.72</v>
      </c>
      <c r="D855" s="1" t="str">
        <f aca="false">Report!X1103</f>
        <v>NF 1248470-01 MILKA</v>
      </c>
    </row>
    <row r="856" customFormat="false" ht="12.75" hidden="false" customHeight="true" outlineLevel="0" collapsed="false">
      <c r="A856" s="16" t="n">
        <f aca="false">Report!C1104</f>
        <v>46240</v>
      </c>
      <c r="B856" s="1" t="str">
        <f aca="false">Report!E1104</f>
        <v>OCIDENTAL COMERCIO DE FRIOS LTDA</v>
      </c>
      <c r="C856" s="17" t="n">
        <f aca="false">Report!U1104</f>
        <v>828.44</v>
      </c>
      <c r="D856" s="1" t="str">
        <f aca="false">Report!X1104</f>
        <v>NF 1245715-2/2 MILKA</v>
      </c>
    </row>
    <row r="857" customFormat="false" ht="12.75" hidden="false" customHeight="true" outlineLevel="0" collapsed="false">
      <c r="A857" s="16" t="n">
        <f aca="false">Report!C1105</f>
        <v>46240</v>
      </c>
      <c r="B857" s="1" t="str">
        <f aca="false">Report!E1105</f>
        <v>PANIFICADORA E CONFEITARIA REAL MADRI LTDA</v>
      </c>
      <c r="C857" s="17" t="n">
        <f aca="false">Report!U1105</f>
        <v>739.15</v>
      </c>
      <c r="D857" s="1" t="str">
        <f aca="false">Report!X1105</f>
        <v>NF 739 - MILKA</v>
      </c>
    </row>
    <row r="858" customFormat="false" ht="12.75" hidden="false" customHeight="true" outlineLevel="0" collapsed="false">
      <c r="A858" s="16" t="n">
        <f aca="false">Report!C1106</f>
        <v>46240</v>
      </c>
      <c r="B858" s="1" t="str">
        <f aca="false">Report!E1106</f>
        <v>SL DISTRIBUIDORA COM. DE PROD. ALIMENTIC</v>
      </c>
      <c r="C858" s="17" t="n">
        <f aca="false">Report!U1106</f>
        <v>1608.44</v>
      </c>
      <c r="D858" s="1" t="str">
        <f aca="false">Report!X1106</f>
        <v>NF 10857 - MILKA</v>
      </c>
    </row>
    <row r="859" customFormat="false" ht="12.75" hidden="false" customHeight="true" outlineLevel="0" collapsed="false">
      <c r="A859" s="16" t="n">
        <f aca="false">Report!C1107</f>
        <v>46241</v>
      </c>
      <c r="B859" s="1" t="str">
        <f aca="false">Report!E1107</f>
        <v>BRASIL NORTE BEBIDAS S/A</v>
      </c>
      <c r="C859" s="17" t="n">
        <f aca="false">Report!U1107</f>
        <v>5518.6</v>
      </c>
      <c r="D859" s="1" t="str">
        <f aca="false">Report!X1107</f>
        <v>NF 1951962 COCA - MILKA</v>
      </c>
    </row>
    <row r="860" customFormat="false" ht="12.75" hidden="false" customHeight="true" outlineLevel="0" collapsed="false">
      <c r="A860" s="16" t="n">
        <f aca="false">Report!C1108</f>
        <v>46241</v>
      </c>
      <c r="B860" s="1" t="str">
        <f aca="false">Report!E1108</f>
        <v>BRASIL NORTE BEBIDAS S/A</v>
      </c>
      <c r="C860" s="17" t="n">
        <f aca="false">Report!U1108</f>
        <v>152.38</v>
      </c>
      <c r="D860" s="1" t="str">
        <f aca="false">Report!X1108</f>
        <v>NF 1216466 C/DESCONTO DO COMODATO - MILKA</v>
      </c>
    </row>
    <row r="861" customFormat="false" ht="12.75" hidden="false" customHeight="true" outlineLevel="0" collapsed="false">
      <c r="A861" s="16" t="n">
        <f aca="false">Report!C1109</f>
        <v>46241</v>
      </c>
      <c r="B861" s="1" t="str">
        <f aca="false">Report!E1109</f>
        <v>BRASIL NORTE BEBIDAS S/A</v>
      </c>
      <c r="C861" s="17" t="n">
        <f aca="false">Report!U1109</f>
        <v>3459.51</v>
      </c>
      <c r="D861" s="1" t="str">
        <f aca="false">Report!X1109</f>
        <v>NF 1217731 COCA - MILKA</v>
      </c>
    </row>
    <row r="862" customFormat="false" ht="12.75" hidden="false" customHeight="true" outlineLevel="0" collapsed="false">
      <c r="A862" s="16" t="n">
        <f aca="false">Report!C1110</f>
        <v>46241</v>
      </c>
      <c r="B862" s="1" t="str">
        <f aca="false">Report!E1110</f>
        <v>BRASIL NORTE BEBIDAS S/A</v>
      </c>
      <c r="C862" s="17" t="n">
        <f aca="false">Report!U1110</f>
        <v>215.52</v>
      </c>
      <c r="D862" s="1" t="str">
        <f aca="false">Report!X1110</f>
        <v>NF1197029 COCA / TARIFA INCLUSA - MILKA</v>
      </c>
    </row>
    <row r="863" customFormat="false" ht="12.75" hidden="false" customHeight="true" outlineLevel="0" collapsed="false">
      <c r="A863" s="16" t="n">
        <f aca="false">Report!C1111</f>
        <v>46241</v>
      </c>
      <c r="B863" s="1" t="str">
        <f aca="false">Report!E1111</f>
        <v>BRASIL NORTE BEBIDAS S/A</v>
      </c>
      <c r="C863" s="17" t="n">
        <f aca="false">Report!U1111</f>
        <v>65.93</v>
      </c>
      <c r="D863" s="1" t="str">
        <f aca="false">Report!X1111</f>
        <v>NF 1950823 COCA / DESCONTO COMODATO - MILKA</v>
      </c>
    </row>
    <row r="864" customFormat="false" ht="12.75" hidden="false" customHeight="true" outlineLevel="0" collapsed="false">
      <c r="A864" s="16" t="n">
        <f aca="false">Report!C1112</f>
        <v>46241</v>
      </c>
      <c r="B864" s="1" t="str">
        <f aca="false">Report!E1112</f>
        <v>BRF S A</v>
      </c>
      <c r="C864" s="17" t="n">
        <f aca="false">Report!U1112</f>
        <v>676.2</v>
      </c>
      <c r="D864" s="1" t="str">
        <f aca="false">Report!X1112</f>
        <v>NF 1611963 -01/02  MILKA</v>
      </c>
    </row>
    <row r="865" customFormat="false" ht="12.75" hidden="false" customHeight="true" outlineLevel="0" collapsed="false">
      <c r="A865" s="16" t="n">
        <f aca="false">Report!C1113</f>
        <v>46241</v>
      </c>
      <c r="B865" s="1" t="str">
        <f aca="false">Report!E1113</f>
        <v>BROTHERS  INDUSTRIA DE ALIMENTOS LTDA</v>
      </c>
      <c r="C865" s="17" t="n">
        <f aca="false">Report!U1113</f>
        <v>556.5</v>
      </c>
      <c r="D865" s="1" t="str">
        <f aca="false">Report!X1113</f>
        <v>NF 1034623 - MILKA</v>
      </c>
    </row>
    <row r="866" customFormat="false" ht="12.75" hidden="false" customHeight="true" outlineLevel="0" collapsed="false">
      <c r="A866" s="16" t="n">
        <f aca="false">Report!C1114</f>
        <v>46241</v>
      </c>
      <c r="B866" s="1" t="str">
        <f aca="false">Report!E1114</f>
        <v>COMERCIO DE FRIOS MANAUS LTDA</v>
      </c>
      <c r="C866" s="17" t="n">
        <f aca="false">Report!U1114</f>
        <v>5242.4</v>
      </c>
      <c r="D866" s="1" t="str">
        <f aca="false">Report!X1114</f>
        <v>NF 173886 - MILKA</v>
      </c>
    </row>
    <row r="867" customFormat="false" ht="12.75" hidden="false" customHeight="true" outlineLevel="0" collapsed="false">
      <c r="A867" s="16" t="n">
        <f aca="false">Report!C1115</f>
        <v>46241</v>
      </c>
      <c r="B867" s="1" t="str">
        <f aca="false">Report!E1115</f>
        <v>DISTRIBUIDORA FARIAS LTDA.</v>
      </c>
      <c r="C867" s="17" t="n">
        <f aca="false">Report!U1115</f>
        <v>871.12</v>
      </c>
      <c r="D867" s="1" t="str">
        <f aca="false">Report!X1115</f>
        <v>804856-C/C  NF681131 - MILKA</v>
      </c>
    </row>
    <row r="868" customFormat="false" ht="12.75" hidden="false" customHeight="true" outlineLevel="0" collapsed="false">
      <c r="A868" s="16" t="n">
        <f aca="false">Report!C1116</f>
        <v>46241</v>
      </c>
      <c r="B868" s="1" t="str">
        <f aca="false">Report!E1116</f>
        <v>EDMARA COMERCIO DE HIGIENE PESSOAL LTDA</v>
      </c>
      <c r="C868" s="17" t="n">
        <f aca="false">Report!U1116</f>
        <v>523.67</v>
      </c>
      <c r="D868" s="1" t="str">
        <f aca="false">Report!X1116</f>
        <v>5350-B/C  NF8364 - MILKA</v>
      </c>
    </row>
    <row r="869" customFormat="false" ht="12.75" hidden="false" customHeight="true" outlineLevel="0" collapsed="false">
      <c r="A869" s="16" t="n">
        <f aca="false">Report!C1117</f>
        <v>46241</v>
      </c>
      <c r="B869" s="1" t="str">
        <f aca="false">Report!E1117</f>
        <v>IRMÃOS LIMA  ATACADO  DE ALIMENTOS LTDA</v>
      </c>
      <c r="C869" s="17" t="n">
        <f aca="false">Report!U1117</f>
        <v>925.97</v>
      </c>
      <c r="D869" s="1" t="str">
        <f aca="false">Report!X1117</f>
        <v>377101 -A/C  NF296100 - MILKA</v>
      </c>
    </row>
    <row r="870" customFormat="false" ht="12.75" hidden="false" customHeight="true" outlineLevel="0" collapsed="false">
      <c r="A870" s="16" t="n">
        <f aca="false">Report!C1118</f>
        <v>46241</v>
      </c>
      <c r="B870" s="1" t="str">
        <f aca="false">Report!E1118</f>
        <v>J. S. MOREIRA ALVES LTDA</v>
      </c>
      <c r="C870" s="17" t="n">
        <f aca="false">Report!U1118</f>
        <v>581.5</v>
      </c>
      <c r="D870" s="1" t="str">
        <f aca="false">Report!X1118</f>
        <v>NF 2702 MESA FARTA - MILKA</v>
      </c>
    </row>
    <row r="871" customFormat="false" ht="12.75" hidden="false" customHeight="true" outlineLevel="0" collapsed="false">
      <c r="A871" s="16" t="n">
        <f aca="false">Report!C1119</f>
        <v>46241</v>
      </c>
      <c r="B871" s="1" t="str">
        <f aca="false">Report!E1119</f>
        <v>NT INDUSTRIA E COMERCIO DE PANIFICACAO L</v>
      </c>
      <c r="C871" s="17" t="n">
        <f aca="false">Report!U1119</f>
        <v>5054.39</v>
      </c>
      <c r="D871" s="1" t="str">
        <f aca="false">Report!X1119</f>
        <v>NF 41958 - MILKA</v>
      </c>
    </row>
    <row r="872" customFormat="false" ht="12.75" hidden="false" customHeight="true" outlineLevel="0" collapsed="false">
      <c r="A872" s="16" t="n">
        <f aca="false">Report!C1120</f>
        <v>46241</v>
      </c>
      <c r="B872" s="1" t="str">
        <f aca="false">Report!E1120</f>
        <v>OESA COMERCIO E REPRESENTACOES S/A</v>
      </c>
      <c r="C872" s="17" t="n">
        <f aca="false">Report!U1120</f>
        <v>1180.51</v>
      </c>
      <c r="D872" s="1" t="str">
        <f aca="false">Report!X1120</f>
        <v>NF 430879-2 DELLY'S - MILKA</v>
      </c>
    </row>
    <row r="873" customFormat="false" ht="12.75" hidden="false" customHeight="true" outlineLevel="0" collapsed="false">
      <c r="A873" s="16" t="n">
        <f aca="false">Report!C1121</f>
        <v>46241</v>
      </c>
      <c r="B873" s="1" t="str">
        <f aca="false">Report!E1121</f>
        <v>OPPORTUNITY ALIMENTOS PARA ANIMAIS LTDA</v>
      </c>
      <c r="C873" s="17" t="n">
        <f aca="false">Report!U1121</f>
        <v>2006</v>
      </c>
      <c r="D873" s="1" t="str">
        <f aca="false">Report!X1121</f>
        <v>NF 34663-3 MILKA</v>
      </c>
    </row>
    <row r="874" customFormat="false" ht="12.75" hidden="false" customHeight="true" outlineLevel="0" collapsed="false">
      <c r="A874" s="16" t="n">
        <f aca="false">Report!C1122</f>
        <v>46241</v>
      </c>
      <c r="B874" s="1" t="str">
        <f aca="false">Report!E1122</f>
        <v>OPPORTUNITY ALIMENTOS PARA ANIMAIS LTDA</v>
      </c>
      <c r="C874" s="17" t="n">
        <f aca="false">Report!U1122</f>
        <v>1091.08</v>
      </c>
      <c r="D874" s="1" t="str">
        <f aca="false">Report!X1122</f>
        <v>NF 34611 - MILKA</v>
      </c>
    </row>
    <row r="875" customFormat="false" ht="12.75" hidden="false" customHeight="true" outlineLevel="0" collapsed="false">
      <c r="A875" s="16" t="n">
        <f aca="false">Report!C1123</f>
        <v>46241</v>
      </c>
      <c r="B875" s="1" t="str">
        <f aca="false">Report!E1123</f>
        <v>PANIFICADORA E CONFEITARIA REAL MADRI LTDA</v>
      </c>
      <c r="C875" s="17" t="n">
        <f aca="false">Report!U1123</f>
        <v>700</v>
      </c>
      <c r="D875" s="1" t="str">
        <f aca="false">Report!X1123</f>
        <v>NF 741 - MILKA</v>
      </c>
    </row>
    <row r="876" customFormat="false" ht="12.75" hidden="false" customHeight="true" outlineLevel="0" collapsed="false">
      <c r="A876" s="16" t="n">
        <f aca="false">Report!C1124</f>
        <v>46241</v>
      </c>
      <c r="B876" s="1" t="str">
        <f aca="false">Report!E1124</f>
        <v>PANIFICADORA E CONFEITARIA REAL MADRI LTDA</v>
      </c>
      <c r="C876" s="17" t="n">
        <f aca="false">Report!U1124</f>
        <v>474.5</v>
      </c>
      <c r="D876" s="1" t="str">
        <f aca="false">Report!X1124</f>
        <v>NF 742 - MILKA</v>
      </c>
    </row>
    <row r="877" customFormat="false" ht="12.75" hidden="false" customHeight="true" outlineLevel="0" collapsed="false">
      <c r="A877" s="16" t="n">
        <f aca="false">Report!C1125</f>
        <v>46241</v>
      </c>
      <c r="B877" s="1" t="str">
        <f aca="false">Report!E1125</f>
        <v>PIARARA COMERCIO, IMPORTACAO E EXPORTACAO LTDA</v>
      </c>
      <c r="C877" s="17" t="n">
        <f aca="false">Report!U1125</f>
        <v>808.45</v>
      </c>
      <c r="D877" s="1" t="str">
        <f aca="false">Report!X1125</f>
        <v>NF 194574 -2 MILKA</v>
      </c>
    </row>
    <row r="878" customFormat="false" ht="12.75" hidden="false" customHeight="true" outlineLevel="0" collapsed="false">
      <c r="A878" s="16" t="n">
        <f aca="false">Report!C1126</f>
        <v>46241</v>
      </c>
      <c r="B878" s="1" t="str">
        <f aca="false">Report!E1126</f>
        <v>PIARARA COMERCIO, IMPORTACAO E EXPORTACAO LTDA</v>
      </c>
      <c r="C878" s="17" t="n">
        <f aca="false">Report!U1126</f>
        <v>868.36</v>
      </c>
      <c r="D878" s="1" t="str">
        <f aca="false">Report!X1126</f>
        <v>NF 194785 - DEBORA</v>
      </c>
    </row>
    <row r="879" customFormat="false" ht="12.75" hidden="false" customHeight="true" outlineLevel="0" collapsed="false">
      <c r="A879" s="16" t="n">
        <f aca="false">Report!C1127</f>
        <v>46241</v>
      </c>
      <c r="B879" s="1" t="str">
        <f aca="false">Report!E1127</f>
        <v>PRIME PET DISTRIBUIDORA LTDA</v>
      </c>
      <c r="C879" s="17" t="n">
        <f aca="false">Report!U1127</f>
        <v>250.38</v>
      </c>
      <c r="D879" s="1" t="str">
        <f aca="false">Report!X1127</f>
        <v>NF 10336 -08 MILKA</v>
      </c>
    </row>
    <row r="880" customFormat="false" ht="12.75" hidden="false" customHeight="true" outlineLevel="0" collapsed="false">
      <c r="A880" s="16" t="n">
        <f aca="false">Report!C1128</f>
        <v>46241</v>
      </c>
      <c r="B880" s="1" t="str">
        <f aca="false">Report!E1128</f>
        <v>RENATO DE O AZEVEDO E CIA LTDA - EPP</v>
      </c>
      <c r="C880" s="17" t="n">
        <f aca="false">Report!U1128</f>
        <v>1560</v>
      </c>
      <c r="D880" s="1" t="str">
        <f aca="false">Report!X1128</f>
        <v>COMPRA FARINHA CRUZEIRO/ PGTO NO PIX P/ JOSE CLAUDIO CHAVE:92991326372</v>
      </c>
    </row>
    <row r="881" customFormat="false" ht="12.75" hidden="false" customHeight="true" outlineLevel="0" collapsed="false">
      <c r="A881" s="16" t="n">
        <f aca="false">Report!C1129</f>
        <v>46241</v>
      </c>
      <c r="B881" s="1" t="str">
        <f aca="false">Report!E1129</f>
        <v>SOUZA CRUZ LTDA.</v>
      </c>
      <c r="C881" s="17" t="n">
        <f aca="false">Report!U1129</f>
        <v>7635.42</v>
      </c>
      <c r="D881" s="1" t="str">
        <f aca="false">Report!X1129</f>
        <v>NF 568312-2 MILKA</v>
      </c>
    </row>
    <row r="882" customFormat="false" ht="12.75" hidden="false" customHeight="true" outlineLevel="0" collapsed="false">
      <c r="A882" s="16" t="n">
        <f aca="false">Report!C1131</f>
        <v>46241</v>
      </c>
      <c r="B882" s="1" t="str">
        <f aca="false">Report!E1131</f>
        <v>VITAPAN COMERCIO VAREJISTA DE PRODUTOS ALIMENTICIOS LTDA</v>
      </c>
      <c r="C882" s="17" t="n">
        <f aca="false">Report!U1131</f>
        <v>1026</v>
      </c>
      <c r="D882" s="1" t="str">
        <f aca="false">Report!X1131</f>
        <v>NF 10438 - MILKA</v>
      </c>
    </row>
    <row r="883" customFormat="false" ht="12.75" hidden="false" customHeight="true" outlineLevel="0" collapsed="false">
      <c r="A883" s="16" t="n">
        <f aca="false">Report!C1132</f>
        <v>46242</v>
      </c>
      <c r="B883" s="1" t="str">
        <f aca="false">Report!E1132</f>
        <v>FORTVET DISTRIBUIDORA LTDA</v>
      </c>
      <c r="C883" s="17" t="n">
        <f aca="false">Report!U1132</f>
        <v>527.3</v>
      </c>
      <c r="D883" s="1" t="str">
        <f aca="false">Report!X1132</f>
        <v>NF 2737-2 MILKA</v>
      </c>
    </row>
    <row r="884" customFormat="false" ht="12.75" hidden="false" customHeight="true" outlineLevel="0" collapsed="false">
      <c r="A884" s="16" t="n">
        <f aca="false">Report!C1133</f>
        <v>46242</v>
      </c>
      <c r="B884" s="1" t="str">
        <f aca="false">Report!E1133</f>
        <v>MAXFRI DISTRIUIDORA LTDA</v>
      </c>
      <c r="C884" s="17" t="n">
        <f aca="false">Report!U1133</f>
        <v>4044.8</v>
      </c>
      <c r="D884" s="1" t="str">
        <f aca="false">Report!X1133</f>
        <v>NF14907 - MILKA</v>
      </c>
    </row>
    <row r="885" customFormat="false" ht="12.75" hidden="false" customHeight="true" outlineLevel="0" collapsed="false">
      <c r="A885" s="16" t="n">
        <f aca="false">Report!C1134</f>
        <v>46242</v>
      </c>
      <c r="B885" s="1" t="str">
        <f aca="false">Report!E1134</f>
        <v>RISADINHA LTDA</v>
      </c>
      <c r="C885" s="17" t="n">
        <f aca="false">Report!U1134</f>
        <v>660</v>
      </c>
      <c r="D885" s="1" t="str">
        <f aca="false">Report!X1134</f>
        <v>NF 660505-02 MILKA</v>
      </c>
    </row>
    <row r="886" customFormat="false" ht="12.75" hidden="false" customHeight="true" outlineLevel="0" collapsed="false">
      <c r="A886" s="16" t="n">
        <f aca="false">Report!C1135</f>
        <v>46242</v>
      </c>
      <c r="B886" s="1" t="str">
        <f aca="false">Report!E1135</f>
        <v>SILVA E SANTOS FRIGORIFICO LTDA</v>
      </c>
      <c r="C886" s="17" t="n">
        <f aca="false">Report!U1135</f>
        <v>3557.5</v>
      </c>
      <c r="D886" s="1" t="str">
        <f aca="false">Report!X1135</f>
        <v>NF32187 - MILKA</v>
      </c>
    </row>
    <row r="887" customFormat="false" ht="12.75" hidden="false" customHeight="true" outlineLevel="0" collapsed="false">
      <c r="A887" s="16" t="n">
        <f aca="false">Report!C1136</f>
        <v>46243</v>
      </c>
      <c r="B887" s="1" t="str">
        <f aca="false">Report!E1136</f>
        <v>E. SALES DO NASCIMENTO</v>
      </c>
      <c r="C887" s="17" t="n">
        <f aca="false">Report!U1136</f>
        <v>410.7</v>
      </c>
      <c r="D887" s="1" t="str">
        <f aca="false">Report!X1136</f>
        <v>NF 707 -04 MILKA</v>
      </c>
    </row>
    <row r="888" customFormat="false" ht="12.75" hidden="false" customHeight="true" outlineLevel="0" collapsed="false">
      <c r="A888" s="16" t="n">
        <f aca="false">Report!C1137</f>
        <v>46243</v>
      </c>
      <c r="B888" s="1" t="str">
        <f aca="false">Report!E1137</f>
        <v>OPPORTUNITY ALIMENTOS PARA ANIMAIS LTDA</v>
      </c>
      <c r="C888" s="17" t="n">
        <f aca="false">Report!U1137</f>
        <v>3377.6</v>
      </c>
      <c r="D888" s="1" t="str">
        <f aca="false">Report!X1137</f>
        <v>NF 34300-3 MILKA</v>
      </c>
    </row>
    <row r="889" customFormat="false" ht="12.75" hidden="false" customHeight="true" outlineLevel="0" collapsed="false">
      <c r="A889" s="16" t="n">
        <f aca="false">Report!C1144</f>
        <v>46244</v>
      </c>
      <c r="B889" s="1" t="str">
        <f aca="false">Report!E1144</f>
        <v>COMERCIO DE FRIOS MANAUS LTDA</v>
      </c>
      <c r="C889" s="17" t="n">
        <f aca="false">Report!U1144</f>
        <v>3288.4</v>
      </c>
      <c r="D889" s="1" t="str">
        <f aca="false">Report!X1144</f>
        <v>NF 174095 - MILKA</v>
      </c>
    </row>
    <row r="890" customFormat="false" ht="12.75" hidden="false" customHeight="true" outlineLevel="0" collapsed="false">
      <c r="A890" s="16" t="n">
        <f aca="false">Report!C1145</f>
        <v>46244</v>
      </c>
      <c r="B890" s="1" t="str">
        <f aca="false">Report!E1145</f>
        <v>CRBS S/A</v>
      </c>
      <c r="C890" s="17" t="n">
        <f aca="false">Report!U1145</f>
        <v>4669.12</v>
      </c>
      <c r="D890" s="1" t="str">
        <f aca="false">Report!X1145</f>
        <v>NF 931981 C/DESCONTO DE BONIFICACAO NA NF - MILKA</v>
      </c>
    </row>
    <row r="891" customFormat="false" ht="12.75" hidden="false" customHeight="true" outlineLevel="0" collapsed="false">
      <c r="A891" s="16" t="n">
        <f aca="false">Report!C1146</f>
        <v>46244</v>
      </c>
      <c r="B891" s="1" t="str">
        <f aca="false">Report!E1146</f>
        <v>CRBS S/A</v>
      </c>
      <c r="C891" s="17" t="n">
        <f aca="false">Report!U1146</f>
        <v>242.43</v>
      </c>
      <c r="D891" s="1" t="str">
        <f aca="false">Report!X1146</f>
        <v>NF 933625 AMBEV - MILKA</v>
      </c>
    </row>
    <row r="892" customFormat="false" ht="12.75" hidden="false" customHeight="true" outlineLevel="0" collapsed="false">
      <c r="A892" s="16" t="n">
        <f aca="false">Report!C1147</f>
        <v>46244</v>
      </c>
      <c r="B892" s="1" t="str">
        <f aca="false">Report!E1147</f>
        <v>CRBS S/A</v>
      </c>
      <c r="C892" s="17" t="n">
        <f aca="false">Report!U1147</f>
        <v>938.92</v>
      </c>
      <c r="D892" s="1" t="str">
        <f aca="false">Report!X1147</f>
        <v>NF 933624 -  MILKA</v>
      </c>
    </row>
    <row r="893" customFormat="false" ht="12.75" hidden="false" customHeight="true" outlineLevel="0" collapsed="false">
      <c r="A893" s="16" t="n">
        <f aca="false">Report!C1148</f>
        <v>46244</v>
      </c>
      <c r="B893" s="1" t="str">
        <f aca="false">Report!E1148</f>
        <v>CRBS S/A</v>
      </c>
      <c r="C893" s="17" t="n">
        <f aca="false">Report!U1148</f>
        <v>157.71</v>
      </c>
      <c r="D893" s="1" t="str">
        <f aca="false">Report!X1148</f>
        <v>NF 931983 AMBEV - MILKA</v>
      </c>
    </row>
    <row r="894" customFormat="false" ht="12.75" hidden="false" customHeight="true" outlineLevel="0" collapsed="false">
      <c r="A894" s="16" t="n">
        <f aca="false">Report!C1149</f>
        <v>46244</v>
      </c>
      <c r="B894" s="1" t="str">
        <f aca="false">Report!E1149</f>
        <v>CRBS S/A</v>
      </c>
      <c r="C894" s="17" t="n">
        <f aca="false">Report!U1149</f>
        <v>223.09</v>
      </c>
      <c r="D894" s="1" t="str">
        <f aca="false">Report!X1149</f>
        <v>NF 931982 AMBEV - MILKA</v>
      </c>
    </row>
    <row r="895" customFormat="false" ht="12.75" hidden="false" customHeight="true" outlineLevel="0" collapsed="false">
      <c r="A895" s="16" t="n">
        <f aca="false">Report!C1152</f>
        <v>46244</v>
      </c>
      <c r="B895" s="1" t="str">
        <f aca="false">Report!E1152</f>
        <v>DISTRIBUIDORA LOPES LTDA</v>
      </c>
      <c r="C895" s="17" t="n">
        <f aca="false">Report!U1152</f>
        <v>2819.44</v>
      </c>
      <c r="D895" s="1" t="str">
        <f aca="false">Report!X1152</f>
        <v>NF 1690976 / DESCONTO NO BOLETO - MILKA</v>
      </c>
    </row>
    <row r="896" customFormat="false" ht="12.75" hidden="false" customHeight="true" outlineLevel="0" collapsed="false">
      <c r="A896" s="16" t="n">
        <f aca="false">Report!C1153</f>
        <v>46244</v>
      </c>
      <c r="B896" s="1" t="str">
        <f aca="false">Report!E1153</f>
        <v>DISTRIBUIDORA LOPES LTDA</v>
      </c>
      <c r="C896" s="17" t="n">
        <f aca="false">Report!U1153</f>
        <v>1039.09</v>
      </c>
      <c r="D896" s="1" t="str">
        <f aca="false">Report!X1153</f>
        <v>NF 1690878-3 MILKA / DESCONTO NO BOLETO</v>
      </c>
    </row>
    <row r="897" customFormat="false" ht="12.75" hidden="false" customHeight="true" outlineLevel="0" collapsed="false">
      <c r="A897" s="16" t="n">
        <f aca="false">Report!C1155</f>
        <v>46244</v>
      </c>
      <c r="B897" s="1" t="str">
        <f aca="false">Report!E1155</f>
        <v>FUNNY PET DISTRIBUIDORA DE ALIMENTOS PAR</v>
      </c>
      <c r="C897" s="17" t="n">
        <f aca="false">Report!U1155</f>
        <v>2186.18</v>
      </c>
      <c r="D897" s="1" t="str">
        <f aca="false">Report!X1155</f>
        <v>NF 21047-1 MILKA</v>
      </c>
    </row>
    <row r="898" customFormat="false" ht="12.75" hidden="false" customHeight="true" outlineLevel="0" collapsed="false">
      <c r="A898" s="16" t="n">
        <f aca="false">Report!C1158</f>
        <v>46244</v>
      </c>
      <c r="B898" s="1" t="str">
        <f aca="false">Report!E1158</f>
        <v>INNOVAR DISTRIBUIDORA DE COSMETICOS E MEDICAMENTOS LTDA</v>
      </c>
      <c r="C898" s="17" t="n">
        <f aca="false">Report!U1158</f>
        <v>1958.46</v>
      </c>
      <c r="D898" s="1" t="str">
        <f aca="false">Report!X1158</f>
        <v>NF 104754 - DEBORA</v>
      </c>
    </row>
    <row r="899" customFormat="false" ht="12.75" hidden="false" customHeight="true" outlineLevel="0" collapsed="false">
      <c r="A899" s="16" t="n">
        <f aca="false">Report!C1159</f>
        <v>46244</v>
      </c>
      <c r="B899" s="1" t="str">
        <f aca="false">Report!E1159</f>
        <v>LIMA E BARANDA COMERCIO DE PRODUTOS REGI</v>
      </c>
      <c r="C899" s="17" t="n">
        <f aca="false">Report!U1159</f>
        <v>363.5</v>
      </c>
      <c r="D899" s="1" t="str">
        <f aca="false">Report!X1159</f>
        <v>NF 31724 - MILKA</v>
      </c>
    </row>
    <row r="900" customFormat="false" ht="12.75" hidden="false" customHeight="true" outlineLevel="0" collapsed="false">
      <c r="A900" s="16" t="n">
        <f aca="false">Report!C1165</f>
        <v>46244</v>
      </c>
      <c r="B900" s="1" t="str">
        <f aca="false">Report!E1165</f>
        <v>NJF INDUSTRIA E COMERCIO LTDA</v>
      </c>
      <c r="C900" s="17" t="n">
        <f aca="false">Report!U1165</f>
        <v>1164.5</v>
      </c>
      <c r="D900" s="1" t="str">
        <f aca="false">Report!X1165</f>
        <v>NF 85346 -1 MILKA</v>
      </c>
    </row>
    <row r="901" customFormat="false" ht="12.75" hidden="false" customHeight="true" outlineLevel="0" collapsed="false">
      <c r="A901" s="16" t="n">
        <f aca="false">Report!C1166</f>
        <v>46244</v>
      </c>
      <c r="B901" s="1" t="str">
        <f aca="false">Report!E1166</f>
        <v>NJF INDUSTRIA E COMERCIO LTDA</v>
      </c>
      <c r="C901" s="17" t="n">
        <f aca="false">Report!U1166</f>
        <v>184.5</v>
      </c>
      <c r="D901" s="1" t="str">
        <f aca="false">Report!X1166</f>
        <v>NF 85345 -2 MILKA</v>
      </c>
    </row>
    <row r="902" customFormat="false" ht="12.75" hidden="false" customHeight="true" outlineLevel="0" collapsed="false">
      <c r="A902" s="16" t="n">
        <f aca="false">Report!C1167</f>
        <v>46244</v>
      </c>
      <c r="B902" s="1" t="str">
        <f aca="false">Report!E1167</f>
        <v>OCIDENTAL COMERCIO DE FRIOS LTDA</v>
      </c>
      <c r="C902" s="17" t="n">
        <f aca="false">Report!U1167</f>
        <v>2044.89</v>
      </c>
      <c r="D902" s="1" t="str">
        <f aca="false">Report!X1167</f>
        <v>NF 1249231-2/3 MILKA</v>
      </c>
    </row>
    <row r="903" customFormat="false" ht="12.75" hidden="false" customHeight="true" outlineLevel="0" collapsed="false">
      <c r="A903" s="16" t="n">
        <f aca="false">Report!C1173</f>
        <v>46244</v>
      </c>
      <c r="B903" s="1" t="str">
        <f aca="false">Report!E1173</f>
        <v>SAO JOSE COMERCIO DE LATICINIOS E FRIOS</v>
      </c>
      <c r="C903" s="17" t="n">
        <f aca="false">Report!U1173</f>
        <v>965</v>
      </c>
      <c r="D903" s="1" t="str">
        <f aca="false">Report!X1173</f>
        <v>NF3752 SABORE - MILKA</v>
      </c>
    </row>
    <row r="904" customFormat="false" ht="12.75" hidden="false" customHeight="true" outlineLevel="0" collapsed="false">
      <c r="A904" s="16" t="n">
        <f aca="false">Report!C1174</f>
        <v>46244</v>
      </c>
      <c r="B904" s="1" t="str">
        <f aca="false">Report!E1174</f>
        <v>SUPERMERCADOS DB LTDA</v>
      </c>
      <c r="C904" s="17" t="n">
        <f aca="false">Report!U1174</f>
        <v>319.2</v>
      </c>
      <c r="D904" s="1" t="str">
        <f aca="false">Report!X1174</f>
        <v>NF51412 / PARC. 01/03  - MILKA</v>
      </c>
    </row>
    <row r="905" customFormat="false" ht="12.75" hidden="false" customHeight="true" outlineLevel="0" collapsed="false">
      <c r="A905" s="16" t="n">
        <f aca="false">Report!C1180</f>
        <v>46244</v>
      </c>
      <c r="B905" s="1" t="str">
        <f aca="false">Report!E1180</f>
        <v>T. M. L. DA SILVA LTDA</v>
      </c>
      <c r="C905" s="17" t="n">
        <f aca="false">Report!U1180</f>
        <v>659.7</v>
      </c>
      <c r="D905" s="1" t="str">
        <f aca="false">Report!X1180</f>
        <v>NF 15204 AMAZONGURT - MILKA</v>
      </c>
    </row>
    <row r="906" customFormat="false" ht="12.75" hidden="false" customHeight="true" outlineLevel="0" collapsed="false">
      <c r="A906" s="16" t="n">
        <f aca="false">Report!C1182</f>
        <v>46245</v>
      </c>
      <c r="B906" s="1" t="str">
        <f aca="false">Report!E1182</f>
        <v>ATACADAO S.A.</v>
      </c>
      <c r="C906" s="17" t="n">
        <f aca="false">Report!U1182</f>
        <v>639.52</v>
      </c>
      <c r="D906" s="1" t="str">
        <f aca="false">Report!X1182</f>
        <v>NF 1905835 MILKA</v>
      </c>
    </row>
    <row r="907" customFormat="false" ht="12.75" hidden="false" customHeight="true" outlineLevel="0" collapsed="false">
      <c r="A907" s="16" t="n">
        <f aca="false">Report!C1183</f>
        <v>46245</v>
      </c>
      <c r="B907" s="1" t="str">
        <f aca="false">Report!E1183</f>
        <v>EMPRESA BRASILEIRA DE DISTRIBUICAO LTDA</v>
      </c>
      <c r="C907" s="17" t="n">
        <f aca="false">Report!U1183</f>
        <v>683.04</v>
      </c>
      <c r="D907" s="1" t="str">
        <f aca="false">Report!X1183</f>
        <v>NF 2302521 - DEBORA</v>
      </c>
    </row>
    <row r="908" customFormat="false" ht="12.75" hidden="false" customHeight="true" outlineLevel="0" collapsed="false">
      <c r="A908" s="16" t="n">
        <f aca="false">Report!C1186</f>
        <v>46245</v>
      </c>
      <c r="B908" s="1" t="str">
        <f aca="false">Report!E1186</f>
        <v>NT INDUSTRIA E COMERCIO DE PANIFICACAO L</v>
      </c>
      <c r="C908" s="17" t="n">
        <f aca="false">Report!U1186</f>
        <v>3523.17</v>
      </c>
      <c r="D908" s="1" t="str">
        <f aca="false">Report!X1186</f>
        <v>NF 42217- MILKA</v>
      </c>
    </row>
    <row r="909" customFormat="false" ht="12.75" hidden="false" customHeight="true" outlineLevel="0" collapsed="false">
      <c r="A909" s="16" t="n">
        <f aca="false">Report!C1188</f>
        <v>46245</v>
      </c>
      <c r="B909" s="1" t="str">
        <f aca="false">Report!E1188</f>
        <v>RISADINHA LTDA</v>
      </c>
      <c r="C909" s="17" t="n">
        <f aca="false">Report!U1188</f>
        <v>823.62</v>
      </c>
      <c r="D909" s="1" t="str">
        <f aca="false">Report!X1188</f>
        <v>NF 662479-02 MILKA</v>
      </c>
    </row>
    <row r="910" customFormat="false" ht="12.75" hidden="false" customHeight="true" outlineLevel="0" collapsed="false">
      <c r="A910" s="16" t="n">
        <f aca="false">Report!C1189</f>
        <v>46245</v>
      </c>
      <c r="B910" s="1" t="str">
        <f aca="false">Report!E1189</f>
        <v>TAPAJOS COM DE PERFUMARIA COSMETICOS E G</v>
      </c>
      <c r="C910" s="17" t="n">
        <f aca="false">Report!U1189</f>
        <v>612.71</v>
      </c>
      <c r="D910" s="1" t="str">
        <f aca="false">Report!X1189</f>
        <v>NF 581015 -1 MILKA</v>
      </c>
    </row>
    <row r="911" customFormat="false" ht="12.75" hidden="false" customHeight="true" outlineLevel="0" collapsed="false">
      <c r="A911" s="16" t="n">
        <f aca="false">Report!C1190</f>
        <v>46246</v>
      </c>
      <c r="B911" s="1" t="str">
        <f aca="false">Report!E1190</f>
        <v>ADRIANA DISTRIBUIDORA DE PRODUTOS ALIMEN</v>
      </c>
      <c r="C911" s="17" t="n">
        <f aca="false">Report!U1190</f>
        <v>1420.58</v>
      </c>
      <c r="D911" s="1" t="str">
        <f aca="false">Report!X1190</f>
        <v>NF 886068-2 MILKA</v>
      </c>
    </row>
    <row r="912" customFormat="false" ht="12.75" hidden="false" customHeight="true" outlineLevel="0" collapsed="false">
      <c r="A912" s="16" t="n">
        <f aca="false">Report!C1191</f>
        <v>46246</v>
      </c>
      <c r="B912" s="1" t="str">
        <f aca="false">Report!E1191</f>
        <v>ATACADAO S.A.</v>
      </c>
      <c r="C912" s="17" t="n">
        <f aca="false">Report!U1191</f>
        <v>958.5</v>
      </c>
      <c r="D912" s="1" t="str">
        <f aca="false">Report!X1191</f>
        <v>NF 1906317 - MILKA</v>
      </c>
    </row>
    <row r="913" customFormat="false" ht="12.75" hidden="false" customHeight="true" outlineLevel="0" collapsed="false">
      <c r="A913" s="16" t="n">
        <f aca="false">Report!C1192</f>
        <v>46246</v>
      </c>
      <c r="B913" s="1" t="str">
        <f aca="false">Report!E1192</f>
        <v>BRF S A</v>
      </c>
      <c r="C913" s="17" t="n">
        <f aca="false">Report!U1192</f>
        <v>1798.15</v>
      </c>
      <c r="D913" s="1" t="str">
        <f aca="false">Report!X1192</f>
        <v>NF 1614419-1 DESCONTO NO BOLETO - MILKA</v>
      </c>
    </row>
    <row r="914" customFormat="false" ht="12.75" hidden="false" customHeight="true" outlineLevel="0" collapsed="false">
      <c r="A914" s="16" t="n">
        <f aca="false">Report!C1193</f>
        <v>46246</v>
      </c>
      <c r="B914" s="1" t="str">
        <f aca="false">Report!E1193</f>
        <v>BRF S A</v>
      </c>
      <c r="C914" s="17" t="n">
        <f aca="false">Report!U1193</f>
        <v>447.25</v>
      </c>
      <c r="D914" s="1" t="str">
        <f aca="false">Report!X1193</f>
        <v>NF 1611343-02/02 MILKA</v>
      </c>
    </row>
    <row r="915" customFormat="false" ht="12.75" hidden="false" customHeight="true" outlineLevel="0" collapsed="false">
      <c r="A915" s="16" t="n">
        <f aca="false">Report!C1194</f>
        <v>46246</v>
      </c>
      <c r="B915" s="1" t="str">
        <f aca="false">Report!E1194</f>
        <v>DISTRIBUIDORA LOPES LTDA</v>
      </c>
      <c r="C915" s="17" t="n">
        <f aca="false">Report!U1194</f>
        <v>1790.11</v>
      </c>
      <c r="D915" s="1" t="str">
        <f aca="false">Report!X1194</f>
        <v>NF 1696462 C/DESCONTO NO BOLETO - DEBORA</v>
      </c>
    </row>
    <row r="916" customFormat="false" ht="12.75" hidden="false" customHeight="true" outlineLevel="0" collapsed="false">
      <c r="A916" s="16" t="n">
        <f aca="false">Report!C1195</f>
        <v>46246</v>
      </c>
      <c r="B916" s="1" t="str">
        <f aca="false">Report!E1195</f>
        <v>DUNORTE DISTRIBUIDORA DE PRODUTOS DE CONSUMO LTDA</v>
      </c>
      <c r="C916" s="17" t="n">
        <f aca="false">Report!U1195</f>
        <v>1641.4</v>
      </c>
      <c r="D916" s="1" t="str">
        <f aca="false">Report!X1195</f>
        <v>NF 3223292-1 MILKA</v>
      </c>
    </row>
    <row r="917" customFormat="false" ht="12.75" hidden="false" customHeight="true" outlineLevel="0" collapsed="false">
      <c r="A917" s="16" t="n">
        <f aca="false">Report!C1196</f>
        <v>46246</v>
      </c>
      <c r="B917" s="1" t="str">
        <f aca="false">Report!E1196</f>
        <v>FUNNY PET DISTRIBUIDORA DE ALIMENTOS PAR</v>
      </c>
      <c r="C917" s="17" t="n">
        <f aca="false">Report!U1196</f>
        <v>3458.9</v>
      </c>
      <c r="D917" s="1" t="str">
        <f aca="false">Report!X1196</f>
        <v>NF 21188 -1 MILKA</v>
      </c>
    </row>
    <row r="918" customFormat="false" ht="12.75" hidden="false" customHeight="true" outlineLevel="0" collapsed="false">
      <c r="A918" s="16" t="n">
        <f aca="false">Report!C1197</f>
        <v>46246</v>
      </c>
      <c r="B918" s="1" t="str">
        <f aca="false">Report!E1197</f>
        <v>FUNNY PET DISTRIBUIDORA DE ALIMENTOS PAR</v>
      </c>
      <c r="C918" s="17" t="n">
        <f aca="false">Report!U1197</f>
        <v>8427.07</v>
      </c>
      <c r="D918" s="1" t="str">
        <f aca="false">Report!X1197</f>
        <v>NF 20498-2 MILKA</v>
      </c>
    </row>
    <row r="919" customFormat="false" ht="12.75" hidden="false" customHeight="true" outlineLevel="0" collapsed="false">
      <c r="A919" s="16" t="n">
        <f aca="false">Report!C1198</f>
        <v>46246</v>
      </c>
      <c r="B919" s="1" t="str">
        <f aca="false">Report!E1198</f>
        <v>OPPORTUNITY ALIMENTOS PARA ANIMAIS LTDA</v>
      </c>
      <c r="C919" s="17" t="n">
        <f aca="false">Report!U1198</f>
        <v>807.05</v>
      </c>
      <c r="D919" s="1" t="str">
        <f aca="false">Report!X1198</f>
        <v>NF 34737-1 MILKA</v>
      </c>
    </row>
    <row r="920" customFormat="false" ht="12.75" hidden="false" customHeight="true" outlineLevel="0" collapsed="false">
      <c r="A920" s="16" t="n">
        <f aca="false">Report!C1199</f>
        <v>46246</v>
      </c>
      <c r="B920" s="1" t="str">
        <f aca="false">Report!E1199</f>
        <v>ORIENTE COM. ATACADISTA E REPRES. LTDA</v>
      </c>
      <c r="C920" s="17" t="n">
        <f aca="false">Report!U1199</f>
        <v>2195.6</v>
      </c>
      <c r="D920" s="1" t="str">
        <f aca="false">Report!X1199</f>
        <v>3344/2  NF2785 - MILKA</v>
      </c>
    </row>
    <row r="921" customFormat="false" ht="12.75" hidden="false" customHeight="true" outlineLevel="0" collapsed="false">
      <c r="A921" s="16" t="n">
        <f aca="false">Report!C1200</f>
        <v>46246</v>
      </c>
      <c r="B921" s="1" t="str">
        <f aca="false">Report!E1200</f>
        <v>RISADINHA LTDA</v>
      </c>
      <c r="C921" s="17" t="n">
        <f aca="false">Report!U1200</f>
        <v>853.9</v>
      </c>
      <c r="D921" s="1" t="str">
        <f aca="false">Report!X1200</f>
        <v>NF 665164 -1 MILKA</v>
      </c>
    </row>
    <row r="922" customFormat="false" ht="12.75" hidden="false" customHeight="true" outlineLevel="0" collapsed="false">
      <c r="A922" s="16" t="n">
        <f aca="false">Report!C1201</f>
        <v>46246</v>
      </c>
      <c r="B922" s="1" t="str">
        <f aca="false">Report!E1201</f>
        <v>SMV COMERCIO DE PRODUTOS ALIMENTICIOS LT</v>
      </c>
      <c r="C922" s="17" t="n">
        <f aca="false">Report!U1201</f>
        <v>548.94</v>
      </c>
      <c r="D922" s="1" t="str">
        <f aca="false">Report!X1201</f>
        <v>7226-1/2  NF6933 - MILKA</v>
      </c>
    </row>
    <row r="923" customFormat="false" ht="12.75" hidden="false" customHeight="true" outlineLevel="0" collapsed="false">
      <c r="A923" s="16" t="n">
        <f aca="false">Report!C1202</f>
        <v>46246</v>
      </c>
      <c r="B923" s="1" t="str">
        <f aca="false">Report!E1202</f>
        <v>TAPAJOS COM DE PERFUMARIA COSMETICOS E G</v>
      </c>
      <c r="C923" s="17" t="n">
        <f aca="false">Report!U1202</f>
        <v>1473.38</v>
      </c>
      <c r="D923" s="1" t="str">
        <f aca="false">Report!X1202</f>
        <v>NF 581288 - COM TAXA - DEBORA</v>
      </c>
    </row>
    <row r="924" customFormat="false" ht="12.75" hidden="false" customHeight="true" outlineLevel="0" collapsed="false">
      <c r="A924" s="16" t="n">
        <f aca="false">Report!C1203</f>
        <v>46246</v>
      </c>
      <c r="B924" s="1" t="str">
        <f aca="false">Report!E1203</f>
        <v>TRES CORACOES ALIMENTOS S.A.</v>
      </c>
      <c r="C924" s="17" t="n">
        <f aca="false">Report!U1203</f>
        <v>2063.42</v>
      </c>
      <c r="D924" s="1" t="str">
        <f aca="false">Report!X1203</f>
        <v>NF353326-02 MILKA</v>
      </c>
    </row>
    <row r="925" customFormat="false" ht="12.75" hidden="false" customHeight="true" outlineLevel="0" collapsed="false">
      <c r="A925" s="16" t="n">
        <f aca="false">Report!C1205</f>
        <v>46247</v>
      </c>
      <c r="B925" s="1" t="str">
        <f aca="false">Report!E1205</f>
        <v>AMERICANA DISTRIBUIDORA DE BEBIDAS E MERCADORIAS LTDA</v>
      </c>
      <c r="C925" s="17" t="n">
        <f aca="false">Report!U1205</f>
        <v>3261.6</v>
      </c>
      <c r="D925" s="1" t="str">
        <f aca="false">Report!X1205</f>
        <v>NF 79231 BALY C/ NF(79232) DE BONIFICACAO - MILKA</v>
      </c>
    </row>
    <row r="926" customFormat="false" ht="12.75" hidden="false" customHeight="true" outlineLevel="0" collapsed="false">
      <c r="A926" s="16" t="n">
        <f aca="false">Report!C1206</f>
        <v>46247</v>
      </c>
      <c r="B926" s="1" t="str">
        <f aca="false">Report!E1206</f>
        <v>ATACADAO S.A.</v>
      </c>
      <c r="C926" s="17" t="n">
        <f aca="false">Report!U1206</f>
        <v>1009.05</v>
      </c>
      <c r="D926" s="1" t="str">
        <f aca="false">Report!X1206</f>
        <v>NF 1910465 - MILKA</v>
      </c>
    </row>
    <row r="927" customFormat="false" ht="12.75" hidden="false" customHeight="true" outlineLevel="0" collapsed="false">
      <c r="A927" s="16" t="n">
        <f aca="false">Report!C1208</f>
        <v>46247</v>
      </c>
      <c r="B927" s="1" t="str">
        <f aca="false">Report!E1208</f>
        <v>BRASIL NORTE BEBIDAS S/A</v>
      </c>
      <c r="C927" s="17" t="n">
        <f aca="false">Report!U1208</f>
        <v>7097.53</v>
      </c>
      <c r="D927" s="1" t="str">
        <f aca="false">Report!X1208</f>
        <v>NF 1959703 COCA - MILKA</v>
      </c>
    </row>
    <row r="928" customFormat="false" ht="12.75" hidden="false" customHeight="true" outlineLevel="0" collapsed="false">
      <c r="A928" s="16" t="n">
        <f aca="false">Report!C1209</f>
        <v>46247</v>
      </c>
      <c r="B928" s="1" t="str">
        <f aca="false">Report!E1209</f>
        <v>BRASIL NORTE BEBIDAS S/A</v>
      </c>
      <c r="C928" s="17" t="n">
        <f aca="false">Report!U1209</f>
        <v>291.66</v>
      </c>
      <c r="D928" s="1" t="str">
        <f aca="false">Report!X1209</f>
        <v>NF 1224519 COCA - MILKA</v>
      </c>
    </row>
    <row r="929" customFormat="false" ht="12.75" hidden="false" customHeight="true" outlineLevel="0" collapsed="false">
      <c r="A929" s="16" t="n">
        <f aca="false">Report!C1210</f>
        <v>46247</v>
      </c>
      <c r="B929" s="1" t="str">
        <f aca="false">Report!E1210</f>
        <v>BRASIL NORTE BEBIDAS S/A</v>
      </c>
      <c r="C929" s="17" t="n">
        <f aca="false">Report!U1210</f>
        <v>2841.78</v>
      </c>
      <c r="D929" s="1" t="str">
        <f aca="false">Report!X1210</f>
        <v>NF 1225932 COCA - MILKA</v>
      </c>
    </row>
    <row r="930" customFormat="false" ht="12.75" hidden="false" customHeight="true" outlineLevel="0" collapsed="false">
      <c r="A930" s="16" t="n">
        <f aca="false">Report!C1211</f>
        <v>46247</v>
      </c>
      <c r="B930" s="1" t="str">
        <f aca="false">Report!E1211</f>
        <v>CB COMERCIO E DISTRIBUIDORA DE ALIMENTOS</v>
      </c>
      <c r="C930" s="17" t="n">
        <f aca="false">Report!U1211</f>
        <v>748.69</v>
      </c>
      <c r="D930" s="1" t="str">
        <f aca="false">Report!X1211</f>
        <v>952611-C/C  NF854275 - MILKA</v>
      </c>
    </row>
    <row r="931" customFormat="false" ht="12.75" hidden="false" customHeight="true" outlineLevel="0" collapsed="false">
      <c r="A931" s="16" t="n">
        <f aca="false">Report!C1213</f>
        <v>46247</v>
      </c>
      <c r="B931" s="1" t="str">
        <f aca="false">Report!E1213</f>
        <v>DISTRIBUIDORA PRIME LTDA</v>
      </c>
      <c r="C931" s="17" t="n">
        <f aca="false">Report!U1213</f>
        <v>774.49</v>
      </c>
      <c r="D931" s="1" t="str">
        <f aca="false">Report!X1213</f>
        <v>NF 134703-1 MILKA</v>
      </c>
    </row>
    <row r="932" customFormat="false" ht="12.75" hidden="false" customHeight="true" outlineLevel="0" collapsed="false">
      <c r="A932" s="16" t="n">
        <f aca="false">Report!C1214</f>
        <v>46247</v>
      </c>
      <c r="B932" s="1" t="str">
        <f aca="false">Report!E1214</f>
        <v>DURAES DISTRIBUIDORA DE ESTIVAS LTDA</v>
      </c>
      <c r="C932" s="17" t="n">
        <f aca="false">Report!U1214</f>
        <v>434.06</v>
      </c>
      <c r="D932" s="1" t="str">
        <f aca="false">Report!X1214</f>
        <v>NF 651362 - DEBORA</v>
      </c>
    </row>
    <row r="933" customFormat="false" ht="12.75" hidden="false" customHeight="true" outlineLevel="0" collapsed="false">
      <c r="A933" s="16" t="n">
        <f aca="false">Report!C1215</f>
        <v>46247</v>
      </c>
      <c r="B933" s="1" t="str">
        <f aca="false">Report!E1215</f>
        <v>DURAES DISTRIBUIDORA DE ESTIVAS LTDA</v>
      </c>
      <c r="C933" s="17" t="n">
        <f aca="false">Report!U1215</f>
        <v>605.93</v>
      </c>
      <c r="D933" s="1" t="str">
        <f aca="false">Report!X1215</f>
        <v>NF 651360 -2 DEBORA</v>
      </c>
    </row>
    <row r="934" customFormat="false" ht="12.75" hidden="false" customHeight="true" outlineLevel="0" collapsed="false">
      <c r="A934" s="16" t="n">
        <f aca="false">Report!C1216</f>
        <v>46247</v>
      </c>
      <c r="B934" s="1" t="str">
        <f aca="false">Report!E1216</f>
        <v>EDMARA COMERCIO DE HIGIENE PESSOAL LTDA</v>
      </c>
      <c r="C934" s="17" t="n">
        <f aca="false">Report!U1216</f>
        <v>2621.74</v>
      </c>
      <c r="D934" s="1" t="str">
        <f aca="false">Report!X1216</f>
        <v>5431-B/D  NF8403 - MILKA</v>
      </c>
    </row>
    <row r="935" customFormat="false" ht="12.75" hidden="false" customHeight="true" outlineLevel="0" collapsed="false">
      <c r="A935" s="16" t="n">
        <f aca="false">Report!C1217</f>
        <v>46247</v>
      </c>
      <c r="B935" s="1" t="str">
        <f aca="false">Report!E1217</f>
        <v>FENNIX BRASIL DISTRIBUIDORA DE PRODUTOS</v>
      </c>
      <c r="C935" s="17" t="n">
        <f aca="false">Report!U1217</f>
        <v>907.88</v>
      </c>
      <c r="D935" s="1" t="str">
        <f aca="false">Report!X1217</f>
        <v>NF 314382 - COM TARIFA - DEBORA</v>
      </c>
    </row>
    <row r="936" customFormat="false" ht="12.75" hidden="false" customHeight="true" outlineLevel="0" collapsed="false">
      <c r="A936" s="16" t="n">
        <f aca="false">Report!C1218</f>
        <v>46247</v>
      </c>
      <c r="B936" s="1" t="str">
        <f aca="false">Report!E1218</f>
        <v>G P FERESIN LTDA</v>
      </c>
      <c r="C936" s="17" t="n">
        <f aca="false">Report!U1218</f>
        <v>518.41</v>
      </c>
      <c r="D936" s="1" t="str">
        <f aca="false">Report!X1218</f>
        <v>NF 19144 RACAO MO1 - KEILA</v>
      </c>
    </row>
    <row r="937" customFormat="false" ht="12.75" hidden="false" customHeight="true" outlineLevel="0" collapsed="false">
      <c r="A937" s="16" t="n">
        <f aca="false">Report!C1219</f>
        <v>46247</v>
      </c>
      <c r="B937" s="1" t="str">
        <f aca="false">Report!E1219</f>
        <v>MARQUES &amp; MELO LTDA - FILIAL</v>
      </c>
      <c r="C937" s="17" t="n">
        <f aca="false">Report!U1219</f>
        <v>1181.96</v>
      </c>
      <c r="D937" s="1" t="str">
        <f aca="false">Report!X1219</f>
        <v>NF 502189 -02 DISMELO -  MILKA</v>
      </c>
    </row>
    <row r="938" customFormat="false" ht="12.75" hidden="false" customHeight="true" outlineLevel="0" collapsed="false">
      <c r="A938" s="16" t="n">
        <f aca="false">Report!C1220</f>
        <v>46247</v>
      </c>
      <c r="B938" s="1" t="str">
        <f aca="false">Report!E1220</f>
        <v>MARTINS COM SERV DISTR SA</v>
      </c>
      <c r="C938" s="17" t="n">
        <f aca="false">Report!U1220</f>
        <v>955.52</v>
      </c>
      <c r="D938" s="1" t="str">
        <f aca="false">Report!X1220</f>
        <v>NF1784397 / NF1784398 C/TARIFA INCLUSA - MILKA</v>
      </c>
    </row>
    <row r="939" customFormat="false" ht="12.75" hidden="false" customHeight="true" outlineLevel="0" collapsed="false">
      <c r="A939" s="16" t="n">
        <f aca="false">Report!C1222</f>
        <v>46247</v>
      </c>
      <c r="B939" s="1" t="str">
        <f aca="false">Report!E1222</f>
        <v>NESTLÉ BRASIL LTDA.</v>
      </c>
      <c r="C939" s="17" t="n">
        <f aca="false">Report!U1222</f>
        <v>637.5</v>
      </c>
      <c r="D939" s="1" t="str">
        <f aca="false">Report!X1222</f>
        <v>NF 1431398 - MILKA</v>
      </c>
    </row>
    <row r="940" customFormat="false" ht="12.75" hidden="false" customHeight="true" outlineLevel="0" collapsed="false">
      <c r="A940" s="16" t="n">
        <f aca="false">Report!C1223</f>
        <v>46247</v>
      </c>
      <c r="B940" s="1" t="str">
        <f aca="false">Report!E1223</f>
        <v>NESTLÉ BRASIL LTDA.</v>
      </c>
      <c r="C940" s="17" t="n">
        <f aca="false">Report!U1223</f>
        <v>1721.47</v>
      </c>
      <c r="D940" s="1" t="str">
        <f aca="false">Report!X1223</f>
        <v>NF 1431708-03/03 MILKA</v>
      </c>
    </row>
    <row r="941" customFormat="false" ht="12.75" hidden="false" customHeight="true" outlineLevel="0" collapsed="false">
      <c r="A941" s="16" t="n">
        <f aca="false">Report!C1224</f>
        <v>46247</v>
      </c>
      <c r="B941" s="1" t="str">
        <f aca="false">Report!E1224</f>
        <v>OCIDENTAL COMERCIO DE FRIOS LTDA</v>
      </c>
      <c r="C941" s="17" t="n">
        <f aca="false">Report!U1224</f>
        <v>762.96</v>
      </c>
      <c r="D941" s="1" t="str">
        <f aca="false">Report!X1224</f>
        <v>NF 1250798 - MILKA</v>
      </c>
    </row>
    <row r="942" customFormat="false" ht="12.75" hidden="false" customHeight="true" outlineLevel="0" collapsed="false">
      <c r="A942" s="16" t="n">
        <f aca="false">Report!C1225</f>
        <v>46247</v>
      </c>
      <c r="B942" s="1" t="str">
        <f aca="false">Report!E1225</f>
        <v>OCIDENTAL COMERCIO DE FRIOS LTDA</v>
      </c>
      <c r="C942" s="17" t="n">
        <f aca="false">Report!U1225</f>
        <v>662.72</v>
      </c>
      <c r="D942" s="1" t="str">
        <f aca="false">Report!X1225</f>
        <v>NF 1248470-02 MILKA</v>
      </c>
    </row>
    <row r="943" customFormat="false" ht="12.75" hidden="false" customHeight="true" outlineLevel="0" collapsed="false">
      <c r="A943" s="16" t="n">
        <f aca="false">Report!C1227</f>
        <v>46247</v>
      </c>
      <c r="B943" s="1" t="str">
        <f aca="false">Report!E1227</f>
        <v>SB COMERCIO LTDA</v>
      </c>
      <c r="C943" s="17" t="n">
        <f aca="false">Report!U1227</f>
        <v>1129.22</v>
      </c>
      <c r="D943" s="1" t="str">
        <f aca="false">Report!X1227</f>
        <v>NF 1964147-1 MILKA</v>
      </c>
    </row>
    <row r="944" customFormat="false" ht="12.75" hidden="false" customHeight="true" outlineLevel="0" collapsed="false">
      <c r="A944" s="16" t="n">
        <f aca="false">Report!C1229</f>
        <v>46248</v>
      </c>
      <c r="B944" s="1" t="str">
        <f aca="false">Report!E1229</f>
        <v>BRF S A</v>
      </c>
      <c r="C944" s="17" t="n">
        <f aca="false">Report!U1229</f>
        <v>676.2</v>
      </c>
      <c r="D944" s="1" t="str">
        <f aca="false">Report!X1229</f>
        <v>NF 1611963 -02/02  MILKA</v>
      </c>
    </row>
    <row r="945" customFormat="false" ht="12.75" hidden="false" customHeight="true" outlineLevel="0" collapsed="false">
      <c r="A945" s="16" t="n">
        <f aca="false">Report!C1230</f>
        <v>46248</v>
      </c>
      <c r="B945" s="1" t="str">
        <f aca="false">Report!E1230</f>
        <v>DISTRIBUIDORA LOPES LTDA</v>
      </c>
      <c r="C945" s="17" t="n">
        <f aca="false">Report!U1230</f>
        <v>2010.78</v>
      </c>
      <c r="D945" s="1" t="str">
        <f aca="false">Report!X1230</f>
        <v>NF 1698036 C/ DESC. NO BOLETO - MILKA</v>
      </c>
    </row>
    <row r="946" customFormat="false" ht="12.75" hidden="false" customHeight="true" outlineLevel="0" collapsed="false">
      <c r="A946" s="16" t="n">
        <f aca="false">Report!C1231</f>
        <v>46248</v>
      </c>
      <c r="B946" s="1" t="str">
        <f aca="false">Report!E1231</f>
        <v>EDMARA COMERCIO DE HIGIENE PESSOAL LTDA</v>
      </c>
      <c r="C946" s="17" t="n">
        <f aca="false">Report!U1231</f>
        <v>523.66</v>
      </c>
      <c r="D946" s="1" t="str">
        <f aca="false">Report!X1231</f>
        <v>5350-C/C  NF8364 - MILKA</v>
      </c>
    </row>
    <row r="947" customFormat="false" ht="12.75" hidden="false" customHeight="true" outlineLevel="0" collapsed="false">
      <c r="A947" s="16" t="n">
        <f aca="false">Report!C1232</f>
        <v>46248</v>
      </c>
      <c r="B947" s="1" t="str">
        <f aca="false">Report!E1232</f>
        <v>IRMÃOS LIMA  ATACADO  DE ALIMENTOS LTDA</v>
      </c>
      <c r="C947" s="17" t="n">
        <f aca="false">Report!U1232</f>
        <v>925.97</v>
      </c>
      <c r="D947" s="1" t="str">
        <f aca="false">Report!X1232</f>
        <v>377101 -B/C  NF296100 - MILKA</v>
      </c>
    </row>
    <row r="948" customFormat="false" ht="12.75" hidden="false" customHeight="true" outlineLevel="0" collapsed="false">
      <c r="A948" s="16" t="n">
        <f aca="false">Report!C1233</f>
        <v>46248</v>
      </c>
      <c r="B948" s="1" t="str">
        <f aca="false">Report!E1233</f>
        <v>J G COMERCIO DE PRODUTOS ALIMENTICIOS LTDA</v>
      </c>
      <c r="C948" s="17" t="n">
        <f aca="false">Report!U1233</f>
        <v>1143.83</v>
      </c>
      <c r="D948" s="1" t="str">
        <f aca="false">Report!X1233</f>
        <v>459602-A/B  NF395526 - MILKA</v>
      </c>
    </row>
    <row r="949" customFormat="false" ht="12.75" hidden="false" customHeight="true" outlineLevel="0" collapsed="false">
      <c r="A949" s="16" t="n">
        <f aca="false">Report!C1234</f>
        <v>46248</v>
      </c>
      <c r="B949" s="1" t="str">
        <f aca="false">Report!E1234</f>
        <v>J. S. MOREIRA ALVES LTDA</v>
      </c>
      <c r="C949" s="17" t="n">
        <f aca="false">Report!U1234</f>
        <v>555</v>
      </c>
      <c r="D949" s="1" t="str">
        <f aca="false">Report!X1234</f>
        <v>NF 2736 MESA FARTA - MILKA</v>
      </c>
    </row>
    <row r="950" customFormat="false" ht="12.75" hidden="false" customHeight="true" outlineLevel="0" collapsed="false">
      <c r="A950" s="16" t="n">
        <f aca="false">Report!C1235</f>
        <v>46248</v>
      </c>
      <c r="B950" s="1" t="str">
        <f aca="false">Report!E1235</f>
        <v>NT INDUSTRIA E COMERCIO DE PANIFICACAO L</v>
      </c>
      <c r="C950" s="17" t="n">
        <f aca="false">Report!U1235</f>
        <v>4614.83</v>
      </c>
      <c r="D950" s="1" t="str">
        <f aca="false">Report!X1235</f>
        <v>NF 42703 - MILKA</v>
      </c>
    </row>
    <row r="951" customFormat="false" ht="12.75" hidden="false" customHeight="true" outlineLevel="0" collapsed="false">
      <c r="A951" s="16" t="n">
        <f aca="false">Report!C1236</f>
        <v>46248</v>
      </c>
      <c r="B951" s="1" t="str">
        <f aca="false">Report!E1236</f>
        <v>PIARARA COMERCIO, IMPORTACAO E EXPORTACAO LTDA</v>
      </c>
      <c r="C951" s="17" t="n">
        <f aca="false">Report!U1236</f>
        <v>868.36</v>
      </c>
      <c r="D951" s="1" t="str">
        <f aca="false">Report!X1236</f>
        <v>NF 194785 - DEBORA</v>
      </c>
    </row>
    <row r="952" customFormat="false" ht="12.75" hidden="false" customHeight="true" outlineLevel="0" collapsed="false">
      <c r="A952" s="16" t="n">
        <f aca="false">Report!C1237</f>
        <v>46248</v>
      </c>
      <c r="B952" s="1" t="str">
        <f aca="false">Report!E1237</f>
        <v>PRIME PET DISTRIBUIDORA LTDA</v>
      </c>
      <c r="C952" s="17" t="n">
        <f aca="false">Report!U1237</f>
        <v>1849.57</v>
      </c>
      <c r="D952" s="1" t="str">
        <f aca="false">Report!X1237</f>
        <v>NF 11002-03/07 MILKA </v>
      </c>
    </row>
    <row r="953" customFormat="false" ht="12.75" hidden="false" customHeight="true" outlineLevel="0" collapsed="false">
      <c r="A953" s="16" t="n">
        <f aca="false">Report!C1238</f>
        <v>46248</v>
      </c>
      <c r="B953" s="1" t="str">
        <f aca="false">Report!E1238</f>
        <v>SB COMERCIO LTDA</v>
      </c>
      <c r="C953" s="17" t="n">
        <f aca="false">Report!U1238</f>
        <v>945.12</v>
      </c>
      <c r="D953" s="1" t="str">
        <f aca="false">Report!X1238</f>
        <v>NF 1964247 - MILKA</v>
      </c>
    </row>
    <row r="954" customFormat="false" ht="12.75" hidden="false" customHeight="true" outlineLevel="0" collapsed="false">
      <c r="A954" s="16" t="n">
        <f aca="false">Report!C1239</f>
        <v>46248</v>
      </c>
      <c r="B954" s="1" t="str">
        <f aca="false">Report!E1239</f>
        <v>SOUZA CRUZ LTDA.</v>
      </c>
      <c r="C954" s="17" t="n">
        <f aca="false">Report!U1239</f>
        <v>7866.8</v>
      </c>
      <c r="D954" s="1" t="str">
        <f aca="false">Report!X1239</f>
        <v>NF 568312-3 MILKA</v>
      </c>
    </row>
    <row r="955" customFormat="false" ht="12.75" hidden="false" customHeight="true" outlineLevel="0" collapsed="false">
      <c r="A955" s="16" t="n">
        <f aca="false">Report!C1240</f>
        <v>46249</v>
      </c>
      <c r="B955" s="1" t="str">
        <f aca="false">Report!E1240</f>
        <v>FUNNY PET DISTRIBUIDORA DE ALIMENTOS PAR</v>
      </c>
      <c r="C955" s="17" t="n">
        <f aca="false">Report!U1240</f>
        <v>1475.42</v>
      </c>
      <c r="D955" s="1" t="str">
        <f aca="false">Report!X1240</f>
        <v>NF 21048-2 MILKA</v>
      </c>
    </row>
    <row r="956" customFormat="false" ht="12.75" hidden="false" customHeight="true" outlineLevel="0" collapsed="false">
      <c r="A956" s="16" t="n">
        <f aca="false">Report!C1242</f>
        <v>46249</v>
      </c>
      <c r="B956" s="1" t="str">
        <f aca="false">Report!E1242</f>
        <v>MARE DISTRIBUIDORA DE BEBIDAS E DE PRODUTOS ALIMENTICIOS LTDA</v>
      </c>
      <c r="C956" s="17" t="n">
        <f aca="false">Report!U1242</f>
        <v>2781.8</v>
      </c>
      <c r="D956" s="1" t="str">
        <f aca="false">Report!X1242</f>
        <v>NF 1408028 MAGISTRAL - MILKA</v>
      </c>
    </row>
    <row r="957" customFormat="false" ht="12.75" hidden="false" customHeight="true" outlineLevel="0" collapsed="false">
      <c r="A957" s="16" t="n">
        <f aca="false">Report!C1247</f>
        <v>46249</v>
      </c>
      <c r="B957" s="1" t="str">
        <f aca="false">Report!E1247</f>
        <v>PRIME PET DISTRIBUIDORA LTDA</v>
      </c>
      <c r="C957" s="17" t="n">
        <f aca="false">Report!U1247</f>
        <v>1488.41</v>
      </c>
      <c r="D957" s="1" t="str">
        <f aca="false">Report!X1247</f>
        <v>NF 10262 -09/09 MILKA</v>
      </c>
    </row>
    <row r="958" customFormat="false" ht="12.75" hidden="false" customHeight="true" outlineLevel="0" collapsed="false">
      <c r="A958" s="16" t="n">
        <f aca="false">Report!C1248</f>
        <v>46250</v>
      </c>
      <c r="B958" s="1" t="str">
        <f aca="false">Report!E1248</f>
        <v>MARTINS COM SERV DISTR SA</v>
      </c>
      <c r="C958" s="17" t="n">
        <f aca="false">Report!U1248</f>
        <v>3224.65</v>
      </c>
      <c r="D958" s="1" t="str">
        <f aca="false">Report!X1248</f>
        <v>NF 1773396/ NF 1773397 -03 MILKA</v>
      </c>
    </row>
    <row r="959" customFormat="false" ht="12.75" hidden="false" customHeight="true" outlineLevel="0" collapsed="false">
      <c r="A959" s="16" t="n">
        <f aca="false">Report!C1249</f>
        <v>46250</v>
      </c>
      <c r="B959" s="1" t="str">
        <f aca="false">Report!E1249</f>
        <v>OPPORTUNITY ALIMENTOS PARA ANIMAIS LTDA</v>
      </c>
      <c r="C959" s="17" t="n">
        <f aca="false">Report!U1249</f>
        <v>562.94</v>
      </c>
      <c r="D959" s="1" t="str">
        <f aca="false">Report!X1249</f>
        <v>NF 34780 - DEBORA</v>
      </c>
    </row>
    <row r="960" customFormat="false" ht="12.75" hidden="false" customHeight="true" outlineLevel="0" collapsed="false">
      <c r="A960" s="16" t="n">
        <f aca="false">Report!C1250</f>
        <v>46251</v>
      </c>
      <c r="B960" s="1" t="str">
        <f aca="false">Report!E1250</f>
        <v>FH DISTRIBUIDORA DE ALIM. E BEBIDAS LTDA</v>
      </c>
      <c r="C960" s="17" t="n">
        <f aca="false">Report!U1250</f>
        <v>810.35</v>
      </c>
      <c r="D960" s="1" t="str">
        <f aca="false">Report!X1250</f>
        <v>NF 329028-1 MILKA</v>
      </c>
    </row>
    <row r="961" customFormat="false" ht="12.75" hidden="false" customHeight="true" outlineLevel="0" collapsed="false">
      <c r="A961" s="16" t="n">
        <f aca="false">Report!C1251</f>
        <v>46251</v>
      </c>
      <c r="B961" s="1" t="str">
        <f aca="false">Report!E1251</f>
        <v>L S M COMERCIO DE ALIMENTOS E NAVEGACAO</v>
      </c>
      <c r="C961" s="17" t="n">
        <f aca="false">Report!U1251</f>
        <v>1633.1</v>
      </c>
      <c r="D961" s="1" t="str">
        <f aca="false">Report!X1251</f>
        <v>NF 309642-1 MILKA</v>
      </c>
    </row>
    <row r="962" customFormat="false" ht="12.75" hidden="false" customHeight="true" outlineLevel="0" collapsed="false">
      <c r="A962" s="16" t="n">
        <f aca="false">Report!C1252</f>
        <v>46251</v>
      </c>
      <c r="B962" s="1" t="str">
        <f aca="false">Report!E1252</f>
        <v>L S M COMERCIO DE ALIMENTOS E NAVEGACAO</v>
      </c>
      <c r="C962" s="17" t="n">
        <f aca="false">Report!U1252</f>
        <v>403.5</v>
      </c>
      <c r="D962" s="1" t="str">
        <f aca="false">Report!X1252</f>
        <v>NF 309757-1 MILKA</v>
      </c>
    </row>
    <row r="963" customFormat="false" ht="12.75" hidden="false" customHeight="true" outlineLevel="0" collapsed="false">
      <c r="A963" s="16" t="n">
        <f aca="false">Report!C1253</f>
        <v>46251</v>
      </c>
      <c r="B963" s="1" t="str">
        <f aca="false">Report!E1253</f>
        <v>NJF INDUSTRIA E COMERCIO LTDA</v>
      </c>
      <c r="C963" s="17" t="n">
        <f aca="false">Report!U1253</f>
        <v>1164.5</v>
      </c>
      <c r="D963" s="1" t="str">
        <f aca="false">Report!X1253</f>
        <v>NF 85346 -2 MILKA</v>
      </c>
    </row>
    <row r="964" customFormat="false" ht="12.75" hidden="false" customHeight="true" outlineLevel="0" collapsed="false">
      <c r="A964" s="16" t="n">
        <f aca="false">Report!C1254</f>
        <v>46251</v>
      </c>
      <c r="B964" s="1" t="str">
        <f aca="false">Report!E1254</f>
        <v>OCIDENTAL COMERCIO DE FRIOS LTDA</v>
      </c>
      <c r="C964" s="17" t="n">
        <f aca="false">Report!U1254</f>
        <v>2044.89</v>
      </c>
      <c r="D964" s="1" t="str">
        <f aca="false">Report!X1254</f>
        <v>NF 1249231-3/3 MILKA</v>
      </c>
    </row>
    <row r="965" customFormat="false" ht="12.75" hidden="false" customHeight="true" outlineLevel="0" collapsed="false">
      <c r="A965" s="16" t="n">
        <f aca="false">Report!C1255</f>
        <v>46251</v>
      </c>
      <c r="B965" s="1" t="str">
        <f aca="false">Report!E1255</f>
        <v>OPPORTUNITY ALIMENTOS PARA ANIMAIS LTDA</v>
      </c>
      <c r="C965" s="17" t="n">
        <f aca="false">Report!U1255</f>
        <v>2006</v>
      </c>
      <c r="D965" s="1" t="str">
        <f aca="false">Report!X1255</f>
        <v>NF 34663-1 MILKA</v>
      </c>
    </row>
    <row r="966" customFormat="false" ht="12.75" hidden="false" customHeight="true" outlineLevel="0" collapsed="false">
      <c r="A966" s="16" t="n">
        <f aca="false">Report!C1256</f>
        <v>46251</v>
      </c>
      <c r="B966" s="1" t="str">
        <f aca="false">Report!E1256</f>
        <v>PRIME PET DISTRIBUIDORA LTDA</v>
      </c>
      <c r="C966" s="17" t="n">
        <f aca="false">Report!U1256</f>
        <v>911.85</v>
      </c>
      <c r="D966" s="1" t="str">
        <f aca="false">Report!X1256</f>
        <v>NF 11134 -01/06  MILKA</v>
      </c>
    </row>
    <row r="967" customFormat="false" ht="12.75" hidden="false" customHeight="true" outlineLevel="0" collapsed="false">
      <c r="A967" s="16" t="n">
        <f aca="false">Report!C1258</f>
        <v>46252</v>
      </c>
      <c r="B967" s="1" t="str">
        <f aca="false">Report!E1258</f>
        <v>ATACADAO S.A.</v>
      </c>
      <c r="C967" s="17" t="n">
        <f aca="false">Report!U1258</f>
        <v>479.64</v>
      </c>
      <c r="D967" s="1" t="str">
        <f aca="false">Report!X1258</f>
        <v>NF 1905836 - MILKA</v>
      </c>
    </row>
    <row r="968" customFormat="false" ht="12.75" hidden="false" customHeight="true" outlineLevel="0" collapsed="false">
      <c r="A968" s="16" t="n">
        <f aca="false">Report!C1259</f>
        <v>46252</v>
      </c>
      <c r="B968" s="1" t="str">
        <f aca="false">Report!E1259</f>
        <v>BRASIL NORTE BEBIDAS S/A</v>
      </c>
      <c r="C968" s="17" t="n">
        <f aca="false">Report!U1259</f>
        <v>4547.54</v>
      </c>
      <c r="D968" s="1" t="str">
        <f aca="false">Report!X1259</f>
        <v>NF 1966628 COCA - MILKA</v>
      </c>
    </row>
    <row r="969" customFormat="false" ht="12.75" hidden="false" customHeight="true" outlineLevel="0" collapsed="false">
      <c r="A969" s="16" t="n">
        <f aca="false">Report!C1260</f>
        <v>46252</v>
      </c>
      <c r="B969" s="1" t="str">
        <f aca="false">Report!E1260</f>
        <v>BRASIL NORTE BEBIDAS S/A</v>
      </c>
      <c r="C969" s="17" t="n">
        <f aca="false">Report!U1260</f>
        <v>1736.36</v>
      </c>
      <c r="D969" s="1" t="str">
        <f aca="false">Report!X1260</f>
        <v>NF 1230481 COCA C/TARIFA INCLUSA - MILKA</v>
      </c>
    </row>
    <row r="970" customFormat="false" ht="12.75" hidden="false" customHeight="true" outlineLevel="0" collapsed="false">
      <c r="A970" s="16" t="n">
        <f aca="false">Report!C1261</f>
        <v>46252</v>
      </c>
      <c r="B970" s="1" t="str">
        <f aca="false">Report!E1261</f>
        <v>DISTRIBUIDORA LOPES LTDA</v>
      </c>
      <c r="C970" s="17" t="n">
        <f aca="false">Report!U1261</f>
        <v>1610.06</v>
      </c>
      <c r="D970" s="1" t="str">
        <f aca="false">Report!X1261</f>
        <v>NF 1696209 C/ DESCONTO NO BOLETO  - MILKA</v>
      </c>
    </row>
    <row r="971" customFormat="false" ht="12.75" hidden="false" customHeight="true" outlineLevel="0" collapsed="false">
      <c r="A971" s="16" t="n">
        <f aca="false">Report!C1262</f>
        <v>46252</v>
      </c>
      <c r="B971" s="1" t="str">
        <f aca="false">Report!E1262</f>
        <v>DUNORTE DISTRIBUIDORA DE PRODUTOS DE CONSUMO LTDA</v>
      </c>
      <c r="C971" s="17" t="n">
        <f aca="false">Report!U1262</f>
        <v>1399.98</v>
      </c>
      <c r="D971" s="1" t="str">
        <f aca="false">Report!X1262</f>
        <v>NF 3226195 - MILKA</v>
      </c>
    </row>
    <row r="972" customFormat="false" ht="12.75" hidden="false" customHeight="true" outlineLevel="0" collapsed="false">
      <c r="A972" s="16" t="n">
        <f aca="false">Report!C1263</f>
        <v>46252</v>
      </c>
      <c r="B972" s="1" t="str">
        <f aca="false">Report!E1263</f>
        <v>NATUREZA COMERCIO DE DESCARTAVEIS LTDA</v>
      </c>
      <c r="C972" s="17" t="n">
        <f aca="false">Report!U1263</f>
        <v>425.94</v>
      </c>
      <c r="D972" s="1" t="str">
        <f aca="false">Report!X1263</f>
        <v>NF 29536 QUEIROZ - MILKA</v>
      </c>
    </row>
    <row r="973" customFormat="false" ht="12.75" hidden="false" customHeight="true" outlineLevel="0" collapsed="false">
      <c r="A973" s="16" t="n">
        <f aca="false">Report!C1264</f>
        <v>46252</v>
      </c>
      <c r="B973" s="1" t="str">
        <f aca="false">Report!E1264</f>
        <v>NATUREZA COMERCIO DE DESCARTAVEIS LTDA</v>
      </c>
      <c r="C973" s="17" t="n">
        <f aca="false">Report!U1264</f>
        <v>1437.93</v>
      </c>
      <c r="D973" s="1" t="str">
        <f aca="false">Report!X1264</f>
        <v>NF 740923 - MILKA</v>
      </c>
    </row>
    <row r="974" customFormat="false" ht="12.75" hidden="false" customHeight="true" outlineLevel="0" collapsed="false">
      <c r="A974" s="16" t="n">
        <f aca="false">Report!C1267</f>
        <v>46252</v>
      </c>
      <c r="B974" s="1" t="str">
        <f aca="false">Report!E1267</f>
        <v>RISADINHA LTDA</v>
      </c>
      <c r="C974" s="17" t="n">
        <f aca="false">Report!U1267</f>
        <v>823.62</v>
      </c>
      <c r="D974" s="1" t="str">
        <f aca="false">Report!X1267</f>
        <v>NF 662479-03 MILKA</v>
      </c>
    </row>
    <row r="975" customFormat="false" ht="12.75" hidden="false" customHeight="true" outlineLevel="0" collapsed="false">
      <c r="A975" s="16" t="n">
        <f aca="false">Report!C1269</f>
        <v>46252</v>
      </c>
      <c r="B975" s="1" t="str">
        <f aca="false">Report!E1269</f>
        <v>TAPAJOS COM DE PERFUMARIA COSMETICOS E G</v>
      </c>
      <c r="C975" s="17" t="n">
        <f aca="false">Report!U1269</f>
        <v>623.07</v>
      </c>
      <c r="D975" s="1" t="str">
        <f aca="false">Report!X1269</f>
        <v>NF 581016-2 C/ TAXA - MILKA</v>
      </c>
    </row>
    <row r="976" customFormat="false" ht="12.75" hidden="false" customHeight="true" outlineLevel="0" collapsed="false">
      <c r="A976" s="16" t="n">
        <f aca="false">Report!C1270</f>
        <v>46252</v>
      </c>
      <c r="B976" s="1" t="str">
        <f aca="false">Report!E1270</f>
        <v>TAPAJOS COM DE PERFUMARIA COSMETICOS E G</v>
      </c>
      <c r="C976" s="17" t="n">
        <f aca="false">Report!U1270</f>
        <v>614.72</v>
      </c>
      <c r="D976" s="1" t="str">
        <f aca="false">Report!X1270</f>
        <v>NF 581015 -2 C/TAXA - MILKA</v>
      </c>
    </row>
    <row r="977" customFormat="false" ht="12.75" hidden="false" customHeight="true" outlineLevel="0" collapsed="false">
      <c r="A977" s="16" t="n">
        <f aca="false">Report!C1272</f>
        <v>46253</v>
      </c>
      <c r="B977" s="1" t="str">
        <f aca="false">Report!E1272</f>
        <v>ADRIANA DISTRIBUIDORA DE PRODUTOS ALIMEN</v>
      </c>
      <c r="C977" s="17" t="n">
        <f aca="false">Report!U1272</f>
        <v>1039.32</v>
      </c>
      <c r="D977" s="1" t="str">
        <f aca="false">Report!X1272</f>
        <v>NF 885524 - DEBORA</v>
      </c>
    </row>
    <row r="978" customFormat="false" ht="12.75" hidden="false" customHeight="true" outlineLevel="0" collapsed="false">
      <c r="A978" s="16" t="n">
        <f aca="false">Report!C1273</f>
        <v>46253</v>
      </c>
      <c r="B978" s="1" t="str">
        <f aca="false">Report!E1273</f>
        <v>ADRIANA DISTRIBUIDORA DE PRODUTOS ALIMEN</v>
      </c>
      <c r="C978" s="17" t="n">
        <f aca="false">Report!U1273</f>
        <v>1420.58</v>
      </c>
      <c r="D978" s="1" t="str">
        <f aca="false">Report!X1273</f>
        <v>NF 886068-3 MILKA</v>
      </c>
    </row>
    <row r="979" customFormat="false" ht="12.75" hidden="false" customHeight="true" outlineLevel="0" collapsed="false">
      <c r="A979" s="16" t="n">
        <f aca="false">Report!C1274</f>
        <v>46253</v>
      </c>
      <c r="B979" s="1" t="str">
        <f aca="false">Report!E1274</f>
        <v>BF COMERCIO DE ALIMENTOS REPRESENTACAO L</v>
      </c>
      <c r="C979" s="17" t="n">
        <f aca="false">Report!U1274</f>
        <v>2021.39</v>
      </c>
      <c r="D979" s="1" t="str">
        <f aca="false">Report!X1274</f>
        <v>NF 21118 - DEBORA</v>
      </c>
    </row>
    <row r="980" customFormat="false" ht="12.75" hidden="false" customHeight="true" outlineLevel="0" collapsed="false">
      <c r="A980" s="16" t="n">
        <f aca="false">Report!C1275</f>
        <v>46253</v>
      </c>
      <c r="B980" s="1" t="str">
        <f aca="false">Report!E1275</f>
        <v>BRF S A</v>
      </c>
      <c r="C980" s="17" t="n">
        <f aca="false">Report!U1275</f>
        <v>1798.15</v>
      </c>
      <c r="D980" s="1" t="str">
        <f aca="false">Report!X1275</f>
        <v>NF 1614419-2 DESCONTO NO BOLETO - MILKA</v>
      </c>
    </row>
    <row r="981" customFormat="false" ht="12.75" hidden="false" customHeight="true" outlineLevel="0" collapsed="false">
      <c r="A981" s="16" t="n">
        <f aca="false">Report!C1276</f>
        <v>46253</v>
      </c>
      <c r="B981" s="1" t="str">
        <f aca="false">Report!E1276</f>
        <v>DISTRIBUIDORA LOPES LTDA</v>
      </c>
      <c r="C981" s="17" t="n">
        <f aca="false">Report!U1276</f>
        <v>1790.11</v>
      </c>
      <c r="D981" s="1" t="str">
        <f aca="false">Report!X1276</f>
        <v>NF 1696462 C/DESCONTO NO BOLETO - DEBORA</v>
      </c>
    </row>
    <row r="982" customFormat="false" ht="12.75" hidden="false" customHeight="true" outlineLevel="0" collapsed="false">
      <c r="A982" s="16" t="n">
        <f aca="false">Report!C1277</f>
        <v>46253</v>
      </c>
      <c r="B982" s="1" t="str">
        <f aca="false">Report!E1277</f>
        <v>DUNORTE DISTRIBUIDORA DE PRODUTOS DE CONSUMO LTDA</v>
      </c>
      <c r="C982" s="17" t="n">
        <f aca="false">Report!U1277</f>
        <v>1643.31</v>
      </c>
      <c r="D982" s="1" t="str">
        <f aca="false">Report!X1277</f>
        <v>NF 3223292-2 C/TAXA PARC. - MILKA</v>
      </c>
    </row>
    <row r="983" customFormat="false" ht="12.75" hidden="false" customHeight="true" outlineLevel="0" collapsed="false">
      <c r="A983" s="16" t="n">
        <f aca="false">Report!C1278</f>
        <v>46253</v>
      </c>
      <c r="B983" s="1" t="str">
        <f aca="false">Report!E1278</f>
        <v>RISADINHA LTDA</v>
      </c>
      <c r="C983" s="17" t="n">
        <f aca="false">Report!U1278</f>
        <v>853.9</v>
      </c>
      <c r="D983" s="1" t="str">
        <f aca="false">Report!X1278</f>
        <v>NF 665164 -2 MILKA</v>
      </c>
    </row>
    <row r="984" customFormat="false" ht="12.75" hidden="false" customHeight="true" outlineLevel="0" collapsed="false">
      <c r="A984" s="16" t="n">
        <f aca="false">Report!C1279</f>
        <v>46253</v>
      </c>
      <c r="B984" s="1" t="str">
        <f aca="false">Report!E1279</f>
        <v>TAPAJOS COM DE PERFUMARIA COSMETICOS E G</v>
      </c>
      <c r="C984" s="17" t="n">
        <f aca="false">Report!U1279</f>
        <v>1473.38</v>
      </c>
      <c r="D984" s="1" t="str">
        <f aca="false">Report!X1279</f>
        <v>NF 581288 - COM TAXA - DEBORA</v>
      </c>
    </row>
    <row r="985" customFormat="false" ht="12.75" hidden="false" customHeight="true" outlineLevel="0" collapsed="false">
      <c r="A985" s="16" t="n">
        <f aca="false">Report!C1280</f>
        <v>46253</v>
      </c>
      <c r="B985" s="1" t="str">
        <f aca="false">Report!E1280</f>
        <v>TRES CORACOES ALIMENTOS S.A.</v>
      </c>
      <c r="C985" s="17" t="n">
        <f aca="false">Report!U1280</f>
        <v>2063.47</v>
      </c>
      <c r="D985" s="1" t="str">
        <f aca="false">Report!X1280</f>
        <v>NF353326-03 MILKA</v>
      </c>
    </row>
    <row r="986" customFormat="false" ht="12.75" hidden="false" customHeight="true" outlineLevel="0" collapsed="false">
      <c r="A986" s="16" t="n">
        <f aca="false">Report!C1281</f>
        <v>46254</v>
      </c>
      <c r="B986" s="1" t="str">
        <f aca="false">Report!E1281</f>
        <v>ATACADAO S.A.</v>
      </c>
      <c r="C986" s="17" t="n">
        <f aca="false">Report!U1281</f>
        <v>1013.07</v>
      </c>
      <c r="D986" s="1" t="str">
        <f aca="false">Report!X1281</f>
        <v>NF 1910466 - MILKA</v>
      </c>
    </row>
    <row r="987" customFormat="false" ht="12.75" hidden="false" customHeight="true" outlineLevel="0" collapsed="false">
      <c r="A987" s="16" t="n">
        <f aca="false">Report!C1283</f>
        <v>46254</v>
      </c>
      <c r="B987" s="1" t="str">
        <f aca="false">Report!E1283</f>
        <v>DISTRIBUIDORA LOPES LTDA</v>
      </c>
      <c r="C987" s="17" t="n">
        <f aca="false">Report!U1283</f>
        <v>2902.64</v>
      </c>
      <c r="D987" s="1" t="str">
        <f aca="false">Report!X1283</f>
        <v>NF 1701839 DESCONTO NO BOLETO - MILKA</v>
      </c>
    </row>
    <row r="988" customFormat="false" ht="12.75" hidden="false" customHeight="true" outlineLevel="0" collapsed="false">
      <c r="A988" s="16" t="n">
        <f aca="false">Report!C1284</f>
        <v>46254</v>
      </c>
      <c r="B988" s="1" t="str">
        <f aca="false">Report!E1284</f>
        <v>DISTRIBUIDORA LOPES LTDA</v>
      </c>
      <c r="C988" s="17" t="n">
        <f aca="false">Report!U1284</f>
        <v>944.96</v>
      </c>
      <c r="D988" s="1" t="str">
        <f aca="false">Report!X1284</f>
        <v>NF 1701960-1 MILKA</v>
      </c>
    </row>
    <row r="989" customFormat="false" ht="12.75" hidden="false" customHeight="true" outlineLevel="0" collapsed="false">
      <c r="A989" s="16" t="n">
        <f aca="false">Report!C1285</f>
        <v>46254</v>
      </c>
      <c r="B989" s="1" t="str">
        <f aca="false">Report!E1285</f>
        <v>DISTRIBUIDORA LOPES LTDA</v>
      </c>
      <c r="C989" s="17" t="n">
        <f aca="false">Report!U1285</f>
        <v>1938.06</v>
      </c>
      <c r="D989" s="1" t="str">
        <f aca="false">Report!X1285</f>
        <v>NF 1697653 C/ DESCONTO NO BOLETO - MILKA</v>
      </c>
    </row>
    <row r="990" customFormat="false" ht="12.75" hidden="false" customHeight="true" outlineLevel="0" collapsed="false">
      <c r="A990" s="16" t="n">
        <f aca="false">Report!C1286</f>
        <v>46254</v>
      </c>
      <c r="B990" s="1" t="str">
        <f aca="false">Report!E1286</f>
        <v>DISTRIBUIDORA PRIME LTDA</v>
      </c>
      <c r="C990" s="17" t="n">
        <f aca="false">Report!U1286</f>
        <v>774.48</v>
      </c>
      <c r="D990" s="1" t="str">
        <f aca="false">Report!X1286</f>
        <v>NF 134703-2 MILKA</v>
      </c>
    </row>
    <row r="991" customFormat="false" ht="12.75" hidden="false" customHeight="true" outlineLevel="0" collapsed="false">
      <c r="A991" s="16" t="n">
        <f aca="false">Report!C1287</f>
        <v>46254</v>
      </c>
      <c r="B991" s="1" t="str">
        <f aca="false">Report!E1287</f>
        <v>DURAES DISTRIBUIDORA DE ESTIVAS LTDA</v>
      </c>
      <c r="C991" s="17" t="n">
        <f aca="false">Report!U1287</f>
        <v>434.06</v>
      </c>
      <c r="D991" s="1" t="str">
        <f aca="false">Report!X1287</f>
        <v>NF 651362 - DEBORA</v>
      </c>
    </row>
    <row r="992" customFormat="false" ht="12.75" hidden="false" customHeight="true" outlineLevel="0" collapsed="false">
      <c r="A992" s="16" t="n">
        <f aca="false">Report!C1288</f>
        <v>46254</v>
      </c>
      <c r="B992" s="1" t="str">
        <f aca="false">Report!E1288</f>
        <v>DURAES DISTRIBUIDORA DE ESTIVAS LTDA</v>
      </c>
      <c r="C992" s="17" t="n">
        <f aca="false">Report!U1288</f>
        <v>605.93</v>
      </c>
      <c r="D992" s="1" t="str">
        <f aca="false">Report!X1288</f>
        <v>NF 651360 -3 DEBORA</v>
      </c>
    </row>
    <row r="993" customFormat="false" ht="12.75" hidden="false" customHeight="true" outlineLevel="0" collapsed="false">
      <c r="A993" s="16" t="n">
        <f aca="false">Report!C1289</f>
        <v>46254</v>
      </c>
      <c r="B993" s="1" t="str">
        <f aca="false">Report!E1289</f>
        <v>EDMARA COMERCIO DE HIGIENE PESSOAL LTDA</v>
      </c>
      <c r="C993" s="17" t="n">
        <f aca="false">Report!U1289</f>
        <v>2621.74</v>
      </c>
      <c r="D993" s="1" t="str">
        <f aca="false">Report!X1289</f>
        <v>5431-C/D  NF8403 - MILKA</v>
      </c>
    </row>
    <row r="994" customFormat="false" ht="12.75" hidden="false" customHeight="true" outlineLevel="0" collapsed="false">
      <c r="A994" s="16" t="n">
        <f aca="false">Report!C1292</f>
        <v>46254</v>
      </c>
      <c r="B994" s="1" t="str">
        <f aca="false">Report!E1292</f>
        <v>MARQUES &amp; MELO LTDA - FILIAL</v>
      </c>
      <c r="C994" s="17" t="n">
        <f aca="false">Report!U1292</f>
        <v>1181.96</v>
      </c>
      <c r="D994" s="1" t="str">
        <f aca="false">Report!X1292</f>
        <v>NF 502189 -03 DISMELO -  MILKA</v>
      </c>
    </row>
    <row r="995" customFormat="false" ht="12.75" hidden="false" customHeight="true" outlineLevel="0" collapsed="false">
      <c r="A995" s="16" t="n">
        <f aca="false">Report!C1293</f>
        <v>46254</v>
      </c>
      <c r="B995" s="1" t="str">
        <f aca="false">Report!E1293</f>
        <v>OCIDENTAL COMERCIO DE FRIOS LTDA</v>
      </c>
      <c r="C995" s="17" t="n">
        <f aca="false">Report!U1293</f>
        <v>989.77</v>
      </c>
      <c r="D995" s="1" t="str">
        <f aca="false">Report!X1293</f>
        <v>NF 1253285 - MILKA</v>
      </c>
    </row>
    <row r="996" customFormat="false" ht="12.75" hidden="false" customHeight="true" outlineLevel="0" collapsed="false">
      <c r="A996" s="16" t="n">
        <f aca="false">Report!C1294</f>
        <v>46254</v>
      </c>
      <c r="B996" s="1" t="str">
        <f aca="false">Report!E1294</f>
        <v>SB COMERCIO LTDA</v>
      </c>
      <c r="C996" s="17" t="n">
        <f aca="false">Report!U1294</f>
        <v>1129.22</v>
      </c>
      <c r="D996" s="1" t="str">
        <f aca="false">Report!X1294</f>
        <v>NF 1964147-2 MILKA</v>
      </c>
    </row>
    <row r="997" customFormat="false" ht="12.75" hidden="false" customHeight="true" outlineLevel="0" collapsed="false">
      <c r="A997" s="16" t="n">
        <f aca="false">Report!C1295</f>
        <v>46255</v>
      </c>
      <c r="B997" s="1" t="str">
        <f aca="false">Report!E1295</f>
        <v>DISTRIBUIDORA LOPES LTDA</v>
      </c>
      <c r="C997" s="17" t="n">
        <f aca="false">Report!U1295</f>
        <v>1365.55</v>
      </c>
      <c r="D997" s="1" t="str">
        <f aca="false">Report!X1295</f>
        <v>NF 1698394 C/ DESCONTO NO BOLETO - MILKA</v>
      </c>
    </row>
    <row r="998" customFormat="false" ht="12.75" hidden="false" customHeight="true" outlineLevel="0" collapsed="false">
      <c r="A998" s="16" t="n">
        <f aca="false">Report!C1296</f>
        <v>46255</v>
      </c>
      <c r="B998" s="1" t="str">
        <f aca="false">Report!E1296</f>
        <v>IRMÃOS LIMA  ATACADO  DE ALIMENTOS LTDA</v>
      </c>
      <c r="C998" s="17" t="n">
        <f aca="false">Report!U1296</f>
        <v>925.98</v>
      </c>
      <c r="D998" s="1" t="str">
        <f aca="false">Report!X1296</f>
        <v>377101 -C/C  NF296100 - MILKA</v>
      </c>
    </row>
    <row r="999" customFormat="false" ht="12.75" hidden="false" customHeight="true" outlineLevel="0" collapsed="false">
      <c r="A999" s="16" t="n">
        <f aca="false">Report!C1297</f>
        <v>46255</v>
      </c>
      <c r="B999" s="1" t="str">
        <f aca="false">Report!E1297</f>
        <v>J G COMERCIO DE PRODUTOS ALIMENTICIOS LTDA</v>
      </c>
      <c r="C999" s="17" t="n">
        <f aca="false">Report!U1297</f>
        <v>1143.82</v>
      </c>
      <c r="D999" s="1" t="str">
        <f aca="false">Report!X1297</f>
        <v>459602-B/B  NF395526 - MILKA</v>
      </c>
    </row>
    <row r="1000" customFormat="false" ht="12.75" hidden="false" customHeight="true" outlineLevel="0" collapsed="false">
      <c r="A1000" s="16" t="n">
        <f aca="false">Report!C1298</f>
        <v>46255</v>
      </c>
      <c r="B1000" s="1" t="str">
        <f aca="false">Report!E1298</f>
        <v>PIARARA COMERCIO, IMPORTACAO E EXPORTACAO LTDA</v>
      </c>
      <c r="C1000" s="17" t="n">
        <f aca="false">Report!U1298</f>
        <v>868.36</v>
      </c>
      <c r="D1000" s="1" t="str">
        <f aca="false">Report!X1298</f>
        <v>NF 194785 - DEBORA</v>
      </c>
    </row>
    <row r="1001" customFormat="false" ht="12.75" hidden="false" customHeight="true" outlineLevel="0" collapsed="false">
      <c r="A1001" s="16" t="n">
        <f aca="false">Report!C1299</f>
        <v>46256</v>
      </c>
      <c r="B1001" s="1" t="str">
        <f aca="false">Report!E1299</f>
        <v>FUNNY PET DISTRIBUIDORA DE ALIMENTOS PAR</v>
      </c>
      <c r="C1001" s="17" t="n">
        <f aca="false">Report!U1299</f>
        <v>3458.9</v>
      </c>
      <c r="D1001" s="1" t="str">
        <f aca="false">Report!X1299</f>
        <v>NF 21188 -2 MILKA</v>
      </c>
    </row>
    <row r="1002" customFormat="false" ht="12.75" hidden="false" customHeight="true" outlineLevel="0" collapsed="false">
      <c r="A1002" s="16" t="n">
        <f aca="false">Report!C1300</f>
        <v>46256</v>
      </c>
      <c r="B1002" s="1" t="str">
        <f aca="false">Report!E1300</f>
        <v>OPPORTUNITY ALIMENTOS PARA ANIMAIS LTDA</v>
      </c>
      <c r="C1002" s="17" t="n">
        <f aca="false">Report!U1300</f>
        <v>807.05</v>
      </c>
      <c r="D1002" s="1" t="str">
        <f aca="false">Report!X1300</f>
        <v>NF 34737-2 MILKA</v>
      </c>
    </row>
    <row r="1003" customFormat="false" ht="12.75" hidden="false" customHeight="true" outlineLevel="0" collapsed="false">
      <c r="A1003" s="16" t="n">
        <f aca="false">Report!C1302</f>
        <v>46258</v>
      </c>
      <c r="B1003" s="1" t="str">
        <f aca="false">Report!E1302</f>
        <v>ATACADAO S.A.</v>
      </c>
      <c r="C1003" s="17" t="n">
        <f aca="false">Report!U1302</f>
        <v>330.75</v>
      </c>
      <c r="D1003" s="1" t="str">
        <f aca="false">Report!X1302</f>
        <v>NF 1911152 - MILKA</v>
      </c>
    </row>
    <row r="1004" customFormat="false" ht="12.75" hidden="false" customHeight="true" outlineLevel="0" collapsed="false">
      <c r="A1004" s="16" t="n">
        <f aca="false">Report!C1303</f>
        <v>46258</v>
      </c>
      <c r="B1004" s="1" t="str">
        <f aca="false">Report!E1303</f>
        <v>FH DISTRIBUIDORA DE ALIM. E BEBIDAS LTDA</v>
      </c>
      <c r="C1004" s="17" t="n">
        <f aca="false">Report!U1303</f>
        <v>810.36</v>
      </c>
      <c r="D1004" s="1" t="str">
        <f aca="false">Report!X1303</f>
        <v>NF 329028-2 MILKA</v>
      </c>
    </row>
    <row r="1005" customFormat="false" ht="12.75" hidden="false" customHeight="true" outlineLevel="0" collapsed="false">
      <c r="A1005" s="16" t="n">
        <f aca="false">Report!C1304</f>
        <v>46258</v>
      </c>
      <c r="B1005" s="1" t="str">
        <f aca="false">Report!E1304</f>
        <v>L S M COMERCIO DE ALIMENTOS E NAVEGACAO</v>
      </c>
      <c r="C1005" s="17" t="n">
        <f aca="false">Report!U1304</f>
        <v>403.5</v>
      </c>
      <c r="D1005" s="1" t="str">
        <f aca="false">Report!X1304</f>
        <v>NF 309757-2 MILKA</v>
      </c>
    </row>
    <row r="1006" customFormat="false" ht="12.75" hidden="false" customHeight="true" outlineLevel="0" collapsed="false">
      <c r="A1006" s="16" t="n">
        <f aca="false">Report!C1305</f>
        <v>46258</v>
      </c>
      <c r="B1006" s="1" t="str">
        <f aca="false">Report!E1305</f>
        <v>L S M COMERCIO DE ALIMENTOS E NAVEGACAO</v>
      </c>
      <c r="C1006" s="17" t="n">
        <f aca="false">Report!U1305</f>
        <v>1633.1</v>
      </c>
      <c r="D1006" s="1" t="str">
        <f aca="false">Report!X1305</f>
        <v>NF 309642-2 MILKA</v>
      </c>
    </row>
    <row r="1007" customFormat="false" ht="12.75" hidden="false" customHeight="true" outlineLevel="0" collapsed="false">
      <c r="A1007" s="16" t="n">
        <f aca="false">Report!C1306</f>
        <v>46258</v>
      </c>
      <c r="B1007" s="1" t="str">
        <f aca="false">Report!E1306</f>
        <v>NORTE DISTRIBUIDORA DE ACUMULADORES E AC</v>
      </c>
      <c r="C1007" s="17" t="n">
        <f aca="false">Report!U1306</f>
        <v>306</v>
      </c>
      <c r="D1007" s="1" t="str">
        <f aca="false">Report!X1306</f>
        <v>NF 105914 -1/3 MOURA -  MILKA</v>
      </c>
    </row>
    <row r="1008" customFormat="false" ht="12.75" hidden="false" customHeight="true" outlineLevel="0" collapsed="false">
      <c r="A1008" s="16" t="n">
        <f aca="false">Report!C1307</f>
        <v>46258</v>
      </c>
      <c r="B1008" s="1" t="str">
        <f aca="false">Report!E1307</f>
        <v>OPPORTUNITY ALIMENTOS PARA ANIMAIS LTDA</v>
      </c>
      <c r="C1008" s="17" t="n">
        <f aca="false">Report!U1307</f>
        <v>3377.6</v>
      </c>
      <c r="D1008" s="1" t="str">
        <f aca="false">Report!X1307</f>
        <v>NF 34300-4 MILKA</v>
      </c>
    </row>
    <row r="1009" customFormat="false" ht="12.75" hidden="false" customHeight="true" outlineLevel="0" collapsed="false">
      <c r="A1009" s="16" t="n">
        <f aca="false">Report!C1308</f>
        <v>46258</v>
      </c>
      <c r="B1009" s="1" t="str">
        <f aca="false">Report!E1308</f>
        <v>PRIME PET DISTRIBUIDORA LTDA</v>
      </c>
      <c r="C1009" s="17" t="n">
        <f aca="false">Report!U1308</f>
        <v>1849.57</v>
      </c>
      <c r="D1009" s="1" t="str">
        <f aca="false">Report!X1308</f>
        <v>NF 11002-04/07 MILKA </v>
      </c>
    </row>
    <row r="1010" customFormat="false" ht="12.75" hidden="false" customHeight="true" outlineLevel="0" collapsed="false">
      <c r="A1010" s="16" t="n">
        <f aca="false">Report!C1310</f>
        <v>46259</v>
      </c>
      <c r="B1010" s="1" t="str">
        <f aca="false">Report!E1310</f>
        <v>A M A DE LIMA INDUSTRIA E COMERCIO DE PRODUTOS ALIMENTICIOS LTDA</v>
      </c>
      <c r="C1010" s="17" t="n">
        <f aca="false">Report!U1310</f>
        <v>164.7</v>
      </c>
      <c r="D1010" s="1" t="str">
        <f aca="false">Report!X1310</f>
        <v>NF1141 /COMPRA DO PAO REAL - MILKA</v>
      </c>
    </row>
    <row r="1011" customFormat="false" ht="12.75" hidden="false" customHeight="true" outlineLevel="0" collapsed="false">
      <c r="A1011" s="16" t="n">
        <f aca="false">Report!C1311</f>
        <v>46259</v>
      </c>
      <c r="B1011" s="1" t="str">
        <f aca="false">Report!E1311</f>
        <v>A M A DE LIMA INDUSTRIA E COMERCIO DE PRODUTOS ALIMENTICIOS LTDA</v>
      </c>
      <c r="C1011" s="17" t="n">
        <f aca="false">Report!U1311</f>
        <v>233.6</v>
      </c>
      <c r="D1011" s="1" t="str">
        <f aca="false">Report!X1311</f>
        <v>NF 1154 /COMPRA PAO REAL - MILKA</v>
      </c>
    </row>
    <row r="1012" customFormat="false" ht="12.75" hidden="false" customHeight="true" outlineLevel="0" collapsed="false">
      <c r="A1012" s="16" t="n">
        <f aca="false">Report!C1312</f>
        <v>46259</v>
      </c>
      <c r="B1012" s="1" t="str">
        <f aca="false">Report!E1312</f>
        <v>A M A DE LIMA INDUSTRIA E COMERCIO DE PRODUTOS ALIMENTICIOS LTDA</v>
      </c>
      <c r="C1012" s="17" t="n">
        <f aca="false">Report!U1312</f>
        <v>178.7</v>
      </c>
      <c r="D1012" s="1" t="str">
        <f aca="false">Report!X1312</f>
        <v>NF 1155 COMPRA REAL PAES  - MILKA</v>
      </c>
    </row>
    <row r="1013" customFormat="false" ht="12.75" hidden="false" customHeight="true" outlineLevel="0" collapsed="false">
      <c r="A1013" s="16" t="n">
        <f aca="false">Report!C1313</f>
        <v>46259</v>
      </c>
      <c r="B1013" s="1" t="str">
        <f aca="false">Report!E1313</f>
        <v>A M A DE LIMA INDUSTRIA E COMERCIO DE PRODUTOS ALIMENTICIOS LTDA</v>
      </c>
      <c r="C1013" s="17" t="n">
        <f aca="false">Report!U1313</f>
        <v>75.68</v>
      </c>
      <c r="D1013" s="1" t="str">
        <f aca="false">Report!X1313</f>
        <v>NF 1146 / COMPRA PAO REAL - MILKA</v>
      </c>
    </row>
    <row r="1014" customFormat="false" ht="12.75" hidden="false" customHeight="true" outlineLevel="0" collapsed="false">
      <c r="A1014" s="16" t="n">
        <f aca="false">Report!C1314</f>
        <v>46259</v>
      </c>
      <c r="B1014" s="1" t="str">
        <f aca="false">Report!E1314</f>
        <v>A. CORREA JUNIOR</v>
      </c>
      <c r="C1014" s="17" t="n">
        <f aca="false">Report!U1314</f>
        <v>2564.18</v>
      </c>
      <c r="D1014" s="1" t="str">
        <f aca="false">Report!X1314</f>
        <v>MP JRACESSORIOS 01/3-ANDREZA</v>
      </c>
    </row>
    <row r="1015" customFormat="false" ht="12.75" hidden="false" customHeight="true" outlineLevel="0" collapsed="false">
      <c r="A1015" s="16" t="n">
        <f aca="false">Report!C1315</f>
        <v>46259</v>
      </c>
      <c r="B1015" s="1" t="str">
        <f aca="false">Report!E1315</f>
        <v>FUNNY PET DISTRIBUIDORA DE ALIMENTOS PAR</v>
      </c>
      <c r="C1015" s="17" t="n">
        <f aca="false">Report!U1315</f>
        <v>1475.42</v>
      </c>
      <c r="D1015" s="1" t="str">
        <f aca="false">Report!X1315</f>
        <v>NF 21048-3 MILKA</v>
      </c>
    </row>
    <row r="1016" customFormat="false" ht="12.75" hidden="false" customHeight="true" outlineLevel="0" collapsed="false">
      <c r="A1016" s="16" t="n">
        <f aca="false">Report!C1316</f>
        <v>46259</v>
      </c>
      <c r="B1016" s="1" t="str">
        <f aca="false">Report!E1316</f>
        <v>FUNNY PET DISTRIBUIDORA DE ALIMENTOS PAR</v>
      </c>
      <c r="C1016" s="17" t="n">
        <f aca="false">Report!U1316</f>
        <v>2186.19</v>
      </c>
      <c r="D1016" s="1" t="str">
        <f aca="false">Report!X1316</f>
        <v>NF 21047-2 MILKA</v>
      </c>
    </row>
    <row r="1017" customFormat="false" ht="12.75" hidden="false" customHeight="true" outlineLevel="0" collapsed="false">
      <c r="A1017" s="16" t="n">
        <f aca="false">Report!C1317</f>
        <v>46259</v>
      </c>
      <c r="B1017" s="1" t="str">
        <f aca="false">Report!E1317</f>
        <v>JESSICA LUANA</v>
      </c>
      <c r="C1017" s="17" t="n">
        <f aca="false">Report!U1317</f>
        <v>82.35</v>
      </c>
      <c r="D1017" s="1" t="str">
        <f aca="false">Report!X1317</f>
        <v>NF 1148 /COMPRA PAO REAL - MILKA</v>
      </c>
    </row>
    <row r="1018" customFormat="false" ht="12.75" hidden="false" customHeight="true" outlineLevel="0" collapsed="false">
      <c r="A1018" s="16" t="n">
        <f aca="false">Report!C1319</f>
        <v>46259</v>
      </c>
      <c r="B1018" s="1" t="str">
        <f aca="false">Report!E1319</f>
        <v>M.R.G COMERCIO DE MAQUINAS EIRELI.</v>
      </c>
      <c r="C1018" s="17" t="n">
        <f aca="false">Report!U1319</f>
        <v>233.33</v>
      </c>
      <c r="D1018" s="1" t="str">
        <f aca="false">Report!X1319</f>
        <v>NF 14298 / 5PARC / REFORMA PADARIA - MILKA</v>
      </c>
    </row>
    <row r="1019" customFormat="false" ht="12.75" hidden="false" customHeight="true" outlineLevel="0" collapsed="false">
      <c r="A1019" s="16" t="n">
        <f aca="false">Report!C1324</f>
        <v>46259</v>
      </c>
      <c r="B1019" s="1" t="str">
        <f aca="false">Report!E1324</f>
        <v>RISADINHA LTDA</v>
      </c>
      <c r="C1019" s="17" t="n">
        <f aca="false">Report!U1324</f>
        <v>823.62</v>
      </c>
      <c r="D1019" s="1" t="str">
        <f aca="false">Report!X1324</f>
        <v>NF 662479-04 MILKA</v>
      </c>
    </row>
    <row r="1020" customFormat="false" ht="12.75" hidden="false" customHeight="true" outlineLevel="0" collapsed="false">
      <c r="A1020" s="16" t="n">
        <f aca="false">Report!C1327</f>
        <v>46260</v>
      </c>
      <c r="B1020" s="1" t="str">
        <f aca="false">Report!E1327</f>
        <v>OPPORTUNITY ALIMENTOS PARA ANIMAIS LTDA</v>
      </c>
      <c r="C1020" s="17" t="n">
        <f aca="false">Report!U1327</f>
        <v>562.93</v>
      </c>
      <c r="D1020" s="1" t="str">
        <f aca="false">Report!X1327</f>
        <v>NF 34780 - DEBORA</v>
      </c>
    </row>
    <row r="1021" customFormat="false" ht="12.75" hidden="false" customHeight="true" outlineLevel="0" collapsed="false">
      <c r="A1021" s="16" t="n">
        <f aca="false">Report!C1328</f>
        <v>46260</v>
      </c>
      <c r="B1021" s="1" t="str">
        <f aca="false">Report!E1328</f>
        <v>RISADINHA LTDA</v>
      </c>
      <c r="C1021" s="17" t="n">
        <f aca="false">Report!U1328</f>
        <v>853.9</v>
      </c>
      <c r="D1021" s="1" t="str">
        <f aca="false">Report!X1328</f>
        <v>NF 665164 -3 MILKA</v>
      </c>
    </row>
    <row r="1022" customFormat="false" ht="12.75" hidden="false" customHeight="true" outlineLevel="0" collapsed="false">
      <c r="A1022" s="16" t="n">
        <f aca="false">Report!C1329</f>
        <v>46260</v>
      </c>
      <c r="B1022" s="1" t="str">
        <f aca="false">Report!E1329</f>
        <v>TAPAJOS COM DE PERFUMARIA COSMETICOS E G</v>
      </c>
      <c r="C1022" s="17" t="n">
        <f aca="false">Report!U1329</f>
        <v>1473.38</v>
      </c>
      <c r="D1022" s="1" t="str">
        <f aca="false">Report!X1329</f>
        <v>NF 581288 - COM TAXA - DEBORA</v>
      </c>
    </row>
    <row r="1023" customFormat="false" ht="12.75" hidden="false" customHeight="true" outlineLevel="0" collapsed="false">
      <c r="A1023" s="16" t="n">
        <f aca="false">Report!C1330</f>
        <v>46261</v>
      </c>
      <c r="B1023" s="1" t="str">
        <f aca="false">Report!E1330</f>
        <v>ATACADAO S.A.</v>
      </c>
      <c r="C1023" s="17" t="n">
        <f aca="false">Report!U1330</f>
        <v>998.14</v>
      </c>
      <c r="D1023" s="1" t="str">
        <f aca="false">Report!X1330</f>
        <v>NF 1910467 - MILKA</v>
      </c>
    </row>
    <row r="1024" customFormat="false" ht="12.75" hidden="false" customHeight="true" outlineLevel="0" collapsed="false">
      <c r="A1024" s="16" t="n">
        <f aca="false">Report!C1331</f>
        <v>46261</v>
      </c>
      <c r="B1024" s="1" t="str">
        <f aca="false">Report!E1331</f>
        <v>DISTRIBUIDORA LOPES LTDA</v>
      </c>
      <c r="C1024" s="17" t="n">
        <f aca="false">Report!U1331</f>
        <v>944.98</v>
      </c>
      <c r="D1024" s="1" t="str">
        <f aca="false">Report!X1331</f>
        <v>NF 1701960-2 MILKA</v>
      </c>
    </row>
    <row r="1025" customFormat="false" ht="12.75" hidden="false" customHeight="true" outlineLevel="0" collapsed="false">
      <c r="A1025" s="16" t="n">
        <f aca="false">Report!C1332</f>
        <v>46261</v>
      </c>
      <c r="B1025" s="1" t="str">
        <f aca="false">Report!E1332</f>
        <v>DISTRIBUIDORA PRIME LTDA</v>
      </c>
      <c r="C1025" s="17" t="n">
        <f aca="false">Report!U1332</f>
        <v>774.48</v>
      </c>
      <c r="D1025" s="1" t="str">
        <f aca="false">Report!X1332</f>
        <v>NF 134703-3 MILKA</v>
      </c>
    </row>
    <row r="1026" customFormat="false" ht="12.75" hidden="false" customHeight="true" outlineLevel="0" collapsed="false">
      <c r="A1026" s="16" t="n">
        <f aca="false">Report!C1333</f>
        <v>46261</v>
      </c>
      <c r="B1026" s="1" t="str">
        <f aca="false">Report!E1333</f>
        <v>EDMARA COMERCIO DE HIGIENE PESSOAL LTDA</v>
      </c>
      <c r="C1026" s="17" t="n">
        <f aca="false">Report!U1333</f>
        <v>2621.73</v>
      </c>
      <c r="D1026" s="1" t="str">
        <f aca="false">Report!X1333</f>
        <v>5431-D/D  NF8403 - MILKA</v>
      </c>
    </row>
    <row r="1027" customFormat="false" ht="12.75" hidden="false" customHeight="true" outlineLevel="0" collapsed="false">
      <c r="A1027" s="16" t="n">
        <f aca="false">Report!C1334</f>
        <v>46261</v>
      </c>
      <c r="B1027" s="1" t="str">
        <f aca="false">Report!E1334</f>
        <v>OPPORTUNITY ALIMENTOS PARA ANIMAIS LTDA</v>
      </c>
      <c r="C1027" s="17" t="n">
        <f aca="false">Report!U1334</f>
        <v>2006</v>
      </c>
      <c r="D1027" s="1" t="str">
        <f aca="false">Report!X1334</f>
        <v>NF 34663-2 MILKA</v>
      </c>
    </row>
    <row r="1028" customFormat="false" ht="12.75" hidden="false" customHeight="true" outlineLevel="0" collapsed="false">
      <c r="A1028" s="16" t="n">
        <f aca="false">Report!C1335</f>
        <v>46261</v>
      </c>
      <c r="B1028" s="1" t="str">
        <f aca="false">Report!E1335</f>
        <v>PRIME PET DISTRIBUIDORA LTDA</v>
      </c>
      <c r="C1028" s="17" t="n">
        <f aca="false">Report!U1335</f>
        <v>911.85</v>
      </c>
      <c r="D1028" s="1" t="str">
        <f aca="false">Report!X1335</f>
        <v>NF 11134 -02/06  MILKA</v>
      </c>
    </row>
    <row r="1029" customFormat="false" ht="12.75" hidden="false" customHeight="true" outlineLevel="0" collapsed="false">
      <c r="A1029" s="16" t="n">
        <f aca="false">Report!C1336</f>
        <v>46261</v>
      </c>
      <c r="B1029" s="1" t="str">
        <f aca="false">Report!E1336</f>
        <v>SB COMERCIO LTDA</v>
      </c>
      <c r="C1029" s="17" t="n">
        <f aca="false">Report!U1336</f>
        <v>1129.56</v>
      </c>
      <c r="D1029" s="1" t="str">
        <f aca="false">Report!X1336</f>
        <v>NF 1964147-3 MILKA</v>
      </c>
    </row>
    <row r="1030" customFormat="false" ht="12.75" hidden="false" customHeight="true" outlineLevel="0" collapsed="false">
      <c r="A1030" s="16" t="n">
        <f aca="false">Report!C1338</f>
        <v>46262</v>
      </c>
      <c r="B1030" s="1" t="str">
        <f aca="false">Report!E1338</f>
        <v>OPPORTUNITY ALIMENTOS PARA ANIMAIS LTDA</v>
      </c>
      <c r="C1030" s="17" t="n">
        <f aca="false">Report!U1338</f>
        <v>629.55</v>
      </c>
      <c r="D1030" s="1" t="str">
        <f aca="false">Report!X1338</f>
        <v>NF 34855 - MILKA</v>
      </c>
    </row>
    <row r="1031" customFormat="false" ht="12.75" hidden="false" customHeight="true" outlineLevel="0" collapsed="false">
      <c r="A1031" s="16" t="n">
        <f aca="false">Report!C1342</f>
        <v>46265</v>
      </c>
      <c r="B1031" s="1" t="str">
        <f aca="false">Report!E1342</f>
        <v>L S M COMERCIO DE ALIMENTOS E NAVEGACAO</v>
      </c>
      <c r="C1031" s="17" t="n">
        <f aca="false">Report!U1342</f>
        <v>403.5</v>
      </c>
      <c r="D1031" s="1" t="str">
        <f aca="false">Report!X1342</f>
        <v>NF 309757-3 MILKA</v>
      </c>
    </row>
    <row r="1032" customFormat="false" ht="12.75" hidden="false" customHeight="true" outlineLevel="0" collapsed="false">
      <c r="A1032" s="16" t="n">
        <f aca="false">Report!C1343</f>
        <v>46265</v>
      </c>
      <c r="B1032" s="1" t="str">
        <f aca="false">Report!E1343</f>
        <v>L S M COMERCIO DE ALIMENTOS E NAVEGACAO</v>
      </c>
      <c r="C1032" s="17" t="n">
        <f aca="false">Report!U1343</f>
        <v>1633.1</v>
      </c>
      <c r="D1032" s="1" t="str">
        <f aca="false">Report!X1343</f>
        <v>NF 309642-3 MILKA</v>
      </c>
    </row>
    <row r="1033" customFormat="false" ht="12.75" hidden="false" customHeight="true" outlineLevel="0" collapsed="false">
      <c r="A1033" s="16" t="n">
        <f aca="false">Report!C1344</f>
        <v>46266</v>
      </c>
      <c r="B1033" s="1" t="str">
        <f aca="false">Report!E1344</f>
        <v>FUNNY PET DISTRIBUIDORA DE ALIMENTOS PAR</v>
      </c>
      <c r="C1033" s="17" t="n">
        <f aca="false">Report!U1344</f>
        <v>3458.9</v>
      </c>
      <c r="D1033" s="1" t="str">
        <f aca="false">Report!X1344</f>
        <v>NF 21188 -3 MILKA</v>
      </c>
    </row>
    <row r="1034" customFormat="false" ht="12.75" hidden="false" customHeight="true" outlineLevel="0" collapsed="false">
      <c r="A1034" s="16" t="n">
        <f aca="false">Report!C1345</f>
        <v>46266</v>
      </c>
      <c r="B1034" s="1" t="str">
        <f aca="false">Report!E1345</f>
        <v>OPPORTUNITY ALIMENTOS PARA ANIMAIS LTDA</v>
      </c>
      <c r="C1034" s="17" t="n">
        <f aca="false">Report!U1345</f>
        <v>807.05</v>
      </c>
      <c r="D1034" s="1" t="str">
        <f aca="false">Report!X1345</f>
        <v>NF 34737-3 MILKA</v>
      </c>
    </row>
    <row r="1035" customFormat="false" ht="12.75" hidden="false" customHeight="true" outlineLevel="0" collapsed="false">
      <c r="A1035" s="16" t="n">
        <f aca="false">Report!C1347</f>
        <v>46268</v>
      </c>
      <c r="B1035" s="1" t="str">
        <f aca="false">Report!E1347</f>
        <v>PRIME PET DISTRIBUIDORA LTDA</v>
      </c>
      <c r="C1035" s="17" t="n">
        <f aca="false">Report!U1347</f>
        <v>1849.57</v>
      </c>
      <c r="D1035" s="1" t="str">
        <f aca="false">Report!X1347</f>
        <v>NF 11002-05/07 MILKA </v>
      </c>
    </row>
    <row r="1036" customFormat="false" ht="12.75" hidden="false" customHeight="true" outlineLevel="0" collapsed="false">
      <c r="A1036" s="16" t="n">
        <f aca="false">Report!C1354</f>
        <v>46270</v>
      </c>
      <c r="B1036" s="1" t="str">
        <f aca="false">Report!E1354</f>
        <v>OPPORTUNITY ALIMENTOS PARA ANIMAIS LTDA</v>
      </c>
      <c r="C1036" s="17" t="n">
        <f aca="false">Report!U1354</f>
        <v>562.93</v>
      </c>
      <c r="D1036" s="1" t="str">
        <f aca="false">Report!X1354</f>
        <v>NF 34780 - DEBORA</v>
      </c>
    </row>
    <row r="1037" customFormat="false" ht="12.75" hidden="false" customHeight="true" outlineLevel="0" collapsed="false">
      <c r="A1037" s="16" t="n">
        <f aca="false">Report!C1356</f>
        <v>46271</v>
      </c>
      <c r="B1037" s="1" t="str">
        <f aca="false">Report!E1356</f>
        <v>PRIME PET DISTRIBUIDORA LTDA</v>
      </c>
      <c r="C1037" s="17" t="n">
        <f aca="false">Report!U1356</f>
        <v>911.85</v>
      </c>
      <c r="D1037" s="1" t="str">
        <f aca="false">Report!X1356</f>
        <v>NF 11134 -03/06  MILKA</v>
      </c>
    </row>
    <row r="1038" customFormat="false" ht="12.75" hidden="false" customHeight="true" outlineLevel="0" collapsed="false">
      <c r="A1038" s="16" t="n">
        <f aca="false">Report!C1357</f>
        <v>46272</v>
      </c>
      <c r="B1038" s="1" t="str">
        <f aca="false">Report!E1357</f>
        <v>NORTE DISTRIBUIDORA DE ACUMULADORES E AC</v>
      </c>
      <c r="C1038" s="17" t="n">
        <f aca="false">Report!U1357</f>
        <v>306</v>
      </c>
      <c r="D1038" s="1" t="str">
        <f aca="false">Report!X1357</f>
        <v>NF 105914 -2/3 MOURA -  MILKA</v>
      </c>
    </row>
    <row r="1039" customFormat="false" ht="12.75" hidden="false" customHeight="true" outlineLevel="0" collapsed="false">
      <c r="A1039" s="16" t="n">
        <f aca="false">Report!C1358</f>
        <v>46274</v>
      </c>
      <c r="B1039" s="1" t="str">
        <f aca="false">Report!E1358</f>
        <v>FUNNY PET DISTRIBUIDORA DE ALIMENTOS PAR</v>
      </c>
      <c r="C1039" s="17" t="n">
        <f aca="false">Report!U1358</f>
        <v>2186.19</v>
      </c>
      <c r="D1039" s="1" t="str">
        <f aca="false">Report!X1358</f>
        <v>NF 21047-3 MILKA</v>
      </c>
    </row>
    <row r="1040" customFormat="false" ht="12.75" hidden="false" customHeight="true" outlineLevel="0" collapsed="false">
      <c r="A1040" s="16" t="n">
        <f aca="false">Report!C1366</f>
        <v>46275</v>
      </c>
      <c r="B1040" s="1" t="str">
        <f aca="false">Report!E1366</f>
        <v>FUNNY PET DISTRIBUIDORA DE ALIMENTOS PAR</v>
      </c>
      <c r="C1040" s="17" t="n">
        <f aca="false">Report!U1366</f>
        <v>1725.68</v>
      </c>
      <c r="D1040" s="1" t="str">
        <f aca="false">Report!X1366</f>
        <v>NF 20459-1 MILKA</v>
      </c>
    </row>
    <row r="1041" customFormat="false" ht="12.75" hidden="false" customHeight="true" outlineLevel="0" collapsed="false">
      <c r="A1041" s="16" t="n">
        <f aca="false">Report!C1369</f>
        <v>46275</v>
      </c>
      <c r="B1041" s="1" t="str">
        <f aca="false">Report!E1369</f>
        <v>SUPERMERCADOS DB LTDA</v>
      </c>
      <c r="C1041" s="17" t="n">
        <f aca="false">Report!U1369</f>
        <v>319.2</v>
      </c>
      <c r="D1041" s="1" t="str">
        <f aca="false">Report!X1369</f>
        <v>NF51412 / PARC. 02/03  - MILKA</v>
      </c>
    </row>
    <row r="1042" customFormat="false" ht="12.75" hidden="false" customHeight="true" outlineLevel="0" collapsed="false">
      <c r="A1042" s="16" t="n">
        <f aca="false">Report!C1373</f>
        <v>46276</v>
      </c>
      <c r="B1042" s="1" t="str">
        <f aca="false">Report!E1373</f>
        <v>FUNNY PET DISTRIBUIDORA DE ALIMENTOS PAR</v>
      </c>
      <c r="C1042" s="17" t="n">
        <f aca="false">Report!U1373</f>
        <v>8427.07</v>
      </c>
      <c r="D1042" s="1" t="str">
        <f aca="false">Report!X1373</f>
        <v>NF 20498-3 MILKA</v>
      </c>
    </row>
    <row r="1043" customFormat="false" ht="12.75" hidden="false" customHeight="true" outlineLevel="0" collapsed="false">
      <c r="A1043" s="16" t="n">
        <f aca="false">Report!C1374</f>
        <v>46276</v>
      </c>
      <c r="B1043" s="1" t="str">
        <f aca="false">Report!E1374</f>
        <v>SMV COMERCIO DE PRODUTOS ALIMENTICIOS LT</v>
      </c>
      <c r="C1043" s="17" t="n">
        <f aca="false">Report!U1374</f>
        <v>548.94</v>
      </c>
      <c r="D1043" s="1" t="str">
        <f aca="false">Report!X1374</f>
        <v>7226-2/2  NF6933 - MILKA</v>
      </c>
    </row>
    <row r="1044" customFormat="false" ht="12.75" hidden="false" customHeight="true" outlineLevel="0" collapsed="false">
      <c r="A1044" s="16" t="n">
        <f aca="false">Report!C1376</f>
        <v>46278</v>
      </c>
      <c r="B1044" s="1" t="str">
        <f aca="false">Report!E1376</f>
        <v>PRIME PET DISTRIBUIDORA LTDA</v>
      </c>
      <c r="C1044" s="17" t="n">
        <f aca="false">Report!U1376</f>
        <v>1849.44</v>
      </c>
      <c r="D1044" s="1" t="str">
        <f aca="false">Report!X1376</f>
        <v>NF 11002-06/07 MILKA </v>
      </c>
    </row>
    <row r="1045" customFormat="false" ht="12.75" hidden="false" customHeight="true" outlineLevel="0" collapsed="false">
      <c r="A1045" s="16" t="n">
        <f aca="false">Report!C1382</f>
        <v>46281</v>
      </c>
      <c r="B1045" s="1" t="str">
        <f aca="false">Report!E1382</f>
        <v>FUNNY PET DISTRIBUIDORA DE ALIMENTOS PAR</v>
      </c>
      <c r="C1045" s="17" t="n">
        <f aca="false">Report!U1382</f>
        <v>3458.9</v>
      </c>
      <c r="D1045" s="1" t="str">
        <f aca="false">Report!X1382</f>
        <v>NF 21188 -4 MILKA</v>
      </c>
    </row>
    <row r="1046" customFormat="false" ht="12.75" hidden="false" customHeight="true" outlineLevel="0" collapsed="false">
      <c r="A1046" s="16" t="n">
        <f aca="false">Report!C1383</f>
        <v>46281</v>
      </c>
      <c r="B1046" s="1" t="str">
        <f aca="false">Report!E1383</f>
        <v>PRIME PET DISTRIBUIDORA LTDA</v>
      </c>
      <c r="C1046" s="17" t="n">
        <f aca="false">Report!U1383</f>
        <v>911.85</v>
      </c>
      <c r="D1046" s="1" t="str">
        <f aca="false">Report!X1383</f>
        <v>NF 11134 -04/06  MILKA</v>
      </c>
    </row>
    <row r="1047" customFormat="false" ht="12.75" hidden="false" customHeight="true" outlineLevel="0" collapsed="false">
      <c r="A1047" s="16" t="n">
        <f aca="false">Report!C1391</f>
        <v>46286</v>
      </c>
      <c r="B1047" s="1" t="str">
        <f aca="false">Report!E1391</f>
        <v>NORTE DISTRIBUIDORA DE ACUMULADORES E AC</v>
      </c>
      <c r="C1047" s="17" t="n">
        <f aca="false">Report!U1391</f>
        <v>306</v>
      </c>
      <c r="D1047" s="1" t="str">
        <f aca="false">Report!X1391</f>
        <v>NF 105914 -3/3 MOURA -  MILKA</v>
      </c>
    </row>
    <row r="1048" customFormat="false" ht="12.75" hidden="false" customHeight="true" outlineLevel="0" collapsed="false">
      <c r="A1048" s="16" t="n">
        <f aca="false">Report!C1393</f>
        <v>46288</v>
      </c>
      <c r="B1048" s="1" t="str">
        <f aca="false">Report!E1393</f>
        <v>PRIME PET DISTRIBUIDORA LTDA</v>
      </c>
      <c r="C1048" s="17" t="n">
        <f aca="false">Report!U1393</f>
        <v>1849.45</v>
      </c>
      <c r="D1048" s="1" t="str">
        <f aca="false">Report!X1393</f>
        <v>NF 11002-07/07 MILKA </v>
      </c>
    </row>
    <row r="1049" customFormat="false" ht="12.75" hidden="false" customHeight="true" outlineLevel="0" collapsed="false">
      <c r="A1049" s="16" t="n">
        <f aca="false">Report!C1396</f>
        <v>46290</v>
      </c>
      <c r="B1049" s="1" t="str">
        <f aca="false">Report!E1396</f>
        <v>M.R.G COMERCIO DE MAQUINAS EIRELI.</v>
      </c>
      <c r="C1049" s="17" t="n">
        <f aca="false">Report!U1396</f>
        <v>233.35</v>
      </c>
      <c r="D1049" s="1" t="str">
        <f aca="false">Report!X1396</f>
        <v>NF 14298 / 6PARC / REFORMA PADARIA - MILKA</v>
      </c>
    </row>
    <row r="1050" customFormat="false" ht="12.75" hidden="false" customHeight="true" outlineLevel="0" collapsed="false">
      <c r="A1050" s="16" t="n">
        <f aca="false">Report!C1399</f>
        <v>46291</v>
      </c>
      <c r="B1050" s="1" t="str">
        <f aca="false">Report!E1399</f>
        <v>PRIME PET DISTRIBUIDORA LTDA</v>
      </c>
      <c r="C1050" s="17" t="n">
        <f aca="false">Report!U1399</f>
        <v>911.8</v>
      </c>
      <c r="D1050" s="1" t="str">
        <f aca="false">Report!X1399</f>
        <v>NF 11134 -05/06 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1649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1650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1651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1652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1653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1654</v>
      </c>
      <c r="B7" s="17" t="n">
        <f aca="false">SUMIFS(Report!$U:$U,Report!$T:$T,"&lt;&gt;"&amp;"MERCADORIAS P/REVENDA",Report!$C:$C,"&gt;="&amp;DATE(2026,6,1),Report!$C:$C,"&lt;="&amp;DATE(2026,6,30))</f>
        <v>70274.38</v>
      </c>
      <c r="C7" s="17" t="n">
        <f aca="false">SUMIFS(Report!$U:$U,Report!$T:$T,"MERCADORIAS P/REVENDA",Report!$C:$C,"&gt;="&amp;DATE(2026,6,1),Report!$C:$C,"&lt;="&amp;DATE(2026,6,30))</f>
        <v>96773.14</v>
      </c>
      <c r="D7" s="17" t="n">
        <f aca="false">B7+C7</f>
        <v>167047.52</v>
      </c>
    </row>
    <row r="8" customFormat="false" ht="12.75" hidden="false" customHeight="true" outlineLevel="0" collapsed="false">
      <c r="A8" s="25" t="s">
        <v>1655</v>
      </c>
      <c r="B8" s="17" t="n">
        <f aca="false">SUMIFS(Report!$U:$U,Report!$T:$T,"&lt;&gt;"&amp;"MERCADORIAS P/REVENDA",Report!$C:$C,"&gt;="&amp;DATE(2026,7,1),Report!$C:$C,"&lt;="&amp;DATE(2026,7,31))</f>
        <v>372417.76</v>
      </c>
      <c r="C8" s="17" t="n">
        <f aca="false">SUMIFS(Report!$U:$U,Report!$T:$T,"MERCADORIAS P/REVENDA",Report!$C:$C,"&gt;="&amp;DATE(2026,7,1),Report!$C:$C,"&lt;="&amp;DATE(2026,7,31))</f>
        <v>907315.63</v>
      </c>
      <c r="D8" s="17" t="n">
        <f aca="false">B8+C8</f>
        <v>1279733.39</v>
      </c>
    </row>
    <row r="9" customFormat="false" ht="12.75" hidden="false" customHeight="true" outlineLevel="0" collapsed="false">
      <c r="A9" s="25" t="s">
        <v>1656</v>
      </c>
      <c r="B9" s="17" t="n">
        <f aca="false">SUMIFS(Report!$U:$U,Report!$T:$T,"&lt;&gt;"&amp;"MERCADORIAS P/REVENDA",Report!$C:$C,"&gt;="&amp;DATE(2026,8,1),Report!$C:$C,"&lt;="&amp;DATE(2026,8,31))</f>
        <v>495751.21</v>
      </c>
      <c r="C9" s="17" t="n">
        <f aca="false">SUMIFS(Report!$U:$U,Report!$T:$T,"MERCADORIAS P/REVENDA",Report!$C:$C,"&gt;="&amp;DATE(2026,8,1),Report!$C:$C,"&lt;="&amp;DATE(2026,8,31))</f>
        <v>397935.03</v>
      </c>
      <c r="D9" s="17" t="n">
        <f aca="false">B9+C9</f>
        <v>893686.24</v>
      </c>
    </row>
    <row r="10" customFormat="false" ht="12.75" hidden="false" customHeight="true" outlineLevel="0" collapsed="false">
      <c r="A10" s="25" t="s">
        <v>1657</v>
      </c>
      <c r="B10" s="17" t="n">
        <f aca="false">SUMIFS(Report!$U:$U,Report!$T:$T,"&lt;&gt;"&amp;"MERCADORIAS P/REVENDA",Report!$C:$C,"&gt;="&amp;DATE(2026,9,1),Report!$C:$C,"&lt;="&amp;DATE(2026,9,30))</f>
        <v>93515.86</v>
      </c>
      <c r="C10" s="17" t="n">
        <f aca="false">SUMIFS(Report!$U:$U,Report!$T:$T,"MERCADORIAS P/REVENDA",Report!$C:$C,"&gt;="&amp;DATE(2026,9,1),Report!$C:$C,"&lt;="&amp;DATE(2026,9,30))</f>
        <v>30624.17</v>
      </c>
      <c r="D10" s="17" t="n">
        <f aca="false">B10+C10</f>
        <v>124140.03</v>
      </c>
    </row>
    <row r="11" customFormat="false" ht="12.75" hidden="false" customHeight="true" outlineLevel="0" collapsed="false">
      <c r="A11" s="25" t="s">
        <v>1658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1659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1660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1661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1662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1663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1664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1665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1666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1667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1668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1669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1670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1671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1672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1673</v>
      </c>
      <c r="B26" s="24" t="n">
        <f aca="false">SUM(B2:B25)</f>
        <v>1031959.21</v>
      </c>
      <c r="C26" s="24" t="n">
        <f aca="false">SUM(C2:C25)</f>
        <v>1432647.97</v>
      </c>
      <c r="D26" s="24" t="n">
        <f aca="false">SUM(D2:D25)</f>
        <v>2464607.18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1674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4" t="s">
        <v>1675</v>
      </c>
      <c r="AA2" s="23"/>
      <c r="AB2" s="23" t="s">
        <v>1676</v>
      </c>
      <c r="AC2" s="23" t="s">
        <v>1677</v>
      </c>
      <c r="AE2" s="1" t="s">
        <v>1678</v>
      </c>
    </row>
    <row r="3" customFormat="false" ht="12.75" hidden="false" customHeight="true" outlineLevel="0" collapsed="false">
      <c r="A3" s="23" t="s">
        <v>1679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167047.52</v>
      </c>
      <c r="H3" s="24" t="n">
        <f aca="false">SUMIFS(Report!$U:$U,Report!$C:$C,"&gt;="&amp;DATE(2026,7,1),Report!$C:$C,"&lt;="&amp;DATE(2026,7,31))</f>
        <v>1279733.39</v>
      </c>
      <c r="I3" s="24" t="n">
        <f aca="false">SUMIFS(Report!$U:$U,Report!$C:$C,"&gt;="&amp;DATE(2026,8,1),Report!$C:$C,"&lt;="&amp;DATE(2026,8,31))</f>
        <v>893686.24</v>
      </c>
      <c r="J3" s="24" t="n">
        <f aca="false">SUMIFS(Report!$U:$U,Report!$C:$C,"&gt;="&amp;DATE(2026,9,1),Report!$C:$C,"&lt;="&amp;DATE(2026,9,30))</f>
        <v>124140.03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2464607.18</v>
      </c>
      <c r="AB3" s="1" t="s">
        <v>623</v>
      </c>
      <c r="AC3" s="1" t="s">
        <v>1680</v>
      </c>
      <c r="AE3" s="1" t="s">
        <v>1609</v>
      </c>
    </row>
    <row r="4" customFormat="false" ht="12.75" hidden="false" customHeight="true" outlineLevel="0" collapsed="false">
      <c r="A4" s="1" t="s">
        <v>1681</v>
      </c>
      <c r="B4" s="17" t="n">
        <f aca="false">SUMIFS(Report!$U:$U,Report!$Z:$Z,"Cobertura de conta",Report!$C:$C,"&gt;="&amp;DATE(2026,1,1),Report!$C:$C,"&lt;="&amp;DATE(2026,1,31))</f>
        <v>0</v>
      </c>
      <c r="C4" s="17" t="n">
        <f aca="false">SUMIFS(Report!$U:$U,Report!$Z:$Z,"Cobertura de conta",Report!$C:$C,"&gt;="&amp;DATE(2026,2,1),Report!$C:$C,"&lt;="&amp;DATE(2026,2,28))</f>
        <v>0</v>
      </c>
      <c r="D4" s="17" t="n">
        <f aca="false">SUMIFS(Report!$U:$U,Report!$Z:$Z,"Cobertura de conta",Report!$C:$C,"&gt;="&amp;DATE(2026,3,1),Report!$C:$C,"&lt;="&amp;DATE(2026,3,31))</f>
        <v>0</v>
      </c>
      <c r="E4" s="17" t="n">
        <f aca="false">SUMIFS(Report!$U:$U,Report!$Z:$Z,"Cobertura de conta",Report!$C:$C,"&gt;="&amp;DATE(2026,4,1),Report!$C:$C,"&lt;="&amp;DATE(2026,4,30))</f>
        <v>0</v>
      </c>
      <c r="F4" s="17" t="n">
        <f aca="false">SUMIFS(Report!$U:$U,Report!$Z:$Z,"Cobertura de conta",Report!$C:$C,"&gt;="&amp;DATE(2026,5,1),Report!$C:$C,"&lt;="&amp;DATE(2026,5,31))</f>
        <v>0</v>
      </c>
      <c r="G4" s="17" t="n">
        <f aca="false">SUMIFS(Report!$U:$U,Report!$Z:$Z,"Cobertura de conta",Report!$C:$C,"&gt;="&amp;DATE(2026,6,1),Report!$C:$C,"&lt;="&amp;DATE(2026,6,30))</f>
        <v>0</v>
      </c>
      <c r="H4" s="17" t="n">
        <f aca="false">SUMIFS(Report!$U:$U,Report!$Z:$Z,"Cobertura de conta",Report!$C:$C,"&gt;="&amp;DATE(2026,7,1),Report!$C:$C,"&lt;="&amp;DATE(2026,7,31))</f>
        <v>1021.6</v>
      </c>
      <c r="I4" s="17" t="n">
        <f aca="false">SUMIFS(Report!$U:$U,Report!$Z:$Z,"Cobertura de conta",Report!$C:$C,"&gt;="&amp;DATE(2026,8,1),Report!$C:$C,"&lt;="&amp;DATE(2026,8,31))</f>
        <v>399.1</v>
      </c>
      <c r="J4" s="17" t="n">
        <f aca="false">SUMIFS(Report!$U:$U,Report!$Z:$Z,"Cobertura de conta",Report!$C:$C,"&gt;="&amp;DATE(2026,9,1),Report!$C:$C,"&lt;="&amp;DATE(2026,9,30))</f>
        <v>399.1</v>
      </c>
      <c r="K4" s="17" t="n">
        <f aca="false">SUMIFS(Report!$U:$U,Report!$Z:$Z,"Cobertura de conta",Report!$C:$C,"&gt;="&amp;DATE(2026,10,1),Report!$C:$C,"&lt;="&amp;DATE(2026,10,31))</f>
        <v>0</v>
      </c>
      <c r="L4" s="17" t="n">
        <f aca="false">SUMIFS(Report!$U:$U,Report!$Z:$Z,"Cobertura de conta",Report!$C:$C,"&gt;="&amp;DATE(2026,11,1),Report!$C:$C,"&lt;="&amp;DATE(2026,11,30))</f>
        <v>0</v>
      </c>
      <c r="M4" s="17" t="n">
        <f aca="false">SUMIFS(Report!$U:$U,Report!$Z:$Z,"Cobertura de conta",Report!$C:$C,"&gt;="&amp;DATE(2026,12,1),Report!$C:$C,"&lt;="&amp;DATE(2026,12,31))</f>
        <v>0</v>
      </c>
      <c r="N4" s="17" t="n">
        <f aca="false">SUMIFS(Report!$U:$U,Report!$Z:$Z,"Cobertura de conta",Report!$C:$C,"&gt;="&amp;DATE(2027,1,1),Report!$C:$C,"&lt;="&amp;DATE(2027,1,31))</f>
        <v>0</v>
      </c>
      <c r="O4" s="17" t="n">
        <f aca="false">SUMIFS(Report!$U:$U,Report!$Z:$Z,"Cobertura de conta",Report!$C:$C,"&gt;="&amp;DATE(2027,2,1),Report!$C:$C,"&lt;="&amp;DATE(2027,2,28))</f>
        <v>0</v>
      </c>
      <c r="P4" s="17" t="n">
        <f aca="false">SUMIFS(Report!$U:$U,Report!$Z:$Z,"Cobertura de conta",Report!$C:$C,"&gt;="&amp;DATE(2027,3,1),Report!$C:$C,"&lt;="&amp;DATE(2027,3,31))</f>
        <v>0</v>
      </c>
      <c r="Q4" s="17" t="n">
        <f aca="false">SUMIFS(Report!$U:$U,Report!$Z:$Z,"Cobertura de conta",Report!$C:$C,"&gt;="&amp;DATE(2027,4,1),Report!$C:$C,"&lt;="&amp;DATE(2027,4,30))</f>
        <v>0</v>
      </c>
      <c r="R4" s="17" t="n">
        <f aca="false">SUMIFS(Report!$U:$U,Report!$Z:$Z,"Cobertura de conta",Report!$C:$C,"&gt;="&amp;DATE(2027,5,1),Report!$C:$C,"&lt;="&amp;DATE(2027,5,31))</f>
        <v>0</v>
      </c>
      <c r="S4" s="17" t="n">
        <f aca="false">SUMIFS(Report!$U:$U,Report!$Z:$Z,"Cobertura de conta",Report!$C:$C,"&gt;="&amp;DATE(2027,6,1),Report!$C:$C,"&lt;="&amp;DATE(2027,6,30))</f>
        <v>0</v>
      </c>
      <c r="T4" s="17" t="n">
        <f aca="false">SUMIFS(Report!$U:$U,Report!$Z:$Z,"Cobertura de conta",Report!$C:$C,"&gt;="&amp;DATE(2027,7,1),Report!$C:$C,"&lt;="&amp;DATE(2027,7,31))</f>
        <v>0</v>
      </c>
      <c r="U4" s="17" t="n">
        <f aca="false">SUMIFS(Report!$U:$U,Report!$Z:$Z,"Cobertura de conta",Report!$C:$C,"&gt;="&amp;DATE(2027,8,1),Report!$C:$C,"&lt;="&amp;DATE(2027,8,31))</f>
        <v>0</v>
      </c>
      <c r="V4" s="17" t="n">
        <f aca="false">SUMIFS(Report!$U:$U,Report!$Z:$Z,"Cobertura de conta",Report!$C:$C,"&gt;="&amp;DATE(2027,9,1),Report!$C:$C,"&lt;="&amp;DATE(2027,9,30))</f>
        <v>0</v>
      </c>
      <c r="W4" s="17" t="n">
        <f aca="false">SUMIFS(Report!$U:$U,Report!$Z:$Z,"Cobertura de conta",Report!$C:$C,"&gt;="&amp;DATE(2027,10,1),Report!$C:$C,"&lt;="&amp;DATE(2027,10,31))</f>
        <v>0</v>
      </c>
      <c r="X4" s="17" t="n">
        <f aca="false">SUMIFS(Report!$U:$U,Report!$Z:$Z,"Cobertura de conta",Report!$C:$C,"&gt;="&amp;DATE(2027,11,1),Report!$C:$C,"&lt;="&amp;DATE(2027,11,30))</f>
        <v>0</v>
      </c>
      <c r="Y4" s="17" t="n">
        <f aca="false">SUMIFS(Report!$U:$U,Report!$Z:$Z,"Cobertura de conta",Report!$C:$C,"&gt;="&amp;DATE(2027,12,1),Report!$C:$C,"&lt;="&amp;DATE(2027,12,31))</f>
        <v>0</v>
      </c>
      <c r="Z4" s="17" t="n">
        <f aca="false">SUM(B4:Y4)</f>
        <v>1819.8</v>
      </c>
      <c r="AB4" s="1" t="s">
        <v>150</v>
      </c>
      <c r="AC4" s="1" t="s">
        <v>1680</v>
      </c>
    </row>
    <row r="5" customFormat="false" ht="12.75" hidden="false" customHeight="true" outlineLevel="0" collapsed="false">
      <c r="A5" s="1" t="s">
        <v>1680</v>
      </c>
      <c r="B5" s="17" t="n">
        <f aca="false">SUMIFS(Report!$U:$U,Report!$Z:$Z,"Despesa",Report!$C:$C,"&gt;="&amp;DATE(2026,1,1),Report!$C:$C,"&lt;="&amp;DATE(2026,1,31))</f>
        <v>0</v>
      </c>
      <c r="C5" s="17" t="n">
        <f aca="false">SUMIFS(Report!$U:$U,Report!$Z:$Z,"Despesa",Report!$C:$C,"&gt;="&amp;DATE(2026,2,1),Report!$C:$C,"&lt;="&amp;DATE(2026,2,28))</f>
        <v>0</v>
      </c>
      <c r="D5" s="17" t="n">
        <f aca="false">SUMIFS(Report!$U:$U,Report!$Z:$Z,"Despesa",Report!$C:$C,"&gt;="&amp;DATE(2026,3,1),Report!$C:$C,"&lt;="&amp;DATE(2026,3,31))</f>
        <v>0</v>
      </c>
      <c r="E5" s="17" t="n">
        <f aca="false">SUMIFS(Report!$U:$U,Report!$Z:$Z,"Despesa",Report!$C:$C,"&gt;="&amp;DATE(2026,4,1),Report!$C:$C,"&lt;="&amp;DATE(2026,4,30))</f>
        <v>0</v>
      </c>
      <c r="F5" s="17" t="n">
        <f aca="false">SUMIFS(Report!$U:$U,Report!$Z:$Z,"Despesa",Report!$C:$C,"&gt;="&amp;DATE(2026,5,1),Report!$C:$C,"&lt;="&amp;DATE(2026,5,31))</f>
        <v>0</v>
      </c>
      <c r="G5" s="17" t="n">
        <f aca="false">SUMIFS(Report!$U:$U,Report!$Z:$Z,"Despesa",Report!$C:$C,"&gt;="&amp;DATE(2026,6,1),Report!$C:$C,"&lt;="&amp;DATE(2026,6,30))</f>
        <v>4756.53</v>
      </c>
      <c r="H5" s="17" t="n">
        <f aca="false">SUMIFS(Report!$U:$U,Report!$Z:$Z,"Despesa",Report!$C:$C,"&gt;="&amp;DATE(2026,7,1),Report!$C:$C,"&lt;="&amp;DATE(2026,7,31))</f>
        <v>79596.72</v>
      </c>
      <c r="I5" s="17" t="n">
        <f aca="false">SUMIFS(Report!$U:$U,Report!$Z:$Z,"Despesa",Report!$C:$C,"&gt;="&amp;DATE(2026,8,1),Report!$C:$C,"&lt;="&amp;DATE(2026,8,31))</f>
        <v>42813.38</v>
      </c>
      <c r="J5" s="17" t="n">
        <f aca="false">SUMIFS(Report!$U:$U,Report!$Z:$Z,"Despesa",Report!$C:$C,"&gt;="&amp;DATE(2026,9,1),Report!$C:$C,"&lt;="&amp;DATE(2026,9,30))</f>
        <v>20119.05</v>
      </c>
      <c r="K5" s="17" t="n">
        <f aca="false">SUMIFS(Report!$U:$U,Report!$Z:$Z,"Despesa",Report!$C:$C,"&gt;="&amp;DATE(2026,10,1),Report!$C:$C,"&lt;="&amp;DATE(2026,10,31))</f>
        <v>0</v>
      </c>
      <c r="L5" s="17" t="n">
        <f aca="false">SUMIFS(Report!$U:$U,Report!$Z:$Z,"Despesa",Report!$C:$C,"&gt;="&amp;DATE(2026,11,1),Report!$C:$C,"&lt;="&amp;DATE(2026,11,30))</f>
        <v>0</v>
      </c>
      <c r="M5" s="17" t="n">
        <f aca="false">SUMIFS(Report!$U:$U,Report!$Z:$Z,"Despesa",Report!$C:$C,"&gt;="&amp;DATE(2026,12,1),Report!$C:$C,"&lt;="&amp;DATE(2026,12,31))</f>
        <v>0</v>
      </c>
      <c r="N5" s="17" t="n">
        <f aca="false">SUMIFS(Report!$U:$U,Report!$Z:$Z,"Despesa",Report!$C:$C,"&gt;="&amp;DATE(2027,1,1),Report!$C:$C,"&lt;="&amp;DATE(2027,1,31))</f>
        <v>0</v>
      </c>
      <c r="O5" s="17" t="n">
        <f aca="false">SUMIFS(Report!$U:$U,Report!$Z:$Z,"Despesa",Report!$C:$C,"&gt;="&amp;DATE(2027,2,1),Report!$C:$C,"&lt;="&amp;DATE(2027,2,28))</f>
        <v>0</v>
      </c>
      <c r="P5" s="17" t="n">
        <f aca="false">SUMIFS(Report!$U:$U,Report!$Z:$Z,"Despesa",Report!$C:$C,"&gt;="&amp;DATE(2027,3,1),Report!$C:$C,"&lt;="&amp;DATE(2027,3,31))</f>
        <v>0</v>
      </c>
      <c r="Q5" s="17" t="n">
        <f aca="false">SUMIFS(Report!$U:$U,Report!$Z:$Z,"Despesa",Report!$C:$C,"&gt;="&amp;DATE(2027,4,1),Report!$C:$C,"&lt;="&amp;DATE(2027,4,30))</f>
        <v>0</v>
      </c>
      <c r="R5" s="17" t="n">
        <f aca="false">SUMIFS(Report!$U:$U,Report!$Z:$Z,"Despesa",Report!$C:$C,"&gt;="&amp;DATE(2027,5,1),Report!$C:$C,"&lt;="&amp;DATE(2027,5,31))</f>
        <v>0</v>
      </c>
      <c r="S5" s="17" t="n">
        <f aca="false">SUMIFS(Report!$U:$U,Report!$Z:$Z,"Despesa",Report!$C:$C,"&gt;="&amp;DATE(2027,6,1),Report!$C:$C,"&lt;="&amp;DATE(2027,6,30))</f>
        <v>0</v>
      </c>
      <c r="T5" s="17" t="n">
        <f aca="false">SUMIFS(Report!$U:$U,Report!$Z:$Z,"Despesa",Report!$C:$C,"&gt;="&amp;DATE(2027,7,1),Report!$C:$C,"&lt;="&amp;DATE(2027,7,31))</f>
        <v>0</v>
      </c>
      <c r="U5" s="17" t="n">
        <f aca="false">SUMIFS(Report!$U:$U,Report!$Z:$Z,"Despesa",Report!$C:$C,"&gt;="&amp;DATE(2027,8,1),Report!$C:$C,"&lt;="&amp;DATE(2027,8,31))</f>
        <v>0</v>
      </c>
      <c r="V5" s="17" t="n">
        <f aca="false">SUMIFS(Report!$U:$U,Report!$Z:$Z,"Despesa",Report!$C:$C,"&gt;="&amp;DATE(2027,9,1),Report!$C:$C,"&lt;="&amp;DATE(2027,9,30))</f>
        <v>0</v>
      </c>
      <c r="W5" s="17" t="n">
        <f aca="false">SUMIFS(Report!$U:$U,Report!$Z:$Z,"Despesa",Report!$C:$C,"&gt;="&amp;DATE(2027,10,1),Report!$C:$C,"&lt;="&amp;DATE(2027,10,31))</f>
        <v>0</v>
      </c>
      <c r="X5" s="17" t="n">
        <f aca="false">SUMIFS(Report!$U:$U,Report!$Z:$Z,"Despesa",Report!$C:$C,"&gt;="&amp;DATE(2027,11,1),Report!$C:$C,"&lt;="&amp;DATE(2027,11,30))</f>
        <v>0</v>
      </c>
      <c r="Y5" s="17" t="n">
        <f aca="false">SUMIFS(Report!$U:$U,Report!$Z:$Z,"Despesa",Report!$C:$C,"&gt;="&amp;DATE(2027,12,1),Report!$C:$C,"&lt;="&amp;DATE(2027,12,31))</f>
        <v>0</v>
      </c>
      <c r="Z5" s="17" t="n">
        <f aca="false">SUM(B5:Y5)</f>
        <v>147285.68</v>
      </c>
      <c r="AB5" s="1" t="s">
        <v>402</v>
      </c>
      <c r="AC5" s="1" t="s">
        <v>1680</v>
      </c>
    </row>
    <row r="6" customFormat="false" ht="12.75" hidden="false" customHeight="true" outlineLevel="0" collapsed="false">
      <c r="A6" s="1" t="s">
        <v>1682</v>
      </c>
      <c r="B6" s="17" t="n">
        <f aca="false">SUMIFS(Report!$U:$U,Report!$Z:$Z,"Empréstimo",Report!$C:$C,"&gt;="&amp;DATE(2026,1,1),Report!$C:$C,"&lt;="&amp;DATE(2026,1,31))</f>
        <v>0</v>
      </c>
      <c r="C6" s="17" t="n">
        <f aca="false">SUMIFS(Report!$U:$U,Report!$Z:$Z,"Empréstimo",Report!$C:$C,"&gt;="&amp;DATE(2026,2,1),Report!$C:$C,"&lt;="&amp;DATE(2026,2,28))</f>
        <v>0</v>
      </c>
      <c r="D6" s="17" t="n">
        <f aca="false">SUMIFS(Report!$U:$U,Report!$Z:$Z,"Empréstimo",Report!$C:$C,"&gt;="&amp;DATE(2026,3,1),Report!$C:$C,"&lt;="&amp;DATE(2026,3,31))</f>
        <v>0</v>
      </c>
      <c r="E6" s="17" t="n">
        <f aca="false">SUMIFS(Report!$U:$U,Report!$Z:$Z,"Empréstimo",Report!$C:$C,"&gt;="&amp;DATE(2026,4,1),Report!$C:$C,"&lt;="&amp;DATE(2026,4,30))</f>
        <v>0</v>
      </c>
      <c r="F6" s="17" t="n">
        <f aca="false">SUMIFS(Report!$U:$U,Report!$Z:$Z,"Empréstimo",Report!$C:$C,"&gt;="&amp;DATE(2026,5,1),Report!$C:$C,"&lt;="&amp;DATE(2026,5,31))</f>
        <v>0</v>
      </c>
      <c r="G6" s="17" t="n">
        <f aca="false">SUMIFS(Report!$U:$U,Report!$Z:$Z,"Empréstimo",Report!$C:$C,"&gt;="&amp;DATE(2026,6,1),Report!$C:$C,"&lt;="&amp;DATE(2026,6,30))</f>
        <v>0</v>
      </c>
      <c r="H6" s="17" t="n">
        <f aca="false">SUMIFS(Report!$U:$U,Report!$Z:$Z,"Empréstimo",Report!$C:$C,"&gt;="&amp;DATE(2026,7,1),Report!$C:$C,"&lt;="&amp;DATE(2026,7,31))</f>
        <v>52827.52</v>
      </c>
      <c r="I6" s="17" t="n">
        <f aca="false">SUMIFS(Report!$U:$U,Report!$Z:$Z,"Empréstimo",Report!$C:$C,"&gt;="&amp;DATE(2026,8,1),Report!$C:$C,"&lt;="&amp;DATE(2026,8,31))</f>
        <v>392570.19</v>
      </c>
      <c r="J6" s="17" t="n">
        <f aca="false">SUMIFS(Report!$U:$U,Report!$Z:$Z,"Empréstimo",Report!$C:$C,"&gt;="&amp;DATE(2026,9,1),Report!$C:$C,"&lt;="&amp;DATE(2026,9,30))</f>
        <v>42640.51</v>
      </c>
      <c r="K6" s="17" t="n">
        <f aca="false">SUMIFS(Report!$U:$U,Report!$Z:$Z,"Empréstimo",Report!$C:$C,"&gt;="&amp;DATE(2026,10,1),Report!$C:$C,"&lt;="&amp;DATE(2026,10,31))</f>
        <v>0</v>
      </c>
      <c r="L6" s="17" t="n">
        <f aca="false">SUMIFS(Report!$U:$U,Report!$Z:$Z,"Empréstimo",Report!$C:$C,"&gt;="&amp;DATE(2026,11,1),Report!$C:$C,"&lt;="&amp;DATE(2026,11,30))</f>
        <v>0</v>
      </c>
      <c r="M6" s="17" t="n">
        <f aca="false">SUMIFS(Report!$U:$U,Report!$Z:$Z,"Empréstimo",Report!$C:$C,"&gt;="&amp;DATE(2026,12,1),Report!$C:$C,"&lt;="&amp;DATE(2026,12,31))</f>
        <v>0</v>
      </c>
      <c r="N6" s="17" t="n">
        <f aca="false">SUMIFS(Report!$U:$U,Report!$Z:$Z,"Empréstimo",Report!$C:$C,"&gt;="&amp;DATE(2027,1,1),Report!$C:$C,"&lt;="&amp;DATE(2027,1,31))</f>
        <v>0</v>
      </c>
      <c r="O6" s="17" t="n">
        <f aca="false">SUMIFS(Report!$U:$U,Report!$Z:$Z,"Empréstimo",Report!$C:$C,"&gt;="&amp;DATE(2027,2,1),Report!$C:$C,"&lt;="&amp;DATE(2027,2,28))</f>
        <v>0</v>
      </c>
      <c r="P6" s="17" t="n">
        <f aca="false">SUMIFS(Report!$U:$U,Report!$Z:$Z,"Empréstimo",Report!$C:$C,"&gt;="&amp;DATE(2027,3,1),Report!$C:$C,"&lt;="&amp;DATE(2027,3,31))</f>
        <v>0</v>
      </c>
      <c r="Q6" s="17" t="n">
        <f aca="false">SUMIFS(Report!$U:$U,Report!$Z:$Z,"Empréstimo",Report!$C:$C,"&gt;="&amp;DATE(2027,4,1),Report!$C:$C,"&lt;="&amp;DATE(2027,4,30))</f>
        <v>0</v>
      </c>
      <c r="R6" s="17" t="n">
        <f aca="false">SUMIFS(Report!$U:$U,Report!$Z:$Z,"Empréstimo",Report!$C:$C,"&gt;="&amp;DATE(2027,5,1),Report!$C:$C,"&lt;="&amp;DATE(2027,5,31))</f>
        <v>0</v>
      </c>
      <c r="S6" s="17" t="n">
        <f aca="false">SUMIFS(Report!$U:$U,Report!$Z:$Z,"Empréstimo",Report!$C:$C,"&gt;="&amp;DATE(2027,6,1),Report!$C:$C,"&lt;="&amp;DATE(2027,6,30))</f>
        <v>0</v>
      </c>
      <c r="T6" s="17" t="n">
        <f aca="false">SUMIFS(Report!$U:$U,Report!$Z:$Z,"Empréstimo",Report!$C:$C,"&gt;="&amp;DATE(2027,7,1),Report!$C:$C,"&lt;="&amp;DATE(2027,7,31))</f>
        <v>0</v>
      </c>
      <c r="U6" s="17" t="n">
        <f aca="false">SUMIFS(Report!$U:$U,Report!$Z:$Z,"Empréstimo",Report!$C:$C,"&gt;="&amp;DATE(2027,8,1),Report!$C:$C,"&lt;="&amp;DATE(2027,8,31))</f>
        <v>0</v>
      </c>
      <c r="V6" s="17" t="n">
        <f aca="false">SUMIFS(Report!$U:$U,Report!$Z:$Z,"Empréstimo",Report!$C:$C,"&gt;="&amp;DATE(2027,9,1),Report!$C:$C,"&lt;="&amp;DATE(2027,9,30))</f>
        <v>0</v>
      </c>
      <c r="W6" s="17" t="n">
        <f aca="false">SUMIFS(Report!$U:$U,Report!$Z:$Z,"Empréstimo",Report!$C:$C,"&gt;="&amp;DATE(2027,10,1),Report!$C:$C,"&lt;="&amp;DATE(2027,10,31))</f>
        <v>0</v>
      </c>
      <c r="X6" s="17" t="n">
        <f aca="false">SUMIFS(Report!$U:$U,Report!$Z:$Z,"Empréstimo",Report!$C:$C,"&gt;="&amp;DATE(2027,11,1),Report!$C:$C,"&lt;="&amp;DATE(2027,11,30))</f>
        <v>0</v>
      </c>
      <c r="Y6" s="17" t="n">
        <f aca="false">SUMIFS(Report!$U:$U,Report!$Z:$Z,"Empréstimo",Report!$C:$C,"&gt;="&amp;DATE(2027,12,1),Report!$C:$C,"&lt;="&amp;DATE(2027,12,31))</f>
        <v>0</v>
      </c>
      <c r="Z6" s="17" t="n">
        <f aca="false">SUM(B6:Y6)</f>
        <v>488038.22</v>
      </c>
      <c r="AB6" s="1" t="s">
        <v>947</v>
      </c>
      <c r="AC6" s="1" t="s">
        <v>1681</v>
      </c>
    </row>
    <row r="7" customFormat="false" ht="12.75" hidden="false" customHeight="true" outlineLevel="0" collapsed="false">
      <c r="A7" s="1" t="s">
        <v>1683</v>
      </c>
      <c r="B7" s="17" t="n">
        <f aca="false">SUMIFS(Report!$U:$U,Report!$Z:$Z,"Impostos",Report!$C:$C,"&gt;="&amp;DATE(2026,1,1),Report!$C:$C,"&lt;="&amp;DATE(2026,1,31))</f>
        <v>0</v>
      </c>
      <c r="C7" s="17" t="n">
        <f aca="false">SUMIFS(Report!$U:$U,Report!$Z:$Z,"Impostos",Report!$C:$C,"&gt;="&amp;DATE(2026,2,1),Report!$C:$C,"&lt;="&amp;DATE(2026,2,28))</f>
        <v>0</v>
      </c>
      <c r="D7" s="17" t="n">
        <f aca="false">SUMIFS(Report!$U:$U,Report!$Z:$Z,"Impostos",Report!$C:$C,"&gt;="&amp;DATE(2026,3,1),Report!$C:$C,"&lt;="&amp;DATE(2026,3,31))</f>
        <v>0</v>
      </c>
      <c r="E7" s="17" t="n">
        <f aca="false">SUMIFS(Report!$U:$U,Report!$Z:$Z,"Impostos",Report!$C:$C,"&gt;="&amp;DATE(2026,4,1),Report!$C:$C,"&lt;="&amp;DATE(2026,4,30))</f>
        <v>0</v>
      </c>
      <c r="F7" s="17" t="n">
        <f aca="false">SUMIFS(Report!$U:$U,Report!$Z:$Z,"Impostos",Report!$C:$C,"&gt;="&amp;DATE(2026,5,1),Report!$C:$C,"&lt;="&amp;DATE(2026,5,31))</f>
        <v>0</v>
      </c>
      <c r="G7" s="17" t="n">
        <f aca="false">SUMIFS(Report!$U:$U,Report!$Z:$Z,"Impostos",Report!$C:$C,"&gt;="&amp;DATE(2026,6,1),Report!$C:$C,"&lt;="&amp;DATE(2026,6,30))</f>
        <v>1963.5</v>
      </c>
      <c r="H7" s="17" t="n">
        <f aca="false">SUMIFS(Report!$U:$U,Report!$Z:$Z,"Impostos",Report!$C:$C,"&gt;="&amp;DATE(2026,7,1),Report!$C:$C,"&lt;="&amp;DATE(2026,7,31))</f>
        <v>21611.84</v>
      </c>
      <c r="I7" s="17" t="n">
        <f aca="false">SUMIFS(Report!$U:$U,Report!$Z:$Z,"Impostos",Report!$C:$C,"&gt;="&amp;DATE(2026,8,1),Report!$C:$C,"&lt;="&amp;DATE(2026,8,31))</f>
        <v>320.44</v>
      </c>
      <c r="J7" s="17" t="n">
        <f aca="false">SUMIFS(Report!$U:$U,Report!$Z:$Z,"Impostos",Report!$C:$C,"&gt;="&amp;DATE(2026,9,1),Report!$C:$C,"&lt;="&amp;DATE(2026,9,30))</f>
        <v>320.44</v>
      </c>
      <c r="K7" s="17" t="n">
        <f aca="false">SUMIFS(Report!$U:$U,Report!$Z:$Z,"Impostos",Report!$C:$C,"&gt;="&amp;DATE(2026,10,1),Report!$C:$C,"&lt;="&amp;DATE(2026,10,31))</f>
        <v>0</v>
      </c>
      <c r="L7" s="17" t="n">
        <f aca="false">SUMIFS(Report!$U:$U,Report!$Z:$Z,"Impostos",Report!$C:$C,"&gt;="&amp;DATE(2026,11,1),Report!$C:$C,"&lt;="&amp;DATE(2026,11,30))</f>
        <v>0</v>
      </c>
      <c r="M7" s="17" t="n">
        <f aca="false">SUMIFS(Report!$U:$U,Report!$Z:$Z,"Impostos",Report!$C:$C,"&gt;="&amp;DATE(2026,12,1),Report!$C:$C,"&lt;="&amp;DATE(2026,12,31))</f>
        <v>0</v>
      </c>
      <c r="N7" s="17" t="n">
        <f aca="false">SUMIFS(Report!$U:$U,Report!$Z:$Z,"Impostos",Report!$C:$C,"&gt;="&amp;DATE(2027,1,1),Report!$C:$C,"&lt;="&amp;DATE(2027,1,31))</f>
        <v>0</v>
      </c>
      <c r="O7" s="17" t="n">
        <f aca="false">SUMIFS(Report!$U:$U,Report!$Z:$Z,"Impostos",Report!$C:$C,"&gt;="&amp;DATE(2027,2,1),Report!$C:$C,"&lt;="&amp;DATE(2027,2,28))</f>
        <v>0</v>
      </c>
      <c r="P7" s="17" t="n">
        <f aca="false">SUMIFS(Report!$U:$U,Report!$Z:$Z,"Impostos",Report!$C:$C,"&gt;="&amp;DATE(2027,3,1),Report!$C:$C,"&lt;="&amp;DATE(2027,3,31))</f>
        <v>0</v>
      </c>
      <c r="Q7" s="17" t="n">
        <f aca="false">SUMIFS(Report!$U:$U,Report!$Z:$Z,"Impostos",Report!$C:$C,"&gt;="&amp;DATE(2027,4,1),Report!$C:$C,"&lt;="&amp;DATE(2027,4,30))</f>
        <v>0</v>
      </c>
      <c r="R7" s="17" t="n">
        <f aca="false">SUMIFS(Report!$U:$U,Report!$Z:$Z,"Impostos",Report!$C:$C,"&gt;="&amp;DATE(2027,5,1),Report!$C:$C,"&lt;="&amp;DATE(2027,5,31))</f>
        <v>0</v>
      </c>
      <c r="S7" s="17" t="n">
        <f aca="false">SUMIFS(Report!$U:$U,Report!$Z:$Z,"Impostos",Report!$C:$C,"&gt;="&amp;DATE(2027,6,1),Report!$C:$C,"&lt;="&amp;DATE(2027,6,30))</f>
        <v>0</v>
      </c>
      <c r="T7" s="17" t="n">
        <f aca="false">SUMIFS(Report!$U:$U,Report!$Z:$Z,"Impostos",Report!$C:$C,"&gt;="&amp;DATE(2027,7,1),Report!$C:$C,"&lt;="&amp;DATE(2027,7,31))</f>
        <v>0</v>
      </c>
      <c r="U7" s="17" t="n">
        <f aca="false">SUMIFS(Report!$U:$U,Report!$Z:$Z,"Impostos",Report!$C:$C,"&gt;="&amp;DATE(2027,8,1),Report!$C:$C,"&lt;="&amp;DATE(2027,8,31))</f>
        <v>0</v>
      </c>
      <c r="V7" s="17" t="n">
        <f aca="false">SUMIFS(Report!$U:$U,Report!$Z:$Z,"Impostos",Report!$C:$C,"&gt;="&amp;DATE(2027,9,1),Report!$C:$C,"&lt;="&amp;DATE(2027,9,30))</f>
        <v>0</v>
      </c>
      <c r="W7" s="17" t="n">
        <f aca="false">SUMIFS(Report!$U:$U,Report!$Z:$Z,"Impostos",Report!$C:$C,"&gt;="&amp;DATE(2027,10,1),Report!$C:$C,"&lt;="&amp;DATE(2027,10,31))</f>
        <v>0</v>
      </c>
      <c r="X7" s="17" t="n">
        <f aca="false">SUMIFS(Report!$U:$U,Report!$Z:$Z,"Impostos",Report!$C:$C,"&gt;="&amp;DATE(2027,11,1),Report!$C:$C,"&lt;="&amp;DATE(2027,11,30))</f>
        <v>0</v>
      </c>
      <c r="Y7" s="17" t="n">
        <f aca="false">SUMIFS(Report!$U:$U,Report!$Z:$Z,"Impostos",Report!$C:$C,"&gt;="&amp;DATE(2027,12,1),Report!$C:$C,"&lt;="&amp;DATE(2027,12,31))</f>
        <v>0</v>
      </c>
      <c r="Z7" s="17" t="n">
        <f aca="false">SUM(B7:Y7)</f>
        <v>24216.22</v>
      </c>
      <c r="AB7" s="1" t="s">
        <v>184</v>
      </c>
      <c r="AC7" s="1" t="s">
        <v>1684</v>
      </c>
    </row>
    <row r="8" customFormat="false" ht="12.75" hidden="false" customHeight="true" outlineLevel="0" collapsed="false">
      <c r="A8" s="1" t="s">
        <v>1685</v>
      </c>
      <c r="B8" s="17" t="n">
        <f aca="false">SUMIFS(Report!$U:$U,Report!$Z:$Z,"Mercadoria",Report!$C:$C,"&gt;="&amp;DATE(2026,1,1),Report!$C:$C,"&lt;="&amp;DATE(2026,1,31))</f>
        <v>0</v>
      </c>
      <c r="C8" s="17" t="n">
        <f aca="false">SUMIFS(Report!$U:$U,Report!$Z:$Z,"Mercadoria",Report!$C:$C,"&gt;="&amp;DATE(2026,2,1),Report!$C:$C,"&lt;="&amp;DATE(2026,2,28))</f>
        <v>0</v>
      </c>
      <c r="D8" s="17" t="n">
        <f aca="false">SUMIFS(Report!$U:$U,Report!$Z:$Z,"Mercadoria",Report!$C:$C,"&gt;="&amp;DATE(2026,3,1),Report!$C:$C,"&lt;="&amp;DATE(2026,3,31))</f>
        <v>0</v>
      </c>
      <c r="E8" s="17" t="n">
        <f aca="false">SUMIFS(Report!$U:$U,Report!$Z:$Z,"Mercadoria",Report!$C:$C,"&gt;="&amp;DATE(2026,4,1),Report!$C:$C,"&lt;="&amp;DATE(2026,4,30))</f>
        <v>0</v>
      </c>
      <c r="F8" s="17" t="n">
        <f aca="false">SUMIFS(Report!$U:$U,Report!$Z:$Z,"Mercadoria",Report!$C:$C,"&gt;="&amp;DATE(2026,5,1),Report!$C:$C,"&lt;="&amp;DATE(2026,5,31))</f>
        <v>0</v>
      </c>
      <c r="G8" s="17" t="n">
        <f aca="false">SUMIFS(Report!$U:$U,Report!$Z:$Z,"Mercadoria",Report!$C:$C,"&gt;="&amp;DATE(2026,6,1),Report!$C:$C,"&lt;="&amp;DATE(2026,6,30))</f>
        <v>96773.14</v>
      </c>
      <c r="H8" s="17" t="n">
        <f aca="false">SUMIFS(Report!$U:$U,Report!$Z:$Z,"Mercadoria",Report!$C:$C,"&gt;="&amp;DATE(2026,7,1),Report!$C:$C,"&lt;="&amp;DATE(2026,7,31))</f>
        <v>907315.63</v>
      </c>
      <c r="I8" s="17" t="n">
        <f aca="false">SUMIFS(Report!$U:$U,Report!$Z:$Z,"Mercadoria",Report!$C:$C,"&gt;="&amp;DATE(2026,8,1),Report!$C:$C,"&lt;="&amp;DATE(2026,8,31))</f>
        <v>397935.03</v>
      </c>
      <c r="J8" s="17" t="n">
        <f aca="false">SUMIFS(Report!$U:$U,Report!$Z:$Z,"Mercadoria",Report!$C:$C,"&gt;="&amp;DATE(2026,9,1),Report!$C:$C,"&lt;="&amp;DATE(2026,9,30))</f>
        <v>30624.17</v>
      </c>
      <c r="K8" s="17" t="n">
        <f aca="false">SUMIFS(Report!$U:$U,Report!$Z:$Z,"Mercadoria",Report!$C:$C,"&gt;="&amp;DATE(2026,10,1),Report!$C:$C,"&lt;="&amp;DATE(2026,10,31))</f>
        <v>0</v>
      </c>
      <c r="L8" s="17" t="n">
        <f aca="false">SUMIFS(Report!$U:$U,Report!$Z:$Z,"Mercadoria",Report!$C:$C,"&gt;="&amp;DATE(2026,11,1),Report!$C:$C,"&lt;="&amp;DATE(2026,11,30))</f>
        <v>0</v>
      </c>
      <c r="M8" s="17" t="n">
        <f aca="false">SUMIFS(Report!$U:$U,Report!$Z:$Z,"Mercadoria",Report!$C:$C,"&gt;="&amp;DATE(2026,12,1),Report!$C:$C,"&lt;="&amp;DATE(2026,12,31))</f>
        <v>0</v>
      </c>
      <c r="N8" s="17" t="n">
        <f aca="false">SUMIFS(Report!$U:$U,Report!$Z:$Z,"Mercadoria",Report!$C:$C,"&gt;="&amp;DATE(2027,1,1),Report!$C:$C,"&lt;="&amp;DATE(2027,1,31))</f>
        <v>0</v>
      </c>
      <c r="O8" s="17" t="n">
        <f aca="false">SUMIFS(Report!$U:$U,Report!$Z:$Z,"Mercadoria",Report!$C:$C,"&gt;="&amp;DATE(2027,2,1),Report!$C:$C,"&lt;="&amp;DATE(2027,2,28))</f>
        <v>0</v>
      </c>
      <c r="P8" s="17" t="n">
        <f aca="false">SUMIFS(Report!$U:$U,Report!$Z:$Z,"Mercadoria",Report!$C:$C,"&gt;="&amp;DATE(2027,3,1),Report!$C:$C,"&lt;="&amp;DATE(2027,3,31))</f>
        <v>0</v>
      </c>
      <c r="Q8" s="17" t="n">
        <f aca="false">SUMIFS(Report!$U:$U,Report!$Z:$Z,"Mercadoria",Report!$C:$C,"&gt;="&amp;DATE(2027,4,1),Report!$C:$C,"&lt;="&amp;DATE(2027,4,30))</f>
        <v>0</v>
      </c>
      <c r="R8" s="17" t="n">
        <f aca="false">SUMIFS(Report!$U:$U,Report!$Z:$Z,"Mercadoria",Report!$C:$C,"&gt;="&amp;DATE(2027,5,1),Report!$C:$C,"&lt;="&amp;DATE(2027,5,31))</f>
        <v>0</v>
      </c>
      <c r="S8" s="17" t="n">
        <f aca="false">SUMIFS(Report!$U:$U,Report!$Z:$Z,"Mercadoria",Report!$C:$C,"&gt;="&amp;DATE(2027,6,1),Report!$C:$C,"&lt;="&amp;DATE(2027,6,30))</f>
        <v>0</v>
      </c>
      <c r="T8" s="17" t="n">
        <f aca="false">SUMIFS(Report!$U:$U,Report!$Z:$Z,"Mercadoria",Report!$C:$C,"&gt;="&amp;DATE(2027,7,1),Report!$C:$C,"&lt;="&amp;DATE(2027,7,31))</f>
        <v>0</v>
      </c>
      <c r="U8" s="17" t="n">
        <f aca="false">SUMIFS(Report!$U:$U,Report!$Z:$Z,"Mercadoria",Report!$C:$C,"&gt;="&amp;DATE(2027,8,1),Report!$C:$C,"&lt;="&amp;DATE(2027,8,31))</f>
        <v>0</v>
      </c>
      <c r="V8" s="17" t="n">
        <f aca="false">SUMIFS(Report!$U:$U,Report!$Z:$Z,"Mercadoria",Report!$C:$C,"&gt;="&amp;DATE(2027,9,1),Report!$C:$C,"&lt;="&amp;DATE(2027,9,30))</f>
        <v>0</v>
      </c>
      <c r="W8" s="17" t="n">
        <f aca="false">SUMIFS(Report!$U:$U,Report!$Z:$Z,"Mercadoria",Report!$C:$C,"&gt;="&amp;DATE(2027,10,1),Report!$C:$C,"&lt;="&amp;DATE(2027,10,31))</f>
        <v>0</v>
      </c>
      <c r="X8" s="17" t="n">
        <f aca="false">SUMIFS(Report!$U:$U,Report!$Z:$Z,"Mercadoria",Report!$C:$C,"&gt;="&amp;DATE(2027,11,1),Report!$C:$C,"&lt;="&amp;DATE(2027,11,30))</f>
        <v>0</v>
      </c>
      <c r="Y8" s="17" t="n">
        <f aca="false">SUMIFS(Report!$U:$U,Report!$Z:$Z,"Mercadoria",Report!$C:$C,"&gt;="&amp;DATE(2027,12,1),Report!$C:$C,"&lt;="&amp;DATE(2027,12,31))</f>
        <v>0</v>
      </c>
      <c r="Z8" s="17" t="n">
        <f aca="false">SUM(B8:Y8)</f>
        <v>1432647.97</v>
      </c>
      <c r="AB8" s="1" t="s">
        <v>173</v>
      </c>
      <c r="AC8" s="1" t="s">
        <v>1680</v>
      </c>
    </row>
    <row r="9" customFormat="false" ht="12.75" hidden="false" customHeight="true" outlineLevel="0" collapsed="false">
      <c r="A9" s="1" t="s">
        <v>1686</v>
      </c>
      <c r="B9" s="17" t="n">
        <f aca="false">SUMIFS(Report!$U:$U,Report!$Z:$Z,"Pagamentos outros não operacionais",Report!$C:$C,"&gt;="&amp;DATE(2026,1,1),Report!$C:$C,"&lt;="&amp;DATE(2026,1,31))</f>
        <v>0</v>
      </c>
      <c r="C9" s="17" t="n">
        <f aca="false">SUMIFS(Report!$U:$U,Report!$Z:$Z,"Pagamentos outros não operacionais",Report!$C:$C,"&gt;="&amp;DATE(2026,2,1),Report!$C:$C,"&lt;="&amp;DATE(2026,2,28))</f>
        <v>0</v>
      </c>
      <c r="D9" s="17" t="n">
        <f aca="false">SUMIFS(Report!$U:$U,Report!$Z:$Z,"Pagamentos outros não operacionais",Report!$C:$C,"&gt;="&amp;DATE(2026,3,1),Report!$C:$C,"&lt;="&amp;DATE(2026,3,31))</f>
        <v>0</v>
      </c>
      <c r="E9" s="17" t="n">
        <f aca="false">SUMIFS(Report!$U:$U,Report!$Z:$Z,"Pagamentos outros não operacionais",Report!$C:$C,"&gt;="&amp;DATE(2026,4,1),Report!$C:$C,"&lt;="&amp;DATE(2026,4,30))</f>
        <v>0</v>
      </c>
      <c r="F9" s="17" t="n">
        <f aca="false">SUMIFS(Report!$U:$U,Report!$Z:$Z,"Pagamentos outros não operacionais",Report!$C:$C,"&gt;="&amp;DATE(2026,5,1),Report!$C:$C,"&lt;="&amp;DATE(2026,5,31))</f>
        <v>0</v>
      </c>
      <c r="G9" s="17" t="n">
        <f aca="false">SUMIFS(Report!$U:$U,Report!$Z:$Z,"Pagamentos outros não operacionais",Report!$C:$C,"&gt;="&amp;DATE(2026,6,1),Report!$C:$C,"&lt;="&amp;DATE(2026,6,30))</f>
        <v>58989.34</v>
      </c>
      <c r="H9" s="17" t="n">
        <f aca="false">SUMIFS(Report!$U:$U,Report!$Z:$Z,"Pagamentos outros não operacionais",Report!$C:$C,"&gt;="&amp;DATE(2026,7,1),Report!$C:$C,"&lt;="&amp;DATE(2026,7,31))</f>
        <v>152094.19</v>
      </c>
      <c r="I9" s="17" t="n">
        <f aca="false">SUMIFS(Report!$U:$U,Report!$Z:$Z,"Pagamentos outros não operacionais",Report!$C:$C,"&gt;="&amp;DATE(2026,8,1),Report!$C:$C,"&lt;="&amp;DATE(2026,8,31))</f>
        <v>41532.34</v>
      </c>
      <c r="J9" s="17" t="n">
        <f aca="false">SUMIFS(Report!$U:$U,Report!$Z:$Z,"Pagamentos outros não operacionais",Report!$C:$C,"&gt;="&amp;DATE(2026,9,1),Report!$C:$C,"&lt;="&amp;DATE(2026,9,30))</f>
        <v>23227.61</v>
      </c>
      <c r="K9" s="17" t="n">
        <f aca="false">SUMIFS(Report!$U:$U,Report!$Z:$Z,"Pagamentos outros não operacionais",Report!$C:$C,"&gt;="&amp;DATE(2026,10,1),Report!$C:$C,"&lt;="&amp;DATE(2026,10,31))</f>
        <v>0</v>
      </c>
      <c r="L9" s="17" t="n">
        <f aca="false">SUMIFS(Report!$U:$U,Report!$Z:$Z,"Pagamentos outros não operacionais",Report!$C:$C,"&gt;="&amp;DATE(2026,11,1),Report!$C:$C,"&lt;="&amp;DATE(2026,11,30))</f>
        <v>0</v>
      </c>
      <c r="M9" s="17" t="n">
        <f aca="false">SUMIFS(Report!$U:$U,Report!$Z:$Z,"Pagamentos outros não operacionais",Report!$C:$C,"&gt;="&amp;DATE(2026,12,1),Report!$C:$C,"&lt;="&amp;DATE(2026,12,31))</f>
        <v>0</v>
      </c>
      <c r="N9" s="17" t="n">
        <f aca="false">SUMIFS(Report!$U:$U,Report!$Z:$Z,"Pagamentos outros não operacionais",Report!$C:$C,"&gt;="&amp;DATE(2027,1,1),Report!$C:$C,"&lt;="&amp;DATE(2027,1,31))</f>
        <v>0</v>
      </c>
      <c r="O9" s="17" t="n">
        <f aca="false">SUMIFS(Report!$U:$U,Report!$Z:$Z,"Pagamentos outros não operacionais",Report!$C:$C,"&gt;="&amp;DATE(2027,2,1),Report!$C:$C,"&lt;="&amp;DATE(2027,2,28))</f>
        <v>0</v>
      </c>
      <c r="P9" s="17" t="n">
        <f aca="false">SUMIFS(Report!$U:$U,Report!$Z:$Z,"Pagamentos outros não operacionais",Report!$C:$C,"&gt;="&amp;DATE(2027,3,1),Report!$C:$C,"&lt;="&amp;DATE(2027,3,31))</f>
        <v>0</v>
      </c>
      <c r="Q9" s="17" t="n">
        <f aca="false">SUMIFS(Report!$U:$U,Report!$Z:$Z,"Pagamentos outros não operacionais",Report!$C:$C,"&gt;="&amp;DATE(2027,4,1),Report!$C:$C,"&lt;="&amp;DATE(2027,4,30))</f>
        <v>0</v>
      </c>
      <c r="R9" s="17" t="n">
        <f aca="false">SUMIFS(Report!$U:$U,Report!$Z:$Z,"Pagamentos outros não operacionais",Report!$C:$C,"&gt;="&amp;DATE(2027,5,1),Report!$C:$C,"&lt;="&amp;DATE(2027,5,31))</f>
        <v>0</v>
      </c>
      <c r="S9" s="17" t="n">
        <f aca="false">SUMIFS(Report!$U:$U,Report!$Z:$Z,"Pagamentos outros não operacionais",Report!$C:$C,"&gt;="&amp;DATE(2027,6,1),Report!$C:$C,"&lt;="&amp;DATE(2027,6,30))</f>
        <v>0</v>
      </c>
      <c r="T9" s="17" t="n">
        <f aca="false">SUMIFS(Report!$U:$U,Report!$Z:$Z,"Pagamentos outros não operacionais",Report!$C:$C,"&gt;="&amp;DATE(2027,7,1),Report!$C:$C,"&lt;="&amp;DATE(2027,7,31))</f>
        <v>0</v>
      </c>
      <c r="U9" s="17" t="n">
        <f aca="false">SUMIFS(Report!$U:$U,Report!$Z:$Z,"Pagamentos outros não operacionais",Report!$C:$C,"&gt;="&amp;DATE(2027,8,1),Report!$C:$C,"&lt;="&amp;DATE(2027,8,31))</f>
        <v>0</v>
      </c>
      <c r="V9" s="17" t="n">
        <f aca="false">SUMIFS(Report!$U:$U,Report!$Z:$Z,"Pagamentos outros não operacionais",Report!$C:$C,"&gt;="&amp;DATE(2027,9,1),Report!$C:$C,"&lt;="&amp;DATE(2027,9,30))</f>
        <v>0</v>
      </c>
      <c r="W9" s="17" t="n">
        <f aca="false">SUMIFS(Report!$U:$U,Report!$Z:$Z,"Pagamentos outros não operacionais",Report!$C:$C,"&gt;="&amp;DATE(2027,10,1),Report!$C:$C,"&lt;="&amp;DATE(2027,10,31))</f>
        <v>0</v>
      </c>
      <c r="X9" s="17" t="n">
        <f aca="false">SUMIFS(Report!$U:$U,Report!$Z:$Z,"Pagamentos outros não operacionais",Report!$C:$C,"&gt;="&amp;DATE(2027,11,1),Report!$C:$C,"&lt;="&amp;DATE(2027,11,30))</f>
        <v>0</v>
      </c>
      <c r="Y9" s="17" t="n">
        <f aca="false">SUMIFS(Report!$U:$U,Report!$Z:$Z,"Pagamentos outros não operacionais",Report!$C:$C,"&gt;="&amp;DATE(2027,12,1),Report!$C:$C,"&lt;="&amp;DATE(2027,12,31))</f>
        <v>0</v>
      </c>
      <c r="Z9" s="17" t="n">
        <f aca="false">SUM(B9:Y9)</f>
        <v>275843.48</v>
      </c>
      <c r="AB9" s="1" t="s">
        <v>570</v>
      </c>
      <c r="AC9" s="1" t="s">
        <v>1680</v>
      </c>
    </row>
    <row r="10" customFormat="false" ht="12.75" hidden="false" customHeight="true" outlineLevel="0" collapsed="false">
      <c r="A10" s="1" t="s">
        <v>1684</v>
      </c>
      <c r="B10" s="17" t="n">
        <f aca="false">SUMIFS(Report!$U:$U,Report!$Z:$Z,"Salários",Report!$C:$C,"&gt;="&amp;DATE(2026,1,1),Report!$C:$C,"&lt;="&amp;DATE(2026,1,31))</f>
        <v>0</v>
      </c>
      <c r="C10" s="17" t="n">
        <f aca="false">SUMIFS(Report!$U:$U,Report!$Z:$Z,"Salários",Report!$C:$C,"&gt;="&amp;DATE(2026,2,1),Report!$C:$C,"&lt;="&amp;DATE(2026,2,28))</f>
        <v>0</v>
      </c>
      <c r="D10" s="17" t="n">
        <f aca="false">SUMIFS(Report!$U:$U,Report!$Z:$Z,"Salários",Report!$C:$C,"&gt;="&amp;DATE(2026,3,1),Report!$C:$C,"&lt;="&amp;DATE(2026,3,31))</f>
        <v>0</v>
      </c>
      <c r="E10" s="17" t="n">
        <f aca="false">SUMIFS(Report!$U:$U,Report!$Z:$Z,"Salários",Report!$C:$C,"&gt;="&amp;DATE(2026,4,1),Report!$C:$C,"&lt;="&amp;DATE(2026,4,30))</f>
        <v>0</v>
      </c>
      <c r="F10" s="17" t="n">
        <f aca="false">SUMIFS(Report!$U:$U,Report!$Z:$Z,"Salários",Report!$C:$C,"&gt;="&amp;DATE(2026,5,1),Report!$C:$C,"&lt;="&amp;DATE(2026,5,31))</f>
        <v>0</v>
      </c>
      <c r="G10" s="17" t="n">
        <f aca="false">SUMIFS(Report!$U:$U,Report!$Z:$Z,"Salários",Report!$C:$C,"&gt;="&amp;DATE(2026,6,1),Report!$C:$C,"&lt;="&amp;DATE(2026,6,30))</f>
        <v>4565.01</v>
      </c>
      <c r="H10" s="17" t="n">
        <f aca="false">SUMIFS(Report!$U:$U,Report!$Z:$Z,"Salários",Report!$C:$C,"&gt;="&amp;DATE(2026,7,1),Report!$C:$C,"&lt;="&amp;DATE(2026,7,31))</f>
        <v>65265.89</v>
      </c>
      <c r="I10" s="17" t="n">
        <f aca="false">SUMIFS(Report!$U:$U,Report!$Z:$Z,"Salários",Report!$C:$C,"&gt;="&amp;DATE(2026,8,1),Report!$C:$C,"&lt;="&amp;DATE(2026,8,31))</f>
        <v>18115.76</v>
      </c>
      <c r="J10" s="17" t="n">
        <f aca="false">SUMIFS(Report!$U:$U,Report!$Z:$Z,"Salários",Report!$C:$C,"&gt;="&amp;DATE(2026,9,1),Report!$C:$C,"&lt;="&amp;DATE(2026,9,30))</f>
        <v>6809.15</v>
      </c>
      <c r="K10" s="17" t="n">
        <f aca="false">SUMIFS(Report!$U:$U,Report!$Z:$Z,"Salários",Report!$C:$C,"&gt;="&amp;DATE(2026,10,1),Report!$C:$C,"&lt;="&amp;DATE(2026,10,31))</f>
        <v>0</v>
      </c>
      <c r="L10" s="17" t="n">
        <f aca="false">SUMIFS(Report!$U:$U,Report!$Z:$Z,"Salários",Report!$C:$C,"&gt;="&amp;DATE(2026,11,1),Report!$C:$C,"&lt;="&amp;DATE(2026,11,30))</f>
        <v>0</v>
      </c>
      <c r="M10" s="17" t="n">
        <f aca="false">SUMIFS(Report!$U:$U,Report!$Z:$Z,"Salários",Report!$C:$C,"&gt;="&amp;DATE(2026,12,1),Report!$C:$C,"&lt;="&amp;DATE(2026,12,31))</f>
        <v>0</v>
      </c>
      <c r="N10" s="17" t="n">
        <f aca="false">SUMIFS(Report!$U:$U,Report!$Z:$Z,"Salários",Report!$C:$C,"&gt;="&amp;DATE(2027,1,1),Report!$C:$C,"&lt;="&amp;DATE(2027,1,31))</f>
        <v>0</v>
      </c>
      <c r="O10" s="17" t="n">
        <f aca="false">SUMIFS(Report!$U:$U,Report!$Z:$Z,"Salários",Report!$C:$C,"&gt;="&amp;DATE(2027,2,1),Report!$C:$C,"&lt;="&amp;DATE(2027,2,28))</f>
        <v>0</v>
      </c>
      <c r="P10" s="17" t="n">
        <f aca="false">SUMIFS(Report!$U:$U,Report!$Z:$Z,"Salários",Report!$C:$C,"&gt;="&amp;DATE(2027,3,1),Report!$C:$C,"&lt;="&amp;DATE(2027,3,31))</f>
        <v>0</v>
      </c>
      <c r="Q10" s="17" t="n">
        <f aca="false">SUMIFS(Report!$U:$U,Report!$Z:$Z,"Salários",Report!$C:$C,"&gt;="&amp;DATE(2027,4,1),Report!$C:$C,"&lt;="&amp;DATE(2027,4,30))</f>
        <v>0</v>
      </c>
      <c r="R10" s="17" t="n">
        <f aca="false">SUMIFS(Report!$U:$U,Report!$Z:$Z,"Salários",Report!$C:$C,"&gt;="&amp;DATE(2027,5,1),Report!$C:$C,"&lt;="&amp;DATE(2027,5,31))</f>
        <v>0</v>
      </c>
      <c r="S10" s="17" t="n">
        <f aca="false">SUMIFS(Report!$U:$U,Report!$Z:$Z,"Salários",Report!$C:$C,"&gt;="&amp;DATE(2027,6,1),Report!$C:$C,"&lt;="&amp;DATE(2027,6,30))</f>
        <v>0</v>
      </c>
      <c r="T10" s="17" t="n">
        <f aca="false">SUMIFS(Report!$U:$U,Report!$Z:$Z,"Salários",Report!$C:$C,"&gt;="&amp;DATE(2027,7,1),Report!$C:$C,"&lt;="&amp;DATE(2027,7,31))</f>
        <v>0</v>
      </c>
      <c r="U10" s="17" t="n">
        <f aca="false">SUMIFS(Report!$U:$U,Report!$Z:$Z,"Salários",Report!$C:$C,"&gt;="&amp;DATE(2027,8,1),Report!$C:$C,"&lt;="&amp;DATE(2027,8,31))</f>
        <v>0</v>
      </c>
      <c r="V10" s="17" t="n">
        <f aca="false">SUMIFS(Report!$U:$U,Report!$Z:$Z,"Salários",Report!$C:$C,"&gt;="&amp;DATE(2027,9,1),Report!$C:$C,"&lt;="&amp;DATE(2027,9,30))</f>
        <v>0</v>
      </c>
      <c r="W10" s="17" t="n">
        <f aca="false">SUMIFS(Report!$U:$U,Report!$Z:$Z,"Salários",Report!$C:$C,"&gt;="&amp;DATE(2027,10,1),Report!$C:$C,"&lt;="&amp;DATE(2027,10,31))</f>
        <v>0</v>
      </c>
      <c r="X10" s="17" t="n">
        <f aca="false">SUMIFS(Report!$U:$U,Report!$Z:$Z,"Salários",Report!$C:$C,"&gt;="&amp;DATE(2027,11,1),Report!$C:$C,"&lt;="&amp;DATE(2027,11,30))</f>
        <v>0</v>
      </c>
      <c r="Y10" s="17" t="n">
        <f aca="false">SUMIFS(Report!$U:$U,Report!$Z:$Z,"Salários",Report!$C:$C,"&gt;="&amp;DATE(2027,12,1),Report!$C:$C,"&lt;="&amp;DATE(2027,12,31))</f>
        <v>0</v>
      </c>
      <c r="Z10" s="17" t="n">
        <f aca="false">SUM(B10:Y10)</f>
        <v>94755.81</v>
      </c>
      <c r="AB10" s="1" t="s">
        <v>639</v>
      </c>
      <c r="AC10" s="1" t="s">
        <v>1680</v>
      </c>
    </row>
    <row r="11" customFormat="false" ht="12.75" hidden="false" customHeight="true" outlineLevel="0" collapsed="false">
      <c r="A11" s="1" t="s">
        <v>1687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Z3-SUM(Z4:Z10)</f>
        <v>0</v>
      </c>
      <c r="AB11" s="1" t="s">
        <v>153</v>
      </c>
      <c r="AC11" s="1" t="s">
        <v>1681</v>
      </c>
    </row>
    <row r="12" customFormat="false" ht="12.75" hidden="false" customHeight="true" outlineLevel="0" collapsed="false">
      <c r="AB12" s="1" t="s">
        <v>1103</v>
      </c>
      <c r="AC12" s="1" t="s">
        <v>1680</v>
      </c>
    </row>
    <row r="13" customFormat="false" ht="12.75" hidden="false" customHeight="true" outlineLevel="0" collapsed="false">
      <c r="AB13" s="1" t="s">
        <v>1331</v>
      </c>
      <c r="AC13" s="1" t="s">
        <v>1680</v>
      </c>
    </row>
    <row r="14" customFormat="false" ht="12.75" hidden="false" customHeight="true" outlineLevel="0" collapsed="false">
      <c r="AB14" s="1" t="s">
        <v>1596</v>
      </c>
      <c r="AC14" s="1" t="s">
        <v>1680</v>
      </c>
    </row>
    <row r="15" customFormat="false" ht="12.75" hidden="false" customHeight="true" outlineLevel="0" collapsed="false">
      <c r="AB15" s="1" t="s">
        <v>114</v>
      </c>
      <c r="AC15" s="1" t="s">
        <v>1680</v>
      </c>
    </row>
    <row r="16" customFormat="false" ht="12.75" hidden="false" customHeight="true" outlineLevel="0" collapsed="false">
      <c r="AB16" s="1" t="s">
        <v>576</v>
      </c>
      <c r="AC16" s="1" t="s">
        <v>1680</v>
      </c>
    </row>
    <row r="17" customFormat="false" ht="12.75" hidden="false" customHeight="true" outlineLevel="0" collapsed="false">
      <c r="AB17" s="1" t="s">
        <v>573</v>
      </c>
      <c r="AC17" s="1" t="s">
        <v>1680</v>
      </c>
    </row>
    <row r="18" customFormat="false" ht="12.75" hidden="false" customHeight="true" outlineLevel="0" collapsed="false">
      <c r="AB18" s="1" t="s">
        <v>471</v>
      </c>
      <c r="AC18" s="1" t="s">
        <v>1680</v>
      </c>
    </row>
    <row r="19" customFormat="false" ht="12.75" hidden="false" customHeight="true" outlineLevel="0" collapsed="false">
      <c r="AB19" s="1" t="s">
        <v>281</v>
      </c>
      <c r="AC19" s="1" t="s">
        <v>1682</v>
      </c>
    </row>
    <row r="20" customFormat="false" ht="12.75" hidden="false" customHeight="true" outlineLevel="0" collapsed="false">
      <c r="AB20" s="1" t="s">
        <v>1507</v>
      </c>
      <c r="AC20" s="1" t="s">
        <v>1682</v>
      </c>
    </row>
    <row r="21" customFormat="false" ht="12.75" hidden="false" customHeight="true" outlineLevel="0" collapsed="false">
      <c r="AB21" s="1" t="s">
        <v>686</v>
      </c>
      <c r="AC21" s="1" t="s">
        <v>1680</v>
      </c>
    </row>
    <row r="22" customFormat="false" ht="12.75" hidden="false" customHeight="true" outlineLevel="0" collapsed="false">
      <c r="AB22" s="1" t="s">
        <v>599</v>
      </c>
      <c r="AC22" s="1" t="s">
        <v>1684</v>
      </c>
    </row>
    <row r="23" customFormat="false" ht="12.75" hidden="false" customHeight="true" outlineLevel="0" collapsed="false">
      <c r="AB23" s="1" t="s">
        <v>1257</v>
      </c>
      <c r="AC23" s="1" t="s">
        <v>1684</v>
      </c>
    </row>
    <row r="24" customFormat="false" ht="12.75" hidden="false" customHeight="true" outlineLevel="0" collapsed="false">
      <c r="AB24" s="1" t="s">
        <v>155</v>
      </c>
      <c r="AC24" s="1" t="s">
        <v>1684</v>
      </c>
    </row>
    <row r="25" customFormat="false" ht="12.75" hidden="false" customHeight="true" outlineLevel="0" collapsed="false">
      <c r="AB25" s="1" t="s">
        <v>907</v>
      </c>
      <c r="AC25" s="1" t="s">
        <v>1683</v>
      </c>
    </row>
    <row r="26" customFormat="false" ht="12.75" hidden="false" customHeight="true" outlineLevel="0" collapsed="false">
      <c r="AB26" s="1" t="s">
        <v>955</v>
      </c>
      <c r="AC26" s="1" t="s">
        <v>1680</v>
      </c>
    </row>
    <row r="27" customFormat="false" ht="12.75" hidden="false" customHeight="true" outlineLevel="0" collapsed="false">
      <c r="AB27" s="1" t="s">
        <v>588</v>
      </c>
      <c r="AC27" s="1" t="s">
        <v>1680</v>
      </c>
    </row>
    <row r="28" customFormat="false" ht="12.75" hidden="false" customHeight="true" outlineLevel="0" collapsed="false">
      <c r="AB28" s="1" t="s">
        <v>396</v>
      </c>
      <c r="AC28" s="1" t="s">
        <v>1680</v>
      </c>
    </row>
    <row r="29" customFormat="false" ht="12.75" hidden="false" customHeight="true" outlineLevel="0" collapsed="false">
      <c r="AB29" s="1" t="s">
        <v>362</v>
      </c>
      <c r="AC29" s="1" t="s">
        <v>1680</v>
      </c>
    </row>
    <row r="30" customFormat="false" ht="12.75" hidden="false" customHeight="true" outlineLevel="0" collapsed="false">
      <c r="AB30" s="1" t="s">
        <v>943</v>
      </c>
      <c r="AC30" s="1" t="s">
        <v>1683</v>
      </c>
    </row>
    <row r="31" customFormat="false" ht="12.75" hidden="false" customHeight="true" outlineLevel="0" collapsed="false">
      <c r="AB31" s="1" t="s">
        <v>909</v>
      </c>
      <c r="AC31" s="1" t="s">
        <v>1683</v>
      </c>
    </row>
    <row r="32" customFormat="false" ht="12.75" hidden="false" customHeight="true" outlineLevel="0" collapsed="false">
      <c r="AB32" s="1" t="s">
        <v>708</v>
      </c>
      <c r="AC32" s="1" t="s">
        <v>1680</v>
      </c>
    </row>
    <row r="33" customFormat="false" ht="12.75" hidden="false" customHeight="true" outlineLevel="0" collapsed="false">
      <c r="AB33" s="1" t="s">
        <v>793</v>
      </c>
      <c r="AC33" s="1" t="s">
        <v>1683</v>
      </c>
    </row>
    <row r="34" customFormat="false" ht="12.75" hidden="false" customHeight="true" outlineLevel="0" collapsed="false">
      <c r="AB34" s="1" t="s">
        <v>202</v>
      </c>
      <c r="AC34" s="1" t="s">
        <v>1680</v>
      </c>
    </row>
    <row r="35" customFormat="false" ht="12.75" hidden="false" customHeight="true" outlineLevel="0" collapsed="false">
      <c r="AB35" s="1" t="s">
        <v>937</v>
      </c>
      <c r="AC35" s="1" t="s">
        <v>1683</v>
      </c>
    </row>
    <row r="36" customFormat="false" ht="12.75" hidden="false" customHeight="true" outlineLevel="0" collapsed="false">
      <c r="AB36" s="1" t="s">
        <v>607</v>
      </c>
      <c r="AC36" s="1" t="s">
        <v>1682</v>
      </c>
    </row>
    <row r="37" customFormat="false" ht="12.75" hidden="false" customHeight="true" outlineLevel="0" collapsed="false">
      <c r="AB37" s="1" t="s">
        <v>642</v>
      </c>
      <c r="AC37" s="1" t="s">
        <v>1680</v>
      </c>
    </row>
    <row r="38" customFormat="false" ht="12.75" hidden="false" customHeight="true" outlineLevel="0" collapsed="false">
      <c r="AB38" s="1" t="s">
        <v>613</v>
      </c>
      <c r="AC38" s="1" t="s">
        <v>1680</v>
      </c>
    </row>
    <row r="39" customFormat="false" ht="12.75" hidden="false" customHeight="true" outlineLevel="0" collapsed="false">
      <c r="AB39" s="1" t="s">
        <v>430</v>
      </c>
      <c r="AC39" s="1" t="s">
        <v>1680</v>
      </c>
    </row>
    <row r="40" customFormat="false" ht="12.75" hidden="false" customHeight="true" outlineLevel="0" collapsed="false">
      <c r="AB40" s="1" t="s">
        <v>647</v>
      </c>
      <c r="AC40" s="1" t="s">
        <v>1680</v>
      </c>
    </row>
    <row r="41" customFormat="false" ht="12.75" hidden="false" customHeight="true" outlineLevel="0" collapsed="false">
      <c r="AB41" s="1" t="s">
        <v>1172</v>
      </c>
      <c r="AC41" s="1" t="s">
        <v>1684</v>
      </c>
    </row>
    <row r="42" customFormat="false" ht="12.75" hidden="false" customHeight="true" outlineLevel="0" collapsed="false">
      <c r="AB42" s="1" t="s">
        <v>1082</v>
      </c>
      <c r="AC42" s="1" t="s">
        <v>1680</v>
      </c>
    </row>
    <row r="43" customFormat="false" ht="12.75" hidden="false" customHeight="true" outlineLevel="0" collapsed="false">
      <c r="AB43" s="1" t="s">
        <v>198</v>
      </c>
      <c r="AC43" s="1" t="s">
        <v>1680</v>
      </c>
    </row>
    <row r="44" customFormat="false" ht="12.75" hidden="false" customHeight="true" outlineLevel="0" collapsed="false">
      <c r="AB44" s="1" t="s">
        <v>380</v>
      </c>
      <c r="AC44" s="1" t="s">
        <v>1680</v>
      </c>
    </row>
    <row r="45" customFormat="false" ht="12.75" hidden="false" customHeight="true" outlineLevel="0" collapsed="false">
      <c r="AB45" s="1" t="s">
        <v>1106</v>
      </c>
      <c r="AC45" s="1" t="s">
        <v>1680</v>
      </c>
    </row>
    <row r="46" customFormat="false" ht="12.75" hidden="false" customHeight="true" outlineLevel="0" collapsed="false">
      <c r="AB46" s="1" t="s">
        <v>386</v>
      </c>
      <c r="AC46" s="1" t="s">
        <v>1680</v>
      </c>
    </row>
    <row r="47" customFormat="false" ht="12.75" hidden="false" customHeight="true" outlineLevel="0" collapsed="false">
      <c r="AB47" s="1" t="s">
        <v>95</v>
      </c>
      <c r="AC47" s="1" t="s">
        <v>1680</v>
      </c>
    </row>
    <row r="48" customFormat="false" ht="12.75" hidden="false" customHeight="true" outlineLevel="0" collapsed="false">
      <c r="AB48" s="1" t="s">
        <v>37</v>
      </c>
      <c r="AC48" s="1" t="s">
        <v>1685</v>
      </c>
    </row>
    <row r="49" customFormat="false" ht="12.75" hidden="false" customHeight="true" outlineLevel="0" collapsed="false">
      <c r="AB49" s="1" t="s">
        <v>92</v>
      </c>
      <c r="AC49" s="1" t="s">
        <v>1686</v>
      </c>
    </row>
    <row r="50" customFormat="false" ht="12.75" hidden="false" customHeight="true" outlineLevel="0" collapsed="false">
      <c r="AB50" s="1" t="s">
        <v>1225</v>
      </c>
      <c r="AC50" s="1" t="s">
        <v>1680</v>
      </c>
    </row>
    <row r="51" customFormat="false" ht="12.75" hidden="false" customHeight="true" outlineLevel="0" collapsed="false">
      <c r="AB51" s="1" t="s">
        <v>405</v>
      </c>
      <c r="AC51" s="1" t="s">
        <v>1684</v>
      </c>
    </row>
    <row r="52" customFormat="false" ht="12.75" hidden="false" customHeight="true" outlineLevel="0" collapsed="false">
      <c r="AB52" s="1" t="s">
        <v>1609</v>
      </c>
      <c r="AC52" s="1" t="s">
        <v>1682</v>
      </c>
    </row>
    <row r="53" customFormat="false" ht="12.75" hidden="false" customHeight="true" outlineLevel="0" collapsed="false">
      <c r="AB53" s="1" t="s">
        <v>924</v>
      </c>
      <c r="AC53" s="1" t="s">
        <v>1680</v>
      </c>
    </row>
    <row r="54" customFormat="false" ht="12.75" hidden="false" customHeight="true" outlineLevel="0" collapsed="false">
      <c r="AB54" s="1" t="s">
        <v>205</v>
      </c>
      <c r="AC54" s="1" t="s">
        <v>1683</v>
      </c>
    </row>
    <row r="55" customFormat="false" ht="12.75" hidden="false" customHeight="true" outlineLevel="0" collapsed="false">
      <c r="AB55" s="1" t="s">
        <v>1037</v>
      </c>
      <c r="AC55" s="1" t="s">
        <v>1684</v>
      </c>
    </row>
    <row r="56" customFormat="false" ht="12.75" hidden="false" customHeight="true" outlineLevel="0" collapsed="false">
      <c r="AB56" s="1" t="s">
        <v>122</v>
      </c>
      <c r="AC56" s="1" t="s">
        <v>1684</v>
      </c>
    </row>
    <row r="57" customFormat="false" ht="12.75" hidden="false" customHeight="true" outlineLevel="0" collapsed="false">
      <c r="AB57" s="1" t="s">
        <v>918</v>
      </c>
      <c r="AC57" s="1" t="s">
        <v>1680</v>
      </c>
    </row>
    <row r="58" customFormat="false" ht="12.75" hidden="false" customHeight="true" outlineLevel="0" collapsed="false">
      <c r="AB58" s="1" t="s">
        <v>826</v>
      </c>
      <c r="AC58" s="1" t="s">
        <v>1680</v>
      </c>
    </row>
    <row r="59" customFormat="false" ht="12.75" hidden="false" customHeight="true" outlineLevel="0" collapsed="false">
      <c r="AB59" s="1" t="s">
        <v>209</v>
      </c>
      <c r="AC59" s="1" t="s">
        <v>1683</v>
      </c>
    </row>
    <row r="60" customFormat="false" ht="12.75" hidden="false" customHeight="true" outlineLevel="0" collapsed="false">
      <c r="AB60" s="1" t="s">
        <v>241</v>
      </c>
      <c r="AC60" s="1" t="s">
        <v>1680</v>
      </c>
    </row>
    <row r="61" customFormat="false" ht="12.75" hidden="false" customHeight="true" outlineLevel="0" collapsed="false">
      <c r="AB61" s="1" t="s">
        <v>330</v>
      </c>
      <c r="AC61" s="1" t="s">
        <v>1680</v>
      </c>
    </row>
    <row r="62" customFormat="false" ht="12.75" hidden="false" customHeight="true" outlineLevel="0" collapsed="false">
      <c r="AB62" s="1" t="s">
        <v>1458</v>
      </c>
      <c r="AC62" s="1" t="s">
        <v>1680</v>
      </c>
    </row>
    <row r="63" customFormat="false" ht="12.75" hidden="false" customHeight="true" outlineLevel="0" collapsed="false">
      <c r="AB63" s="1" t="s">
        <v>253</v>
      </c>
      <c r="AC63" s="1" t="s">
        <v>1684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3" t="s">
        <v>1688</v>
      </c>
      <c r="B1" s="23" t="s">
        <v>1674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4" t="s">
        <v>1675</v>
      </c>
    </row>
    <row r="2" customFormat="false" ht="12.75" hidden="false" customHeight="true" outlineLevel="0" collapsed="false">
      <c r="A2" s="1" t="s">
        <v>623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935.31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515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2069</v>
      </c>
    </row>
    <row r="4" customFormat="false" ht="12.75" hidden="false" customHeight="true" outlineLevel="0" collapsed="false">
      <c r="A4" s="1" t="s">
        <v>402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10800</v>
      </c>
      <c r="J4" s="17" t="n">
        <f aca="false">SUMIFS(Report!$U:$U,Report!$T:$T,$A4,Report!$C:$C,"&gt;="&amp;DATE(2026,8,1),Report!$C:$C,"&lt;="&amp;DATE(2026,8,31))</f>
        <v>10800</v>
      </c>
      <c r="K4" s="17" t="n">
        <f aca="false">SUMIFS(Report!$U:$U,Report!$T:$T,$A4,Report!$C:$C,"&gt;="&amp;DATE(2026,9,1),Report!$C:$C,"&lt;="&amp;DATE(2026,9,30))</f>
        <v>6500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28100</v>
      </c>
    </row>
    <row r="5" customFormat="false" ht="12.75" hidden="false" customHeight="true" outlineLevel="0" collapsed="false">
      <c r="A5" s="1" t="s">
        <v>947</v>
      </c>
      <c r="B5" s="1" t="str">
        <f aca="false">IFERROR(INDEX('Resumo Grupos'!$AC$3:$AC$200,MATCH($A5,'Resumo Grupos'!$AB$3:$AB$200,0)),"n/d")</f>
        <v>Cobertura de conta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622.5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622.5</v>
      </c>
    </row>
    <row r="6" customFormat="false" ht="12.75" hidden="false" customHeight="true" outlineLevel="0" collapsed="false">
      <c r="A6" s="1" t="s">
        <v>184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1248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1895</v>
      </c>
    </row>
    <row r="7" customFormat="false" ht="12.75" hidden="false" customHeight="true" outlineLevel="0" collapsed="false">
      <c r="A7" s="1" t="s">
        <v>173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570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35.58</v>
      </c>
    </row>
    <row r="9" customFormat="false" ht="12.75" hidden="false" customHeight="true" outlineLevel="0" collapsed="false">
      <c r="A9" s="1" t="s">
        <v>639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1073.44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1073.44</v>
      </c>
    </row>
    <row r="10" customFormat="false" ht="12.75" hidden="false" customHeight="true" outlineLevel="0" collapsed="false">
      <c r="A10" s="1" t="s">
        <v>153</v>
      </c>
      <c r="B10" s="1" t="str">
        <f aca="false">IFERROR(INDEX('Resumo Grupos'!$AC$3:$AC$200,MATCH($A10,'Resumo Grupos'!$AB$3:$AB$200,0)),"n/d")</f>
        <v>Cobertura de conta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399.1</v>
      </c>
      <c r="J10" s="17" t="n">
        <f aca="false">SUMIFS(Report!$U:$U,Report!$T:$T,$A10,Report!$C:$C,"&gt;="&amp;DATE(2026,8,1),Report!$C:$C,"&lt;="&amp;DATE(2026,8,31))</f>
        <v>399.1</v>
      </c>
      <c r="K10" s="17" t="n">
        <f aca="false">SUMIFS(Report!$U:$U,Report!$T:$T,$A10,Report!$C:$C,"&gt;="&amp;DATE(2026,9,1),Report!$C:$C,"&lt;="&amp;DATE(2026,9,30))</f>
        <v>399.1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1197.3</v>
      </c>
    </row>
    <row r="11" customFormat="false" ht="12.75" hidden="false" customHeight="true" outlineLevel="0" collapsed="false">
      <c r="A11" s="1" t="s">
        <v>1103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420</v>
      </c>
      <c r="J11" s="17" t="n">
        <f aca="false">SUMIFS(Report!$U:$U,Report!$T:$T,$A11,Report!$C:$C,"&gt;="&amp;DATE(2026,8,1),Report!$C:$C,"&lt;="&amp;DATE(2026,8,31))</f>
        <v>420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840</v>
      </c>
    </row>
    <row r="12" customFormat="false" ht="12.75" hidden="false" customHeight="true" outlineLevel="0" collapsed="false">
      <c r="A12" s="1" t="s">
        <v>1331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0</v>
      </c>
      <c r="J12" s="17" t="n">
        <f aca="false">SUMIFS(Report!$U:$U,Report!$T:$T,$A12,Report!$C:$C,"&gt;="&amp;DATE(2026,8,1),Report!$C:$C,"&lt;="&amp;DATE(2026,8,31))</f>
        <v>8086.5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8086.5</v>
      </c>
    </row>
    <row r="13" customFormat="false" ht="12.75" hidden="false" customHeight="true" outlineLevel="0" collapsed="false">
      <c r="A13" s="1" t="s">
        <v>1596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350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350</v>
      </c>
    </row>
    <row r="14" customFormat="false" ht="12.75" hidden="false" customHeight="true" outlineLevel="0" collapsed="false">
      <c r="A14" s="1" t="s">
        <v>114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165</v>
      </c>
      <c r="I14" s="17" t="n">
        <f aca="false">SUMIFS(Report!$U:$U,Report!$T:$T,$A14,Report!$C:$C,"&gt;="&amp;DATE(2026,7,1),Report!$C:$C,"&lt;="&amp;DATE(2026,7,31))</f>
        <v>4271.55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4436.55</v>
      </c>
    </row>
    <row r="15" customFormat="false" ht="12.75" hidden="false" customHeight="true" outlineLevel="0" collapsed="false">
      <c r="A15" s="1" t="s">
        <v>576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360.35</v>
      </c>
      <c r="J15" s="17" t="n">
        <f aca="false">SUMIFS(Report!$U:$U,Report!$T:$T,$A15,Report!$C:$C,"&gt;="&amp;DATE(2026,8,1),Report!$C:$C,"&lt;="&amp;DATE(2026,8,31))</f>
        <v>157.89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518.24</v>
      </c>
    </row>
    <row r="16" customFormat="false" ht="12.75" hidden="false" customHeight="true" outlineLevel="0" collapsed="false">
      <c r="A16" s="1" t="s">
        <v>573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7794.88</v>
      </c>
      <c r="J16" s="17" t="n">
        <f aca="false">SUMIFS(Report!$U:$U,Report!$T:$T,$A16,Report!$C:$C,"&gt;="&amp;DATE(2026,8,1),Report!$C:$C,"&lt;="&amp;DATE(2026,8,31))</f>
        <v>8522.6</v>
      </c>
      <c r="K16" s="17" t="n">
        <f aca="false">SUMIFS(Report!$U:$U,Report!$T:$T,$A16,Report!$C:$C,"&gt;="&amp;DATE(2026,9,1),Report!$C:$C,"&lt;="&amp;DATE(2026,9,30))</f>
        <v>5963.98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22281.46</v>
      </c>
    </row>
    <row r="17" customFormat="false" ht="12.75" hidden="false" customHeight="true" outlineLevel="0" collapsed="false">
      <c r="A17" s="1" t="s">
        <v>471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1414.09</v>
      </c>
      <c r="J17" s="17" t="n">
        <f aca="false">SUMIFS(Report!$U:$U,Report!$T:$T,$A17,Report!$C:$C,"&gt;="&amp;DATE(2026,8,1),Report!$C:$C,"&lt;="&amp;DATE(2026,8,31))</f>
        <v>2086.55</v>
      </c>
      <c r="K17" s="17" t="n">
        <f aca="false">SUMIFS(Report!$U:$U,Report!$T:$T,$A17,Report!$C:$C,"&gt;="&amp;DATE(2026,9,1),Report!$C:$C,"&lt;="&amp;DATE(2026,9,30))</f>
        <v>86.76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3587.4</v>
      </c>
    </row>
    <row r="18" customFormat="false" ht="12.75" hidden="false" customHeight="true" outlineLevel="0" collapsed="false">
      <c r="A18" s="1" t="s">
        <v>281</v>
      </c>
      <c r="B18" s="1" t="str">
        <f aca="false">IFERROR(INDEX('Resumo Grupos'!$AC$3:$AC$200,MATCH($A18,'Resumo Grupos'!$AB$3:$AB$200,0)),"n/d")</f>
        <v>Empréstimo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41433.4</v>
      </c>
      <c r="J18" s="17" t="n">
        <f aca="false">SUMIFS(Report!$U:$U,Report!$T:$T,$A18,Report!$C:$C,"&gt;="&amp;DATE(2026,8,1),Report!$C:$C,"&lt;="&amp;DATE(2026,8,31))</f>
        <v>35570.19</v>
      </c>
      <c r="K18" s="17" t="n">
        <f aca="false">SUMIFS(Report!$U:$U,Report!$T:$T,$A18,Report!$C:$C,"&gt;="&amp;DATE(2026,9,1),Report!$C:$C,"&lt;="&amp;DATE(2026,9,30))</f>
        <v>35640.51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112644.1</v>
      </c>
    </row>
    <row r="19" customFormat="false" ht="12.75" hidden="false" customHeight="true" outlineLevel="0" collapsed="false">
      <c r="A19" s="1" t="s">
        <v>1507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0</v>
      </c>
      <c r="J19" s="17" t="n">
        <f aca="false">SUMIFS(Report!$U:$U,Report!$T:$T,$A19,Report!$C:$C,"&gt;="&amp;DATE(2026,8,1),Report!$C:$C,"&lt;="&amp;DATE(2026,8,31))</f>
        <v>106000</v>
      </c>
      <c r="K19" s="17" t="n">
        <f aca="false">SUMIFS(Report!$U:$U,Report!$T:$T,$A19,Report!$C:$C,"&gt;="&amp;DATE(2026,9,1),Report!$C:$C,"&lt;="&amp;DATE(2026,9,30))</f>
        <v>6000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112000</v>
      </c>
    </row>
    <row r="20" customFormat="false" ht="12.75" hidden="false" customHeight="true" outlineLevel="0" collapsed="false">
      <c r="A20" s="1" t="s">
        <v>686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21248.79</v>
      </c>
      <c r="J20" s="17" t="n">
        <f aca="false">SUMIFS(Report!$U:$U,Report!$T:$T,$A20,Report!$C:$C,"&gt;="&amp;DATE(2026,8,1),Report!$C:$C,"&lt;="&amp;DATE(2026,8,31))</f>
        <v>0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21248.79</v>
      </c>
    </row>
    <row r="21" customFormat="false" ht="12.75" hidden="false" customHeight="true" outlineLevel="0" collapsed="false">
      <c r="A21" s="1" t="s">
        <v>599</v>
      </c>
      <c r="B21" s="1" t="str">
        <f aca="false">IFERROR(INDEX('Resumo Grupos'!$AC$3:$AC$200,MATCH($A21,'Resumo Grupos'!$AB$3:$AB$200,0)),"n/d")</f>
        <v>Salários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436.07</v>
      </c>
      <c r="J21" s="17" t="n">
        <f aca="false">SUMIFS(Report!$U:$U,Report!$T:$T,$A21,Report!$C:$C,"&gt;="&amp;DATE(2026,8,1),Report!$C:$C,"&lt;="&amp;DATE(2026,8,31))</f>
        <v>116.07</v>
      </c>
      <c r="K21" s="17" t="n">
        <f aca="false">SUMIFS(Report!$U:$U,Report!$T:$T,$A21,Report!$C:$C,"&gt;="&amp;DATE(2026,9,1),Report!$C:$C,"&lt;="&amp;DATE(2026,9,30))</f>
        <v>116.07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668.21</v>
      </c>
    </row>
    <row r="22" customFormat="false" ht="12.75" hidden="false" customHeight="true" outlineLevel="0" collapsed="false">
      <c r="A22" s="1" t="s">
        <v>1257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2245.05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2245.05</v>
      </c>
    </row>
    <row r="23" customFormat="false" ht="12.75" hidden="false" customHeight="true" outlineLevel="0" collapsed="false">
      <c r="A23" s="1" t="s">
        <v>155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2343.33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2343.33</v>
      </c>
    </row>
    <row r="24" customFormat="false" ht="12.75" hidden="false" customHeight="true" outlineLevel="0" collapsed="false">
      <c r="A24" s="1" t="s">
        <v>907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7169.13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7169.13</v>
      </c>
    </row>
    <row r="25" customFormat="false" ht="12.75" hidden="false" customHeight="true" outlineLevel="0" collapsed="false">
      <c r="A25" s="1" t="s">
        <v>955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615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615</v>
      </c>
    </row>
    <row r="26" customFormat="false" ht="12.75" hidden="false" customHeight="true" outlineLevel="0" collapsed="false">
      <c r="A26" s="1" t="s">
        <v>588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150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150</v>
      </c>
    </row>
    <row r="27" customFormat="false" ht="12.75" hidden="false" customHeight="true" outlineLevel="0" collapsed="false">
      <c r="A27" s="1" t="s">
        <v>396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2431.5</v>
      </c>
      <c r="J27" s="17" t="n">
        <f aca="false">SUMIFS(Report!$U:$U,Report!$T:$T,$A27,Report!$C:$C,"&gt;="&amp;DATE(2026,8,1),Report!$C:$C,"&lt;="&amp;DATE(2026,8,31))</f>
        <v>2431.5</v>
      </c>
      <c r="K27" s="17" t="n">
        <f aca="false">SUMIFS(Report!$U:$U,Report!$T:$T,$A27,Report!$C:$C,"&gt;="&amp;DATE(2026,9,1),Report!$C:$C,"&lt;="&amp;DATE(2026,9,30))</f>
        <v>2431.5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7294.5</v>
      </c>
    </row>
    <row r="28" customFormat="false" ht="12.75" hidden="false" customHeight="true" outlineLevel="0" collapsed="false">
      <c r="A28" s="1" t="s">
        <v>362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3130.07</v>
      </c>
      <c r="J28" s="17" t="n">
        <f aca="false">SUMIFS(Report!$U:$U,Report!$T:$T,$A28,Report!$C:$C,"&gt;="&amp;DATE(2026,8,1),Report!$C:$C,"&lt;="&amp;DATE(2026,8,31))</f>
        <v>764.43</v>
      </c>
      <c r="K28" s="17" t="n">
        <f aca="false">SUMIFS(Report!$U:$U,Report!$T:$T,$A28,Report!$C:$C,"&gt;="&amp;DATE(2026,9,1),Report!$C:$C,"&lt;="&amp;DATE(2026,9,30))</f>
        <v>764.43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4658.93</v>
      </c>
    </row>
    <row r="29" customFormat="false" ht="12.75" hidden="false" customHeight="true" outlineLevel="0" collapsed="false">
      <c r="A29" s="1" t="s">
        <v>943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5092.77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5092.77</v>
      </c>
    </row>
    <row r="30" customFormat="false" ht="12.75" hidden="false" customHeight="true" outlineLevel="0" collapsed="false">
      <c r="A30" s="1" t="s">
        <v>909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3462.39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3462.39</v>
      </c>
    </row>
    <row r="31" customFormat="false" ht="12.75" hidden="false" customHeight="true" outlineLevel="0" collapsed="false">
      <c r="A31" s="1" t="s">
        <v>708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1102.7</v>
      </c>
      <c r="J31" s="17" t="n">
        <f aca="false">SUMIFS(Report!$U:$U,Report!$T:$T,$A31,Report!$C:$C,"&gt;="&amp;DATE(2026,8,1),Report!$C:$C,"&lt;="&amp;DATE(2026,8,31))</f>
        <v>389.31</v>
      </c>
      <c r="K31" s="17" t="n">
        <f aca="false">SUMIFS(Report!$U:$U,Report!$T:$T,$A31,Report!$C:$C,"&gt;="&amp;DATE(2026,9,1),Report!$C:$C,"&lt;="&amp;DATE(2026,9,30))</f>
        <v>179.32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1671.33</v>
      </c>
    </row>
    <row r="32" customFormat="false" ht="12.75" hidden="false" customHeight="true" outlineLevel="0" collapsed="false">
      <c r="A32" s="1" t="s">
        <v>793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320.44</v>
      </c>
      <c r="J32" s="17" t="n">
        <f aca="false">SUMIFS(Report!$U:$U,Report!$T:$T,$A32,Report!$C:$C,"&gt;="&amp;DATE(2026,8,1),Report!$C:$C,"&lt;="&amp;DATE(2026,8,31))</f>
        <v>320.44</v>
      </c>
      <c r="K32" s="17" t="n">
        <f aca="false">SUMIFS(Report!$U:$U,Report!$T:$T,$A32,Report!$C:$C,"&gt;="&amp;DATE(2026,9,1),Report!$C:$C,"&lt;="&amp;DATE(2026,9,30))</f>
        <v>320.44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961.32</v>
      </c>
    </row>
    <row r="33" customFormat="false" ht="12.75" hidden="false" customHeight="true" outlineLevel="0" collapsed="false">
      <c r="A33" s="1" t="s">
        <v>202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972.76</v>
      </c>
      <c r="I33" s="17" t="n">
        <f aca="false">SUMIFS(Report!$U:$U,Report!$T:$T,$A33,Report!$C:$C,"&gt;="&amp;DATE(2026,7,1),Report!$C:$C,"&lt;="&amp;DATE(2026,7,31))</f>
        <v>947.94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1920.7</v>
      </c>
    </row>
    <row r="34" customFormat="false" ht="12.75" hidden="false" customHeight="true" outlineLevel="0" collapsed="false">
      <c r="A34" s="1" t="s">
        <v>937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155.96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155.96</v>
      </c>
    </row>
    <row r="35" customFormat="false" ht="12.75" hidden="false" customHeight="true" outlineLevel="0" collapsed="false">
      <c r="A35" s="1" t="s">
        <v>607</v>
      </c>
      <c r="B35" s="1" t="str">
        <f aca="false">IFERROR(INDEX('Resumo Grupos'!$AC$3:$AC$200,MATCH($A35,'Resumo Grupos'!$AB$3:$AB$200,0)),"n/d")</f>
        <v>Empréstimo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11394.12</v>
      </c>
      <c r="J35" s="17" t="n">
        <f aca="false">SUMIFS(Report!$U:$U,Report!$T:$T,$A35,Report!$C:$C,"&gt;="&amp;DATE(2026,8,1),Report!$C:$C,"&lt;="&amp;DATE(2026,8,31))</f>
        <v>1000</v>
      </c>
      <c r="K35" s="17" t="n">
        <f aca="false">SUMIFS(Report!$U:$U,Report!$T:$T,$A35,Report!$C:$C,"&gt;="&amp;DATE(2026,9,1),Report!$C:$C,"&lt;="&amp;DATE(2026,9,30))</f>
        <v>1000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13394.12</v>
      </c>
    </row>
    <row r="36" customFormat="false" ht="12.75" hidden="false" customHeight="true" outlineLevel="0" collapsed="false">
      <c r="A36" s="1" t="s">
        <v>642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280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280</v>
      </c>
    </row>
    <row r="37" customFormat="false" ht="12.75" hidden="false" customHeight="true" outlineLevel="0" collapsed="false">
      <c r="A37" s="1" t="s">
        <v>613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25</v>
      </c>
    </row>
    <row r="38" customFormat="false" ht="12.75" hidden="false" customHeight="true" outlineLevel="0" collapsed="false">
      <c r="A38" s="1" t="s">
        <v>430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1718.33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1718.33</v>
      </c>
    </row>
    <row r="39" customFormat="false" ht="12.75" hidden="false" customHeight="true" outlineLevel="0" collapsed="false">
      <c r="A39" s="1" t="s">
        <v>647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707</v>
      </c>
      <c r="J39" s="17" t="n">
        <f aca="false">SUMIFS(Report!$U:$U,Report!$T:$T,$A39,Report!$C:$C,"&gt;="&amp;DATE(2026,8,1),Report!$C:$C,"&lt;="&amp;DATE(2026,8,31))</f>
        <v>3077.9</v>
      </c>
      <c r="K39" s="17" t="n">
        <f aca="false">SUMIFS(Report!$U:$U,Report!$T:$T,$A39,Report!$C:$C,"&gt;="&amp;DATE(2026,9,1),Report!$C:$C,"&lt;="&amp;DATE(2026,9,30))</f>
        <v>1458.9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5243.8</v>
      </c>
    </row>
    <row r="40" customFormat="false" ht="12.75" hidden="false" customHeight="true" outlineLevel="0" collapsed="false">
      <c r="A40" s="1" t="s">
        <v>1172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700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700</v>
      </c>
    </row>
    <row r="41" customFormat="false" ht="12.75" hidden="false" customHeight="true" outlineLevel="0" collapsed="false">
      <c r="A41" s="1" t="s">
        <v>1082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1409.45</v>
      </c>
      <c r="J41" s="17" t="n">
        <f aca="false">SUMIFS(Report!$U:$U,Report!$T:$T,$A41,Report!$C:$C,"&gt;="&amp;DATE(2026,8,1),Report!$C:$C,"&lt;="&amp;DATE(2026,8,31))</f>
        <v>1197</v>
      </c>
      <c r="K41" s="17" t="n">
        <f aca="false">SUMIFS(Report!$U:$U,Report!$T:$T,$A41,Report!$C:$C,"&gt;="&amp;DATE(2026,9,1),Report!$C:$C,"&lt;="&amp;DATE(2026,9,30))</f>
        <v>1197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3803.45</v>
      </c>
    </row>
    <row r="42" customFormat="false" ht="12.75" hidden="false" customHeight="true" outlineLevel="0" collapsed="false">
      <c r="A42" s="1" t="s">
        <v>198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2146.64</v>
      </c>
      <c r="I42" s="17" t="n">
        <f aca="false">SUMIFS(Report!$U:$U,Report!$T:$T,$A42,Report!$C:$C,"&gt;="&amp;DATE(2026,7,1),Report!$C:$C,"&lt;="&amp;DATE(2026,7,31))</f>
        <v>13924.84</v>
      </c>
      <c r="J42" s="17" t="n">
        <f aca="false">SUMIFS(Report!$U:$U,Report!$T:$T,$A42,Report!$C:$C,"&gt;="&amp;DATE(2026,8,1),Report!$C:$C,"&lt;="&amp;DATE(2026,8,31))</f>
        <v>1140.49</v>
      </c>
      <c r="K42" s="17" t="n">
        <f aca="false">SUMIFS(Report!$U:$U,Report!$T:$T,$A42,Report!$C:$C,"&gt;="&amp;DATE(2026,9,1),Report!$C:$C,"&lt;="&amp;DATE(2026,9,30))</f>
        <v>285.77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17497.74</v>
      </c>
    </row>
    <row r="43" customFormat="false" ht="12.75" hidden="false" customHeight="true" outlineLevel="0" collapsed="false">
      <c r="A43" s="1" t="s">
        <v>380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551.93</v>
      </c>
      <c r="J43" s="17" t="n">
        <f aca="false">SUMIFS(Report!$U:$U,Report!$T:$T,$A43,Report!$C:$C,"&gt;="&amp;DATE(2026,8,1),Report!$C:$C,"&lt;="&amp;DATE(2026,8,31))</f>
        <v>120.13</v>
      </c>
      <c r="K43" s="17" t="n">
        <f aca="false">SUMIFS(Report!$U:$U,Report!$T:$T,$A43,Report!$C:$C,"&gt;="&amp;DATE(2026,9,1),Report!$C:$C,"&lt;="&amp;DATE(2026,9,30))</f>
        <v>120.13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792.19</v>
      </c>
    </row>
    <row r="44" customFormat="false" ht="12.75" hidden="false" customHeight="true" outlineLevel="0" collapsed="false">
      <c r="A44" s="1" t="s">
        <v>1106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0</v>
      </c>
      <c r="I44" s="17" t="n">
        <f aca="false">SUMIFS(Report!$U:$U,Report!$T:$T,$A44,Report!$C:$C,"&gt;="&amp;DATE(2026,7,1),Report!$C:$C,"&lt;="&amp;DATE(2026,7,31))</f>
        <v>299.9</v>
      </c>
      <c r="J44" s="17" t="n">
        <f aca="false">SUMIFS(Report!$U:$U,Report!$T:$T,$A44,Report!$C:$C,"&gt;="&amp;DATE(2026,8,1),Report!$C:$C,"&lt;="&amp;DATE(2026,8,31))</f>
        <v>0</v>
      </c>
      <c r="K44" s="17" t="n">
        <f aca="false">SUMIFS(Report!$U:$U,Report!$T:$T,$A44,Report!$C:$C,"&gt;="&amp;DATE(2026,9,1),Report!$C:$C,"&lt;="&amp;DATE(2026,9,30))</f>
        <v>0</v>
      </c>
      <c r="L44" s="17" t="n">
        <f aca="false">SUMIFS(Report!$U:$U,Report!$T:$T,$A44,Report!$C:$C,"&gt;="&amp;DATE(2026,10,1),Report!$C:$C,"&lt;="&amp;DATE(2026,10,31))</f>
        <v>0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299.9</v>
      </c>
    </row>
    <row r="45" customFormat="false" ht="12.75" hidden="false" customHeight="true" outlineLevel="0" collapsed="false">
      <c r="A45" s="1" t="s">
        <v>386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258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258</v>
      </c>
    </row>
    <row r="46" customFormat="false" ht="12.75" hidden="false" customHeight="true" outlineLevel="0" collapsed="false">
      <c r="A46" s="1" t="s">
        <v>95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125</v>
      </c>
      <c r="I46" s="17" t="n">
        <f aca="false">SUMIFS(Report!$U:$U,Report!$T:$T,$A46,Report!$C:$C,"&gt;="&amp;DATE(2026,7,1),Report!$C:$C,"&lt;="&amp;DATE(2026,7,31))</f>
        <v>125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250</v>
      </c>
    </row>
    <row r="47" customFormat="false" ht="12.75" hidden="false" customHeight="true" outlineLevel="0" collapsed="false">
      <c r="A47" s="1" t="s">
        <v>37</v>
      </c>
      <c r="B47" s="1" t="str">
        <f aca="false">IFERROR(INDEX('Resumo Grupos'!$AC$3:$AC$200,MATCH($A47,'Resumo Grupos'!$AB$3:$AB$200,0)),"n/d")</f>
        <v>Mercadoria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96773.14</v>
      </c>
      <c r="I47" s="17" t="n">
        <f aca="false">SUMIFS(Report!$U:$U,Report!$T:$T,$A47,Report!$C:$C,"&gt;="&amp;DATE(2026,7,1),Report!$C:$C,"&lt;="&amp;DATE(2026,7,31))</f>
        <v>907315.63</v>
      </c>
      <c r="J47" s="17" t="n">
        <f aca="false">SUMIFS(Report!$U:$U,Report!$T:$T,$A47,Report!$C:$C,"&gt;="&amp;DATE(2026,8,1),Report!$C:$C,"&lt;="&amp;DATE(2026,8,31))</f>
        <v>397935.03</v>
      </c>
      <c r="K47" s="17" t="n">
        <f aca="false">SUMIFS(Report!$U:$U,Report!$T:$T,$A47,Report!$C:$C,"&gt;="&amp;DATE(2026,9,1),Report!$C:$C,"&lt;="&amp;DATE(2026,9,30))</f>
        <v>30624.17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1432647.97</v>
      </c>
    </row>
    <row r="48" customFormat="false" ht="12.75" hidden="false" customHeight="true" outlineLevel="0" collapsed="false">
      <c r="A48" s="1" t="s">
        <v>92</v>
      </c>
      <c r="B48" s="1" t="str">
        <f aca="false">IFERROR(INDEX('Resumo Grupos'!$AC$3:$AC$200,MATCH($A48,'Resumo Grupos'!$AB$3:$AB$200,0)),"n/d")</f>
        <v>Pagamentos outros não operacionais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58989.34</v>
      </c>
      <c r="I48" s="17" t="n">
        <f aca="false">SUMIFS(Report!$U:$U,Report!$T:$T,$A48,Report!$C:$C,"&gt;="&amp;DATE(2026,7,1),Report!$C:$C,"&lt;="&amp;DATE(2026,7,31))</f>
        <v>152094.19</v>
      </c>
      <c r="J48" s="17" t="n">
        <f aca="false">SUMIFS(Report!$U:$U,Report!$T:$T,$A48,Report!$C:$C,"&gt;="&amp;DATE(2026,8,1),Report!$C:$C,"&lt;="&amp;DATE(2026,8,31))</f>
        <v>41532.34</v>
      </c>
      <c r="K48" s="17" t="n">
        <f aca="false">SUMIFS(Report!$U:$U,Report!$T:$T,$A48,Report!$C:$C,"&gt;="&amp;DATE(2026,9,1),Report!$C:$C,"&lt;="&amp;DATE(2026,9,30))</f>
        <v>23227.61</v>
      </c>
      <c r="L48" s="17" t="n">
        <f aca="false">SUMIFS(Report!$U:$U,Report!$T:$T,$A48,Report!$C:$C,"&gt;="&amp;DATE(2026,10,1),Report!$C:$C,"&lt;="&amp;DATE(2026,10,31))</f>
        <v>0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275843.48</v>
      </c>
    </row>
    <row r="49" customFormat="false" ht="12.75" hidden="false" customHeight="true" outlineLevel="0" collapsed="false">
      <c r="A49" s="1" t="s">
        <v>1225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0</v>
      </c>
      <c r="I49" s="17" t="n">
        <f aca="false">SUMIFS(Report!$U:$U,Report!$T:$T,$A49,Report!$C:$C,"&gt;="&amp;DATE(2026,7,1),Report!$C:$C,"&lt;="&amp;DATE(2026,7,31))</f>
        <v>568.76</v>
      </c>
      <c r="J49" s="17" t="n">
        <f aca="false">SUMIFS(Report!$U:$U,Report!$T:$T,$A49,Report!$C:$C,"&gt;="&amp;DATE(2026,8,1),Report!$C:$C,"&lt;="&amp;DATE(2026,8,31))</f>
        <v>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568.76</v>
      </c>
    </row>
    <row r="50" customFormat="false" ht="12.75" hidden="false" customHeight="true" outlineLevel="0" collapsed="false">
      <c r="A50" s="1" t="s">
        <v>405</v>
      </c>
      <c r="B50" s="1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0</v>
      </c>
      <c r="I50" s="17" t="n">
        <f aca="false">SUMIFS(Report!$U:$U,Report!$T:$T,$A50,Report!$C:$C,"&gt;="&amp;DATE(2026,7,1),Report!$C:$C,"&lt;="&amp;DATE(2026,7,31))</f>
        <v>15314.4</v>
      </c>
      <c r="J50" s="17" t="n">
        <f aca="false">SUMIFS(Report!$U:$U,Report!$T:$T,$A50,Report!$C:$C,"&gt;="&amp;DATE(2026,8,1),Report!$C:$C,"&lt;="&amp;DATE(2026,8,31))</f>
        <v>6323.92</v>
      </c>
      <c r="K50" s="17" t="n">
        <f aca="false">SUMIFS(Report!$U:$U,Report!$T:$T,$A50,Report!$C:$C,"&gt;="&amp;DATE(2026,9,1),Report!$C:$C,"&lt;="&amp;DATE(2026,9,30))</f>
        <v>6193.08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27831.4</v>
      </c>
    </row>
    <row r="51" customFormat="false" ht="12.75" hidden="false" customHeight="true" outlineLevel="0" collapsed="false">
      <c r="A51" s="1" t="s">
        <v>1609</v>
      </c>
      <c r="B51" s="1" t="str">
        <f aca="false">IFERROR(INDEX('Resumo Grupos'!$AC$3:$AC$200,MATCH($A51,'Resumo Grupos'!$AB$3:$AB$200,0)),"n/d")</f>
        <v>Empréstimo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0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250000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250000</v>
      </c>
    </row>
    <row r="52" customFormat="false" ht="12.75" hidden="false" customHeight="true" outlineLevel="0" collapsed="false">
      <c r="A52" s="1" t="s">
        <v>924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0</v>
      </c>
      <c r="I52" s="17" t="n">
        <f aca="false">SUMIFS(Report!$U:$U,Report!$T:$T,$A52,Report!$C:$C,"&gt;="&amp;DATE(2026,7,1),Report!$C:$C,"&lt;="&amp;DATE(2026,7,31))</f>
        <v>464.59</v>
      </c>
      <c r="J52" s="17" t="n">
        <f aca="false">SUMIFS(Report!$U:$U,Report!$T:$T,$A52,Report!$C:$C,"&gt;="&amp;DATE(2026,8,1),Report!$C:$C,"&lt;="&amp;DATE(2026,8,31))</f>
        <v>464.59</v>
      </c>
      <c r="K52" s="17" t="n">
        <f aca="false">SUMIFS(Report!$U:$U,Report!$T:$T,$A52,Report!$C:$C,"&gt;="&amp;DATE(2026,9,1),Report!$C:$C,"&lt;="&amp;DATE(2026,9,30))</f>
        <v>464.59</v>
      </c>
      <c r="L52" s="17" t="n">
        <f aca="false">SUMIFS(Report!$U:$U,Report!$T:$T,$A52,Report!$C:$C,"&gt;="&amp;DATE(2026,10,1),Report!$C:$C,"&lt;="&amp;DATE(2026,10,31))</f>
        <v>0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1393.77</v>
      </c>
    </row>
    <row r="53" customFormat="false" ht="12.75" hidden="false" customHeight="true" outlineLevel="0" collapsed="false">
      <c r="A53" s="1" t="s">
        <v>205</v>
      </c>
      <c r="B53" s="1" t="str">
        <f aca="false">IFERROR(INDEX('Resumo Grupos'!$AC$3:$AC$200,MATCH($A53,'Resumo Grupos'!$AB$3:$AB$200,0)),"n/d")</f>
        <v>Impostos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583.66</v>
      </c>
      <c r="I53" s="17" t="n">
        <f aca="false">SUMIFS(Report!$U:$U,Report!$T:$T,$A53,Report!$C:$C,"&gt;="&amp;DATE(2026,7,1),Report!$C:$C,"&lt;="&amp;DATE(2026,7,31))</f>
        <v>0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583.66</v>
      </c>
    </row>
    <row r="54" customFormat="false" ht="12.75" hidden="false" customHeight="true" outlineLevel="0" collapsed="false">
      <c r="A54" s="1" t="s">
        <v>1037</v>
      </c>
      <c r="B54" s="1" t="str">
        <f aca="false">IFERROR(INDEX('Resumo Grupos'!$AC$3:$AC$200,MATCH($A54,'Resumo Grupos'!$AB$3:$AB$200,0)),"n/d")</f>
        <v>Salários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0</v>
      </c>
      <c r="I54" s="17" t="n">
        <f aca="false">SUMIFS(Report!$U:$U,Report!$T:$T,$A54,Report!$C:$C,"&gt;="&amp;DATE(2026,7,1),Report!$C:$C,"&lt;="&amp;DATE(2026,7,31))</f>
        <v>1749.99</v>
      </c>
      <c r="J54" s="17" t="n">
        <f aca="false">SUMIFS(Report!$U:$U,Report!$T:$T,$A54,Report!$C:$C,"&gt;="&amp;DATE(2026,8,1),Report!$C:$C,"&lt;="&amp;DATE(2026,8,31))</f>
        <v>0</v>
      </c>
      <c r="K54" s="17" t="n">
        <f aca="false">SUMIFS(Report!$U:$U,Report!$T:$T,$A54,Report!$C:$C,"&gt;="&amp;DATE(2026,9,1),Report!$C:$C,"&lt;="&amp;DATE(2026,9,30))</f>
        <v>0</v>
      </c>
      <c r="L54" s="17" t="n">
        <f aca="false">SUMIFS(Report!$U:$U,Report!$T:$T,$A54,Report!$C:$C,"&gt;="&amp;DATE(2026,10,1),Report!$C:$C,"&lt;="&amp;DATE(2026,10,31))</f>
        <v>0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1749.99</v>
      </c>
    </row>
    <row r="55" customFormat="false" ht="12.75" hidden="false" customHeight="true" outlineLevel="0" collapsed="false">
      <c r="A55" s="1" t="s">
        <v>122</v>
      </c>
      <c r="B55" s="1" t="str">
        <f aca="false">IFERROR(INDEX('Resumo Grupos'!$AC$3:$AC$200,MATCH($A55,'Resumo Grupos'!$AB$3:$AB$200,0)),"n/d")</f>
        <v>Salários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973.68</v>
      </c>
      <c r="I55" s="17" t="n">
        <f aca="false">SUMIFS(Report!$U:$U,Report!$T:$T,$A55,Report!$C:$C,"&gt;="&amp;DATE(2026,7,1),Report!$C:$C,"&lt;="&amp;DATE(2026,7,31))</f>
        <v>41822.38</v>
      </c>
      <c r="J55" s="17" t="n">
        <f aca="false">SUMIFS(Report!$U:$U,Report!$T:$T,$A55,Report!$C:$C,"&gt;="&amp;DATE(2026,8,1),Report!$C:$C,"&lt;="&amp;DATE(2026,8,31))</f>
        <v>8866.77</v>
      </c>
      <c r="K55" s="17" t="n">
        <f aca="false">SUMIFS(Report!$U:$U,Report!$T:$T,$A55,Report!$C:$C,"&gt;="&amp;DATE(2026,9,1),Report!$C:$C,"&lt;="&amp;DATE(2026,9,30))</f>
        <v>500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52162.83</v>
      </c>
    </row>
    <row r="56" customFormat="false" ht="12.75" hidden="false" customHeight="true" outlineLevel="0" collapsed="false">
      <c r="A56" s="1" t="s">
        <v>918</v>
      </c>
      <c r="B56" s="1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0</v>
      </c>
      <c r="I56" s="17" t="n">
        <f aca="false">SUMIFS(Report!$U:$U,Report!$T:$T,$A56,Report!$C:$C,"&gt;="&amp;DATE(2026,7,1),Report!$C:$C,"&lt;="&amp;DATE(2026,7,31))</f>
        <v>129</v>
      </c>
      <c r="J56" s="17" t="n">
        <f aca="false">SUMIFS(Report!$U:$U,Report!$T:$T,$A56,Report!$C:$C,"&gt;="&amp;DATE(2026,8,1),Report!$C:$C,"&lt;="&amp;DATE(2026,8,31))</f>
        <v>0</v>
      </c>
      <c r="K56" s="17" t="n">
        <f aca="false">SUMIFS(Report!$U:$U,Report!$T:$T,$A56,Report!$C:$C,"&gt;="&amp;DATE(2026,9,1),Report!$C:$C,"&lt;="&amp;DATE(2026,9,30))</f>
        <v>0</v>
      </c>
      <c r="L56" s="17" t="n">
        <f aca="false">SUMIFS(Report!$U:$U,Report!$T:$T,$A56,Report!$C:$C,"&gt;="&amp;DATE(2026,10,1),Report!$C:$C,"&lt;="&amp;DATE(2026,10,31))</f>
        <v>0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129</v>
      </c>
    </row>
    <row r="57" customFormat="false" ht="12.75" hidden="false" customHeight="true" outlineLevel="0" collapsed="false">
      <c r="A57" s="1" t="s">
        <v>826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709.67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709.67</v>
      </c>
    </row>
    <row r="58" customFormat="false" ht="12.75" hidden="false" customHeight="true" outlineLevel="0" collapsed="false">
      <c r="A58" s="1" t="s">
        <v>209</v>
      </c>
      <c r="B58" s="1" t="str">
        <f aca="false">IFERROR(INDEX('Resumo Grupos'!$AC$3:$AC$200,MATCH($A58,'Resumo Grupos'!$AB$3:$AB$200,0)),"n/d")</f>
        <v>Impostos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1379.84</v>
      </c>
      <c r="I58" s="17" t="n">
        <f aca="false">SUMIFS(Report!$U:$U,Report!$T:$T,$A58,Report!$C:$C,"&gt;="&amp;DATE(2026,7,1),Report!$C:$C,"&lt;="&amp;DATE(2026,7,31))</f>
        <v>5411.15</v>
      </c>
      <c r="J58" s="17" t="n">
        <f aca="false">SUMIFS(Report!$U:$U,Report!$T:$T,$A58,Report!$C:$C,"&gt;="&amp;DATE(2026,8,1),Report!$C:$C,"&lt;="&amp;DATE(2026,8,31))</f>
        <v>0</v>
      </c>
      <c r="K58" s="17" t="n">
        <f aca="false">SUMIFS(Report!$U:$U,Report!$T:$T,$A58,Report!$C:$C,"&gt;="&amp;DATE(2026,9,1),Report!$C:$C,"&lt;="&amp;DATE(2026,9,30))</f>
        <v>0</v>
      </c>
      <c r="L58" s="17" t="n">
        <f aca="false">SUMIFS(Report!$U:$U,Report!$T:$T,$A58,Report!$C:$C,"&gt;="&amp;DATE(2026,10,1),Report!$C:$C,"&lt;="&amp;DATE(2026,10,31))</f>
        <v>0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6790.99</v>
      </c>
    </row>
    <row r="59" customFormat="false" ht="12.75" hidden="false" customHeight="true" outlineLevel="0" collapsed="false">
      <c r="A59" s="1" t="s">
        <v>241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0</v>
      </c>
      <c r="I59" s="17" t="n">
        <f aca="false">SUMIFS(Report!$U:$U,Report!$T:$T,$A59,Report!$C:$C,"&gt;="&amp;DATE(2026,7,1),Report!$C:$C,"&lt;="&amp;DATE(2026,7,31))</f>
        <v>1153.12</v>
      </c>
      <c r="J59" s="17" t="n">
        <f aca="false">SUMIFS(Report!$U:$U,Report!$T:$T,$A59,Report!$C:$C,"&gt;="&amp;DATE(2026,8,1),Report!$C:$C,"&lt;="&amp;DATE(2026,8,31))</f>
        <v>1153.11</v>
      </c>
      <c r="K59" s="17" t="n">
        <f aca="false">SUMIFS(Report!$U:$U,Report!$T:$T,$A59,Report!$C:$C,"&gt;="&amp;DATE(2026,9,1),Report!$C:$C,"&lt;="&amp;DATE(2026,9,30))</f>
        <v>0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2306.23</v>
      </c>
    </row>
    <row r="60" customFormat="false" ht="12.75" hidden="false" customHeight="true" outlineLevel="0" collapsed="false">
      <c r="A60" s="1" t="s">
        <v>330</v>
      </c>
      <c r="B60" s="1" t="str">
        <f aca="false">IFERROR(INDEX('Resumo Grupos'!$AC$3:$AC$200,MATCH($A60,'Resumo Grupos'!$AB$3:$AB$200,0)),"n/d")</f>
        <v>Despesa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0</v>
      </c>
      <c r="I60" s="17" t="n">
        <f aca="false">SUMIFS(Report!$U:$U,Report!$T:$T,$A60,Report!$C:$C,"&gt;="&amp;DATE(2026,7,1),Report!$C:$C,"&lt;="&amp;DATE(2026,7,31))</f>
        <v>497.51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497.51</v>
      </c>
    </row>
    <row r="61" customFormat="false" ht="12.75" hidden="false" customHeight="true" outlineLevel="0" collapsed="false">
      <c r="A61" s="1" t="s">
        <v>1458</v>
      </c>
      <c r="B61" s="1" t="str">
        <f aca="false">IFERROR(INDEX('Resumo Grupos'!$AC$3:$AC$200,MATCH($A61,'Resumo Grupos'!$AB$3:$AB$200,0)),"n/d")</f>
        <v>Despesa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0</v>
      </c>
      <c r="J61" s="17" t="n">
        <f aca="false">SUMIFS(Report!$U:$U,Report!$T:$T,$A61,Report!$C:$C,"&gt;="&amp;DATE(2026,8,1),Report!$C:$C,"&lt;="&amp;DATE(2026,8,31))</f>
        <v>666.67</v>
      </c>
      <c r="K61" s="17" t="n">
        <f aca="false">SUMIFS(Report!$U:$U,Report!$T:$T,$A61,Report!$C:$C,"&gt;="&amp;DATE(2026,9,1),Report!$C:$C,"&lt;="&amp;DATE(2026,9,30))</f>
        <v>666.67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1333.34</v>
      </c>
    </row>
    <row r="62" customFormat="false" ht="12.75" hidden="false" customHeight="true" outlineLevel="0" collapsed="false">
      <c r="A62" s="1" t="s">
        <v>253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0</v>
      </c>
      <c r="I62" s="17" t="n">
        <f aca="false">SUMIFS(Report!$U:$U,Report!$T:$T,$A62,Report!$C:$C,"&gt;="&amp;DATE(2026,7,1),Report!$C:$C,"&lt;="&amp;DATE(2026,7,31))</f>
        <v>2560</v>
      </c>
      <c r="J62" s="17" t="n">
        <f aca="false">SUMIFS(Report!$U:$U,Report!$T:$T,$A62,Report!$C:$C,"&gt;="&amp;DATE(2026,8,1),Report!$C:$C,"&lt;="&amp;DATE(2026,8,31))</f>
        <v>2600</v>
      </c>
      <c r="K62" s="17" t="n">
        <f aca="false">SUMIFS(Report!$U:$U,Report!$T:$T,$A62,Report!$C:$C,"&gt;="&amp;DATE(2026,9,1),Report!$C:$C,"&lt;="&amp;DATE(2026,9,30))</f>
        <v>0</v>
      </c>
      <c r="L62" s="17" t="n">
        <f aca="false">SUMIFS(Report!$U:$U,Report!$T:$T,$A62,Report!$C:$C,"&gt;="&amp;DATE(2026,10,1),Report!$C:$C,"&lt;="&amp;DATE(2026,10,31))</f>
        <v>0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5160</v>
      </c>
    </row>
    <row r="63" customFormat="false" ht="12.75" hidden="false" customHeight="true" outlineLevel="0" collapsed="false">
      <c r="A63" s="23" t="s">
        <v>1673</v>
      </c>
      <c r="B63" s="23"/>
      <c r="C63" s="24" t="n">
        <f aca="false">SUM(C2:C62)</f>
        <v>0</v>
      </c>
      <c r="D63" s="24" t="n">
        <f aca="false">SUM(D2:D62)</f>
        <v>0</v>
      </c>
      <c r="E63" s="24" t="n">
        <f aca="false">SUM(E2:E62)</f>
        <v>0</v>
      </c>
      <c r="F63" s="24" t="n">
        <f aca="false">SUM(F2:F62)</f>
        <v>0</v>
      </c>
      <c r="G63" s="24" t="n">
        <f aca="false">SUM(G2:G62)</f>
        <v>0</v>
      </c>
      <c r="H63" s="24" t="n">
        <f aca="false">SUM(H2:H62)</f>
        <v>167047.52</v>
      </c>
      <c r="I63" s="24" t="n">
        <f aca="false">SUM(I2:I62)</f>
        <v>1279733.39</v>
      </c>
      <c r="J63" s="24" t="n">
        <f aca="false">SUM(J2:J62)</f>
        <v>893686.24</v>
      </c>
      <c r="K63" s="24" t="n">
        <f aca="false">SUM(K2:K62)</f>
        <v>124140.03</v>
      </c>
      <c r="L63" s="24" t="n">
        <f aca="false">SUM(L2:L62)</f>
        <v>0</v>
      </c>
      <c r="M63" s="24" t="n">
        <f aca="false">SUM(M2:M62)</f>
        <v>0</v>
      </c>
      <c r="N63" s="24" t="n">
        <f aca="false">SUM(N2:N62)</f>
        <v>0</v>
      </c>
      <c r="O63" s="24" t="n">
        <f aca="false">SUM(O2:O62)</f>
        <v>0</v>
      </c>
      <c r="P63" s="24" t="n">
        <f aca="false">SUM(P2:P62)</f>
        <v>0</v>
      </c>
      <c r="Q63" s="24" t="n">
        <f aca="false">SUM(Q2:Q62)</f>
        <v>0</v>
      </c>
      <c r="R63" s="24" t="n">
        <f aca="false">SUM(R2:R62)</f>
        <v>0</v>
      </c>
      <c r="S63" s="24" t="n">
        <f aca="false">SUM(S2:S62)</f>
        <v>0</v>
      </c>
      <c r="T63" s="24" t="n">
        <f aca="false">SUM(T2:T62)</f>
        <v>0</v>
      </c>
      <c r="U63" s="24" t="n">
        <f aca="false">SUM(U2:U62)</f>
        <v>0</v>
      </c>
      <c r="V63" s="24" t="n">
        <f aca="false">SUM(V2:V62)</f>
        <v>0</v>
      </c>
      <c r="W63" s="24" t="n">
        <f aca="false">SUM(W2:W62)</f>
        <v>0</v>
      </c>
      <c r="X63" s="24" t="n">
        <f aca="false">SUM(X2:X62)</f>
        <v>0</v>
      </c>
      <c r="Y63" s="24" t="n">
        <f aca="false">SUM(Y2:Y62)</f>
        <v>0</v>
      </c>
      <c r="Z63" s="24" t="n">
        <f aca="false">SUM(Z2:Z62)</f>
        <v>0</v>
      </c>
      <c r="AA63" s="24" t="n">
        <f aca="false">SUM(AA2:AA62)</f>
        <v>2464607.18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22" t="s">
        <v>1689</v>
      </c>
      <c r="B1" s="24" t="n">
        <f aca="false">SUMIFS(Report!$U:$U,Report!$T:$T,"&lt;&gt;"&amp;"MERCADORIAS P/REVENDA",Report!$AA:$AA,"SIM",Report!$C:$C,"&gt;="&amp;DATE(2026,1,1),Report!$C:$C,"&lt;="&amp;DATE(2027,12,31))</f>
        <v>781959.21</v>
      </c>
      <c r="C1" s="24" t="n">
        <f aca="false">SUMIFS(Report!$U:$U,Report!$T:$T,"MERCADORIAS P/REVENDA",Report!$AA:$AA,"SIM",Report!$C:$C,"&gt;="&amp;DATE(2026,1,1),Report!$C:$C,"&lt;="&amp;DATE(2027,12,31))</f>
        <v>1432647.97</v>
      </c>
      <c r="D1" s="28" t="s">
        <v>1690</v>
      </c>
      <c r="E1" s="29" t="n">
        <f aca="false">SUMIFS(Report!$U:$U,Report!$AA:$AA,"NAO",Report!$C:$C,"&gt;="&amp;DATE(2026,1,1),Report!$C:$C,"&lt;="&amp;DATE(2027,12,31))</f>
        <v>250000</v>
      </c>
      <c r="F1" s="24" t="n">
        <f aca="false">B1+C1</f>
        <v>2214607.18</v>
      </c>
      <c r="H1" s="1"/>
      <c r="I1" s="17"/>
    </row>
    <row r="2" customFormat="false" ht="12.75" hidden="false" customHeight="true" outlineLevel="0" collapsed="false">
      <c r="A2" s="22" t="s">
        <v>1691</v>
      </c>
      <c r="B2" s="24" t="s">
        <v>1692</v>
      </c>
      <c r="C2" s="24" t="s">
        <v>1693</v>
      </c>
      <c r="D2" s="28" t="s">
        <v>1694</v>
      </c>
      <c r="E2" s="29" t="n">
        <f aca="false">F1+E1</f>
        <v>2464607.18</v>
      </c>
      <c r="F2" s="24" t="s">
        <v>1695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0" t="n">
        <v>46025</v>
      </c>
      <c r="B5" s="31" t="n">
        <f aca="false">SUMIFS(Report!$U:$U,Report!$T:$T,"&lt;&gt;"&amp;"MERCADORIAS P/REVENDA",Report!$AA:$AA,"SIM",Report!$C:$C,A5)</f>
        <v>0</v>
      </c>
      <c r="C5" s="31" t="n">
        <f aca="false">SUMIFS(Report!$U:$U,Report!$T:$T,"MERCADORIAS P/REVENDA",Report!$AA:$AA,"SIM",Report!$C:$C,A5)</f>
        <v>0</v>
      </c>
      <c r="D5" s="32"/>
      <c r="E5" s="32"/>
      <c r="F5" s="31" t="n">
        <f aca="false">B5+C5</f>
        <v>0</v>
      </c>
    </row>
    <row r="6" customFormat="false" ht="12.75" hidden="false" customHeight="true" outlineLevel="0" collapsed="false">
      <c r="A6" s="30" t="n">
        <v>46026</v>
      </c>
      <c r="B6" s="31" t="n">
        <f aca="false">SUMIFS(Report!$U:$U,Report!$T:$T,"&lt;&gt;"&amp;"MERCADORIAS P/REVENDA",Report!$AA:$AA,"SIM",Report!$C:$C,A6)</f>
        <v>0</v>
      </c>
      <c r="C6" s="31" t="n">
        <f aca="false">SUMIFS(Report!$U:$U,Report!$T:$T,"MERCADORIAS P/REVENDA",Report!$AA:$AA,"SIM",Report!$C:$C,A6)</f>
        <v>0</v>
      </c>
      <c r="D6" s="32"/>
      <c r="E6" s="32"/>
      <c r="F6" s="31" t="n">
        <f aca="false">B6+C6</f>
        <v>0</v>
      </c>
    </row>
    <row r="7" customFormat="false" ht="12.75" hidden="false" customHeight="true" outlineLevel="0" collapsed="false">
      <c r="A7" s="30" t="n">
        <v>46027</v>
      </c>
      <c r="B7" s="31" t="n">
        <f aca="false">SUMIFS(Report!$U:$U,Report!$T:$T,"&lt;&gt;"&amp;"MERCADORIAS P/REVENDA",Report!$AA:$AA,"SIM",Report!$C:$C,A7)</f>
        <v>0</v>
      </c>
      <c r="C7" s="31" t="n">
        <f aca="false">SUMIFS(Report!$U:$U,Report!$T:$T,"MERCADORIAS P/REVENDA",Report!$AA:$AA,"SIM",Report!$C:$C,A7)</f>
        <v>0</v>
      </c>
      <c r="D7" s="32"/>
      <c r="E7" s="32"/>
      <c r="F7" s="31" t="n">
        <f aca="false">B7+C7</f>
        <v>0</v>
      </c>
    </row>
    <row r="8" customFormat="false" ht="12.75" hidden="false" customHeight="true" outlineLevel="0" collapsed="false">
      <c r="A8" s="33" t="s">
        <v>1696</v>
      </c>
      <c r="B8" s="34" t="n">
        <f aca="false">SUM(B3:B7)</f>
        <v>0</v>
      </c>
      <c r="C8" s="34" t="n">
        <f aca="false">SUM(C3:C7)</f>
        <v>0</v>
      </c>
      <c r="D8" s="35"/>
      <c r="E8" s="35"/>
      <c r="F8" s="3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0" t="n">
        <v>46032</v>
      </c>
      <c r="B13" s="31" t="n">
        <f aca="false">SUMIFS(Report!$U:$U,Report!$T:$T,"&lt;&gt;"&amp;"MERCADORIAS P/REVENDA",Report!$AA:$AA,"SIM",Report!$C:$C,A13)</f>
        <v>0</v>
      </c>
      <c r="C13" s="31" t="n">
        <f aca="false">SUMIFS(Report!$U:$U,Report!$T:$T,"MERCADORIAS P/REVENDA",Report!$AA:$AA,"SIM",Report!$C:$C,A13)</f>
        <v>0</v>
      </c>
      <c r="D13" s="32"/>
      <c r="E13" s="32"/>
      <c r="F13" s="31" t="n">
        <f aca="false">B13+C13</f>
        <v>0</v>
      </c>
    </row>
    <row r="14" customFormat="false" ht="12.75" hidden="false" customHeight="true" outlineLevel="0" collapsed="false">
      <c r="A14" s="30" t="n">
        <v>46033</v>
      </c>
      <c r="B14" s="31" t="n">
        <f aca="false">SUMIFS(Report!$U:$U,Report!$T:$T,"&lt;&gt;"&amp;"MERCADORIAS P/REVENDA",Report!$AA:$AA,"SIM",Report!$C:$C,A14)</f>
        <v>0</v>
      </c>
      <c r="C14" s="31" t="n">
        <f aca="false">SUMIFS(Report!$U:$U,Report!$T:$T,"MERCADORIAS P/REVENDA",Report!$AA:$AA,"SIM",Report!$C:$C,A14)</f>
        <v>0</v>
      </c>
      <c r="D14" s="32"/>
      <c r="E14" s="32"/>
      <c r="F14" s="31" t="n">
        <f aca="false">B14+C14</f>
        <v>0</v>
      </c>
    </row>
    <row r="15" customFormat="false" ht="12.75" hidden="false" customHeight="true" outlineLevel="0" collapsed="false">
      <c r="A15" s="30" t="n">
        <v>46034</v>
      </c>
      <c r="B15" s="31" t="n">
        <f aca="false">SUMIFS(Report!$U:$U,Report!$T:$T,"&lt;&gt;"&amp;"MERCADORIAS P/REVENDA",Report!$AA:$AA,"SIM",Report!$C:$C,A15)</f>
        <v>0</v>
      </c>
      <c r="C15" s="31" t="n">
        <f aca="false">SUMIFS(Report!$U:$U,Report!$T:$T,"MERCADORIAS P/REVENDA",Report!$AA:$AA,"SIM",Report!$C:$C,A15)</f>
        <v>0</v>
      </c>
      <c r="D15" s="32"/>
      <c r="E15" s="32"/>
      <c r="F15" s="31" t="n">
        <f aca="false">B15+C15</f>
        <v>0</v>
      </c>
    </row>
    <row r="16" customFormat="false" ht="12.75" hidden="false" customHeight="true" outlineLevel="0" collapsed="false">
      <c r="A16" s="33" t="s">
        <v>1697</v>
      </c>
      <c r="B16" s="34" t="n">
        <f aca="false">SUM(B9:B15)</f>
        <v>0</v>
      </c>
      <c r="C16" s="34" t="n">
        <f aca="false">SUM(C9:C15)</f>
        <v>0</v>
      </c>
      <c r="D16" s="35"/>
      <c r="E16" s="35"/>
      <c r="F16" s="3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0" t="n">
        <v>46039</v>
      </c>
      <c r="B21" s="31" t="n">
        <f aca="false">SUMIFS(Report!$U:$U,Report!$T:$T,"&lt;&gt;"&amp;"MERCADORIAS P/REVENDA",Report!$AA:$AA,"SIM",Report!$C:$C,A21)</f>
        <v>0</v>
      </c>
      <c r="C21" s="31" t="n">
        <f aca="false">SUMIFS(Report!$U:$U,Report!$T:$T,"MERCADORIAS P/REVENDA",Report!$AA:$AA,"SIM",Report!$C:$C,A21)</f>
        <v>0</v>
      </c>
      <c r="D21" s="32"/>
      <c r="E21" s="32"/>
      <c r="F21" s="31" t="n">
        <f aca="false">B21+C21</f>
        <v>0</v>
      </c>
    </row>
    <row r="22" customFormat="false" ht="12.75" hidden="false" customHeight="true" outlineLevel="0" collapsed="false">
      <c r="A22" s="30" t="n">
        <v>46040</v>
      </c>
      <c r="B22" s="31" t="n">
        <f aca="false">SUMIFS(Report!$U:$U,Report!$T:$T,"&lt;&gt;"&amp;"MERCADORIAS P/REVENDA",Report!$AA:$AA,"SIM",Report!$C:$C,A22)</f>
        <v>0</v>
      </c>
      <c r="C22" s="31" t="n">
        <f aca="false">SUMIFS(Report!$U:$U,Report!$T:$T,"MERCADORIAS P/REVENDA",Report!$AA:$AA,"SIM",Report!$C:$C,A22)</f>
        <v>0</v>
      </c>
      <c r="D22" s="32"/>
      <c r="E22" s="32"/>
      <c r="F22" s="31" t="n">
        <f aca="false">B22+C22</f>
        <v>0</v>
      </c>
    </row>
    <row r="23" customFormat="false" ht="12.75" hidden="false" customHeight="true" outlineLevel="0" collapsed="false">
      <c r="A23" s="30" t="n">
        <v>46041</v>
      </c>
      <c r="B23" s="31" t="n">
        <f aca="false">SUMIFS(Report!$U:$U,Report!$T:$T,"&lt;&gt;"&amp;"MERCADORIAS P/REVENDA",Report!$AA:$AA,"SIM",Report!$C:$C,A23)</f>
        <v>0</v>
      </c>
      <c r="C23" s="31" t="n">
        <f aca="false">SUMIFS(Report!$U:$U,Report!$T:$T,"MERCADORIAS P/REVENDA",Report!$AA:$AA,"SIM",Report!$C:$C,A23)</f>
        <v>0</v>
      </c>
      <c r="D23" s="32"/>
      <c r="E23" s="32"/>
      <c r="F23" s="31" t="n">
        <f aca="false">B23+C23</f>
        <v>0</v>
      </c>
    </row>
    <row r="24" customFormat="false" ht="12.75" hidden="false" customHeight="true" outlineLevel="0" collapsed="false">
      <c r="A24" s="33" t="s">
        <v>1698</v>
      </c>
      <c r="B24" s="34" t="n">
        <f aca="false">SUM(B17:B23)</f>
        <v>0</v>
      </c>
      <c r="C24" s="34" t="n">
        <f aca="false">SUM(C17:C23)</f>
        <v>0</v>
      </c>
      <c r="D24" s="35"/>
      <c r="E24" s="35"/>
      <c r="F24" s="3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0" t="n">
        <v>46046</v>
      </c>
      <c r="B29" s="31" t="n">
        <f aca="false">SUMIFS(Report!$U:$U,Report!$T:$T,"&lt;&gt;"&amp;"MERCADORIAS P/REVENDA",Report!$AA:$AA,"SIM",Report!$C:$C,A29)</f>
        <v>0</v>
      </c>
      <c r="C29" s="31" t="n">
        <f aca="false">SUMIFS(Report!$U:$U,Report!$T:$T,"MERCADORIAS P/REVENDA",Report!$AA:$AA,"SIM",Report!$C:$C,A29)</f>
        <v>0</v>
      </c>
      <c r="D29" s="32"/>
      <c r="E29" s="32"/>
      <c r="F29" s="31" t="n">
        <f aca="false">B29+C29</f>
        <v>0</v>
      </c>
    </row>
    <row r="30" customFormat="false" ht="12.75" hidden="false" customHeight="true" outlineLevel="0" collapsed="false">
      <c r="A30" s="30" t="n">
        <v>46047</v>
      </c>
      <c r="B30" s="31" t="n">
        <f aca="false">SUMIFS(Report!$U:$U,Report!$T:$T,"&lt;&gt;"&amp;"MERCADORIAS P/REVENDA",Report!$AA:$AA,"SIM",Report!$C:$C,A30)</f>
        <v>0</v>
      </c>
      <c r="C30" s="31" t="n">
        <f aca="false">SUMIFS(Report!$U:$U,Report!$T:$T,"MERCADORIAS P/REVENDA",Report!$AA:$AA,"SIM",Report!$C:$C,A30)</f>
        <v>0</v>
      </c>
      <c r="D30" s="32"/>
      <c r="E30" s="32"/>
      <c r="F30" s="31" t="n">
        <f aca="false">B30+C30</f>
        <v>0</v>
      </c>
    </row>
    <row r="31" customFormat="false" ht="12.75" hidden="false" customHeight="true" outlineLevel="0" collapsed="false">
      <c r="A31" s="30" t="n">
        <v>46048</v>
      </c>
      <c r="B31" s="31" t="n">
        <f aca="false">SUMIFS(Report!$U:$U,Report!$T:$T,"&lt;&gt;"&amp;"MERCADORIAS P/REVENDA",Report!$AA:$AA,"SIM",Report!$C:$C,A31)</f>
        <v>0</v>
      </c>
      <c r="C31" s="31" t="n">
        <f aca="false">SUMIFS(Report!$U:$U,Report!$T:$T,"MERCADORIAS P/REVENDA",Report!$AA:$AA,"SIM",Report!$C:$C,A31)</f>
        <v>0</v>
      </c>
      <c r="D31" s="32"/>
      <c r="E31" s="32"/>
      <c r="F31" s="31" t="n">
        <f aca="false">B31+C31</f>
        <v>0</v>
      </c>
    </row>
    <row r="32" customFormat="false" ht="12.75" hidden="false" customHeight="true" outlineLevel="0" collapsed="false">
      <c r="A32" s="33" t="s">
        <v>1699</v>
      </c>
      <c r="B32" s="34" t="n">
        <f aca="false">SUM(B25:B31)</f>
        <v>0</v>
      </c>
      <c r="C32" s="34" t="n">
        <f aca="false">SUM(C25:C31)</f>
        <v>0</v>
      </c>
      <c r="D32" s="35"/>
      <c r="E32" s="35"/>
      <c r="F32" s="3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0" t="n">
        <v>46053</v>
      </c>
      <c r="B37" s="31" t="n">
        <f aca="false">SUMIFS(Report!$U:$U,Report!$T:$T,"&lt;&gt;"&amp;"MERCADORIAS P/REVENDA",Report!$AA:$AA,"SIM",Report!$C:$C,A37)</f>
        <v>0</v>
      </c>
      <c r="C37" s="31" t="n">
        <f aca="false">SUMIFS(Report!$U:$U,Report!$T:$T,"MERCADORIAS P/REVENDA",Report!$AA:$AA,"SIM",Report!$C:$C,A37)</f>
        <v>0</v>
      </c>
      <c r="D37" s="32"/>
      <c r="E37" s="32"/>
      <c r="F37" s="31" t="n">
        <f aca="false">B37+C37</f>
        <v>0</v>
      </c>
    </row>
    <row r="38" customFormat="false" ht="12.75" hidden="false" customHeight="true" outlineLevel="0" collapsed="false">
      <c r="A38" s="30" t="n">
        <v>46054</v>
      </c>
      <c r="B38" s="31" t="n">
        <f aca="false">SUMIFS(Report!$U:$U,Report!$T:$T,"&lt;&gt;"&amp;"MERCADORIAS P/REVENDA",Report!$AA:$AA,"SIM",Report!$C:$C,A38)</f>
        <v>0</v>
      </c>
      <c r="C38" s="31" t="n">
        <f aca="false">SUMIFS(Report!$U:$U,Report!$T:$T,"MERCADORIAS P/REVENDA",Report!$AA:$AA,"SIM",Report!$C:$C,A38)</f>
        <v>0</v>
      </c>
      <c r="D38" s="32"/>
      <c r="E38" s="32"/>
      <c r="F38" s="31" t="n">
        <f aca="false">B38+C38</f>
        <v>0</v>
      </c>
    </row>
    <row r="39" customFormat="false" ht="12.75" hidden="false" customHeight="true" outlineLevel="0" collapsed="false">
      <c r="A39" s="30" t="n">
        <v>46055</v>
      </c>
      <c r="B39" s="31" t="n">
        <f aca="false">SUMIFS(Report!$U:$U,Report!$T:$T,"&lt;&gt;"&amp;"MERCADORIAS P/REVENDA",Report!$AA:$AA,"SIM",Report!$C:$C,A39)</f>
        <v>0</v>
      </c>
      <c r="C39" s="31" t="n">
        <f aca="false">SUMIFS(Report!$U:$U,Report!$T:$T,"MERCADORIAS P/REVENDA",Report!$AA:$AA,"SIM",Report!$C:$C,A39)</f>
        <v>0</v>
      </c>
      <c r="D39" s="32"/>
      <c r="E39" s="32"/>
      <c r="F39" s="31" t="n">
        <f aca="false">B39+C39</f>
        <v>0</v>
      </c>
    </row>
    <row r="40" customFormat="false" ht="12.75" hidden="false" customHeight="true" outlineLevel="0" collapsed="false">
      <c r="A40" s="33" t="s">
        <v>1700</v>
      </c>
      <c r="B40" s="34" t="n">
        <f aca="false">SUM(B33:B39)</f>
        <v>0</v>
      </c>
      <c r="C40" s="34" t="n">
        <f aca="false">SUM(C33:C39)</f>
        <v>0</v>
      </c>
      <c r="D40" s="35"/>
      <c r="E40" s="35"/>
      <c r="F40" s="3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0" t="n">
        <v>46060</v>
      </c>
      <c r="B45" s="31" t="n">
        <f aca="false">SUMIFS(Report!$U:$U,Report!$T:$T,"&lt;&gt;"&amp;"MERCADORIAS P/REVENDA",Report!$AA:$AA,"SIM",Report!$C:$C,A45)</f>
        <v>0</v>
      </c>
      <c r="C45" s="31" t="n">
        <f aca="false">SUMIFS(Report!$U:$U,Report!$T:$T,"MERCADORIAS P/REVENDA",Report!$AA:$AA,"SIM",Report!$C:$C,A45)</f>
        <v>0</v>
      </c>
      <c r="D45" s="32"/>
      <c r="E45" s="32"/>
      <c r="F45" s="31" t="n">
        <f aca="false">B45+C45</f>
        <v>0</v>
      </c>
    </row>
    <row r="46" customFormat="false" ht="12.75" hidden="false" customHeight="true" outlineLevel="0" collapsed="false">
      <c r="A46" s="30" t="n">
        <v>46061</v>
      </c>
      <c r="B46" s="31" t="n">
        <f aca="false">SUMIFS(Report!$U:$U,Report!$T:$T,"&lt;&gt;"&amp;"MERCADORIAS P/REVENDA",Report!$AA:$AA,"SIM",Report!$C:$C,A46)</f>
        <v>0</v>
      </c>
      <c r="C46" s="31" t="n">
        <f aca="false">SUMIFS(Report!$U:$U,Report!$T:$T,"MERCADORIAS P/REVENDA",Report!$AA:$AA,"SIM",Report!$C:$C,A46)</f>
        <v>0</v>
      </c>
      <c r="D46" s="32"/>
      <c r="E46" s="32"/>
      <c r="F46" s="31" t="n">
        <f aca="false">B46+C46</f>
        <v>0</v>
      </c>
    </row>
    <row r="47" customFormat="false" ht="12.75" hidden="false" customHeight="true" outlineLevel="0" collapsed="false">
      <c r="A47" s="30" t="n">
        <v>46062</v>
      </c>
      <c r="B47" s="31" t="n">
        <f aca="false">SUMIFS(Report!$U:$U,Report!$T:$T,"&lt;&gt;"&amp;"MERCADORIAS P/REVENDA",Report!$AA:$AA,"SIM",Report!$C:$C,A47)</f>
        <v>0</v>
      </c>
      <c r="C47" s="31" t="n">
        <f aca="false">SUMIFS(Report!$U:$U,Report!$T:$T,"MERCADORIAS P/REVENDA",Report!$AA:$AA,"SIM",Report!$C:$C,A47)</f>
        <v>0</v>
      </c>
      <c r="D47" s="32"/>
      <c r="E47" s="32"/>
      <c r="F47" s="31" t="n">
        <f aca="false">B47+C47</f>
        <v>0</v>
      </c>
    </row>
    <row r="48" customFormat="false" ht="12.75" hidden="false" customHeight="true" outlineLevel="0" collapsed="false">
      <c r="A48" s="33" t="s">
        <v>1701</v>
      </c>
      <c r="B48" s="34" t="n">
        <f aca="false">SUM(B41:B47)</f>
        <v>0</v>
      </c>
      <c r="C48" s="34" t="n">
        <f aca="false">SUM(C41:C47)</f>
        <v>0</v>
      </c>
      <c r="D48" s="35"/>
      <c r="E48" s="35"/>
      <c r="F48" s="3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0" t="n">
        <v>46067</v>
      </c>
      <c r="B53" s="31" t="n">
        <f aca="false">SUMIFS(Report!$U:$U,Report!$T:$T,"&lt;&gt;"&amp;"MERCADORIAS P/REVENDA",Report!$AA:$AA,"SIM",Report!$C:$C,A53)</f>
        <v>0</v>
      </c>
      <c r="C53" s="31" t="n">
        <f aca="false">SUMIFS(Report!$U:$U,Report!$T:$T,"MERCADORIAS P/REVENDA",Report!$AA:$AA,"SIM",Report!$C:$C,A53)</f>
        <v>0</v>
      </c>
      <c r="D53" s="32"/>
      <c r="E53" s="32"/>
      <c r="F53" s="31" t="n">
        <f aca="false">B53+C53</f>
        <v>0</v>
      </c>
    </row>
    <row r="54" customFormat="false" ht="12.75" hidden="false" customHeight="true" outlineLevel="0" collapsed="false">
      <c r="A54" s="30" t="n">
        <v>46068</v>
      </c>
      <c r="B54" s="31" t="n">
        <f aca="false">SUMIFS(Report!$U:$U,Report!$T:$T,"&lt;&gt;"&amp;"MERCADORIAS P/REVENDA",Report!$AA:$AA,"SIM",Report!$C:$C,A54)</f>
        <v>0</v>
      </c>
      <c r="C54" s="31" t="n">
        <f aca="false">SUMIFS(Report!$U:$U,Report!$T:$T,"MERCADORIAS P/REVENDA",Report!$AA:$AA,"SIM",Report!$C:$C,A54)</f>
        <v>0</v>
      </c>
      <c r="D54" s="32"/>
      <c r="E54" s="32"/>
      <c r="F54" s="31" t="n">
        <f aca="false">B54+C54</f>
        <v>0</v>
      </c>
    </row>
    <row r="55" customFormat="false" ht="12.75" hidden="false" customHeight="true" outlineLevel="0" collapsed="false">
      <c r="A55" s="30" t="n">
        <v>46069</v>
      </c>
      <c r="B55" s="31" t="n">
        <f aca="false">SUMIFS(Report!$U:$U,Report!$T:$T,"&lt;&gt;"&amp;"MERCADORIAS P/REVENDA",Report!$AA:$AA,"SIM",Report!$C:$C,A55)</f>
        <v>0</v>
      </c>
      <c r="C55" s="31" t="n">
        <f aca="false">SUMIFS(Report!$U:$U,Report!$T:$T,"MERCADORIAS P/REVENDA",Report!$AA:$AA,"SIM",Report!$C:$C,A55)</f>
        <v>0</v>
      </c>
      <c r="D55" s="32"/>
      <c r="E55" s="32"/>
      <c r="F55" s="31" t="n">
        <f aca="false">B55+C55</f>
        <v>0</v>
      </c>
    </row>
    <row r="56" customFormat="false" ht="12.75" hidden="false" customHeight="true" outlineLevel="0" collapsed="false">
      <c r="A56" s="33" t="s">
        <v>1702</v>
      </c>
      <c r="B56" s="34" t="n">
        <f aca="false">SUM(B49:B55)</f>
        <v>0</v>
      </c>
      <c r="C56" s="34" t="n">
        <f aca="false">SUM(C49:C55)</f>
        <v>0</v>
      </c>
      <c r="D56" s="35"/>
      <c r="E56" s="35"/>
      <c r="F56" s="3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0" t="n">
        <v>46074</v>
      </c>
      <c r="B61" s="31" t="n">
        <f aca="false">SUMIFS(Report!$U:$U,Report!$T:$T,"&lt;&gt;"&amp;"MERCADORIAS P/REVENDA",Report!$AA:$AA,"SIM",Report!$C:$C,A61)</f>
        <v>0</v>
      </c>
      <c r="C61" s="31" t="n">
        <f aca="false">SUMIFS(Report!$U:$U,Report!$T:$T,"MERCADORIAS P/REVENDA",Report!$AA:$AA,"SIM",Report!$C:$C,A61)</f>
        <v>0</v>
      </c>
      <c r="D61" s="32"/>
      <c r="E61" s="32"/>
      <c r="F61" s="31" t="n">
        <f aca="false">B61+C61</f>
        <v>0</v>
      </c>
    </row>
    <row r="62" customFormat="false" ht="12.75" hidden="false" customHeight="true" outlineLevel="0" collapsed="false">
      <c r="A62" s="30" t="n">
        <v>46075</v>
      </c>
      <c r="B62" s="31" t="n">
        <f aca="false">SUMIFS(Report!$U:$U,Report!$T:$T,"&lt;&gt;"&amp;"MERCADORIAS P/REVENDA",Report!$AA:$AA,"SIM",Report!$C:$C,A62)</f>
        <v>0</v>
      </c>
      <c r="C62" s="31" t="n">
        <f aca="false">SUMIFS(Report!$U:$U,Report!$T:$T,"MERCADORIAS P/REVENDA",Report!$AA:$AA,"SIM",Report!$C:$C,A62)</f>
        <v>0</v>
      </c>
      <c r="D62" s="32"/>
      <c r="E62" s="32"/>
      <c r="F62" s="31" t="n">
        <f aca="false">B62+C62</f>
        <v>0</v>
      </c>
    </row>
    <row r="63" customFormat="false" ht="12.75" hidden="false" customHeight="true" outlineLevel="0" collapsed="false">
      <c r="A63" s="30" t="n">
        <v>46076</v>
      </c>
      <c r="B63" s="31" t="n">
        <f aca="false">SUMIFS(Report!$U:$U,Report!$T:$T,"&lt;&gt;"&amp;"MERCADORIAS P/REVENDA",Report!$AA:$AA,"SIM",Report!$C:$C,A63)</f>
        <v>0</v>
      </c>
      <c r="C63" s="31" t="n">
        <f aca="false">SUMIFS(Report!$U:$U,Report!$T:$T,"MERCADORIAS P/REVENDA",Report!$AA:$AA,"SIM",Report!$C:$C,A63)</f>
        <v>0</v>
      </c>
      <c r="D63" s="32"/>
      <c r="E63" s="32"/>
      <c r="F63" s="31" t="n">
        <f aca="false">B63+C63</f>
        <v>0</v>
      </c>
    </row>
    <row r="64" customFormat="false" ht="12.75" hidden="false" customHeight="true" outlineLevel="0" collapsed="false">
      <c r="A64" s="33" t="s">
        <v>1703</v>
      </c>
      <c r="B64" s="34" t="n">
        <f aca="false">SUM(B57:B63)</f>
        <v>0</v>
      </c>
      <c r="C64" s="34" t="n">
        <f aca="false">SUM(C57:C63)</f>
        <v>0</v>
      </c>
      <c r="D64" s="35"/>
      <c r="E64" s="35"/>
      <c r="F64" s="3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0" t="n">
        <v>46081</v>
      </c>
      <c r="B69" s="31" t="n">
        <f aca="false">SUMIFS(Report!$U:$U,Report!$T:$T,"&lt;&gt;"&amp;"MERCADORIAS P/REVENDA",Report!$AA:$AA,"SIM",Report!$C:$C,A69)</f>
        <v>0</v>
      </c>
      <c r="C69" s="31" t="n">
        <f aca="false">SUMIFS(Report!$U:$U,Report!$T:$T,"MERCADORIAS P/REVENDA",Report!$AA:$AA,"SIM",Report!$C:$C,A69)</f>
        <v>0</v>
      </c>
      <c r="D69" s="32"/>
      <c r="E69" s="32"/>
      <c r="F69" s="31" t="n">
        <f aca="false">B69+C69</f>
        <v>0</v>
      </c>
    </row>
    <row r="70" customFormat="false" ht="12.75" hidden="false" customHeight="true" outlineLevel="0" collapsed="false">
      <c r="A70" s="30" t="n">
        <v>46082</v>
      </c>
      <c r="B70" s="31" t="n">
        <f aca="false">SUMIFS(Report!$U:$U,Report!$T:$T,"&lt;&gt;"&amp;"MERCADORIAS P/REVENDA",Report!$AA:$AA,"SIM",Report!$C:$C,A70)</f>
        <v>0</v>
      </c>
      <c r="C70" s="31" t="n">
        <f aca="false">SUMIFS(Report!$U:$U,Report!$T:$T,"MERCADORIAS P/REVENDA",Report!$AA:$AA,"SIM",Report!$C:$C,A70)</f>
        <v>0</v>
      </c>
      <c r="D70" s="32"/>
      <c r="E70" s="32"/>
      <c r="F70" s="31" t="n">
        <f aca="false">B70+C70</f>
        <v>0</v>
      </c>
    </row>
    <row r="71" customFormat="false" ht="12.75" hidden="false" customHeight="true" outlineLevel="0" collapsed="false">
      <c r="A71" s="30" t="n">
        <v>46083</v>
      </c>
      <c r="B71" s="31" t="n">
        <f aca="false">SUMIFS(Report!$U:$U,Report!$T:$T,"&lt;&gt;"&amp;"MERCADORIAS P/REVENDA",Report!$AA:$AA,"SIM",Report!$C:$C,A71)</f>
        <v>0</v>
      </c>
      <c r="C71" s="31" t="n">
        <f aca="false">SUMIFS(Report!$U:$U,Report!$T:$T,"MERCADORIAS P/REVENDA",Report!$AA:$AA,"SIM",Report!$C:$C,A71)</f>
        <v>0</v>
      </c>
      <c r="D71" s="32"/>
      <c r="E71" s="32"/>
      <c r="F71" s="31" t="n">
        <f aca="false">B71+C71</f>
        <v>0</v>
      </c>
    </row>
    <row r="72" customFormat="false" ht="12.75" hidden="false" customHeight="true" outlineLevel="0" collapsed="false">
      <c r="A72" s="33" t="s">
        <v>1704</v>
      </c>
      <c r="B72" s="34" t="n">
        <f aca="false">SUM(B65:B71)</f>
        <v>0</v>
      </c>
      <c r="C72" s="34" t="n">
        <f aca="false">SUM(C65:C71)</f>
        <v>0</v>
      </c>
      <c r="D72" s="35"/>
      <c r="E72" s="35"/>
      <c r="F72" s="3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0" t="n">
        <v>46088</v>
      </c>
      <c r="B77" s="31" t="n">
        <f aca="false">SUMIFS(Report!$U:$U,Report!$T:$T,"&lt;&gt;"&amp;"MERCADORIAS P/REVENDA",Report!$AA:$AA,"SIM",Report!$C:$C,A77)</f>
        <v>0</v>
      </c>
      <c r="C77" s="31" t="n">
        <f aca="false">SUMIFS(Report!$U:$U,Report!$T:$T,"MERCADORIAS P/REVENDA",Report!$AA:$AA,"SIM",Report!$C:$C,A77)</f>
        <v>0</v>
      </c>
      <c r="D77" s="32"/>
      <c r="E77" s="32"/>
      <c r="F77" s="31" t="n">
        <f aca="false">B77+C77</f>
        <v>0</v>
      </c>
    </row>
    <row r="78" customFormat="false" ht="12.75" hidden="false" customHeight="true" outlineLevel="0" collapsed="false">
      <c r="A78" s="30" t="n">
        <v>46089</v>
      </c>
      <c r="B78" s="31" t="n">
        <f aca="false">SUMIFS(Report!$U:$U,Report!$T:$T,"&lt;&gt;"&amp;"MERCADORIAS P/REVENDA",Report!$AA:$AA,"SIM",Report!$C:$C,A78)</f>
        <v>0</v>
      </c>
      <c r="C78" s="31" t="n">
        <f aca="false">SUMIFS(Report!$U:$U,Report!$T:$T,"MERCADORIAS P/REVENDA",Report!$AA:$AA,"SIM",Report!$C:$C,A78)</f>
        <v>0</v>
      </c>
      <c r="D78" s="32"/>
      <c r="E78" s="32"/>
      <c r="F78" s="31" t="n">
        <f aca="false">B78+C78</f>
        <v>0</v>
      </c>
    </row>
    <row r="79" customFormat="false" ht="12.75" hidden="false" customHeight="true" outlineLevel="0" collapsed="false">
      <c r="A79" s="30" t="n">
        <v>46090</v>
      </c>
      <c r="B79" s="31" t="n">
        <f aca="false">SUMIFS(Report!$U:$U,Report!$T:$T,"&lt;&gt;"&amp;"MERCADORIAS P/REVENDA",Report!$AA:$AA,"SIM",Report!$C:$C,A79)</f>
        <v>0</v>
      </c>
      <c r="C79" s="31" t="n">
        <f aca="false">SUMIFS(Report!$U:$U,Report!$T:$T,"MERCADORIAS P/REVENDA",Report!$AA:$AA,"SIM",Report!$C:$C,A79)</f>
        <v>0</v>
      </c>
      <c r="D79" s="32"/>
      <c r="E79" s="32"/>
      <c r="F79" s="31" t="n">
        <f aca="false">B79+C79</f>
        <v>0</v>
      </c>
    </row>
    <row r="80" customFormat="false" ht="12.75" hidden="false" customHeight="true" outlineLevel="0" collapsed="false">
      <c r="A80" s="33" t="s">
        <v>1705</v>
      </c>
      <c r="B80" s="34" t="n">
        <f aca="false">SUM(B73:B79)</f>
        <v>0</v>
      </c>
      <c r="C80" s="34" t="n">
        <f aca="false">SUM(C73:C79)</f>
        <v>0</v>
      </c>
      <c r="D80" s="35"/>
      <c r="E80" s="35"/>
      <c r="F80" s="3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0" t="n">
        <v>46095</v>
      </c>
      <c r="B85" s="31" t="n">
        <f aca="false">SUMIFS(Report!$U:$U,Report!$T:$T,"&lt;&gt;"&amp;"MERCADORIAS P/REVENDA",Report!$AA:$AA,"SIM",Report!$C:$C,A85)</f>
        <v>0</v>
      </c>
      <c r="C85" s="31" t="n">
        <f aca="false">SUMIFS(Report!$U:$U,Report!$T:$T,"MERCADORIAS P/REVENDA",Report!$AA:$AA,"SIM",Report!$C:$C,A85)</f>
        <v>0</v>
      </c>
      <c r="D85" s="32"/>
      <c r="E85" s="32"/>
      <c r="F85" s="31" t="n">
        <f aca="false">B85+C85</f>
        <v>0</v>
      </c>
    </row>
    <row r="86" customFormat="false" ht="12.75" hidden="false" customHeight="true" outlineLevel="0" collapsed="false">
      <c r="A86" s="30" t="n">
        <v>46096</v>
      </c>
      <c r="B86" s="31" t="n">
        <f aca="false">SUMIFS(Report!$U:$U,Report!$T:$T,"&lt;&gt;"&amp;"MERCADORIAS P/REVENDA",Report!$AA:$AA,"SIM",Report!$C:$C,A86)</f>
        <v>0</v>
      </c>
      <c r="C86" s="31" t="n">
        <f aca="false">SUMIFS(Report!$U:$U,Report!$T:$T,"MERCADORIAS P/REVENDA",Report!$AA:$AA,"SIM",Report!$C:$C,A86)</f>
        <v>0</v>
      </c>
      <c r="D86" s="32"/>
      <c r="E86" s="32"/>
      <c r="F86" s="31" t="n">
        <f aca="false">B86+C86</f>
        <v>0</v>
      </c>
    </row>
    <row r="87" customFormat="false" ht="12.75" hidden="false" customHeight="true" outlineLevel="0" collapsed="false">
      <c r="A87" s="30" t="n">
        <v>46097</v>
      </c>
      <c r="B87" s="31" t="n">
        <f aca="false">SUMIFS(Report!$U:$U,Report!$T:$T,"&lt;&gt;"&amp;"MERCADORIAS P/REVENDA",Report!$AA:$AA,"SIM",Report!$C:$C,A87)</f>
        <v>0</v>
      </c>
      <c r="C87" s="31" t="n">
        <f aca="false">SUMIFS(Report!$U:$U,Report!$T:$T,"MERCADORIAS P/REVENDA",Report!$AA:$AA,"SIM",Report!$C:$C,A87)</f>
        <v>0</v>
      </c>
      <c r="D87" s="32"/>
      <c r="E87" s="32"/>
      <c r="F87" s="31" t="n">
        <f aca="false">B87+C87</f>
        <v>0</v>
      </c>
    </row>
    <row r="88" customFormat="false" ht="12.75" hidden="false" customHeight="true" outlineLevel="0" collapsed="false">
      <c r="A88" s="33" t="s">
        <v>1706</v>
      </c>
      <c r="B88" s="34" t="n">
        <f aca="false">SUM(B81:B87)</f>
        <v>0</v>
      </c>
      <c r="C88" s="34" t="n">
        <f aca="false">SUM(C81:C87)</f>
        <v>0</v>
      </c>
      <c r="D88" s="35"/>
      <c r="E88" s="35"/>
      <c r="F88" s="3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0" t="n">
        <v>46102</v>
      </c>
      <c r="B93" s="31" t="n">
        <f aca="false">SUMIFS(Report!$U:$U,Report!$T:$T,"&lt;&gt;"&amp;"MERCADORIAS P/REVENDA",Report!$AA:$AA,"SIM",Report!$C:$C,A93)</f>
        <v>0</v>
      </c>
      <c r="C93" s="31" t="n">
        <f aca="false">SUMIFS(Report!$U:$U,Report!$T:$T,"MERCADORIAS P/REVENDA",Report!$AA:$AA,"SIM",Report!$C:$C,A93)</f>
        <v>0</v>
      </c>
      <c r="D93" s="32"/>
      <c r="E93" s="32"/>
      <c r="F93" s="31" t="n">
        <f aca="false">B93+C93</f>
        <v>0</v>
      </c>
    </row>
    <row r="94" customFormat="false" ht="12.75" hidden="false" customHeight="true" outlineLevel="0" collapsed="false">
      <c r="A94" s="30" t="n">
        <v>46103</v>
      </c>
      <c r="B94" s="31" t="n">
        <f aca="false">SUMIFS(Report!$U:$U,Report!$T:$T,"&lt;&gt;"&amp;"MERCADORIAS P/REVENDA",Report!$AA:$AA,"SIM",Report!$C:$C,A94)</f>
        <v>0</v>
      </c>
      <c r="C94" s="31" t="n">
        <f aca="false">SUMIFS(Report!$U:$U,Report!$T:$T,"MERCADORIAS P/REVENDA",Report!$AA:$AA,"SIM",Report!$C:$C,A94)</f>
        <v>0</v>
      </c>
      <c r="D94" s="32"/>
      <c r="E94" s="32"/>
      <c r="F94" s="31" t="n">
        <f aca="false">B94+C94</f>
        <v>0</v>
      </c>
    </row>
    <row r="95" customFormat="false" ht="12.75" hidden="false" customHeight="true" outlineLevel="0" collapsed="false">
      <c r="A95" s="30" t="n">
        <v>46104</v>
      </c>
      <c r="B95" s="31" t="n">
        <f aca="false">SUMIFS(Report!$U:$U,Report!$T:$T,"&lt;&gt;"&amp;"MERCADORIAS P/REVENDA",Report!$AA:$AA,"SIM",Report!$C:$C,A95)</f>
        <v>0</v>
      </c>
      <c r="C95" s="31" t="n">
        <f aca="false">SUMIFS(Report!$U:$U,Report!$T:$T,"MERCADORIAS P/REVENDA",Report!$AA:$AA,"SIM",Report!$C:$C,A95)</f>
        <v>0</v>
      </c>
      <c r="D95" s="32"/>
      <c r="E95" s="32"/>
      <c r="F95" s="31" t="n">
        <f aca="false">B95+C95</f>
        <v>0</v>
      </c>
    </row>
    <row r="96" customFormat="false" ht="12.75" hidden="false" customHeight="true" outlineLevel="0" collapsed="false">
      <c r="A96" s="33" t="s">
        <v>1707</v>
      </c>
      <c r="B96" s="34" t="n">
        <f aca="false">SUM(B89:B95)</f>
        <v>0</v>
      </c>
      <c r="C96" s="34" t="n">
        <f aca="false">SUM(C89:C95)</f>
        <v>0</v>
      </c>
      <c r="D96" s="35"/>
      <c r="E96" s="35"/>
      <c r="F96" s="3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0" t="n">
        <v>46109</v>
      </c>
      <c r="B101" s="31" t="n">
        <f aca="false">SUMIFS(Report!$U:$U,Report!$T:$T,"&lt;&gt;"&amp;"MERCADORIAS P/REVENDA",Report!$AA:$AA,"SIM",Report!$C:$C,A101)</f>
        <v>0</v>
      </c>
      <c r="C101" s="31" t="n">
        <f aca="false">SUMIFS(Report!$U:$U,Report!$T:$T,"MERCADORIAS P/REVENDA",Report!$AA:$AA,"SIM",Report!$C:$C,A101)</f>
        <v>0</v>
      </c>
      <c r="D101" s="32"/>
      <c r="E101" s="32"/>
      <c r="F101" s="31" t="n">
        <f aca="false">B101+C101</f>
        <v>0</v>
      </c>
    </row>
    <row r="102" customFormat="false" ht="12.75" hidden="false" customHeight="true" outlineLevel="0" collapsed="false">
      <c r="A102" s="30" t="n">
        <v>46110</v>
      </c>
      <c r="B102" s="31" t="n">
        <f aca="false">SUMIFS(Report!$U:$U,Report!$T:$T,"&lt;&gt;"&amp;"MERCADORIAS P/REVENDA",Report!$AA:$AA,"SIM",Report!$C:$C,A102)</f>
        <v>0</v>
      </c>
      <c r="C102" s="31" t="n">
        <f aca="false">SUMIFS(Report!$U:$U,Report!$T:$T,"MERCADORIAS P/REVENDA",Report!$AA:$AA,"SIM",Report!$C:$C,A102)</f>
        <v>0</v>
      </c>
      <c r="D102" s="32"/>
      <c r="E102" s="32"/>
      <c r="F102" s="31" t="n">
        <f aca="false">B102+C102</f>
        <v>0</v>
      </c>
    </row>
    <row r="103" customFormat="false" ht="12.75" hidden="false" customHeight="true" outlineLevel="0" collapsed="false">
      <c r="A103" s="30" t="n">
        <v>46111</v>
      </c>
      <c r="B103" s="31" t="n">
        <f aca="false">SUMIFS(Report!$U:$U,Report!$T:$T,"&lt;&gt;"&amp;"MERCADORIAS P/REVENDA",Report!$AA:$AA,"SIM",Report!$C:$C,A103)</f>
        <v>0</v>
      </c>
      <c r="C103" s="31" t="n">
        <f aca="false">SUMIFS(Report!$U:$U,Report!$T:$T,"MERCADORIAS P/REVENDA",Report!$AA:$AA,"SIM",Report!$C:$C,A103)</f>
        <v>0</v>
      </c>
      <c r="D103" s="32"/>
      <c r="E103" s="32"/>
      <c r="F103" s="31" t="n">
        <f aca="false">B103+C103</f>
        <v>0</v>
      </c>
    </row>
    <row r="104" customFormat="false" ht="12.75" hidden="false" customHeight="true" outlineLevel="0" collapsed="false">
      <c r="A104" s="33" t="s">
        <v>1708</v>
      </c>
      <c r="B104" s="34" t="n">
        <f aca="false">SUM(B97:B103)</f>
        <v>0</v>
      </c>
      <c r="C104" s="34" t="n">
        <f aca="false">SUM(C97:C103)</f>
        <v>0</v>
      </c>
      <c r="D104" s="35"/>
      <c r="E104" s="35"/>
      <c r="F104" s="3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0" t="n">
        <v>46116</v>
      </c>
      <c r="B109" s="31" t="n">
        <f aca="false">SUMIFS(Report!$U:$U,Report!$T:$T,"&lt;&gt;"&amp;"MERCADORIAS P/REVENDA",Report!$AA:$AA,"SIM",Report!$C:$C,A109)</f>
        <v>0</v>
      </c>
      <c r="C109" s="31" t="n">
        <f aca="false">SUMIFS(Report!$U:$U,Report!$T:$T,"MERCADORIAS P/REVENDA",Report!$AA:$AA,"SIM",Report!$C:$C,A109)</f>
        <v>0</v>
      </c>
      <c r="D109" s="32"/>
      <c r="E109" s="32"/>
      <c r="F109" s="31" t="n">
        <f aca="false">B109+C109</f>
        <v>0</v>
      </c>
    </row>
    <row r="110" customFormat="false" ht="12.75" hidden="false" customHeight="true" outlineLevel="0" collapsed="false">
      <c r="A110" s="30" t="n">
        <v>46117</v>
      </c>
      <c r="B110" s="31" t="n">
        <f aca="false">SUMIFS(Report!$U:$U,Report!$T:$T,"&lt;&gt;"&amp;"MERCADORIAS P/REVENDA",Report!$AA:$AA,"SIM",Report!$C:$C,A110)</f>
        <v>0</v>
      </c>
      <c r="C110" s="31" t="n">
        <f aca="false">SUMIFS(Report!$U:$U,Report!$T:$T,"MERCADORIAS P/REVENDA",Report!$AA:$AA,"SIM",Report!$C:$C,A110)</f>
        <v>0</v>
      </c>
      <c r="D110" s="32"/>
      <c r="E110" s="32"/>
      <c r="F110" s="31" t="n">
        <f aca="false">B110+C110</f>
        <v>0</v>
      </c>
    </row>
    <row r="111" customFormat="false" ht="12.75" hidden="false" customHeight="true" outlineLevel="0" collapsed="false">
      <c r="A111" s="30" t="n">
        <v>46118</v>
      </c>
      <c r="B111" s="31" t="n">
        <f aca="false">SUMIFS(Report!$U:$U,Report!$T:$T,"&lt;&gt;"&amp;"MERCADORIAS P/REVENDA",Report!$AA:$AA,"SIM",Report!$C:$C,A111)</f>
        <v>0</v>
      </c>
      <c r="C111" s="31" t="n">
        <f aca="false">SUMIFS(Report!$U:$U,Report!$T:$T,"MERCADORIAS P/REVENDA",Report!$AA:$AA,"SIM",Report!$C:$C,A111)</f>
        <v>0</v>
      </c>
      <c r="D111" s="32"/>
      <c r="E111" s="32"/>
      <c r="F111" s="31" t="n">
        <f aca="false">B111+C111</f>
        <v>0</v>
      </c>
    </row>
    <row r="112" customFormat="false" ht="12.75" hidden="false" customHeight="true" outlineLevel="0" collapsed="false">
      <c r="A112" s="33" t="s">
        <v>1709</v>
      </c>
      <c r="B112" s="34" t="n">
        <f aca="false">SUM(B105:B111)</f>
        <v>0</v>
      </c>
      <c r="C112" s="34" t="n">
        <f aca="false">SUM(C105:C111)</f>
        <v>0</v>
      </c>
      <c r="D112" s="35"/>
      <c r="E112" s="35"/>
      <c r="F112" s="3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0" t="n">
        <v>46123</v>
      </c>
      <c r="B117" s="31" t="n">
        <f aca="false">SUMIFS(Report!$U:$U,Report!$T:$T,"&lt;&gt;"&amp;"MERCADORIAS P/REVENDA",Report!$AA:$AA,"SIM",Report!$C:$C,A117)</f>
        <v>0</v>
      </c>
      <c r="C117" s="31" t="n">
        <f aca="false">SUMIFS(Report!$U:$U,Report!$T:$T,"MERCADORIAS P/REVENDA",Report!$AA:$AA,"SIM",Report!$C:$C,A117)</f>
        <v>0</v>
      </c>
      <c r="D117" s="32"/>
      <c r="E117" s="32"/>
      <c r="F117" s="31" t="n">
        <f aca="false">B117+C117</f>
        <v>0</v>
      </c>
    </row>
    <row r="118" customFormat="false" ht="12.75" hidden="false" customHeight="true" outlineLevel="0" collapsed="false">
      <c r="A118" s="30" t="n">
        <v>46124</v>
      </c>
      <c r="B118" s="31" t="n">
        <f aca="false">SUMIFS(Report!$U:$U,Report!$T:$T,"&lt;&gt;"&amp;"MERCADORIAS P/REVENDA",Report!$AA:$AA,"SIM",Report!$C:$C,A118)</f>
        <v>0</v>
      </c>
      <c r="C118" s="31" t="n">
        <f aca="false">SUMIFS(Report!$U:$U,Report!$T:$T,"MERCADORIAS P/REVENDA",Report!$AA:$AA,"SIM",Report!$C:$C,A118)</f>
        <v>0</v>
      </c>
      <c r="D118" s="32"/>
      <c r="E118" s="32"/>
      <c r="F118" s="31" t="n">
        <f aca="false">B118+C118</f>
        <v>0</v>
      </c>
    </row>
    <row r="119" customFormat="false" ht="12.75" hidden="false" customHeight="true" outlineLevel="0" collapsed="false">
      <c r="A119" s="30" t="n">
        <v>46125</v>
      </c>
      <c r="B119" s="31" t="n">
        <f aca="false">SUMIFS(Report!$U:$U,Report!$T:$T,"&lt;&gt;"&amp;"MERCADORIAS P/REVENDA",Report!$AA:$AA,"SIM",Report!$C:$C,A119)</f>
        <v>0</v>
      </c>
      <c r="C119" s="31" t="n">
        <f aca="false">SUMIFS(Report!$U:$U,Report!$T:$T,"MERCADORIAS P/REVENDA",Report!$AA:$AA,"SIM",Report!$C:$C,A119)</f>
        <v>0</v>
      </c>
      <c r="D119" s="32"/>
      <c r="E119" s="32"/>
      <c r="F119" s="31" t="n">
        <f aca="false">B119+C119</f>
        <v>0</v>
      </c>
    </row>
    <row r="120" customFormat="false" ht="12.75" hidden="false" customHeight="true" outlineLevel="0" collapsed="false">
      <c r="A120" s="33" t="s">
        <v>1710</v>
      </c>
      <c r="B120" s="34" t="n">
        <f aca="false">SUM(B113:B119)</f>
        <v>0</v>
      </c>
      <c r="C120" s="34" t="n">
        <f aca="false">SUM(C113:C119)</f>
        <v>0</v>
      </c>
      <c r="D120" s="35"/>
      <c r="E120" s="35"/>
      <c r="F120" s="3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0" t="n">
        <v>46130</v>
      </c>
      <c r="B125" s="31" t="n">
        <f aca="false">SUMIFS(Report!$U:$U,Report!$T:$T,"&lt;&gt;"&amp;"MERCADORIAS P/REVENDA",Report!$AA:$AA,"SIM",Report!$C:$C,A125)</f>
        <v>0</v>
      </c>
      <c r="C125" s="31" t="n">
        <f aca="false">SUMIFS(Report!$U:$U,Report!$T:$T,"MERCADORIAS P/REVENDA",Report!$AA:$AA,"SIM",Report!$C:$C,A125)</f>
        <v>0</v>
      </c>
      <c r="D125" s="32"/>
      <c r="E125" s="32"/>
      <c r="F125" s="31" t="n">
        <f aca="false">B125+C125</f>
        <v>0</v>
      </c>
    </row>
    <row r="126" customFormat="false" ht="12.75" hidden="false" customHeight="true" outlineLevel="0" collapsed="false">
      <c r="A126" s="30" t="n">
        <v>46131</v>
      </c>
      <c r="B126" s="31" t="n">
        <f aca="false">SUMIFS(Report!$U:$U,Report!$T:$T,"&lt;&gt;"&amp;"MERCADORIAS P/REVENDA",Report!$AA:$AA,"SIM",Report!$C:$C,A126)</f>
        <v>0</v>
      </c>
      <c r="C126" s="31" t="n">
        <f aca="false">SUMIFS(Report!$U:$U,Report!$T:$T,"MERCADORIAS P/REVENDA",Report!$AA:$AA,"SIM",Report!$C:$C,A126)</f>
        <v>0</v>
      </c>
      <c r="D126" s="32"/>
      <c r="E126" s="32"/>
      <c r="F126" s="31" t="n">
        <f aca="false">B126+C126</f>
        <v>0</v>
      </c>
    </row>
    <row r="127" customFormat="false" ht="12.75" hidden="false" customHeight="true" outlineLevel="0" collapsed="false">
      <c r="A127" s="30" t="n">
        <v>46132</v>
      </c>
      <c r="B127" s="31" t="n">
        <f aca="false">SUMIFS(Report!$U:$U,Report!$T:$T,"&lt;&gt;"&amp;"MERCADORIAS P/REVENDA",Report!$AA:$AA,"SIM",Report!$C:$C,A127)</f>
        <v>0</v>
      </c>
      <c r="C127" s="31" t="n">
        <f aca="false">SUMIFS(Report!$U:$U,Report!$T:$T,"MERCADORIAS P/REVENDA",Report!$AA:$AA,"SIM",Report!$C:$C,A127)</f>
        <v>0</v>
      </c>
      <c r="D127" s="32"/>
      <c r="E127" s="32"/>
      <c r="F127" s="31" t="n">
        <f aca="false">B127+C127</f>
        <v>0</v>
      </c>
    </row>
    <row r="128" customFormat="false" ht="12.75" hidden="false" customHeight="true" outlineLevel="0" collapsed="false">
      <c r="A128" s="33" t="s">
        <v>1711</v>
      </c>
      <c r="B128" s="34" t="n">
        <f aca="false">SUM(B121:B127)</f>
        <v>0</v>
      </c>
      <c r="C128" s="34" t="n">
        <f aca="false">SUM(C121:C127)</f>
        <v>0</v>
      </c>
      <c r="D128" s="35"/>
      <c r="E128" s="35"/>
      <c r="F128" s="3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0" t="n">
        <v>46137</v>
      </c>
      <c r="B133" s="31" t="n">
        <f aca="false">SUMIFS(Report!$U:$U,Report!$T:$T,"&lt;&gt;"&amp;"MERCADORIAS P/REVENDA",Report!$AA:$AA,"SIM",Report!$C:$C,A133)</f>
        <v>0</v>
      </c>
      <c r="C133" s="31" t="n">
        <f aca="false">SUMIFS(Report!$U:$U,Report!$T:$T,"MERCADORIAS P/REVENDA",Report!$AA:$AA,"SIM",Report!$C:$C,A133)</f>
        <v>0</v>
      </c>
      <c r="D133" s="32"/>
      <c r="E133" s="32"/>
      <c r="F133" s="31" t="n">
        <f aca="false">B133+C133</f>
        <v>0</v>
      </c>
    </row>
    <row r="134" customFormat="false" ht="12.75" hidden="false" customHeight="true" outlineLevel="0" collapsed="false">
      <c r="A134" s="30" t="n">
        <v>46138</v>
      </c>
      <c r="B134" s="31" t="n">
        <f aca="false">SUMIFS(Report!$U:$U,Report!$T:$T,"&lt;&gt;"&amp;"MERCADORIAS P/REVENDA",Report!$AA:$AA,"SIM",Report!$C:$C,A134)</f>
        <v>0</v>
      </c>
      <c r="C134" s="31" t="n">
        <f aca="false">SUMIFS(Report!$U:$U,Report!$T:$T,"MERCADORIAS P/REVENDA",Report!$AA:$AA,"SIM",Report!$C:$C,A134)</f>
        <v>0</v>
      </c>
      <c r="D134" s="32"/>
      <c r="E134" s="32"/>
      <c r="F134" s="31" t="n">
        <f aca="false">B134+C134</f>
        <v>0</v>
      </c>
    </row>
    <row r="135" customFormat="false" ht="12.75" hidden="false" customHeight="true" outlineLevel="0" collapsed="false">
      <c r="A135" s="30" t="n">
        <v>46139</v>
      </c>
      <c r="B135" s="31" t="n">
        <f aca="false">SUMIFS(Report!$U:$U,Report!$T:$T,"&lt;&gt;"&amp;"MERCADORIAS P/REVENDA",Report!$AA:$AA,"SIM",Report!$C:$C,A135)</f>
        <v>0</v>
      </c>
      <c r="C135" s="31" t="n">
        <f aca="false">SUMIFS(Report!$U:$U,Report!$T:$T,"MERCADORIAS P/REVENDA",Report!$AA:$AA,"SIM",Report!$C:$C,A135)</f>
        <v>0</v>
      </c>
      <c r="D135" s="32"/>
      <c r="E135" s="32"/>
      <c r="F135" s="31" t="n">
        <f aca="false">B135+C135</f>
        <v>0</v>
      </c>
    </row>
    <row r="136" customFormat="false" ht="12.75" hidden="false" customHeight="true" outlineLevel="0" collapsed="false">
      <c r="A136" s="33" t="s">
        <v>1712</v>
      </c>
      <c r="B136" s="34" t="n">
        <f aca="false">SUM(B129:B135)</f>
        <v>0</v>
      </c>
      <c r="C136" s="34" t="n">
        <f aca="false">SUM(C129:C135)</f>
        <v>0</v>
      </c>
      <c r="D136" s="35"/>
      <c r="E136" s="35"/>
      <c r="F136" s="3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0" t="n">
        <v>46144</v>
      </c>
      <c r="B141" s="31" t="n">
        <f aca="false">SUMIFS(Report!$U:$U,Report!$T:$T,"&lt;&gt;"&amp;"MERCADORIAS P/REVENDA",Report!$AA:$AA,"SIM",Report!$C:$C,A141)</f>
        <v>0</v>
      </c>
      <c r="C141" s="31" t="n">
        <f aca="false">SUMIFS(Report!$U:$U,Report!$T:$T,"MERCADORIAS P/REVENDA",Report!$AA:$AA,"SIM",Report!$C:$C,A141)</f>
        <v>0</v>
      </c>
      <c r="D141" s="32"/>
      <c r="E141" s="32"/>
      <c r="F141" s="31" t="n">
        <f aca="false">B141+C141</f>
        <v>0</v>
      </c>
    </row>
    <row r="142" customFormat="false" ht="12.75" hidden="false" customHeight="true" outlineLevel="0" collapsed="false">
      <c r="A142" s="30" t="n">
        <v>46145</v>
      </c>
      <c r="B142" s="31" t="n">
        <f aca="false">SUMIFS(Report!$U:$U,Report!$T:$T,"&lt;&gt;"&amp;"MERCADORIAS P/REVENDA",Report!$AA:$AA,"SIM",Report!$C:$C,A142)</f>
        <v>0</v>
      </c>
      <c r="C142" s="31" t="n">
        <f aca="false">SUMIFS(Report!$U:$U,Report!$T:$T,"MERCADORIAS P/REVENDA",Report!$AA:$AA,"SIM",Report!$C:$C,A142)</f>
        <v>0</v>
      </c>
      <c r="D142" s="32"/>
      <c r="E142" s="32"/>
      <c r="F142" s="31" t="n">
        <f aca="false">B142+C142</f>
        <v>0</v>
      </c>
    </row>
    <row r="143" customFormat="false" ht="12.75" hidden="false" customHeight="true" outlineLevel="0" collapsed="false">
      <c r="A143" s="30" t="n">
        <v>46146</v>
      </c>
      <c r="B143" s="31" t="n">
        <f aca="false">SUMIFS(Report!$U:$U,Report!$T:$T,"&lt;&gt;"&amp;"MERCADORIAS P/REVENDA",Report!$AA:$AA,"SIM",Report!$C:$C,A143)</f>
        <v>0</v>
      </c>
      <c r="C143" s="31" t="n">
        <f aca="false">SUMIFS(Report!$U:$U,Report!$T:$T,"MERCADORIAS P/REVENDA",Report!$AA:$AA,"SIM",Report!$C:$C,A143)</f>
        <v>0</v>
      </c>
      <c r="D143" s="32"/>
      <c r="E143" s="32"/>
      <c r="F143" s="31" t="n">
        <f aca="false">B143+C143</f>
        <v>0</v>
      </c>
    </row>
    <row r="144" customFormat="false" ht="12.75" hidden="false" customHeight="true" outlineLevel="0" collapsed="false">
      <c r="A144" s="33" t="s">
        <v>1713</v>
      </c>
      <c r="B144" s="34" t="n">
        <f aca="false">SUM(B137:B143)</f>
        <v>0</v>
      </c>
      <c r="C144" s="34" t="n">
        <f aca="false">SUM(C137:C143)</f>
        <v>0</v>
      </c>
      <c r="D144" s="35"/>
      <c r="E144" s="35"/>
      <c r="F144" s="3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0" t="n">
        <v>46151</v>
      </c>
      <c r="B149" s="31" t="n">
        <f aca="false">SUMIFS(Report!$U:$U,Report!$T:$T,"&lt;&gt;"&amp;"MERCADORIAS P/REVENDA",Report!$AA:$AA,"SIM",Report!$C:$C,A149)</f>
        <v>0</v>
      </c>
      <c r="C149" s="31" t="n">
        <f aca="false">SUMIFS(Report!$U:$U,Report!$T:$T,"MERCADORIAS P/REVENDA",Report!$AA:$AA,"SIM",Report!$C:$C,A149)</f>
        <v>0</v>
      </c>
      <c r="D149" s="32"/>
      <c r="E149" s="32"/>
      <c r="F149" s="31" t="n">
        <f aca="false">B149+C149</f>
        <v>0</v>
      </c>
    </row>
    <row r="150" customFormat="false" ht="12.75" hidden="false" customHeight="true" outlineLevel="0" collapsed="false">
      <c r="A150" s="30" t="n">
        <v>46152</v>
      </c>
      <c r="B150" s="31" t="n">
        <f aca="false">SUMIFS(Report!$U:$U,Report!$T:$T,"&lt;&gt;"&amp;"MERCADORIAS P/REVENDA",Report!$AA:$AA,"SIM",Report!$C:$C,A150)</f>
        <v>0</v>
      </c>
      <c r="C150" s="31" t="n">
        <f aca="false">SUMIFS(Report!$U:$U,Report!$T:$T,"MERCADORIAS P/REVENDA",Report!$AA:$AA,"SIM",Report!$C:$C,A150)</f>
        <v>0</v>
      </c>
      <c r="D150" s="32"/>
      <c r="E150" s="32"/>
      <c r="F150" s="31" t="n">
        <f aca="false">B150+C150</f>
        <v>0</v>
      </c>
    </row>
    <row r="151" customFormat="false" ht="12.75" hidden="false" customHeight="true" outlineLevel="0" collapsed="false">
      <c r="A151" s="30" t="n">
        <v>46153</v>
      </c>
      <c r="B151" s="31" t="n">
        <f aca="false">SUMIFS(Report!$U:$U,Report!$T:$T,"&lt;&gt;"&amp;"MERCADORIAS P/REVENDA",Report!$AA:$AA,"SIM",Report!$C:$C,A151)</f>
        <v>0</v>
      </c>
      <c r="C151" s="31" t="n">
        <f aca="false">SUMIFS(Report!$U:$U,Report!$T:$T,"MERCADORIAS P/REVENDA",Report!$AA:$AA,"SIM",Report!$C:$C,A151)</f>
        <v>0</v>
      </c>
      <c r="D151" s="32"/>
      <c r="E151" s="32"/>
      <c r="F151" s="31" t="n">
        <f aca="false">B151+C151</f>
        <v>0</v>
      </c>
    </row>
    <row r="152" customFormat="false" ht="12.75" hidden="false" customHeight="true" outlineLevel="0" collapsed="false">
      <c r="A152" s="33" t="s">
        <v>1714</v>
      </c>
      <c r="B152" s="34" t="n">
        <f aca="false">SUM(B145:B151)</f>
        <v>0</v>
      </c>
      <c r="C152" s="34" t="n">
        <f aca="false">SUM(C145:C151)</f>
        <v>0</v>
      </c>
      <c r="D152" s="35"/>
      <c r="E152" s="35"/>
      <c r="F152" s="3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0" t="n">
        <v>46158</v>
      </c>
      <c r="B157" s="31" t="n">
        <f aca="false">SUMIFS(Report!$U:$U,Report!$T:$T,"&lt;&gt;"&amp;"MERCADORIAS P/REVENDA",Report!$AA:$AA,"SIM",Report!$C:$C,A157)</f>
        <v>0</v>
      </c>
      <c r="C157" s="31" t="n">
        <f aca="false">SUMIFS(Report!$U:$U,Report!$T:$T,"MERCADORIAS P/REVENDA",Report!$AA:$AA,"SIM",Report!$C:$C,A157)</f>
        <v>0</v>
      </c>
      <c r="D157" s="32"/>
      <c r="E157" s="32"/>
      <c r="F157" s="31" t="n">
        <f aca="false">B157+C157</f>
        <v>0</v>
      </c>
    </row>
    <row r="158" customFormat="false" ht="12.75" hidden="false" customHeight="true" outlineLevel="0" collapsed="false">
      <c r="A158" s="30" t="n">
        <v>46159</v>
      </c>
      <c r="B158" s="31" t="n">
        <f aca="false">SUMIFS(Report!$U:$U,Report!$T:$T,"&lt;&gt;"&amp;"MERCADORIAS P/REVENDA",Report!$AA:$AA,"SIM",Report!$C:$C,A158)</f>
        <v>0</v>
      </c>
      <c r="C158" s="31" t="n">
        <f aca="false">SUMIFS(Report!$U:$U,Report!$T:$T,"MERCADORIAS P/REVENDA",Report!$AA:$AA,"SIM",Report!$C:$C,A158)</f>
        <v>0</v>
      </c>
      <c r="D158" s="32"/>
      <c r="E158" s="32"/>
      <c r="F158" s="31" t="n">
        <f aca="false">B158+C158</f>
        <v>0</v>
      </c>
    </row>
    <row r="159" customFormat="false" ht="12.75" hidden="false" customHeight="true" outlineLevel="0" collapsed="false">
      <c r="A159" s="30" t="n">
        <v>46160</v>
      </c>
      <c r="B159" s="31" t="n">
        <f aca="false">SUMIFS(Report!$U:$U,Report!$T:$T,"&lt;&gt;"&amp;"MERCADORIAS P/REVENDA",Report!$AA:$AA,"SIM",Report!$C:$C,A159)</f>
        <v>0</v>
      </c>
      <c r="C159" s="31" t="n">
        <f aca="false">SUMIFS(Report!$U:$U,Report!$T:$T,"MERCADORIAS P/REVENDA",Report!$AA:$AA,"SIM",Report!$C:$C,A159)</f>
        <v>0</v>
      </c>
      <c r="D159" s="32"/>
      <c r="E159" s="32"/>
      <c r="F159" s="31" t="n">
        <f aca="false">B159+C159</f>
        <v>0</v>
      </c>
    </row>
    <row r="160" customFormat="false" ht="12.75" hidden="false" customHeight="true" outlineLevel="0" collapsed="false">
      <c r="A160" s="33" t="s">
        <v>1715</v>
      </c>
      <c r="B160" s="34" t="n">
        <f aca="false">SUM(B153:B159)</f>
        <v>0</v>
      </c>
      <c r="C160" s="34" t="n">
        <f aca="false">SUM(C153:C159)</f>
        <v>0</v>
      </c>
      <c r="D160" s="35"/>
      <c r="E160" s="35"/>
      <c r="F160" s="3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0" t="n">
        <v>46165</v>
      </c>
      <c r="B165" s="31" t="n">
        <f aca="false">SUMIFS(Report!$U:$U,Report!$T:$T,"&lt;&gt;"&amp;"MERCADORIAS P/REVENDA",Report!$AA:$AA,"SIM",Report!$C:$C,A165)</f>
        <v>0</v>
      </c>
      <c r="C165" s="31" t="n">
        <f aca="false">SUMIFS(Report!$U:$U,Report!$T:$T,"MERCADORIAS P/REVENDA",Report!$AA:$AA,"SIM",Report!$C:$C,A165)</f>
        <v>0</v>
      </c>
      <c r="D165" s="32"/>
      <c r="E165" s="32"/>
      <c r="F165" s="31" t="n">
        <f aca="false">B165+C165</f>
        <v>0</v>
      </c>
    </row>
    <row r="166" customFormat="false" ht="12.75" hidden="false" customHeight="true" outlineLevel="0" collapsed="false">
      <c r="A166" s="30" t="n">
        <v>46166</v>
      </c>
      <c r="B166" s="31" t="n">
        <f aca="false">SUMIFS(Report!$U:$U,Report!$T:$T,"&lt;&gt;"&amp;"MERCADORIAS P/REVENDA",Report!$AA:$AA,"SIM",Report!$C:$C,A166)</f>
        <v>0</v>
      </c>
      <c r="C166" s="31" t="n">
        <f aca="false">SUMIFS(Report!$U:$U,Report!$T:$T,"MERCADORIAS P/REVENDA",Report!$AA:$AA,"SIM",Report!$C:$C,A166)</f>
        <v>0</v>
      </c>
      <c r="D166" s="32"/>
      <c r="E166" s="32"/>
      <c r="F166" s="31" t="n">
        <f aca="false">B166+C166</f>
        <v>0</v>
      </c>
    </row>
    <row r="167" customFormat="false" ht="12.75" hidden="false" customHeight="true" outlineLevel="0" collapsed="false">
      <c r="A167" s="30" t="n">
        <v>46167</v>
      </c>
      <c r="B167" s="31" t="n">
        <f aca="false">SUMIFS(Report!$U:$U,Report!$T:$T,"&lt;&gt;"&amp;"MERCADORIAS P/REVENDA",Report!$AA:$AA,"SIM",Report!$C:$C,A167)</f>
        <v>0</v>
      </c>
      <c r="C167" s="31" t="n">
        <f aca="false">SUMIFS(Report!$U:$U,Report!$T:$T,"MERCADORIAS P/REVENDA",Report!$AA:$AA,"SIM",Report!$C:$C,A167)</f>
        <v>0</v>
      </c>
      <c r="D167" s="32"/>
      <c r="E167" s="32"/>
      <c r="F167" s="31" t="n">
        <f aca="false">B167+C167</f>
        <v>0</v>
      </c>
    </row>
    <row r="168" customFormat="false" ht="12.75" hidden="false" customHeight="true" outlineLevel="0" collapsed="false">
      <c r="A168" s="33" t="s">
        <v>1716</v>
      </c>
      <c r="B168" s="34" t="n">
        <f aca="false">SUM(B161:B167)</f>
        <v>0</v>
      </c>
      <c r="C168" s="34" t="n">
        <f aca="false">SUM(C161:C167)</f>
        <v>0</v>
      </c>
      <c r="D168" s="35"/>
      <c r="E168" s="35"/>
      <c r="F168" s="3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0" t="n">
        <v>46172</v>
      </c>
      <c r="B173" s="31" t="n">
        <f aca="false">SUMIFS(Report!$U:$U,Report!$T:$T,"&lt;&gt;"&amp;"MERCADORIAS P/REVENDA",Report!$AA:$AA,"SIM",Report!$C:$C,A173)</f>
        <v>0</v>
      </c>
      <c r="C173" s="31" t="n">
        <f aca="false">SUMIFS(Report!$U:$U,Report!$T:$T,"MERCADORIAS P/REVENDA",Report!$AA:$AA,"SIM",Report!$C:$C,A173)</f>
        <v>0</v>
      </c>
      <c r="D173" s="32"/>
      <c r="E173" s="32"/>
      <c r="F173" s="31" t="n">
        <f aca="false">B173+C173</f>
        <v>0</v>
      </c>
    </row>
    <row r="174" customFormat="false" ht="12.75" hidden="false" customHeight="true" outlineLevel="0" collapsed="false">
      <c r="A174" s="30" t="n">
        <v>46173</v>
      </c>
      <c r="B174" s="31" t="n">
        <f aca="false">SUMIFS(Report!$U:$U,Report!$T:$T,"&lt;&gt;"&amp;"MERCADORIAS P/REVENDA",Report!$AA:$AA,"SIM",Report!$C:$C,A174)</f>
        <v>0</v>
      </c>
      <c r="C174" s="31" t="n">
        <f aca="false">SUMIFS(Report!$U:$U,Report!$T:$T,"MERCADORIAS P/REVENDA",Report!$AA:$AA,"SIM",Report!$C:$C,A174)</f>
        <v>0</v>
      </c>
      <c r="D174" s="32"/>
      <c r="E174" s="32"/>
      <c r="F174" s="31" t="n">
        <f aca="false">B174+C174</f>
        <v>0</v>
      </c>
    </row>
    <row r="175" customFormat="false" ht="12.75" hidden="false" customHeight="true" outlineLevel="0" collapsed="false">
      <c r="A175" s="30" t="n">
        <v>46174</v>
      </c>
      <c r="B175" s="31" t="n">
        <f aca="false">SUMIFS(Report!$U:$U,Report!$T:$T,"&lt;&gt;"&amp;"MERCADORIAS P/REVENDA",Report!$AA:$AA,"SIM",Report!$C:$C,A175)</f>
        <v>0</v>
      </c>
      <c r="C175" s="31" t="n">
        <f aca="false">SUMIFS(Report!$U:$U,Report!$T:$T,"MERCADORIAS P/REVENDA",Report!$AA:$AA,"SIM",Report!$C:$C,A175)</f>
        <v>0</v>
      </c>
      <c r="D175" s="32"/>
      <c r="E175" s="32"/>
      <c r="F175" s="31" t="n">
        <f aca="false">B175+C175</f>
        <v>0</v>
      </c>
    </row>
    <row r="176" customFormat="false" ht="12.75" hidden="false" customHeight="true" outlineLevel="0" collapsed="false">
      <c r="A176" s="33" t="s">
        <v>1717</v>
      </c>
      <c r="B176" s="34" t="n">
        <f aca="false">SUM(B169:B175)</f>
        <v>0</v>
      </c>
      <c r="C176" s="34" t="n">
        <f aca="false">SUM(C169:C175)</f>
        <v>0</v>
      </c>
      <c r="D176" s="35"/>
      <c r="E176" s="35"/>
      <c r="F176" s="34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0" t="n">
        <v>46179</v>
      </c>
      <c r="B181" s="31" t="n">
        <f aca="false">SUMIFS(Report!$U:$U,Report!$T:$T,"&lt;&gt;"&amp;"MERCADORIAS P/REVENDA",Report!$AA:$AA,"SIM",Report!$C:$C,A181)</f>
        <v>0</v>
      </c>
      <c r="C181" s="31" t="n">
        <f aca="false">SUMIFS(Report!$U:$U,Report!$T:$T,"MERCADORIAS P/REVENDA",Report!$AA:$AA,"SIM",Report!$C:$C,A181)</f>
        <v>0</v>
      </c>
      <c r="D181" s="32"/>
      <c r="E181" s="32"/>
      <c r="F181" s="31" t="n">
        <f aca="false">B181+C181</f>
        <v>0</v>
      </c>
    </row>
    <row r="182" customFormat="false" ht="12.75" hidden="false" customHeight="true" outlineLevel="0" collapsed="false">
      <c r="A182" s="30" t="n">
        <v>46180</v>
      </c>
      <c r="B182" s="31" t="n">
        <f aca="false">SUMIFS(Report!$U:$U,Report!$T:$T,"&lt;&gt;"&amp;"MERCADORIAS P/REVENDA",Report!$AA:$AA,"SIM",Report!$C:$C,A182)</f>
        <v>0</v>
      </c>
      <c r="C182" s="31" t="n">
        <f aca="false">SUMIFS(Report!$U:$U,Report!$T:$T,"MERCADORIAS P/REVENDA",Report!$AA:$AA,"SIM",Report!$C:$C,A182)</f>
        <v>0</v>
      </c>
      <c r="D182" s="32"/>
      <c r="E182" s="32"/>
      <c r="F182" s="31" t="n">
        <f aca="false">B182+C182</f>
        <v>0</v>
      </c>
    </row>
    <row r="183" customFormat="false" ht="12.75" hidden="false" customHeight="true" outlineLevel="0" collapsed="false">
      <c r="A183" s="30" t="n">
        <v>46181</v>
      </c>
      <c r="B183" s="31" t="n">
        <f aca="false">SUMIFS(Report!$U:$U,Report!$T:$T,"&lt;&gt;"&amp;"MERCADORIAS P/REVENDA",Report!$AA:$AA,"SIM",Report!$C:$C,A183)</f>
        <v>0</v>
      </c>
      <c r="C183" s="31" t="n">
        <f aca="false">SUMIFS(Report!$U:$U,Report!$T:$T,"MERCADORIAS P/REVENDA",Report!$AA:$AA,"SIM",Report!$C:$C,A183)</f>
        <v>0</v>
      </c>
      <c r="D183" s="32"/>
      <c r="E183" s="32"/>
      <c r="F183" s="31" t="n">
        <f aca="false">B183+C183</f>
        <v>0</v>
      </c>
    </row>
    <row r="184" customFormat="false" ht="12.75" hidden="false" customHeight="true" outlineLevel="0" collapsed="false">
      <c r="A184" s="33" t="s">
        <v>1718</v>
      </c>
      <c r="B184" s="34" t="n">
        <f aca="false">SUM(B177:B183)</f>
        <v>0</v>
      </c>
      <c r="C184" s="34" t="n">
        <f aca="false">SUM(C177:C183)</f>
        <v>0</v>
      </c>
      <c r="D184" s="35"/>
      <c r="E184" s="35"/>
      <c r="F184" s="34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0" t="n">
        <v>46186</v>
      </c>
      <c r="B189" s="31" t="n">
        <f aca="false">SUMIFS(Report!$U:$U,Report!$T:$T,"&lt;&gt;"&amp;"MERCADORIAS P/REVENDA",Report!$AA:$AA,"SIM",Report!$C:$C,A189)</f>
        <v>0</v>
      </c>
      <c r="C189" s="31" t="n">
        <f aca="false">SUMIFS(Report!$U:$U,Report!$T:$T,"MERCADORIAS P/REVENDA",Report!$AA:$AA,"SIM",Report!$C:$C,A189)</f>
        <v>0</v>
      </c>
      <c r="D189" s="32"/>
      <c r="E189" s="32"/>
      <c r="F189" s="31" t="n">
        <f aca="false">B189+C189</f>
        <v>0</v>
      </c>
    </row>
    <row r="190" customFormat="false" ht="12.75" hidden="false" customHeight="true" outlineLevel="0" collapsed="false">
      <c r="A190" s="30" t="n">
        <v>46187</v>
      </c>
      <c r="B190" s="31" t="n">
        <f aca="false">SUMIFS(Report!$U:$U,Report!$T:$T,"&lt;&gt;"&amp;"MERCADORIAS P/REVENDA",Report!$AA:$AA,"SIM",Report!$C:$C,A190)</f>
        <v>0</v>
      </c>
      <c r="C190" s="31" t="n">
        <f aca="false">SUMIFS(Report!$U:$U,Report!$T:$T,"MERCADORIAS P/REVENDA",Report!$AA:$AA,"SIM",Report!$C:$C,A190)</f>
        <v>0</v>
      </c>
      <c r="D190" s="32"/>
      <c r="E190" s="32"/>
      <c r="F190" s="31" t="n">
        <f aca="false">B190+C190</f>
        <v>0</v>
      </c>
    </row>
    <row r="191" customFormat="false" ht="12.75" hidden="false" customHeight="true" outlineLevel="0" collapsed="false">
      <c r="A191" s="30" t="n">
        <v>46188</v>
      </c>
      <c r="B191" s="31" t="n">
        <f aca="false">SUMIFS(Report!$U:$U,Report!$T:$T,"&lt;&gt;"&amp;"MERCADORIAS P/REVENDA",Report!$AA:$AA,"SIM",Report!$C:$C,A191)</f>
        <v>0</v>
      </c>
      <c r="C191" s="31" t="n">
        <f aca="false">SUMIFS(Report!$U:$U,Report!$T:$T,"MERCADORIAS P/REVENDA",Report!$AA:$AA,"SIM",Report!$C:$C,A191)</f>
        <v>0</v>
      </c>
      <c r="D191" s="32"/>
      <c r="E191" s="32"/>
      <c r="F191" s="31" t="n">
        <f aca="false">B191+C191</f>
        <v>0</v>
      </c>
    </row>
    <row r="192" customFormat="false" ht="12.75" hidden="false" customHeight="true" outlineLevel="0" collapsed="false">
      <c r="A192" s="33" t="s">
        <v>1719</v>
      </c>
      <c r="B192" s="34" t="n">
        <f aca="false">SUM(B185:B191)</f>
        <v>0</v>
      </c>
      <c r="C192" s="34" t="n">
        <f aca="false">SUM(C185:C191)</f>
        <v>0</v>
      </c>
      <c r="D192" s="35"/>
      <c r="E192" s="35"/>
      <c r="F192" s="34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0" t="n">
        <v>46193</v>
      </c>
      <c r="B197" s="31" t="n">
        <f aca="false">SUMIFS(Report!$U:$U,Report!$T:$T,"&lt;&gt;"&amp;"MERCADORIAS P/REVENDA",Report!$AA:$AA,"SIM",Report!$C:$C,A197)</f>
        <v>0</v>
      </c>
      <c r="C197" s="31" t="n">
        <f aca="false">SUMIFS(Report!$U:$U,Report!$T:$T,"MERCADORIAS P/REVENDA",Report!$AA:$AA,"SIM",Report!$C:$C,A197)</f>
        <v>0</v>
      </c>
      <c r="D197" s="32"/>
      <c r="E197" s="32"/>
      <c r="F197" s="31" t="n">
        <f aca="false">B197+C197</f>
        <v>0</v>
      </c>
    </row>
    <row r="198" customFormat="false" ht="12.75" hidden="false" customHeight="true" outlineLevel="0" collapsed="false">
      <c r="A198" s="30" t="n">
        <v>46194</v>
      </c>
      <c r="B198" s="31" t="n">
        <f aca="false">SUMIFS(Report!$U:$U,Report!$T:$T,"&lt;&gt;"&amp;"MERCADORIAS P/REVENDA",Report!$AA:$AA,"SIM",Report!$C:$C,A198)</f>
        <v>0</v>
      </c>
      <c r="C198" s="31" t="n">
        <f aca="false">SUMIFS(Report!$U:$U,Report!$T:$T,"MERCADORIAS P/REVENDA",Report!$AA:$AA,"SIM",Report!$C:$C,A198)</f>
        <v>0</v>
      </c>
      <c r="D198" s="32"/>
      <c r="E198" s="32"/>
      <c r="F198" s="31" t="n">
        <f aca="false">B198+C198</f>
        <v>0</v>
      </c>
    </row>
    <row r="199" customFormat="false" ht="12.75" hidden="false" customHeight="true" outlineLevel="0" collapsed="false">
      <c r="A199" s="30" t="n">
        <v>46195</v>
      </c>
      <c r="B199" s="31" t="n">
        <f aca="false">SUMIFS(Report!$U:$U,Report!$T:$T,"&lt;&gt;"&amp;"MERCADORIAS P/REVENDA",Report!$AA:$AA,"SIM",Report!$C:$C,A199)</f>
        <v>0</v>
      </c>
      <c r="C199" s="31" t="n">
        <f aca="false">SUMIFS(Report!$U:$U,Report!$T:$T,"MERCADORIAS P/REVENDA",Report!$AA:$AA,"SIM",Report!$C:$C,A199)</f>
        <v>0</v>
      </c>
      <c r="D199" s="32"/>
      <c r="E199" s="32"/>
      <c r="F199" s="31" t="n">
        <f aca="false">B199+C199</f>
        <v>0</v>
      </c>
    </row>
    <row r="200" customFormat="false" ht="12.75" hidden="false" customHeight="true" outlineLevel="0" collapsed="false">
      <c r="A200" s="33" t="s">
        <v>1720</v>
      </c>
      <c r="B200" s="34" t="n">
        <f aca="false">SUM(B193:B199)</f>
        <v>0</v>
      </c>
      <c r="C200" s="34" t="n">
        <f aca="false">SUM(C193:C199)</f>
        <v>0</v>
      </c>
      <c r="D200" s="35"/>
      <c r="E200" s="35"/>
      <c r="F200" s="34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0" t="n">
        <v>46200</v>
      </c>
      <c r="B205" s="31" t="n">
        <f aca="false">SUMIFS(Report!$U:$U,Report!$T:$T,"&lt;&gt;"&amp;"MERCADORIAS P/REVENDA",Report!$AA:$AA,"SIM",Report!$C:$C,A205)</f>
        <v>0</v>
      </c>
      <c r="C205" s="31" t="n">
        <f aca="false">SUMIFS(Report!$U:$U,Report!$T:$T,"MERCADORIAS P/REVENDA",Report!$AA:$AA,"SIM",Report!$C:$C,A205)</f>
        <v>32336.99</v>
      </c>
      <c r="D205" s="32"/>
      <c r="E205" s="32"/>
      <c r="F205" s="31" t="n">
        <f aca="false">B205+C205</f>
        <v>32336.99</v>
      </c>
    </row>
    <row r="206" customFormat="false" ht="12.75" hidden="false" customHeight="true" outlineLevel="0" collapsed="false">
      <c r="A206" s="30" t="n">
        <v>46201</v>
      </c>
      <c r="B206" s="31" t="n">
        <f aca="false">SUMIFS(Report!$U:$U,Report!$T:$T,"&lt;&gt;"&amp;"MERCADORIAS P/REVENDA",Report!$AA:$AA,"SIM",Report!$C:$C,A206)</f>
        <v>0</v>
      </c>
      <c r="C206" s="31" t="n">
        <f aca="false">SUMIFS(Report!$U:$U,Report!$T:$T,"MERCADORIAS P/REVENDA",Report!$AA:$AA,"SIM",Report!$C:$C,A206)</f>
        <v>9043.04</v>
      </c>
      <c r="D206" s="32"/>
      <c r="E206" s="32"/>
      <c r="F206" s="31" t="n">
        <f aca="false">B206+C206</f>
        <v>9043.04</v>
      </c>
    </row>
    <row r="207" customFormat="false" ht="12.75" hidden="false" customHeight="true" outlineLevel="0" collapsed="false">
      <c r="A207" s="30" t="n">
        <v>46202</v>
      </c>
      <c r="B207" s="31" t="n">
        <f aca="false">SUMIFS(Report!$U:$U,Report!$T:$T,"&lt;&gt;"&amp;"MERCADORIAS P/REVENDA",Report!$AA:$AA,"SIM",Report!$C:$C,A207)</f>
        <v>56666.91</v>
      </c>
      <c r="C207" s="31" t="n">
        <f aca="false">SUMIFS(Report!$U:$U,Report!$T:$T,"MERCADORIAS P/REVENDA",Report!$AA:$AA,"SIM",Report!$C:$C,A207)</f>
        <v>21917.56</v>
      </c>
      <c r="D207" s="32"/>
      <c r="E207" s="32"/>
      <c r="F207" s="31" t="n">
        <f aca="false">B207+C207</f>
        <v>78584.47</v>
      </c>
    </row>
    <row r="208" customFormat="false" ht="12.75" hidden="false" customHeight="true" outlineLevel="0" collapsed="false">
      <c r="A208" s="33" t="s">
        <v>1721</v>
      </c>
      <c r="B208" s="34" t="n">
        <f aca="false">SUM(B201:B207)</f>
        <v>56666.91</v>
      </c>
      <c r="C208" s="34" t="n">
        <f aca="false">SUM(C201:C207)</f>
        <v>63297.59</v>
      </c>
      <c r="D208" s="35"/>
      <c r="E208" s="35"/>
      <c r="F208" s="34" t="n">
        <f aca="false">B208+C208</f>
        <v>119964.5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0" t="n">
        <v>46207</v>
      </c>
      <c r="B213" s="31" t="n">
        <f aca="false">SUMIFS(Report!$U:$U,Report!$T:$T,"&lt;&gt;"&amp;"MERCADORIAS P/REVENDA",Report!$AA:$AA,"SIM",Report!$C:$C,A213)</f>
        <v>689.8</v>
      </c>
      <c r="C213" s="31" t="n">
        <f aca="false">SUMIFS(Report!$U:$U,Report!$T:$T,"MERCADORIAS P/REVENDA",Report!$AA:$AA,"SIM",Report!$C:$C,A213)</f>
        <v>27466.49</v>
      </c>
      <c r="D213" s="32"/>
      <c r="E213" s="32"/>
      <c r="F213" s="31" t="n">
        <f aca="false">B213+C213</f>
        <v>28156.29</v>
      </c>
    </row>
    <row r="214" customFormat="false" ht="12.75" hidden="false" customHeight="true" outlineLevel="0" collapsed="false">
      <c r="A214" s="30" t="n">
        <v>46208</v>
      </c>
      <c r="B214" s="31" t="n">
        <f aca="false">SUMIFS(Report!$U:$U,Report!$T:$T,"&lt;&gt;"&amp;"MERCADORIAS P/REVENDA",Report!$AA:$AA,"SIM",Report!$C:$C,A214)</f>
        <v>12384.02</v>
      </c>
      <c r="C214" s="31" t="n">
        <f aca="false">SUMIFS(Report!$U:$U,Report!$T:$T,"MERCADORIAS P/REVENDA",Report!$AA:$AA,"SIM",Report!$C:$C,A214)</f>
        <v>10221.26</v>
      </c>
      <c r="D214" s="32"/>
      <c r="E214" s="32"/>
      <c r="F214" s="31" t="n">
        <f aca="false">B214+C214</f>
        <v>22605.28</v>
      </c>
    </row>
    <row r="215" customFormat="false" ht="12.75" hidden="false" customHeight="true" outlineLevel="0" collapsed="false">
      <c r="A215" s="30" t="n">
        <v>46209</v>
      </c>
      <c r="B215" s="31" t="n">
        <f aca="false">SUMIFS(Report!$U:$U,Report!$T:$T,"&lt;&gt;"&amp;"MERCADORIAS P/REVENDA",Report!$AA:$AA,"SIM",Report!$C:$C,A215)</f>
        <v>45983.74</v>
      </c>
      <c r="C215" s="31" t="n">
        <f aca="false">SUMIFS(Report!$U:$U,Report!$T:$T,"MERCADORIAS P/REVENDA",Report!$AA:$AA,"SIM",Report!$C:$C,A215)</f>
        <v>29388.74</v>
      </c>
      <c r="D215" s="32"/>
      <c r="E215" s="32"/>
      <c r="F215" s="31" t="n">
        <f aca="false">B215+C215</f>
        <v>75372.48</v>
      </c>
    </row>
    <row r="216" customFormat="false" ht="12.75" hidden="false" customHeight="true" outlineLevel="0" collapsed="false">
      <c r="A216" s="33" t="s">
        <v>1722</v>
      </c>
      <c r="B216" s="34" t="n">
        <f aca="false">SUM(B209:B215)</f>
        <v>115153.34</v>
      </c>
      <c r="C216" s="34" t="n">
        <f aca="false">SUM(C209:C215)</f>
        <v>211144.05</v>
      </c>
      <c r="D216" s="35"/>
      <c r="E216" s="35"/>
      <c r="F216" s="34" t="n">
        <f aca="false">B216+C216</f>
        <v>326297.39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0" t="n">
        <v>46214</v>
      </c>
      <c r="B221" s="31" t="n">
        <f aca="false">SUMIFS(Report!$U:$U,Report!$T:$T,"&lt;&gt;"&amp;"MERCADORIAS P/REVENDA",Report!$AA:$AA,"SIM",Report!$C:$C,A221)</f>
        <v>574.53</v>
      </c>
      <c r="C221" s="31" t="n">
        <f aca="false">SUMIFS(Report!$U:$U,Report!$T:$T,"MERCADORIAS P/REVENDA",Report!$AA:$AA,"SIM",Report!$C:$C,A221)</f>
        <v>25619.73</v>
      </c>
      <c r="D221" s="32"/>
      <c r="E221" s="32"/>
      <c r="F221" s="31" t="n">
        <f aca="false">B221+C221</f>
        <v>26194.26</v>
      </c>
    </row>
    <row r="222" customFormat="false" ht="12.75" hidden="false" customHeight="true" outlineLevel="0" collapsed="false">
      <c r="A222" s="30" t="n">
        <v>46215</v>
      </c>
      <c r="B222" s="31" t="n">
        <f aca="false">SUMIFS(Report!$U:$U,Report!$T:$T,"&lt;&gt;"&amp;"MERCADORIAS P/REVENDA",Report!$AA:$AA,"SIM",Report!$C:$C,A222)</f>
        <v>0</v>
      </c>
      <c r="C222" s="31" t="n">
        <f aca="false">SUMIFS(Report!$U:$U,Report!$T:$T,"MERCADORIAS P/REVENDA",Report!$AA:$AA,"SIM",Report!$C:$C,A222)</f>
        <v>8822.8</v>
      </c>
      <c r="D222" s="32"/>
      <c r="E222" s="32"/>
      <c r="F222" s="31" t="n">
        <f aca="false">B222+C222</f>
        <v>8822.8</v>
      </c>
    </row>
    <row r="223" customFormat="false" ht="12.75" hidden="false" customHeight="true" outlineLevel="0" collapsed="false">
      <c r="A223" s="30" t="n">
        <v>46216</v>
      </c>
      <c r="B223" s="31" t="n">
        <f aca="false">SUMIFS(Report!$U:$U,Report!$T:$T,"&lt;&gt;"&amp;"MERCADORIAS P/REVENDA",Report!$AA:$AA,"SIM",Report!$C:$C,A223)</f>
        <v>38783.11</v>
      </c>
      <c r="C223" s="31" t="n">
        <f aca="false">SUMIFS(Report!$U:$U,Report!$T:$T,"MERCADORIAS P/REVENDA",Report!$AA:$AA,"SIM",Report!$C:$C,A223)</f>
        <v>34089.89</v>
      </c>
      <c r="D223" s="32"/>
      <c r="E223" s="32"/>
      <c r="F223" s="31" t="n">
        <f aca="false">B223+C223</f>
        <v>72873</v>
      </c>
    </row>
    <row r="224" customFormat="false" ht="12.75" hidden="false" customHeight="true" outlineLevel="0" collapsed="false">
      <c r="A224" s="33" t="s">
        <v>1723</v>
      </c>
      <c r="B224" s="34" t="n">
        <f aca="false">SUM(B217:B223)</f>
        <v>95094.49</v>
      </c>
      <c r="C224" s="34" t="n">
        <f aca="false">SUM(C217:C223)</f>
        <v>230370.56</v>
      </c>
      <c r="D224" s="35"/>
      <c r="E224" s="35"/>
      <c r="F224" s="34" t="n">
        <f aca="false">B224+C224</f>
        <v>325465.05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0" t="n">
        <v>46221</v>
      </c>
      <c r="B229" s="31" t="n">
        <f aca="false">SUMIFS(Report!$U:$U,Report!$T:$T,"&lt;&gt;"&amp;"MERCADORIAS P/REVENDA",Report!$AA:$AA,"SIM",Report!$C:$C,A229)</f>
        <v>2457.78</v>
      </c>
      <c r="C229" s="31" t="n">
        <f aca="false">SUMIFS(Report!$U:$U,Report!$T:$T,"MERCADORIAS P/REVENDA",Report!$AA:$AA,"SIM",Report!$C:$C,A229)</f>
        <v>27203.5</v>
      </c>
      <c r="D229" s="32"/>
      <c r="E229" s="32"/>
      <c r="F229" s="31" t="n">
        <f aca="false">B229+C229</f>
        <v>29661.28</v>
      </c>
    </row>
    <row r="230" customFormat="false" ht="12.75" hidden="false" customHeight="true" outlineLevel="0" collapsed="false">
      <c r="A230" s="30" t="n">
        <v>46222</v>
      </c>
      <c r="B230" s="31" t="n">
        <f aca="false">SUMIFS(Report!$U:$U,Report!$T:$T,"&lt;&gt;"&amp;"MERCADORIAS P/REVENDA",Report!$AA:$AA,"SIM",Report!$C:$C,A230)</f>
        <v>0</v>
      </c>
      <c r="C230" s="31" t="n">
        <f aca="false">SUMIFS(Report!$U:$U,Report!$T:$T,"MERCADORIAS P/REVENDA",Report!$AA:$AA,"SIM",Report!$C:$C,A230)</f>
        <v>2190.96</v>
      </c>
      <c r="D230" s="32"/>
      <c r="E230" s="32"/>
      <c r="F230" s="31" t="n">
        <f aca="false">B230+C230</f>
        <v>2190.96</v>
      </c>
    </row>
    <row r="231" customFormat="false" ht="12.75" hidden="false" customHeight="true" outlineLevel="0" collapsed="false">
      <c r="A231" s="30" t="n">
        <v>46223</v>
      </c>
      <c r="B231" s="31" t="n">
        <f aca="false">SUMIFS(Report!$U:$U,Report!$T:$T,"&lt;&gt;"&amp;"MERCADORIAS P/REVENDA",Report!$AA:$AA,"SIM",Report!$C:$C,A231)</f>
        <v>39052.77</v>
      </c>
      <c r="C231" s="31" t="n">
        <f aca="false">SUMIFS(Report!$U:$U,Report!$T:$T,"MERCADORIAS P/REVENDA",Report!$AA:$AA,"SIM",Report!$C:$C,A231)</f>
        <v>30275.93</v>
      </c>
      <c r="D231" s="32"/>
      <c r="E231" s="32"/>
      <c r="F231" s="31" t="n">
        <f aca="false">B231+C231</f>
        <v>69328.7</v>
      </c>
    </row>
    <row r="232" customFormat="false" ht="12.75" hidden="false" customHeight="true" outlineLevel="0" collapsed="false">
      <c r="A232" s="33" t="s">
        <v>1724</v>
      </c>
      <c r="B232" s="34" t="n">
        <f aca="false">SUM(B225:B231)</f>
        <v>73459.53</v>
      </c>
      <c r="C232" s="34" t="n">
        <f aca="false">SUM(C225:C231)</f>
        <v>196963.51</v>
      </c>
      <c r="D232" s="35"/>
      <c r="E232" s="35"/>
      <c r="F232" s="34" t="n">
        <f aca="false">B232+C232</f>
        <v>270423.04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0" t="n">
        <v>46228</v>
      </c>
      <c r="B237" s="31" t="n">
        <f aca="false">SUMIFS(Report!$U:$U,Report!$T:$T,"&lt;&gt;"&amp;"MERCADORIAS P/REVENDA",Report!$AA:$AA,"SIM",Report!$C:$C,A237)</f>
        <v>7892.43</v>
      </c>
      <c r="C237" s="31" t="n">
        <f aca="false">SUMIFS(Report!$U:$U,Report!$T:$T,"MERCADORIAS P/REVENDA",Report!$AA:$AA,"SIM",Report!$C:$C,A237)</f>
        <v>34720.59</v>
      </c>
      <c r="D237" s="32"/>
      <c r="E237" s="32"/>
      <c r="F237" s="31" t="n">
        <f aca="false">B237+C237</f>
        <v>42613.02</v>
      </c>
    </row>
    <row r="238" customFormat="false" ht="12.75" hidden="false" customHeight="true" outlineLevel="0" collapsed="false">
      <c r="A238" s="30" t="n">
        <v>46229</v>
      </c>
      <c r="B238" s="31" t="n">
        <f aca="false">SUMIFS(Report!$U:$U,Report!$T:$T,"&lt;&gt;"&amp;"MERCADORIAS P/REVENDA",Report!$AA:$AA,"SIM",Report!$C:$C,A238)</f>
        <v>719.9</v>
      </c>
      <c r="C238" s="31" t="n">
        <f aca="false">SUMIFS(Report!$U:$U,Report!$T:$T,"MERCADORIAS P/REVENDA",Report!$AA:$AA,"SIM",Report!$C:$C,A238)</f>
        <v>3812.53</v>
      </c>
      <c r="D238" s="32"/>
      <c r="E238" s="32"/>
      <c r="F238" s="31" t="n">
        <f aca="false">B238+C238</f>
        <v>4532.43</v>
      </c>
    </row>
    <row r="239" customFormat="false" ht="12.75" hidden="false" customHeight="true" outlineLevel="0" collapsed="false">
      <c r="A239" s="30" t="n">
        <v>46230</v>
      </c>
      <c r="B239" s="31" t="n">
        <f aca="false">SUMIFS(Report!$U:$U,Report!$T:$T,"&lt;&gt;"&amp;"MERCADORIAS P/REVENDA",Report!$AA:$AA,"SIM",Report!$C:$C,A239)</f>
        <v>10012.08</v>
      </c>
      <c r="C239" s="31" t="n">
        <f aca="false">SUMIFS(Report!$U:$U,Report!$T:$T,"MERCADORIAS P/REVENDA",Report!$AA:$AA,"SIM",Report!$C:$C,A239)</f>
        <v>34220.75</v>
      </c>
      <c r="D239" s="32"/>
      <c r="E239" s="32"/>
      <c r="F239" s="31" t="n">
        <f aca="false">B239+C239</f>
        <v>44232.83</v>
      </c>
    </row>
    <row r="240" customFormat="false" ht="12.75" hidden="false" customHeight="true" outlineLevel="0" collapsed="false">
      <c r="A240" s="33" t="s">
        <v>1725</v>
      </c>
      <c r="B240" s="34" t="n">
        <f aca="false">SUM(B233:B239)</f>
        <v>77925.44</v>
      </c>
      <c r="C240" s="34" t="n">
        <f aca="false">SUM(C233:C239)</f>
        <v>196570.66</v>
      </c>
      <c r="D240" s="35"/>
      <c r="E240" s="35"/>
      <c r="F240" s="34" t="n">
        <f aca="false">B240+C240</f>
        <v>274496.1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5453.35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43894.53</v>
      </c>
    </row>
    <row r="245" customFormat="false" ht="12.75" hidden="false" customHeight="true" outlineLevel="0" collapsed="false">
      <c r="A245" s="30" t="n">
        <v>46235</v>
      </c>
      <c r="B245" s="31" t="n">
        <f aca="false">SUMIFS(Report!$U:$U,Report!$T:$T,"&lt;&gt;"&amp;"MERCADORIAS P/REVENDA",Report!$AA:$AA,"SIM",Report!$C:$C,A245)</f>
        <v>3941.17</v>
      </c>
      <c r="C245" s="31" t="n">
        <f aca="false">SUMIFS(Report!$U:$U,Report!$T:$T,"MERCADORIAS P/REVENDA",Report!$AA:$AA,"SIM",Report!$C:$C,A245)</f>
        <v>22070.27</v>
      </c>
      <c r="D245" s="32"/>
      <c r="E245" s="32"/>
      <c r="F245" s="31" t="n">
        <f aca="false">B245+C245</f>
        <v>26011.44</v>
      </c>
    </row>
    <row r="246" customFormat="false" ht="12.75" hidden="false" customHeight="true" outlineLevel="0" collapsed="false">
      <c r="A246" s="30" t="n">
        <v>46236</v>
      </c>
      <c r="B246" s="31" t="n">
        <f aca="false">SUMIFS(Report!$U:$U,Report!$T:$T,"&lt;&gt;"&amp;"MERCADORIAS P/REVENDA",Report!$AA:$AA,"SIM",Report!$C:$C,A246)</f>
        <v>17141.37</v>
      </c>
      <c r="C246" s="31" t="n">
        <f aca="false">SUMIFS(Report!$U:$U,Report!$T:$T,"MERCADORIAS P/REVENDA",Report!$AA:$AA,"SIM",Report!$C:$C,A246)</f>
        <v>5056.7</v>
      </c>
      <c r="D246" s="32"/>
      <c r="E246" s="32"/>
      <c r="F246" s="31" t="n">
        <f aca="false">B246+C246</f>
        <v>22198.07</v>
      </c>
    </row>
    <row r="247" customFormat="false" ht="12.75" hidden="false" customHeight="true" outlineLevel="0" collapsed="false">
      <c r="A247" s="30" t="n">
        <v>46237</v>
      </c>
      <c r="B247" s="31" t="n">
        <f aca="false">SUMIFS(Report!$U:$U,Report!$T:$T,"&lt;&gt;"&amp;"MERCADORIAS P/REVENDA",Report!$AA:$AA,"SIM",Report!$C:$C,A247)</f>
        <v>11524.29</v>
      </c>
      <c r="C247" s="31" t="n">
        <f aca="false">SUMIFS(Report!$U:$U,Report!$T:$T,"MERCADORIAS P/REVENDA",Report!$AA:$AA,"SIM",Report!$C:$C,A247)</f>
        <v>32105.41</v>
      </c>
      <c r="D247" s="32"/>
      <c r="E247" s="32"/>
      <c r="F247" s="31" t="n">
        <f aca="false">B247+C247</f>
        <v>43629.7</v>
      </c>
    </row>
    <row r="248" customFormat="false" ht="12.75" hidden="false" customHeight="true" outlineLevel="0" collapsed="false">
      <c r="A248" s="33" t="s">
        <v>1726</v>
      </c>
      <c r="B248" s="34" t="n">
        <f aca="false">SUM(B241:B247)</f>
        <v>56999.26</v>
      </c>
      <c r="C248" s="34" t="n">
        <f aca="false">SUM(C241:C247)</f>
        <v>164974.78</v>
      </c>
      <c r="D248" s="35"/>
      <c r="E248" s="35"/>
      <c r="F248" s="34" t="n">
        <f aca="false">B248+C248</f>
        <v>221974.04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4771.05</v>
      </c>
      <c r="C249" s="17" t="n">
        <f aca="false">SUMIFS(Report!$U:$U,Report!$T:$T,"MERCADORIAS P/REVENDA",Report!$AA:$AA,"SIM",Report!$C:$C,A249)</f>
        <v>23388.94</v>
      </c>
      <c r="F249" s="17" t="n">
        <f aca="false">B249+C249</f>
        <v>28159.99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27538.88</v>
      </c>
      <c r="C250" s="17" t="n">
        <f aca="false">SUMIFS(Report!$U:$U,Report!$T:$T,"MERCADORIAS P/REVENDA",Report!$AA:$AA,"SIM",Report!$C:$C,A250)</f>
        <v>26190.38</v>
      </c>
      <c r="F250" s="17" t="n">
        <f aca="false">B250+C250</f>
        <v>53729.26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209</v>
      </c>
      <c r="C251" s="17" t="n">
        <f aca="false">SUMIFS(Report!$U:$U,Report!$T:$T,"MERCADORIAS P/REVENDA",Report!$AA:$AA,"SIM",Report!$C:$C,A251)</f>
        <v>26479.13</v>
      </c>
      <c r="F251" s="17" t="n">
        <f aca="false">B251+C251</f>
        <v>26688.13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994.74</v>
      </c>
      <c r="C252" s="17" t="n">
        <f aca="false">SUMIFS(Report!$U:$U,Report!$T:$T,"MERCADORIAS P/REVENDA",Report!$AA:$AA,"SIM",Report!$C:$C,A252)</f>
        <v>41444.39</v>
      </c>
      <c r="F252" s="17" t="n">
        <f aca="false">B252+C252</f>
        <v>42439.13</v>
      </c>
    </row>
    <row r="253" customFormat="false" ht="12.75" hidden="false" customHeight="true" outlineLevel="0" collapsed="false">
      <c r="A253" s="30" t="n">
        <v>46242</v>
      </c>
      <c r="B253" s="31" t="n">
        <f aca="false">SUMIFS(Report!$U:$U,Report!$T:$T,"&lt;&gt;"&amp;"MERCADORIAS P/REVENDA",Report!$AA:$AA,"SIM",Report!$C:$C,A253)</f>
        <v>0</v>
      </c>
      <c r="C253" s="31" t="n">
        <f aca="false">SUMIFS(Report!$U:$U,Report!$T:$T,"MERCADORIAS P/REVENDA",Report!$AA:$AA,"SIM",Report!$C:$C,A253)</f>
        <v>8789.6</v>
      </c>
      <c r="D253" s="32"/>
      <c r="E253" s="32"/>
      <c r="F253" s="31" t="n">
        <f aca="false">B253+C253</f>
        <v>8789.6</v>
      </c>
    </row>
    <row r="254" customFormat="false" ht="12.75" hidden="false" customHeight="true" outlineLevel="0" collapsed="false">
      <c r="A254" s="30" t="n">
        <v>46243</v>
      </c>
      <c r="B254" s="31" t="n">
        <f aca="false">SUMIFS(Report!$U:$U,Report!$T:$T,"&lt;&gt;"&amp;"MERCADORIAS P/REVENDA",Report!$AA:$AA,"SIM",Report!$C:$C,A254)</f>
        <v>0</v>
      </c>
      <c r="C254" s="31" t="n">
        <f aca="false">SUMIFS(Report!$U:$U,Report!$T:$T,"MERCADORIAS P/REVENDA",Report!$AA:$AA,"SIM",Report!$C:$C,A254)</f>
        <v>3788.3</v>
      </c>
      <c r="D254" s="32"/>
      <c r="E254" s="32"/>
      <c r="F254" s="31" t="n">
        <f aca="false">B254+C254</f>
        <v>3788.3</v>
      </c>
    </row>
    <row r="255" customFormat="false" ht="12.75" hidden="false" customHeight="true" outlineLevel="0" collapsed="false">
      <c r="A255" s="30" t="n">
        <v>46244</v>
      </c>
      <c r="B255" s="31" t="n">
        <f aca="false">SUMIFS(Report!$U:$U,Report!$T:$T,"&lt;&gt;"&amp;"MERCADORIAS P/REVENDA",Report!$AA:$AA,"SIM",Report!$C:$C,A255)</f>
        <v>12175.49</v>
      </c>
      <c r="C255" s="31" t="n">
        <f aca="false">SUMIFS(Report!$U:$U,Report!$T:$T,"MERCADORIAS P/REVENDA",Report!$AA:$AA,"SIM",Report!$C:$C,A255)</f>
        <v>23224.13</v>
      </c>
      <c r="D255" s="32"/>
      <c r="E255" s="32"/>
      <c r="F255" s="31" t="n">
        <f aca="false">B255+C255</f>
        <v>35399.62</v>
      </c>
    </row>
    <row r="256" customFormat="false" ht="12.75" hidden="false" customHeight="true" outlineLevel="0" collapsed="false">
      <c r="A256" s="33" t="s">
        <v>1727</v>
      </c>
      <c r="B256" s="34" t="n">
        <f aca="false">SUM(B249:B255)</f>
        <v>45689.16</v>
      </c>
      <c r="C256" s="34" t="n">
        <f aca="false">SUM(C249:C255)</f>
        <v>153304.87</v>
      </c>
      <c r="D256" s="35"/>
      <c r="E256" s="35"/>
      <c r="F256" s="34" t="n">
        <f aca="false">B256+C256</f>
        <v>198994.03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2245.15</v>
      </c>
      <c r="C257" s="17" t="n">
        <f aca="false">SUMIFS(Report!$U:$U,Report!$T:$T,"MERCADORIAS P/REVENDA",Report!$AA:$AA,"SIM",Report!$C:$C,A257)</f>
        <v>6282.06</v>
      </c>
      <c r="F257" s="17" t="n">
        <f aca="false">B257+C257</f>
        <v>8527.21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1478.5</v>
      </c>
      <c r="C258" s="17" t="n">
        <f aca="false">SUMIFS(Report!$U:$U,Report!$T:$T,"MERCADORIAS P/REVENDA",Report!$AA:$AA,"SIM",Report!$C:$C,A258)</f>
        <v>27884.25</v>
      </c>
      <c r="F258" s="17" t="n">
        <f aca="false">B258+C258</f>
        <v>29362.75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10449.27</v>
      </c>
      <c r="C259" s="17" t="n">
        <f aca="false">SUMIFS(Report!$U:$U,Report!$T:$T,"MERCADORIAS P/REVENDA",Report!$AA:$AA,"SIM",Report!$C:$C,A259)</f>
        <v>28164.17</v>
      </c>
      <c r="F259" s="17" t="n">
        <f aca="false">B259+C259</f>
        <v>38613.44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100000</v>
      </c>
      <c r="C260" s="17" t="n">
        <f aca="false">SUMIFS(Report!$U:$U,Report!$T:$T,"MERCADORIAS P/REVENDA",Report!$AA:$AA,"SIM",Report!$C:$C,A260)</f>
        <v>21980.12</v>
      </c>
      <c r="F260" s="17" t="n">
        <f aca="false">B260+C260</f>
        <v>121980.12</v>
      </c>
    </row>
    <row r="261" customFormat="false" ht="12.75" hidden="false" customHeight="true" outlineLevel="0" collapsed="false">
      <c r="A261" s="30" t="n">
        <v>46249</v>
      </c>
      <c r="B261" s="31" t="n">
        <f aca="false">SUMIFS(Report!$U:$U,Report!$T:$T,"&lt;&gt;"&amp;"MERCADORIAS P/REVENDA",Report!$AA:$AA,"SIM",Report!$C:$C,A261)</f>
        <v>16372.04</v>
      </c>
      <c r="C261" s="31" t="n">
        <f aca="false">SUMIFS(Report!$U:$U,Report!$T:$T,"MERCADORIAS P/REVENDA",Report!$AA:$AA,"SIM",Report!$C:$C,A261)</f>
        <v>5745.63</v>
      </c>
      <c r="D261" s="32"/>
      <c r="E261" s="32"/>
      <c r="F261" s="31" t="n">
        <f aca="false">B261+C261</f>
        <v>22117.67</v>
      </c>
    </row>
    <row r="262" customFormat="false" ht="12.75" hidden="false" customHeight="true" outlineLevel="0" collapsed="false">
      <c r="A262" s="30" t="n">
        <v>46250</v>
      </c>
      <c r="B262" s="31" t="n">
        <f aca="false">SUMIFS(Report!$U:$U,Report!$T:$T,"&lt;&gt;"&amp;"MERCADORIAS P/REVENDA",Report!$AA:$AA,"SIM",Report!$C:$C,A262)</f>
        <v>0</v>
      </c>
      <c r="C262" s="31" t="n">
        <f aca="false">SUMIFS(Report!$U:$U,Report!$T:$T,"MERCADORIAS P/REVENDA",Report!$AA:$AA,"SIM",Report!$C:$C,A262)</f>
        <v>3787.59</v>
      </c>
      <c r="D262" s="32"/>
      <c r="E262" s="32"/>
      <c r="F262" s="31" t="n">
        <f aca="false">B262+C262</f>
        <v>3787.59</v>
      </c>
    </row>
    <row r="263" customFormat="false" ht="12.75" hidden="false" customHeight="true" outlineLevel="0" collapsed="false">
      <c r="A263" s="30" t="n">
        <v>46251</v>
      </c>
      <c r="B263" s="31" t="n">
        <f aca="false">SUMIFS(Report!$U:$U,Report!$T:$T,"&lt;&gt;"&amp;"MERCADORIAS P/REVENDA",Report!$AA:$AA,"SIM",Report!$C:$C,A263)</f>
        <v>6000</v>
      </c>
      <c r="C263" s="31" t="n">
        <f aca="false">SUMIFS(Report!$U:$U,Report!$T:$T,"MERCADORIAS P/REVENDA",Report!$AA:$AA,"SIM",Report!$C:$C,A263)</f>
        <v>8974.19</v>
      </c>
      <c r="D263" s="32"/>
      <c r="E263" s="32"/>
      <c r="F263" s="31" t="n">
        <f aca="false">B263+C263</f>
        <v>14974.19</v>
      </c>
    </row>
    <row r="264" customFormat="false" ht="12.75" hidden="false" customHeight="true" outlineLevel="0" collapsed="false">
      <c r="A264" s="33" t="s">
        <v>1728</v>
      </c>
      <c r="B264" s="34" t="n">
        <f aca="false">SUM(B257:B263)</f>
        <v>136544.96</v>
      </c>
      <c r="C264" s="34" t="n">
        <f aca="false">SUM(C257:C263)</f>
        <v>102818.01</v>
      </c>
      <c r="D264" s="35"/>
      <c r="E264" s="35"/>
      <c r="F264" s="34" t="n">
        <f aca="false">B264+C264</f>
        <v>239362.97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6934.42</v>
      </c>
      <c r="C265" s="17" t="n">
        <f aca="false">SUMIFS(Report!$U:$U,Report!$T:$T,"MERCADORIAS P/REVENDA",Report!$AA:$AA,"SIM",Report!$C:$C,A265)</f>
        <v>13698.86</v>
      </c>
      <c r="F265" s="17" t="n">
        <f aca="false">B265+C265</f>
        <v>20633.28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14103.61</v>
      </c>
      <c r="F266" s="17" t="n">
        <f aca="false">B266+C266</f>
        <v>14103.61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7557.67</v>
      </c>
      <c r="C267" s="17" t="n">
        <f aca="false">SUMIFS(Report!$U:$U,Report!$T:$T,"MERCADORIAS P/REVENDA",Report!$AA:$AA,"SIM",Report!$C:$C,A267)</f>
        <v>14535.89</v>
      </c>
      <c r="F267" s="17" t="n">
        <f aca="false">B267+C267</f>
        <v>22093.56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4303.71</v>
      </c>
      <c r="F268" s="17" t="n">
        <f aca="false">B268+C268</f>
        <v>4303.71</v>
      </c>
    </row>
    <row r="269" customFormat="false" ht="12.75" hidden="false" customHeight="true" outlineLevel="0" collapsed="false">
      <c r="A269" s="30" t="n">
        <v>46256</v>
      </c>
      <c r="B269" s="31" t="n">
        <f aca="false">SUMIFS(Report!$U:$U,Report!$T:$T,"&lt;&gt;"&amp;"MERCADORIAS P/REVENDA",Report!$AA:$AA,"SIM",Report!$C:$C,A269)</f>
        <v>0</v>
      </c>
      <c r="C269" s="31" t="n">
        <f aca="false">SUMIFS(Report!$U:$U,Report!$T:$T,"MERCADORIAS P/REVENDA",Report!$AA:$AA,"SIM",Report!$C:$C,A269)</f>
        <v>4265.95</v>
      </c>
      <c r="D269" s="32"/>
      <c r="E269" s="32"/>
      <c r="F269" s="31" t="n">
        <f aca="false">B269+C269</f>
        <v>4265.95</v>
      </c>
    </row>
    <row r="270" customFormat="false" ht="12.75" hidden="false" customHeight="true" outlineLevel="0" collapsed="false">
      <c r="A270" s="30" t="n">
        <v>46257</v>
      </c>
      <c r="B270" s="31" t="n">
        <f aca="false">SUMIFS(Report!$U:$U,Report!$T:$T,"&lt;&gt;"&amp;"MERCADORIAS P/REVENDA",Report!$AA:$AA,"SIM",Report!$C:$C,A270)</f>
        <v>2720.81</v>
      </c>
      <c r="C270" s="31" t="n">
        <f aca="false">SUMIFS(Report!$U:$U,Report!$T:$T,"MERCADORIAS P/REVENDA",Report!$AA:$AA,"SIM",Report!$C:$C,A270)</f>
        <v>0</v>
      </c>
      <c r="D270" s="32"/>
      <c r="E270" s="32"/>
      <c r="F270" s="31" t="n">
        <f aca="false">B270+C270</f>
        <v>2720.81</v>
      </c>
    </row>
    <row r="271" customFormat="false" ht="12.75" hidden="false" customHeight="true" outlineLevel="0" collapsed="false">
      <c r="A271" s="30" t="n">
        <v>46258</v>
      </c>
      <c r="B271" s="31" t="n">
        <f aca="false">SUMIFS(Report!$U:$U,Report!$T:$T,"&lt;&gt;"&amp;"MERCADORIAS P/REVENDA",Report!$AA:$AA,"SIM",Report!$C:$C,A271)</f>
        <v>1001.34</v>
      </c>
      <c r="C271" s="31" t="n">
        <f aca="false">SUMIFS(Report!$U:$U,Report!$T:$T,"MERCADORIAS P/REVENDA",Report!$AA:$AA,"SIM",Report!$C:$C,A271)</f>
        <v>8710.88</v>
      </c>
      <c r="D271" s="32"/>
      <c r="E271" s="32"/>
      <c r="F271" s="31" t="n">
        <f aca="false">B271+C271</f>
        <v>9712.22</v>
      </c>
    </row>
    <row r="272" customFormat="false" ht="12.75" hidden="false" customHeight="true" outlineLevel="0" collapsed="false">
      <c r="A272" s="33" t="s">
        <v>1729</v>
      </c>
      <c r="B272" s="34" t="n">
        <f aca="false">SUM(B265:B271)</f>
        <v>18214.24</v>
      </c>
      <c r="C272" s="34" t="n">
        <f aca="false">SUM(C265:C271)</f>
        <v>59618.9</v>
      </c>
      <c r="D272" s="35"/>
      <c r="E272" s="35"/>
      <c r="F272" s="34" t="n">
        <f aca="false">B272+C272</f>
        <v>77833.14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7072.79</v>
      </c>
      <c r="C273" s="17" t="n">
        <f aca="false">SUMIFS(Report!$U:$U,Report!$T:$T,"MERCADORIAS P/REVENDA",Report!$AA:$AA,"SIM",Report!$C:$C,A273)</f>
        <v>8017.77</v>
      </c>
      <c r="F273" s="17" t="n">
        <f aca="false">B273+C273</f>
        <v>15090.56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770</v>
      </c>
      <c r="C274" s="17" t="n">
        <f aca="false">SUMIFS(Report!$U:$U,Report!$T:$T,"MERCADORIAS P/REVENDA",Report!$AA:$AA,"SIM",Report!$C:$C,A274)</f>
        <v>2890.21</v>
      </c>
      <c r="F274" s="17" t="n">
        <f aca="false">B274+C274</f>
        <v>3660.21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9386.74</v>
      </c>
      <c r="F275" s="17" t="n">
        <f aca="false">B275+C275</f>
        <v>9386.74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3853.23</v>
      </c>
      <c r="C276" s="17" t="n">
        <f aca="false">SUMIFS(Report!$U:$U,Report!$T:$T,"MERCADORIAS P/REVENDA",Report!$AA:$AA,"SIM",Report!$C:$C,A276)</f>
        <v>629.55</v>
      </c>
      <c r="F276" s="17" t="n">
        <f aca="false">B276+C276</f>
        <v>4482.78</v>
      </c>
    </row>
    <row r="277" customFormat="false" ht="12.75" hidden="false" customHeight="true" outlineLevel="0" collapsed="false">
      <c r="A277" s="30" t="n">
        <v>46263</v>
      </c>
      <c r="B277" s="31" t="n">
        <f aca="false">SUMIFS(Report!$U:$U,Report!$T:$T,"&lt;&gt;"&amp;"MERCADORIAS P/REVENDA",Report!$AA:$AA,"SIM",Report!$C:$C,A277)</f>
        <v>0</v>
      </c>
      <c r="C277" s="31" t="n">
        <f aca="false">SUMIFS(Report!$U:$U,Report!$T:$T,"MERCADORIAS P/REVENDA",Report!$AA:$AA,"SIM",Report!$C:$C,A277)</f>
        <v>0</v>
      </c>
      <c r="D277" s="32"/>
      <c r="E277" s="32"/>
      <c r="F277" s="31" t="n">
        <f aca="false">B277+C277</f>
        <v>0</v>
      </c>
    </row>
    <row r="278" customFormat="false" ht="12.75" hidden="false" customHeight="true" outlineLevel="0" collapsed="false">
      <c r="A278" s="30" t="n">
        <v>46264</v>
      </c>
      <c r="B278" s="31" t="n">
        <f aca="false">SUMIFS(Report!$U:$U,Report!$T:$T,"&lt;&gt;"&amp;"MERCADORIAS P/REVENDA",Report!$AA:$AA,"SIM",Report!$C:$C,A278)</f>
        <v>1000</v>
      </c>
      <c r="C278" s="31" t="n">
        <f aca="false">SUMIFS(Report!$U:$U,Report!$T:$T,"MERCADORIAS P/REVENDA",Report!$AA:$AA,"SIM",Report!$C:$C,A278)</f>
        <v>0</v>
      </c>
      <c r="D278" s="32"/>
      <c r="E278" s="32"/>
      <c r="F278" s="31" t="n">
        <f aca="false">B278+C278</f>
        <v>1000</v>
      </c>
    </row>
    <row r="279" customFormat="false" ht="12.75" hidden="false" customHeight="true" outlineLevel="0" collapsed="false">
      <c r="A279" s="30" t="n">
        <v>46265</v>
      </c>
      <c r="B279" s="31" t="n">
        <f aca="false">SUMIFS(Report!$U:$U,Report!$T:$T,"&lt;&gt;"&amp;"MERCADORIAS P/REVENDA",Report!$AA:$AA,"SIM",Report!$C:$C,A279)</f>
        <v>0</v>
      </c>
      <c r="C279" s="31" t="n">
        <f aca="false">SUMIFS(Report!$U:$U,Report!$T:$T,"MERCADORIAS P/REVENDA",Report!$AA:$AA,"SIM",Report!$C:$C,A279)</f>
        <v>2036.6</v>
      </c>
      <c r="D279" s="32"/>
      <c r="E279" s="32"/>
      <c r="F279" s="31" t="n">
        <f aca="false">B279+C279</f>
        <v>2036.6</v>
      </c>
    </row>
    <row r="280" customFormat="false" ht="12.75" hidden="false" customHeight="true" outlineLevel="0" collapsed="false">
      <c r="A280" s="33" t="s">
        <v>1730</v>
      </c>
      <c r="B280" s="34" t="n">
        <f aca="false">SUM(B273:B279)</f>
        <v>12696.02</v>
      </c>
      <c r="C280" s="34" t="n">
        <f aca="false">SUM(C273:C279)</f>
        <v>22960.87</v>
      </c>
      <c r="D280" s="35"/>
      <c r="E280" s="35"/>
      <c r="F280" s="34" t="n">
        <f aca="false">B280+C280</f>
        <v>35656.89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4265.95</v>
      </c>
      <c r="F281" s="17" t="n">
        <f aca="false">B281+C281</f>
        <v>4265.95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16500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16500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1849.57</v>
      </c>
      <c r="F283" s="17" t="n">
        <f aca="false">B283+C283</f>
        <v>1849.57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2350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2350</v>
      </c>
    </row>
    <row r="285" customFormat="false" ht="12.75" hidden="false" customHeight="true" outlineLevel="0" collapsed="false">
      <c r="A285" s="30" t="n">
        <v>46270</v>
      </c>
      <c r="B285" s="31" t="n">
        <f aca="false">SUMIFS(Report!$U:$U,Report!$T:$T,"&lt;&gt;"&amp;"MERCADORIAS P/REVENDA",Report!$AA:$AA,"SIM",Report!$C:$C,A285)</f>
        <v>17081.5</v>
      </c>
      <c r="C285" s="31" t="n">
        <f aca="false">SUMIFS(Report!$U:$U,Report!$T:$T,"MERCADORIAS P/REVENDA",Report!$AA:$AA,"SIM",Report!$C:$C,A285)</f>
        <v>562.93</v>
      </c>
      <c r="D285" s="32"/>
      <c r="E285" s="32"/>
      <c r="F285" s="31" t="n">
        <f aca="false">B285+C285</f>
        <v>17644.43</v>
      </c>
    </row>
    <row r="286" customFormat="false" ht="12.75" hidden="false" customHeight="true" outlineLevel="0" collapsed="false">
      <c r="A286" s="30" t="n">
        <v>46271</v>
      </c>
      <c r="B286" s="31" t="n">
        <f aca="false">SUMIFS(Report!$U:$U,Report!$T:$T,"&lt;&gt;"&amp;"MERCADORIAS P/REVENDA",Report!$AA:$AA,"SIM",Report!$C:$C,A286)</f>
        <v>0</v>
      </c>
      <c r="C286" s="31" t="n">
        <f aca="false">SUMIFS(Report!$U:$U,Report!$T:$T,"MERCADORIAS P/REVENDA",Report!$AA:$AA,"SIM",Report!$C:$C,A286)</f>
        <v>911.85</v>
      </c>
      <c r="D286" s="32"/>
      <c r="E286" s="32"/>
      <c r="F286" s="31" t="n">
        <f aca="false">B286+C286</f>
        <v>911.85</v>
      </c>
    </row>
    <row r="287" customFormat="false" ht="12.75" hidden="false" customHeight="true" outlineLevel="0" collapsed="false">
      <c r="A287" s="30" t="n">
        <v>46272</v>
      </c>
      <c r="B287" s="31" t="n">
        <f aca="false">SUMIFS(Report!$U:$U,Report!$T:$T,"&lt;&gt;"&amp;"MERCADORIAS P/REVENDA",Report!$AA:$AA,"SIM",Report!$C:$C,A287)</f>
        <v>0</v>
      </c>
      <c r="C287" s="31" t="n">
        <f aca="false">SUMIFS(Report!$U:$U,Report!$T:$T,"MERCADORIAS P/REVENDA",Report!$AA:$AA,"SIM",Report!$C:$C,A287)</f>
        <v>306</v>
      </c>
      <c r="D287" s="32"/>
      <c r="E287" s="32"/>
      <c r="F287" s="31" t="n">
        <f aca="false">B287+C287</f>
        <v>306</v>
      </c>
    </row>
    <row r="288" customFormat="false" ht="12.75" hidden="false" customHeight="true" outlineLevel="0" collapsed="false">
      <c r="A288" s="33" t="s">
        <v>1731</v>
      </c>
      <c r="B288" s="34" t="n">
        <f aca="false">SUM(B281:B287)</f>
        <v>35931.5</v>
      </c>
      <c r="C288" s="34" t="n">
        <f aca="false">SUM(C281:C287)</f>
        <v>7896.3</v>
      </c>
      <c r="D288" s="35"/>
      <c r="E288" s="35"/>
      <c r="F288" s="34" t="n">
        <f aca="false">B288+C288</f>
        <v>43827.8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2186.19</v>
      </c>
      <c r="F290" s="17" t="n">
        <f aca="false">B290+C290</f>
        <v>2186.19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7175.25</v>
      </c>
      <c r="C291" s="17" t="n">
        <f aca="false">SUMIFS(Report!$U:$U,Report!$T:$T,"MERCADORIAS P/REVENDA",Report!$AA:$AA,"SIM",Report!$C:$C,A291)</f>
        <v>2044.88</v>
      </c>
      <c r="F291" s="17" t="n">
        <f aca="false">B291+C291</f>
        <v>9220.13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8976.01</v>
      </c>
      <c r="F292" s="17" t="n">
        <f aca="false">B292+C292</f>
        <v>8976.01</v>
      </c>
    </row>
    <row r="293" customFormat="false" ht="12.75" hidden="false" customHeight="true" outlineLevel="0" collapsed="false">
      <c r="A293" s="30" t="n">
        <v>46277</v>
      </c>
      <c r="B293" s="31" t="n">
        <f aca="false">SUMIFS(Report!$U:$U,Report!$T:$T,"&lt;&gt;"&amp;"MERCADORIAS P/REVENDA",Report!$AA:$AA,"SIM",Report!$C:$C,A293)</f>
        <v>0</v>
      </c>
      <c r="C293" s="31" t="n">
        <f aca="false">SUMIFS(Report!$U:$U,Report!$T:$T,"MERCADORIAS P/REVENDA",Report!$AA:$AA,"SIM",Report!$C:$C,A293)</f>
        <v>0</v>
      </c>
      <c r="D293" s="32"/>
      <c r="E293" s="32"/>
      <c r="F293" s="31" t="n">
        <f aca="false">B293+C293</f>
        <v>0</v>
      </c>
    </row>
    <row r="294" customFormat="false" ht="12.75" hidden="false" customHeight="true" outlineLevel="0" collapsed="false">
      <c r="A294" s="30" t="n">
        <v>46278</v>
      </c>
      <c r="B294" s="31" t="n">
        <f aca="false">SUMIFS(Report!$U:$U,Report!$T:$T,"&lt;&gt;"&amp;"MERCADORIAS P/REVENDA",Report!$AA:$AA,"SIM",Report!$C:$C,A294)</f>
        <v>333.35</v>
      </c>
      <c r="C294" s="31" t="n">
        <f aca="false">SUMIFS(Report!$U:$U,Report!$T:$T,"MERCADORIAS P/REVENDA",Report!$AA:$AA,"SIM",Report!$C:$C,A294)</f>
        <v>1849.44</v>
      </c>
      <c r="D294" s="32"/>
      <c r="E294" s="32"/>
      <c r="F294" s="31" t="n">
        <f aca="false">B294+C294</f>
        <v>2182.79</v>
      </c>
    </row>
    <row r="295" customFormat="false" ht="12.75" hidden="false" customHeight="true" outlineLevel="0" collapsed="false">
      <c r="A295" s="30" t="n">
        <v>46279</v>
      </c>
      <c r="B295" s="31" t="n">
        <f aca="false">SUMIFS(Report!$U:$U,Report!$T:$T,"&lt;&gt;"&amp;"MERCADORIAS P/REVENDA",Report!$AA:$AA,"SIM",Report!$C:$C,A295)</f>
        <v>0</v>
      </c>
      <c r="C295" s="31" t="n">
        <f aca="false">SUMIFS(Report!$U:$U,Report!$T:$T,"MERCADORIAS P/REVENDA",Report!$AA:$AA,"SIM",Report!$C:$C,A295)</f>
        <v>0</v>
      </c>
      <c r="D295" s="32"/>
      <c r="E295" s="32"/>
      <c r="F295" s="31" t="n">
        <f aca="false">B295+C295</f>
        <v>0</v>
      </c>
    </row>
    <row r="296" customFormat="false" ht="12.75" hidden="false" customHeight="true" outlineLevel="0" collapsed="false">
      <c r="A296" s="33" t="s">
        <v>1732</v>
      </c>
      <c r="B296" s="34" t="n">
        <f aca="false">SUM(B289:B295)</f>
        <v>7508.6</v>
      </c>
      <c r="C296" s="34" t="n">
        <f aca="false">SUM(C289:C295)</f>
        <v>15056.52</v>
      </c>
      <c r="D296" s="35"/>
      <c r="E296" s="35"/>
      <c r="F296" s="34" t="n">
        <f aca="false">B296+C296</f>
        <v>22565.12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16372.04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16372.04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4370.75</v>
      </c>
      <c r="F298" s="17" t="n">
        <f aca="false">B298+C298</f>
        <v>4370.75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6000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6000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5755.8</v>
      </c>
    </row>
    <row r="301" customFormat="false" ht="12.75" hidden="false" customHeight="true" outlineLevel="0" collapsed="false">
      <c r="A301" s="30" t="n">
        <v>46284</v>
      </c>
      <c r="B301" s="31" t="n">
        <f aca="false">SUMIFS(Report!$U:$U,Report!$T:$T,"&lt;&gt;"&amp;"MERCADORIAS P/REVENDA",Report!$AA:$AA,"SIM",Report!$C:$C,A301)</f>
        <v>0</v>
      </c>
      <c r="C301" s="31" t="n">
        <f aca="false">SUMIFS(Report!$U:$U,Report!$T:$T,"MERCADORIAS P/REVENDA",Report!$AA:$AA,"SIM",Report!$C:$C,A301)</f>
        <v>0</v>
      </c>
      <c r="D301" s="32"/>
      <c r="E301" s="32"/>
      <c r="F301" s="31" t="n">
        <f aca="false">B301+C301</f>
        <v>0</v>
      </c>
    </row>
    <row r="302" customFormat="false" ht="12.75" hidden="false" customHeight="true" outlineLevel="0" collapsed="false">
      <c r="A302" s="30" t="n">
        <v>46285</v>
      </c>
      <c r="B302" s="31" t="n">
        <f aca="false">SUMIFS(Report!$U:$U,Report!$T:$T,"&lt;&gt;"&amp;"MERCADORIAS P/REVENDA",Report!$AA:$AA,"SIM",Report!$C:$C,A302)</f>
        <v>7557.67</v>
      </c>
      <c r="C302" s="31" t="n">
        <f aca="false">SUMIFS(Report!$U:$U,Report!$T:$T,"MERCADORIAS P/REVENDA",Report!$AA:$AA,"SIM",Report!$C:$C,A302)</f>
        <v>0</v>
      </c>
      <c r="D302" s="32"/>
      <c r="E302" s="32"/>
      <c r="F302" s="31" t="n">
        <f aca="false">B302+C302</f>
        <v>7557.67</v>
      </c>
    </row>
    <row r="303" customFormat="false" ht="12.75" hidden="false" customHeight="true" outlineLevel="0" collapsed="false">
      <c r="A303" s="30" t="n">
        <v>46286</v>
      </c>
      <c r="B303" s="31" t="n">
        <f aca="false">SUMIFS(Report!$U:$U,Report!$T:$T,"&lt;&gt;"&amp;"MERCADORIAS P/REVENDA",Report!$AA:$AA,"SIM",Report!$C:$C,A303)</f>
        <v>0</v>
      </c>
      <c r="C303" s="31" t="n">
        <f aca="false">SUMIFS(Report!$U:$U,Report!$T:$T,"MERCADORIAS P/REVENDA",Report!$AA:$AA,"SIM",Report!$C:$C,A303)</f>
        <v>306</v>
      </c>
      <c r="D303" s="32"/>
      <c r="E303" s="32"/>
      <c r="F303" s="31" t="n">
        <f aca="false">B303+C303</f>
        <v>306</v>
      </c>
    </row>
    <row r="304" customFormat="false" ht="12.75" hidden="false" customHeight="true" outlineLevel="0" collapsed="false">
      <c r="A304" s="33" t="s">
        <v>1733</v>
      </c>
      <c r="B304" s="34" t="n">
        <f aca="false">SUM(B297:B303)</f>
        <v>35685.51</v>
      </c>
      <c r="C304" s="34" t="n">
        <f aca="false">SUM(C297:C303)</f>
        <v>4676.75</v>
      </c>
      <c r="D304" s="35"/>
      <c r="E304" s="35"/>
      <c r="F304" s="34" t="n">
        <f aca="false">B304+C304</f>
        <v>40362.26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0" t="n">
        <v>46291</v>
      </c>
      <c r="B309" s="31" t="n">
        <f aca="false">SUMIFS(Report!$U:$U,Report!$T:$T,"&lt;&gt;"&amp;"MERCADORIAS P/REVENDA",Report!$AA:$AA,"SIM",Report!$C:$C,A309)</f>
        <v>0</v>
      </c>
      <c r="C309" s="31" t="n">
        <f aca="false">SUMIFS(Report!$U:$U,Report!$T:$T,"MERCADORIAS P/REVENDA",Report!$AA:$AA,"SIM",Report!$C:$C,A309)</f>
        <v>911.8</v>
      </c>
      <c r="D309" s="32"/>
      <c r="E309" s="32"/>
      <c r="F309" s="31" t="n">
        <f aca="false">B309+C309</f>
        <v>911.8</v>
      </c>
    </row>
    <row r="310" customFormat="false" ht="12.75" hidden="false" customHeight="true" outlineLevel="0" collapsed="false">
      <c r="A310" s="30" t="n">
        <v>46292</v>
      </c>
      <c r="B310" s="31" t="n">
        <f aca="false">SUMIFS(Report!$U:$U,Report!$T:$T,"&lt;&gt;"&amp;"MERCADORIAS P/REVENDA",Report!$AA:$AA,"SIM",Report!$C:$C,A310)</f>
        <v>0</v>
      </c>
      <c r="C310" s="31" t="n">
        <f aca="false">SUMIFS(Report!$U:$U,Report!$T:$T,"MERCADORIAS P/REVENDA",Report!$AA:$AA,"SIM",Report!$C:$C,A310)</f>
        <v>0</v>
      </c>
      <c r="D310" s="32"/>
      <c r="E310" s="32"/>
      <c r="F310" s="31" t="n">
        <f aca="false">B310+C310</f>
        <v>0</v>
      </c>
    </row>
    <row r="311" customFormat="false" ht="12.75" hidden="false" customHeight="true" outlineLevel="0" collapsed="false">
      <c r="A311" s="30" t="n">
        <v>46293</v>
      </c>
      <c r="B311" s="31" t="n">
        <f aca="false">SUMIFS(Report!$U:$U,Report!$T:$T,"&lt;&gt;"&amp;"MERCADORIAS P/REVENDA",Report!$AA:$AA,"SIM",Report!$C:$C,A311)</f>
        <v>3853.23</v>
      </c>
      <c r="C311" s="31" t="n">
        <f aca="false">SUMIFS(Report!$U:$U,Report!$T:$T,"MERCADORIAS P/REVENDA",Report!$AA:$AA,"SIM",Report!$C:$C,A311)</f>
        <v>0</v>
      </c>
      <c r="D311" s="32"/>
      <c r="E311" s="32"/>
      <c r="F311" s="31" t="n">
        <f aca="false">B311+C311</f>
        <v>3853.23</v>
      </c>
    </row>
    <row r="312" customFormat="false" ht="12.75" hidden="false" customHeight="true" outlineLevel="0" collapsed="false">
      <c r="A312" s="33" t="s">
        <v>1734</v>
      </c>
      <c r="B312" s="34" t="n">
        <f aca="false">SUM(B305:B311)</f>
        <v>13390.25</v>
      </c>
      <c r="C312" s="34" t="n">
        <f aca="false">SUM(C305:C311)</f>
        <v>2994.6</v>
      </c>
      <c r="D312" s="35"/>
      <c r="E312" s="35"/>
      <c r="F312" s="34" t="n">
        <f aca="false">B312+C312</f>
        <v>16384.85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0" t="n">
        <v>46298</v>
      </c>
      <c r="B317" s="31" t="n">
        <f aca="false">SUMIFS(Report!$U:$U,Report!$T:$T,"&lt;&gt;"&amp;"MERCADORIAS P/REVENDA",Report!$AA:$AA,"SIM",Report!$C:$C,A317)</f>
        <v>0</v>
      </c>
      <c r="C317" s="31" t="n">
        <f aca="false">SUMIFS(Report!$U:$U,Report!$T:$T,"MERCADORIAS P/REVENDA",Report!$AA:$AA,"SIM",Report!$C:$C,A317)</f>
        <v>0</v>
      </c>
      <c r="D317" s="32"/>
      <c r="E317" s="32"/>
      <c r="F317" s="31" t="n">
        <f aca="false">B317+C317</f>
        <v>0</v>
      </c>
    </row>
    <row r="318" customFormat="false" ht="12.75" hidden="false" customHeight="true" outlineLevel="0" collapsed="false">
      <c r="A318" s="30" t="n">
        <v>46299</v>
      </c>
      <c r="B318" s="31" t="n">
        <f aca="false">SUMIFS(Report!$U:$U,Report!$T:$T,"&lt;&gt;"&amp;"MERCADORIAS P/REVENDA",Report!$AA:$AA,"SIM",Report!$C:$C,A318)</f>
        <v>0</v>
      </c>
      <c r="C318" s="31" t="n">
        <f aca="false">SUMIFS(Report!$U:$U,Report!$T:$T,"MERCADORIAS P/REVENDA",Report!$AA:$AA,"SIM",Report!$C:$C,A318)</f>
        <v>0</v>
      </c>
      <c r="D318" s="32"/>
      <c r="E318" s="32"/>
      <c r="F318" s="31" t="n">
        <f aca="false">B318+C318</f>
        <v>0</v>
      </c>
    </row>
    <row r="319" customFormat="false" ht="12.75" hidden="false" customHeight="true" outlineLevel="0" collapsed="false">
      <c r="A319" s="30" t="n">
        <v>46300</v>
      </c>
      <c r="B319" s="31" t="n">
        <f aca="false">SUMIFS(Report!$U:$U,Report!$T:$T,"&lt;&gt;"&amp;"MERCADORIAS P/REVENDA",Report!$AA:$AA,"SIM",Report!$C:$C,A319)</f>
        <v>0</v>
      </c>
      <c r="C319" s="31" t="n">
        <f aca="false">SUMIFS(Report!$U:$U,Report!$T:$T,"MERCADORIAS P/REVENDA",Report!$AA:$AA,"SIM",Report!$C:$C,A319)</f>
        <v>0</v>
      </c>
      <c r="D319" s="32"/>
      <c r="E319" s="32"/>
      <c r="F319" s="31" t="n">
        <f aca="false">B319+C319</f>
        <v>0</v>
      </c>
    </row>
    <row r="320" customFormat="false" ht="12.75" hidden="false" customHeight="true" outlineLevel="0" collapsed="false">
      <c r="A320" s="33" t="s">
        <v>1735</v>
      </c>
      <c r="B320" s="34" t="n">
        <f aca="false">SUM(B313:B319)</f>
        <v>1000</v>
      </c>
      <c r="C320" s="34" t="n">
        <f aca="false">SUM(C313:C319)</f>
        <v>0</v>
      </c>
      <c r="D320" s="35"/>
      <c r="E320" s="35"/>
      <c r="F320" s="34" t="n">
        <f aca="false">B320+C320</f>
        <v>1000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0" t="n">
        <v>46305</v>
      </c>
      <c r="B325" s="31" t="n">
        <f aca="false">SUMIFS(Report!$U:$U,Report!$T:$T,"&lt;&gt;"&amp;"MERCADORIAS P/REVENDA",Report!$AA:$AA,"SIM",Report!$C:$C,A325)</f>
        <v>0</v>
      </c>
      <c r="C325" s="31" t="n">
        <f aca="false">SUMIFS(Report!$U:$U,Report!$T:$T,"MERCADORIAS P/REVENDA",Report!$AA:$AA,"SIM",Report!$C:$C,A325)</f>
        <v>0</v>
      </c>
      <c r="D325" s="32"/>
      <c r="E325" s="32"/>
      <c r="F325" s="31" t="n">
        <f aca="false">B325+C325</f>
        <v>0</v>
      </c>
    </row>
    <row r="326" customFormat="false" ht="12.75" hidden="false" customHeight="true" outlineLevel="0" collapsed="false">
      <c r="A326" s="30" t="n">
        <v>46306</v>
      </c>
      <c r="B326" s="31" t="n">
        <f aca="false">SUMIFS(Report!$U:$U,Report!$T:$T,"&lt;&gt;"&amp;"MERCADORIAS P/REVENDA",Report!$AA:$AA,"SIM",Report!$C:$C,A326)</f>
        <v>0</v>
      </c>
      <c r="C326" s="31" t="n">
        <f aca="false">SUMIFS(Report!$U:$U,Report!$T:$T,"MERCADORIAS P/REVENDA",Report!$AA:$AA,"SIM",Report!$C:$C,A326)</f>
        <v>0</v>
      </c>
      <c r="D326" s="32"/>
      <c r="E326" s="32"/>
      <c r="F326" s="31" t="n">
        <f aca="false">B326+C326</f>
        <v>0</v>
      </c>
    </row>
    <row r="327" customFormat="false" ht="12.75" hidden="false" customHeight="true" outlineLevel="0" collapsed="false">
      <c r="A327" s="30" t="n">
        <v>46307</v>
      </c>
      <c r="B327" s="31" t="n">
        <f aca="false">SUMIFS(Report!$U:$U,Report!$T:$T,"&lt;&gt;"&amp;"MERCADORIAS P/REVENDA",Report!$AA:$AA,"SIM",Report!$C:$C,A327)</f>
        <v>0</v>
      </c>
      <c r="C327" s="31" t="n">
        <f aca="false">SUMIFS(Report!$U:$U,Report!$T:$T,"MERCADORIAS P/REVENDA",Report!$AA:$AA,"SIM",Report!$C:$C,A327)</f>
        <v>0</v>
      </c>
      <c r="D327" s="32"/>
      <c r="E327" s="32"/>
      <c r="F327" s="31" t="n">
        <f aca="false">B327+C327</f>
        <v>0</v>
      </c>
    </row>
    <row r="328" customFormat="false" ht="12.75" hidden="false" customHeight="true" outlineLevel="0" collapsed="false">
      <c r="A328" s="33" t="s">
        <v>1736</v>
      </c>
      <c r="B328" s="34" t="n">
        <f aca="false">SUM(B321:B327)</f>
        <v>0</v>
      </c>
      <c r="C328" s="34" t="n">
        <f aca="false">SUM(C321:C327)</f>
        <v>0</v>
      </c>
      <c r="D328" s="35"/>
      <c r="E328" s="35"/>
      <c r="F328" s="34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0" t="n">
        <v>46312</v>
      </c>
      <c r="B333" s="31" t="n">
        <f aca="false">SUMIFS(Report!$U:$U,Report!$T:$T,"&lt;&gt;"&amp;"MERCADORIAS P/REVENDA",Report!$AA:$AA,"SIM",Report!$C:$C,A333)</f>
        <v>0</v>
      </c>
      <c r="C333" s="31" t="n">
        <f aca="false">SUMIFS(Report!$U:$U,Report!$T:$T,"MERCADORIAS P/REVENDA",Report!$AA:$AA,"SIM",Report!$C:$C,A333)</f>
        <v>0</v>
      </c>
      <c r="D333" s="32"/>
      <c r="E333" s="32"/>
      <c r="F333" s="31" t="n">
        <f aca="false">B333+C333</f>
        <v>0</v>
      </c>
    </row>
    <row r="334" customFormat="false" ht="12.75" hidden="false" customHeight="true" outlineLevel="0" collapsed="false">
      <c r="A334" s="30" t="n">
        <v>46313</v>
      </c>
      <c r="B334" s="31" t="n">
        <f aca="false">SUMIFS(Report!$U:$U,Report!$T:$T,"&lt;&gt;"&amp;"MERCADORIAS P/REVENDA",Report!$AA:$AA,"SIM",Report!$C:$C,A334)</f>
        <v>0</v>
      </c>
      <c r="C334" s="31" t="n">
        <f aca="false">SUMIFS(Report!$U:$U,Report!$T:$T,"MERCADORIAS P/REVENDA",Report!$AA:$AA,"SIM",Report!$C:$C,A334)</f>
        <v>0</v>
      </c>
      <c r="D334" s="32"/>
      <c r="E334" s="32"/>
      <c r="F334" s="31" t="n">
        <f aca="false">B334+C334</f>
        <v>0</v>
      </c>
    </row>
    <row r="335" customFormat="false" ht="12.75" hidden="false" customHeight="true" outlineLevel="0" collapsed="false">
      <c r="A335" s="30" t="n">
        <v>46314</v>
      </c>
      <c r="B335" s="31" t="n">
        <f aca="false">SUMIFS(Report!$U:$U,Report!$T:$T,"&lt;&gt;"&amp;"MERCADORIAS P/REVENDA",Report!$AA:$AA,"SIM",Report!$C:$C,A335)</f>
        <v>0</v>
      </c>
      <c r="C335" s="31" t="n">
        <f aca="false">SUMIFS(Report!$U:$U,Report!$T:$T,"MERCADORIAS P/REVENDA",Report!$AA:$AA,"SIM",Report!$C:$C,A335)</f>
        <v>0</v>
      </c>
      <c r="D335" s="32"/>
      <c r="E335" s="32"/>
      <c r="F335" s="31" t="n">
        <f aca="false">B335+C335</f>
        <v>0</v>
      </c>
    </row>
    <row r="336" customFormat="false" ht="12.75" hidden="false" customHeight="true" outlineLevel="0" collapsed="false">
      <c r="A336" s="33" t="s">
        <v>1737</v>
      </c>
      <c r="B336" s="34" t="n">
        <f aca="false">SUM(B329:B335)</f>
        <v>0</v>
      </c>
      <c r="C336" s="34" t="n">
        <f aca="false">SUM(C329:C335)</f>
        <v>0</v>
      </c>
      <c r="D336" s="35"/>
      <c r="E336" s="35"/>
      <c r="F336" s="34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0" t="n">
        <v>46319</v>
      </c>
      <c r="B341" s="31" t="n">
        <f aca="false">SUMIFS(Report!$U:$U,Report!$T:$T,"&lt;&gt;"&amp;"MERCADORIAS P/REVENDA",Report!$AA:$AA,"SIM",Report!$C:$C,A341)</f>
        <v>0</v>
      </c>
      <c r="C341" s="31" t="n">
        <f aca="false">SUMIFS(Report!$U:$U,Report!$T:$T,"MERCADORIAS P/REVENDA",Report!$AA:$AA,"SIM",Report!$C:$C,A341)</f>
        <v>0</v>
      </c>
      <c r="D341" s="32"/>
      <c r="E341" s="32"/>
      <c r="F341" s="31" t="n">
        <f aca="false">B341+C341</f>
        <v>0</v>
      </c>
    </row>
    <row r="342" customFormat="false" ht="12.75" hidden="false" customHeight="true" outlineLevel="0" collapsed="false">
      <c r="A342" s="30" t="n">
        <v>46320</v>
      </c>
      <c r="B342" s="31" t="n">
        <f aca="false">SUMIFS(Report!$U:$U,Report!$T:$T,"&lt;&gt;"&amp;"MERCADORIAS P/REVENDA",Report!$AA:$AA,"SIM",Report!$C:$C,A342)</f>
        <v>0</v>
      </c>
      <c r="C342" s="31" t="n">
        <f aca="false">SUMIFS(Report!$U:$U,Report!$T:$T,"MERCADORIAS P/REVENDA",Report!$AA:$AA,"SIM",Report!$C:$C,A342)</f>
        <v>0</v>
      </c>
      <c r="D342" s="32"/>
      <c r="E342" s="32"/>
      <c r="F342" s="31" t="n">
        <f aca="false">B342+C342</f>
        <v>0</v>
      </c>
    </row>
    <row r="343" customFormat="false" ht="12.75" hidden="false" customHeight="true" outlineLevel="0" collapsed="false">
      <c r="A343" s="30" t="n">
        <v>46321</v>
      </c>
      <c r="B343" s="31" t="n">
        <f aca="false">SUMIFS(Report!$U:$U,Report!$T:$T,"&lt;&gt;"&amp;"MERCADORIAS P/REVENDA",Report!$AA:$AA,"SIM",Report!$C:$C,A343)</f>
        <v>0</v>
      </c>
      <c r="C343" s="31" t="n">
        <f aca="false">SUMIFS(Report!$U:$U,Report!$T:$T,"MERCADORIAS P/REVENDA",Report!$AA:$AA,"SIM",Report!$C:$C,A343)</f>
        <v>0</v>
      </c>
      <c r="D343" s="32"/>
      <c r="E343" s="32"/>
      <c r="F343" s="31" t="n">
        <f aca="false">B343+C343</f>
        <v>0</v>
      </c>
    </row>
    <row r="344" customFormat="false" ht="12.75" hidden="false" customHeight="true" outlineLevel="0" collapsed="false">
      <c r="A344" s="33" t="s">
        <v>1738</v>
      </c>
      <c r="B344" s="34" t="n">
        <f aca="false">SUM(B337:B343)</f>
        <v>0</v>
      </c>
      <c r="C344" s="34" t="n">
        <f aca="false">SUM(C337:C343)</f>
        <v>0</v>
      </c>
      <c r="D344" s="35"/>
      <c r="E344" s="35"/>
      <c r="F344" s="34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0" t="n">
        <v>46326</v>
      </c>
      <c r="B349" s="31" t="n">
        <f aca="false">SUMIFS(Report!$U:$U,Report!$T:$T,"&lt;&gt;"&amp;"MERCADORIAS P/REVENDA",Report!$AA:$AA,"SIM",Report!$C:$C,A349)</f>
        <v>0</v>
      </c>
      <c r="C349" s="31" t="n">
        <f aca="false">SUMIFS(Report!$U:$U,Report!$T:$T,"MERCADORIAS P/REVENDA",Report!$AA:$AA,"SIM",Report!$C:$C,A349)</f>
        <v>0</v>
      </c>
      <c r="D349" s="32"/>
      <c r="E349" s="32"/>
      <c r="F349" s="31" t="n">
        <f aca="false">B349+C349</f>
        <v>0</v>
      </c>
    </row>
    <row r="350" customFormat="false" ht="12.75" hidden="false" customHeight="true" outlineLevel="0" collapsed="false">
      <c r="A350" s="30" t="n">
        <v>46327</v>
      </c>
      <c r="B350" s="31" t="n">
        <f aca="false">SUMIFS(Report!$U:$U,Report!$T:$T,"&lt;&gt;"&amp;"MERCADORIAS P/REVENDA",Report!$AA:$AA,"SIM",Report!$C:$C,A350)</f>
        <v>0</v>
      </c>
      <c r="C350" s="31" t="n">
        <f aca="false">SUMIFS(Report!$U:$U,Report!$T:$T,"MERCADORIAS P/REVENDA",Report!$AA:$AA,"SIM",Report!$C:$C,A350)</f>
        <v>0</v>
      </c>
      <c r="D350" s="32"/>
      <c r="E350" s="32"/>
      <c r="F350" s="31" t="n">
        <f aca="false">B350+C350</f>
        <v>0</v>
      </c>
    </row>
    <row r="351" customFormat="false" ht="12.75" hidden="false" customHeight="true" outlineLevel="0" collapsed="false">
      <c r="A351" s="30" t="n">
        <v>46328</v>
      </c>
      <c r="B351" s="31" t="n">
        <f aca="false">SUMIFS(Report!$U:$U,Report!$T:$T,"&lt;&gt;"&amp;"MERCADORIAS P/REVENDA",Report!$AA:$AA,"SIM",Report!$C:$C,A351)</f>
        <v>0</v>
      </c>
      <c r="C351" s="31" t="n">
        <f aca="false">SUMIFS(Report!$U:$U,Report!$T:$T,"MERCADORIAS P/REVENDA",Report!$AA:$AA,"SIM",Report!$C:$C,A351)</f>
        <v>0</v>
      </c>
      <c r="D351" s="32"/>
      <c r="E351" s="32"/>
      <c r="F351" s="31" t="n">
        <f aca="false">B351+C351</f>
        <v>0</v>
      </c>
    </row>
    <row r="352" customFormat="false" ht="12.75" hidden="false" customHeight="true" outlineLevel="0" collapsed="false">
      <c r="A352" s="33" t="s">
        <v>1739</v>
      </c>
      <c r="B352" s="34" t="n">
        <f aca="false">SUM(B345:B351)</f>
        <v>0</v>
      </c>
      <c r="C352" s="34" t="n">
        <f aca="false">SUM(C345:C351)</f>
        <v>0</v>
      </c>
      <c r="D352" s="35"/>
      <c r="E352" s="35"/>
      <c r="F352" s="34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0" t="n">
        <v>46333</v>
      </c>
      <c r="B357" s="31" t="n">
        <f aca="false">SUMIFS(Report!$U:$U,Report!$T:$T,"&lt;&gt;"&amp;"MERCADORIAS P/REVENDA",Report!$AA:$AA,"SIM",Report!$C:$C,A357)</f>
        <v>0</v>
      </c>
      <c r="C357" s="31" t="n">
        <f aca="false">SUMIFS(Report!$U:$U,Report!$T:$T,"MERCADORIAS P/REVENDA",Report!$AA:$AA,"SIM",Report!$C:$C,A357)</f>
        <v>0</v>
      </c>
      <c r="D357" s="32"/>
      <c r="E357" s="32"/>
      <c r="F357" s="31" t="n">
        <f aca="false">B357+C357</f>
        <v>0</v>
      </c>
    </row>
    <row r="358" customFormat="false" ht="12.75" hidden="false" customHeight="true" outlineLevel="0" collapsed="false">
      <c r="A358" s="30" t="n">
        <v>46334</v>
      </c>
      <c r="B358" s="31" t="n">
        <f aca="false">SUMIFS(Report!$U:$U,Report!$T:$T,"&lt;&gt;"&amp;"MERCADORIAS P/REVENDA",Report!$AA:$AA,"SIM",Report!$C:$C,A358)</f>
        <v>0</v>
      </c>
      <c r="C358" s="31" t="n">
        <f aca="false">SUMIFS(Report!$U:$U,Report!$T:$T,"MERCADORIAS P/REVENDA",Report!$AA:$AA,"SIM",Report!$C:$C,A358)</f>
        <v>0</v>
      </c>
      <c r="D358" s="32"/>
      <c r="E358" s="32"/>
      <c r="F358" s="31" t="n">
        <f aca="false">B358+C358</f>
        <v>0</v>
      </c>
    </row>
    <row r="359" customFormat="false" ht="12.75" hidden="false" customHeight="true" outlineLevel="0" collapsed="false">
      <c r="A359" s="30" t="n">
        <v>46335</v>
      </c>
      <c r="B359" s="31" t="n">
        <f aca="false">SUMIFS(Report!$U:$U,Report!$T:$T,"&lt;&gt;"&amp;"MERCADORIAS P/REVENDA",Report!$AA:$AA,"SIM",Report!$C:$C,A359)</f>
        <v>0</v>
      </c>
      <c r="C359" s="31" t="n">
        <f aca="false">SUMIFS(Report!$U:$U,Report!$T:$T,"MERCADORIAS P/REVENDA",Report!$AA:$AA,"SIM",Report!$C:$C,A359)</f>
        <v>0</v>
      </c>
      <c r="D359" s="32"/>
      <c r="E359" s="32"/>
      <c r="F359" s="31" t="n">
        <f aca="false">B359+C359</f>
        <v>0</v>
      </c>
    </row>
    <row r="360" customFormat="false" ht="12.75" hidden="false" customHeight="true" outlineLevel="0" collapsed="false">
      <c r="A360" s="33" t="s">
        <v>1740</v>
      </c>
      <c r="B360" s="34" t="n">
        <f aca="false">SUM(B353:B359)</f>
        <v>0</v>
      </c>
      <c r="C360" s="34" t="n">
        <f aca="false">SUM(C353:C359)</f>
        <v>0</v>
      </c>
      <c r="D360" s="35"/>
      <c r="E360" s="35"/>
      <c r="F360" s="34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0" t="n">
        <v>46340</v>
      </c>
      <c r="B365" s="31" t="n">
        <f aca="false">SUMIFS(Report!$U:$U,Report!$T:$T,"&lt;&gt;"&amp;"MERCADORIAS P/REVENDA",Report!$AA:$AA,"SIM",Report!$C:$C,A365)</f>
        <v>0</v>
      </c>
      <c r="C365" s="31" t="n">
        <f aca="false">SUMIFS(Report!$U:$U,Report!$T:$T,"MERCADORIAS P/REVENDA",Report!$AA:$AA,"SIM",Report!$C:$C,A365)</f>
        <v>0</v>
      </c>
      <c r="D365" s="32"/>
      <c r="E365" s="32"/>
      <c r="F365" s="31" t="n">
        <f aca="false">B365+C365</f>
        <v>0</v>
      </c>
    </row>
    <row r="366" customFormat="false" ht="12.75" hidden="false" customHeight="true" outlineLevel="0" collapsed="false">
      <c r="A366" s="30" t="n">
        <v>46341</v>
      </c>
      <c r="B366" s="31" t="n">
        <f aca="false">SUMIFS(Report!$U:$U,Report!$T:$T,"&lt;&gt;"&amp;"MERCADORIAS P/REVENDA",Report!$AA:$AA,"SIM",Report!$C:$C,A366)</f>
        <v>0</v>
      </c>
      <c r="C366" s="31" t="n">
        <f aca="false">SUMIFS(Report!$U:$U,Report!$T:$T,"MERCADORIAS P/REVENDA",Report!$AA:$AA,"SIM",Report!$C:$C,A366)</f>
        <v>0</v>
      </c>
      <c r="D366" s="32"/>
      <c r="E366" s="32"/>
      <c r="F366" s="31" t="n">
        <f aca="false">B366+C366</f>
        <v>0</v>
      </c>
    </row>
    <row r="367" customFormat="false" ht="12.75" hidden="false" customHeight="true" outlineLevel="0" collapsed="false">
      <c r="A367" s="30" t="n">
        <v>46342</v>
      </c>
      <c r="B367" s="31" t="n">
        <f aca="false">SUMIFS(Report!$U:$U,Report!$T:$T,"&lt;&gt;"&amp;"MERCADORIAS P/REVENDA",Report!$AA:$AA,"SIM",Report!$C:$C,A367)</f>
        <v>0</v>
      </c>
      <c r="C367" s="31" t="n">
        <f aca="false">SUMIFS(Report!$U:$U,Report!$T:$T,"MERCADORIAS P/REVENDA",Report!$AA:$AA,"SIM",Report!$C:$C,A367)</f>
        <v>0</v>
      </c>
      <c r="D367" s="32"/>
      <c r="E367" s="32"/>
      <c r="F367" s="31" t="n">
        <f aca="false">B367+C367</f>
        <v>0</v>
      </c>
    </row>
    <row r="368" customFormat="false" ht="12.75" hidden="false" customHeight="true" outlineLevel="0" collapsed="false">
      <c r="A368" s="33" t="s">
        <v>1741</v>
      </c>
      <c r="B368" s="34" t="n">
        <f aca="false">SUM(B361:B367)</f>
        <v>0</v>
      </c>
      <c r="C368" s="34" t="n">
        <f aca="false">SUM(C361:C367)</f>
        <v>0</v>
      </c>
      <c r="D368" s="35"/>
      <c r="E368" s="35"/>
      <c r="F368" s="34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0" t="n">
        <v>46347</v>
      </c>
      <c r="B373" s="31" t="n">
        <f aca="false">SUMIFS(Report!$U:$U,Report!$T:$T,"&lt;&gt;"&amp;"MERCADORIAS P/REVENDA",Report!$AA:$AA,"SIM",Report!$C:$C,A373)</f>
        <v>0</v>
      </c>
      <c r="C373" s="31" t="n">
        <f aca="false">SUMIFS(Report!$U:$U,Report!$T:$T,"MERCADORIAS P/REVENDA",Report!$AA:$AA,"SIM",Report!$C:$C,A373)</f>
        <v>0</v>
      </c>
      <c r="D373" s="32"/>
      <c r="E373" s="32"/>
      <c r="F373" s="31" t="n">
        <f aca="false">B373+C373</f>
        <v>0</v>
      </c>
    </row>
    <row r="374" customFormat="false" ht="12.75" hidden="false" customHeight="true" outlineLevel="0" collapsed="false">
      <c r="A374" s="30" t="n">
        <v>46348</v>
      </c>
      <c r="B374" s="31" t="n">
        <f aca="false">SUMIFS(Report!$U:$U,Report!$T:$T,"&lt;&gt;"&amp;"MERCADORIAS P/REVENDA",Report!$AA:$AA,"SIM",Report!$C:$C,A374)</f>
        <v>0</v>
      </c>
      <c r="C374" s="31" t="n">
        <f aca="false">SUMIFS(Report!$U:$U,Report!$T:$T,"MERCADORIAS P/REVENDA",Report!$AA:$AA,"SIM",Report!$C:$C,A374)</f>
        <v>0</v>
      </c>
      <c r="D374" s="32"/>
      <c r="E374" s="32"/>
      <c r="F374" s="31" t="n">
        <f aca="false">B374+C374</f>
        <v>0</v>
      </c>
    </row>
    <row r="375" customFormat="false" ht="12.75" hidden="false" customHeight="true" outlineLevel="0" collapsed="false">
      <c r="A375" s="30" t="n">
        <v>46349</v>
      </c>
      <c r="B375" s="31" t="n">
        <f aca="false">SUMIFS(Report!$U:$U,Report!$T:$T,"&lt;&gt;"&amp;"MERCADORIAS P/REVENDA",Report!$AA:$AA,"SIM",Report!$C:$C,A375)</f>
        <v>0</v>
      </c>
      <c r="C375" s="31" t="n">
        <f aca="false">SUMIFS(Report!$U:$U,Report!$T:$T,"MERCADORIAS P/REVENDA",Report!$AA:$AA,"SIM",Report!$C:$C,A375)</f>
        <v>0</v>
      </c>
      <c r="D375" s="32"/>
      <c r="E375" s="32"/>
      <c r="F375" s="31" t="n">
        <f aca="false">B375+C375</f>
        <v>0</v>
      </c>
    </row>
    <row r="376" customFormat="false" ht="12.75" hidden="false" customHeight="true" outlineLevel="0" collapsed="false">
      <c r="A376" s="33" t="s">
        <v>1742</v>
      </c>
      <c r="B376" s="34" t="n">
        <f aca="false">SUM(B369:B375)</f>
        <v>0</v>
      </c>
      <c r="C376" s="34" t="n">
        <f aca="false">SUM(C369:C375)</f>
        <v>0</v>
      </c>
      <c r="D376" s="35"/>
      <c r="E376" s="35"/>
      <c r="F376" s="34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0" t="n">
        <v>46354</v>
      </c>
      <c r="B381" s="31" t="n">
        <f aca="false">SUMIFS(Report!$U:$U,Report!$T:$T,"&lt;&gt;"&amp;"MERCADORIAS P/REVENDA",Report!$AA:$AA,"SIM",Report!$C:$C,A381)</f>
        <v>0</v>
      </c>
      <c r="C381" s="31" t="n">
        <f aca="false">SUMIFS(Report!$U:$U,Report!$T:$T,"MERCADORIAS P/REVENDA",Report!$AA:$AA,"SIM",Report!$C:$C,A381)</f>
        <v>0</v>
      </c>
      <c r="D381" s="32"/>
      <c r="E381" s="32"/>
      <c r="F381" s="31" t="n">
        <f aca="false">B381+C381</f>
        <v>0</v>
      </c>
    </row>
    <row r="382" customFormat="false" ht="12.75" hidden="false" customHeight="true" outlineLevel="0" collapsed="false">
      <c r="A382" s="30" t="n">
        <v>46355</v>
      </c>
      <c r="B382" s="31" t="n">
        <f aca="false">SUMIFS(Report!$U:$U,Report!$T:$T,"&lt;&gt;"&amp;"MERCADORIAS P/REVENDA",Report!$AA:$AA,"SIM",Report!$C:$C,A382)</f>
        <v>0</v>
      </c>
      <c r="C382" s="31" t="n">
        <f aca="false">SUMIFS(Report!$U:$U,Report!$T:$T,"MERCADORIAS P/REVENDA",Report!$AA:$AA,"SIM",Report!$C:$C,A382)</f>
        <v>0</v>
      </c>
      <c r="D382" s="32"/>
      <c r="E382" s="32"/>
      <c r="F382" s="31" t="n">
        <f aca="false">B382+C382</f>
        <v>0</v>
      </c>
    </row>
    <row r="383" customFormat="false" ht="12.75" hidden="false" customHeight="true" outlineLevel="0" collapsed="false">
      <c r="A383" s="30" t="n">
        <v>46356</v>
      </c>
      <c r="B383" s="31" t="n">
        <f aca="false">SUMIFS(Report!$U:$U,Report!$T:$T,"&lt;&gt;"&amp;"MERCADORIAS P/REVENDA",Report!$AA:$AA,"SIM",Report!$C:$C,A383)</f>
        <v>0</v>
      </c>
      <c r="C383" s="31" t="n">
        <f aca="false">SUMIFS(Report!$U:$U,Report!$T:$T,"MERCADORIAS P/REVENDA",Report!$AA:$AA,"SIM",Report!$C:$C,A383)</f>
        <v>0</v>
      </c>
      <c r="D383" s="32"/>
      <c r="E383" s="32"/>
      <c r="F383" s="31" t="n">
        <f aca="false">B383+C383</f>
        <v>0</v>
      </c>
    </row>
    <row r="384" customFormat="false" ht="12.75" hidden="false" customHeight="true" outlineLevel="0" collapsed="false">
      <c r="A384" s="33" t="s">
        <v>1743</v>
      </c>
      <c r="B384" s="34" t="n">
        <f aca="false">SUM(B377:B383)</f>
        <v>0</v>
      </c>
      <c r="C384" s="34" t="n">
        <f aca="false">SUM(C377:C383)</f>
        <v>0</v>
      </c>
      <c r="D384" s="35"/>
      <c r="E384" s="35"/>
      <c r="F384" s="34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0" t="n">
        <v>46361</v>
      </c>
      <c r="B389" s="31" t="n">
        <f aca="false">SUMIFS(Report!$U:$U,Report!$T:$T,"&lt;&gt;"&amp;"MERCADORIAS P/REVENDA",Report!$AA:$AA,"SIM",Report!$C:$C,A389)</f>
        <v>0</v>
      </c>
      <c r="C389" s="31" t="n">
        <f aca="false">SUMIFS(Report!$U:$U,Report!$T:$T,"MERCADORIAS P/REVENDA",Report!$AA:$AA,"SIM",Report!$C:$C,A389)</f>
        <v>0</v>
      </c>
      <c r="D389" s="32"/>
      <c r="E389" s="32"/>
      <c r="F389" s="31" t="n">
        <f aca="false">B389+C389</f>
        <v>0</v>
      </c>
    </row>
    <row r="390" customFormat="false" ht="12.75" hidden="false" customHeight="true" outlineLevel="0" collapsed="false">
      <c r="A390" s="30" t="n">
        <v>46362</v>
      </c>
      <c r="B390" s="31" t="n">
        <f aca="false">SUMIFS(Report!$U:$U,Report!$T:$T,"&lt;&gt;"&amp;"MERCADORIAS P/REVENDA",Report!$AA:$AA,"SIM",Report!$C:$C,A390)</f>
        <v>0</v>
      </c>
      <c r="C390" s="31" t="n">
        <f aca="false">SUMIFS(Report!$U:$U,Report!$T:$T,"MERCADORIAS P/REVENDA",Report!$AA:$AA,"SIM",Report!$C:$C,A390)</f>
        <v>0</v>
      </c>
      <c r="D390" s="32"/>
      <c r="E390" s="32"/>
      <c r="F390" s="31" t="n">
        <f aca="false">B390+C390</f>
        <v>0</v>
      </c>
    </row>
    <row r="391" customFormat="false" ht="12.75" hidden="false" customHeight="true" outlineLevel="0" collapsed="false">
      <c r="A391" s="30" t="n">
        <v>46363</v>
      </c>
      <c r="B391" s="31" t="n">
        <f aca="false">SUMIFS(Report!$U:$U,Report!$T:$T,"&lt;&gt;"&amp;"MERCADORIAS P/REVENDA",Report!$AA:$AA,"SIM",Report!$C:$C,A391)</f>
        <v>0</v>
      </c>
      <c r="C391" s="31" t="n">
        <f aca="false">SUMIFS(Report!$U:$U,Report!$T:$T,"MERCADORIAS P/REVENDA",Report!$AA:$AA,"SIM",Report!$C:$C,A391)</f>
        <v>0</v>
      </c>
      <c r="D391" s="32"/>
      <c r="E391" s="32"/>
      <c r="F391" s="31" t="n">
        <f aca="false">B391+C391</f>
        <v>0</v>
      </c>
    </row>
    <row r="392" customFormat="false" ht="12.75" hidden="false" customHeight="true" outlineLevel="0" collapsed="false">
      <c r="A392" s="33" t="s">
        <v>1744</v>
      </c>
      <c r="B392" s="34" t="n">
        <f aca="false">SUM(B385:B391)</f>
        <v>0</v>
      </c>
      <c r="C392" s="34" t="n">
        <f aca="false">SUM(C385:C391)</f>
        <v>0</v>
      </c>
      <c r="D392" s="35"/>
      <c r="E392" s="35"/>
      <c r="F392" s="34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0" t="n">
        <v>46368</v>
      </c>
      <c r="B397" s="31" t="n">
        <f aca="false">SUMIFS(Report!$U:$U,Report!$T:$T,"&lt;&gt;"&amp;"MERCADORIAS P/REVENDA",Report!$AA:$AA,"SIM",Report!$C:$C,A397)</f>
        <v>0</v>
      </c>
      <c r="C397" s="31" t="n">
        <f aca="false">SUMIFS(Report!$U:$U,Report!$T:$T,"MERCADORIAS P/REVENDA",Report!$AA:$AA,"SIM",Report!$C:$C,A397)</f>
        <v>0</v>
      </c>
      <c r="D397" s="32"/>
      <c r="E397" s="32"/>
      <c r="F397" s="31" t="n">
        <f aca="false">B397+C397</f>
        <v>0</v>
      </c>
    </row>
    <row r="398" customFormat="false" ht="12.75" hidden="false" customHeight="true" outlineLevel="0" collapsed="false">
      <c r="A398" s="30" t="n">
        <v>46369</v>
      </c>
      <c r="B398" s="31" t="n">
        <f aca="false">SUMIFS(Report!$U:$U,Report!$T:$T,"&lt;&gt;"&amp;"MERCADORIAS P/REVENDA",Report!$AA:$AA,"SIM",Report!$C:$C,A398)</f>
        <v>0</v>
      </c>
      <c r="C398" s="31" t="n">
        <f aca="false">SUMIFS(Report!$U:$U,Report!$T:$T,"MERCADORIAS P/REVENDA",Report!$AA:$AA,"SIM",Report!$C:$C,A398)</f>
        <v>0</v>
      </c>
      <c r="D398" s="32"/>
      <c r="E398" s="32"/>
      <c r="F398" s="31" t="n">
        <f aca="false">B398+C398</f>
        <v>0</v>
      </c>
    </row>
    <row r="399" customFormat="false" ht="12.75" hidden="false" customHeight="true" outlineLevel="0" collapsed="false">
      <c r="A399" s="30" t="n">
        <v>46370</v>
      </c>
      <c r="B399" s="31" t="n">
        <f aca="false">SUMIFS(Report!$U:$U,Report!$T:$T,"&lt;&gt;"&amp;"MERCADORIAS P/REVENDA",Report!$AA:$AA,"SIM",Report!$C:$C,A399)</f>
        <v>0</v>
      </c>
      <c r="C399" s="31" t="n">
        <f aca="false">SUMIFS(Report!$U:$U,Report!$T:$T,"MERCADORIAS P/REVENDA",Report!$AA:$AA,"SIM",Report!$C:$C,A399)</f>
        <v>0</v>
      </c>
      <c r="D399" s="32"/>
      <c r="E399" s="32"/>
      <c r="F399" s="31" t="n">
        <f aca="false">B399+C399</f>
        <v>0</v>
      </c>
    </row>
    <row r="400" customFormat="false" ht="12.75" hidden="false" customHeight="true" outlineLevel="0" collapsed="false">
      <c r="A400" s="33" t="s">
        <v>1745</v>
      </c>
      <c r="B400" s="34" t="n">
        <f aca="false">SUM(B393:B399)</f>
        <v>0</v>
      </c>
      <c r="C400" s="34" t="n">
        <f aca="false">SUM(C393:C399)</f>
        <v>0</v>
      </c>
      <c r="D400" s="35"/>
      <c r="E400" s="35"/>
      <c r="F400" s="34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0" t="n">
        <v>46375</v>
      </c>
      <c r="B405" s="31" t="n">
        <f aca="false">SUMIFS(Report!$U:$U,Report!$T:$T,"&lt;&gt;"&amp;"MERCADORIAS P/REVENDA",Report!$AA:$AA,"SIM",Report!$C:$C,A405)</f>
        <v>0</v>
      </c>
      <c r="C405" s="31" t="n">
        <f aca="false">SUMIFS(Report!$U:$U,Report!$T:$T,"MERCADORIAS P/REVENDA",Report!$AA:$AA,"SIM",Report!$C:$C,A405)</f>
        <v>0</v>
      </c>
      <c r="D405" s="32"/>
      <c r="E405" s="32"/>
      <c r="F405" s="31" t="n">
        <f aca="false">B405+C405</f>
        <v>0</v>
      </c>
    </row>
    <row r="406" customFormat="false" ht="12.75" hidden="false" customHeight="true" outlineLevel="0" collapsed="false">
      <c r="A406" s="30" t="n">
        <v>46376</v>
      </c>
      <c r="B406" s="31" t="n">
        <f aca="false">SUMIFS(Report!$U:$U,Report!$T:$T,"&lt;&gt;"&amp;"MERCADORIAS P/REVENDA",Report!$AA:$AA,"SIM",Report!$C:$C,A406)</f>
        <v>0</v>
      </c>
      <c r="C406" s="31" t="n">
        <f aca="false">SUMIFS(Report!$U:$U,Report!$T:$T,"MERCADORIAS P/REVENDA",Report!$AA:$AA,"SIM",Report!$C:$C,A406)</f>
        <v>0</v>
      </c>
      <c r="D406" s="32"/>
      <c r="E406" s="32"/>
      <c r="F406" s="31" t="n">
        <f aca="false">B406+C406</f>
        <v>0</v>
      </c>
    </row>
    <row r="407" customFormat="false" ht="12.75" hidden="false" customHeight="true" outlineLevel="0" collapsed="false">
      <c r="A407" s="30" t="n">
        <v>46377</v>
      </c>
      <c r="B407" s="31" t="n">
        <f aca="false">SUMIFS(Report!$U:$U,Report!$T:$T,"&lt;&gt;"&amp;"MERCADORIAS P/REVENDA",Report!$AA:$AA,"SIM",Report!$C:$C,A407)</f>
        <v>0</v>
      </c>
      <c r="C407" s="31" t="n">
        <f aca="false">SUMIFS(Report!$U:$U,Report!$T:$T,"MERCADORIAS P/REVENDA",Report!$AA:$AA,"SIM",Report!$C:$C,A407)</f>
        <v>0</v>
      </c>
      <c r="D407" s="32"/>
      <c r="E407" s="32"/>
      <c r="F407" s="31" t="n">
        <f aca="false">B407+C407</f>
        <v>0</v>
      </c>
    </row>
    <row r="408" customFormat="false" ht="12.75" hidden="false" customHeight="true" outlineLevel="0" collapsed="false">
      <c r="A408" s="33" t="s">
        <v>1746</v>
      </c>
      <c r="B408" s="34" t="n">
        <f aca="false">SUM(B401:B407)</f>
        <v>0</v>
      </c>
      <c r="C408" s="34" t="n">
        <f aca="false">SUM(C401:C407)</f>
        <v>0</v>
      </c>
      <c r="D408" s="35"/>
      <c r="E408" s="35"/>
      <c r="F408" s="34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0" t="n">
        <v>46382</v>
      </c>
      <c r="B413" s="31" t="n">
        <f aca="false">SUMIFS(Report!$U:$U,Report!$T:$T,"&lt;&gt;"&amp;"MERCADORIAS P/REVENDA",Report!$AA:$AA,"SIM",Report!$C:$C,A413)</f>
        <v>0</v>
      </c>
      <c r="C413" s="31" t="n">
        <f aca="false">SUMIFS(Report!$U:$U,Report!$T:$T,"MERCADORIAS P/REVENDA",Report!$AA:$AA,"SIM",Report!$C:$C,A413)</f>
        <v>0</v>
      </c>
      <c r="D413" s="32"/>
      <c r="E413" s="32"/>
      <c r="F413" s="31" t="n">
        <f aca="false">B413+C413</f>
        <v>0</v>
      </c>
    </row>
    <row r="414" customFormat="false" ht="12.75" hidden="false" customHeight="true" outlineLevel="0" collapsed="false">
      <c r="A414" s="30" t="n">
        <v>46383</v>
      </c>
      <c r="B414" s="31" t="n">
        <f aca="false">SUMIFS(Report!$U:$U,Report!$T:$T,"&lt;&gt;"&amp;"MERCADORIAS P/REVENDA",Report!$AA:$AA,"SIM",Report!$C:$C,A414)</f>
        <v>0</v>
      </c>
      <c r="C414" s="31" t="n">
        <f aca="false">SUMIFS(Report!$U:$U,Report!$T:$T,"MERCADORIAS P/REVENDA",Report!$AA:$AA,"SIM",Report!$C:$C,A414)</f>
        <v>0</v>
      </c>
      <c r="D414" s="32"/>
      <c r="E414" s="32"/>
      <c r="F414" s="31" t="n">
        <f aca="false">B414+C414</f>
        <v>0</v>
      </c>
    </row>
    <row r="415" customFormat="false" ht="12.75" hidden="false" customHeight="true" outlineLevel="0" collapsed="false">
      <c r="A415" s="30" t="n">
        <v>46384</v>
      </c>
      <c r="B415" s="31" t="n">
        <f aca="false">SUMIFS(Report!$U:$U,Report!$T:$T,"&lt;&gt;"&amp;"MERCADORIAS P/REVENDA",Report!$AA:$AA,"SIM",Report!$C:$C,A415)</f>
        <v>0</v>
      </c>
      <c r="C415" s="31" t="n">
        <f aca="false">SUMIFS(Report!$U:$U,Report!$T:$T,"MERCADORIAS P/REVENDA",Report!$AA:$AA,"SIM",Report!$C:$C,A415)</f>
        <v>0</v>
      </c>
      <c r="D415" s="32"/>
      <c r="E415" s="32"/>
      <c r="F415" s="31" t="n">
        <f aca="false">B415+C415</f>
        <v>0</v>
      </c>
    </row>
    <row r="416" customFormat="false" ht="12.75" hidden="false" customHeight="true" outlineLevel="0" collapsed="false">
      <c r="A416" s="33" t="s">
        <v>1747</v>
      </c>
      <c r="B416" s="34" t="n">
        <f aca="false">SUM(B409:B415)</f>
        <v>0</v>
      </c>
      <c r="C416" s="34" t="n">
        <f aca="false">SUM(C409:C415)</f>
        <v>0</v>
      </c>
      <c r="D416" s="35"/>
      <c r="E416" s="35"/>
      <c r="F416" s="34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0" t="n">
        <v>46389</v>
      </c>
      <c r="B421" s="31" t="n">
        <f aca="false">SUMIFS(Report!$U:$U,Report!$T:$T,"&lt;&gt;"&amp;"MERCADORIAS P/REVENDA",Report!$AA:$AA,"SIM",Report!$C:$C,A421)</f>
        <v>0</v>
      </c>
      <c r="C421" s="31" t="n">
        <f aca="false">SUMIFS(Report!$U:$U,Report!$T:$T,"MERCADORIAS P/REVENDA",Report!$AA:$AA,"SIM",Report!$C:$C,A421)</f>
        <v>0</v>
      </c>
      <c r="D421" s="32"/>
      <c r="E421" s="32"/>
      <c r="F421" s="31" t="n">
        <f aca="false">B421+C421</f>
        <v>0</v>
      </c>
    </row>
    <row r="422" customFormat="false" ht="12.75" hidden="false" customHeight="true" outlineLevel="0" collapsed="false">
      <c r="A422" s="30" t="n">
        <v>46390</v>
      </c>
      <c r="B422" s="31" t="n">
        <f aca="false">SUMIFS(Report!$U:$U,Report!$T:$T,"&lt;&gt;"&amp;"MERCADORIAS P/REVENDA",Report!$AA:$AA,"SIM",Report!$C:$C,A422)</f>
        <v>0</v>
      </c>
      <c r="C422" s="31" t="n">
        <f aca="false">SUMIFS(Report!$U:$U,Report!$T:$T,"MERCADORIAS P/REVENDA",Report!$AA:$AA,"SIM",Report!$C:$C,A422)</f>
        <v>0</v>
      </c>
      <c r="D422" s="32"/>
      <c r="E422" s="32"/>
      <c r="F422" s="31" t="n">
        <f aca="false">B422+C422</f>
        <v>0</v>
      </c>
    </row>
    <row r="423" customFormat="false" ht="12.75" hidden="false" customHeight="true" outlineLevel="0" collapsed="false">
      <c r="A423" s="30" t="n">
        <v>46391</v>
      </c>
      <c r="B423" s="31" t="n">
        <f aca="false">SUMIFS(Report!$U:$U,Report!$T:$T,"&lt;&gt;"&amp;"MERCADORIAS P/REVENDA",Report!$AA:$AA,"SIM",Report!$C:$C,A423)</f>
        <v>0</v>
      </c>
      <c r="C423" s="31" t="n">
        <f aca="false">SUMIFS(Report!$U:$U,Report!$T:$T,"MERCADORIAS P/REVENDA",Report!$AA:$AA,"SIM",Report!$C:$C,A423)</f>
        <v>0</v>
      </c>
      <c r="D423" s="32"/>
      <c r="E423" s="32"/>
      <c r="F423" s="31" t="n">
        <f aca="false">B423+C423</f>
        <v>0</v>
      </c>
    </row>
    <row r="424" customFormat="false" ht="12.75" hidden="false" customHeight="true" outlineLevel="0" collapsed="false">
      <c r="A424" s="33" t="s">
        <v>1748</v>
      </c>
      <c r="B424" s="34" t="n">
        <f aca="false">SUM(B417:B423)</f>
        <v>0</v>
      </c>
      <c r="C424" s="34" t="n">
        <f aca="false">SUM(C417:C423)</f>
        <v>0</v>
      </c>
      <c r="D424" s="35"/>
      <c r="E424" s="35"/>
      <c r="F424" s="3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0" t="n">
        <v>46396</v>
      </c>
      <c r="B429" s="31" t="n">
        <f aca="false">SUMIFS(Report!$U:$U,Report!$T:$T,"&lt;&gt;"&amp;"MERCADORIAS P/REVENDA",Report!$AA:$AA,"SIM",Report!$C:$C,A429)</f>
        <v>0</v>
      </c>
      <c r="C429" s="31" t="n">
        <f aca="false">SUMIFS(Report!$U:$U,Report!$T:$T,"MERCADORIAS P/REVENDA",Report!$AA:$AA,"SIM",Report!$C:$C,A429)</f>
        <v>0</v>
      </c>
      <c r="D429" s="32"/>
      <c r="E429" s="32"/>
      <c r="F429" s="31" t="n">
        <f aca="false">B429+C429</f>
        <v>0</v>
      </c>
    </row>
    <row r="430" customFormat="false" ht="12.75" hidden="false" customHeight="true" outlineLevel="0" collapsed="false">
      <c r="A430" s="30" t="n">
        <v>46397</v>
      </c>
      <c r="B430" s="31" t="n">
        <f aca="false">SUMIFS(Report!$U:$U,Report!$T:$T,"&lt;&gt;"&amp;"MERCADORIAS P/REVENDA",Report!$AA:$AA,"SIM",Report!$C:$C,A430)</f>
        <v>0</v>
      </c>
      <c r="C430" s="31" t="n">
        <f aca="false">SUMIFS(Report!$U:$U,Report!$T:$T,"MERCADORIAS P/REVENDA",Report!$AA:$AA,"SIM",Report!$C:$C,A430)</f>
        <v>0</v>
      </c>
      <c r="D430" s="32"/>
      <c r="E430" s="32"/>
      <c r="F430" s="31" t="n">
        <f aca="false">B430+C430</f>
        <v>0</v>
      </c>
    </row>
    <row r="431" customFormat="false" ht="12.75" hidden="false" customHeight="true" outlineLevel="0" collapsed="false">
      <c r="A431" s="30" t="n">
        <v>46398</v>
      </c>
      <c r="B431" s="31" t="n">
        <f aca="false">SUMIFS(Report!$U:$U,Report!$T:$T,"&lt;&gt;"&amp;"MERCADORIAS P/REVENDA",Report!$AA:$AA,"SIM",Report!$C:$C,A431)</f>
        <v>0</v>
      </c>
      <c r="C431" s="31" t="n">
        <f aca="false">SUMIFS(Report!$U:$U,Report!$T:$T,"MERCADORIAS P/REVENDA",Report!$AA:$AA,"SIM",Report!$C:$C,A431)</f>
        <v>0</v>
      </c>
      <c r="D431" s="32"/>
      <c r="E431" s="32"/>
      <c r="F431" s="31" t="n">
        <f aca="false">B431+C431</f>
        <v>0</v>
      </c>
    </row>
    <row r="432" customFormat="false" ht="12.75" hidden="false" customHeight="true" outlineLevel="0" collapsed="false">
      <c r="A432" s="33" t="s">
        <v>1749</v>
      </c>
      <c r="B432" s="34" t="n">
        <f aca="false">SUM(B425:B431)</f>
        <v>0</v>
      </c>
      <c r="C432" s="34" t="n">
        <f aca="false">SUM(C425:C431)</f>
        <v>0</v>
      </c>
      <c r="D432" s="35"/>
      <c r="E432" s="35"/>
      <c r="F432" s="3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0" t="n">
        <v>46403</v>
      </c>
      <c r="B437" s="31" t="n">
        <f aca="false">SUMIFS(Report!$U:$U,Report!$T:$T,"&lt;&gt;"&amp;"MERCADORIAS P/REVENDA",Report!$AA:$AA,"SIM",Report!$C:$C,A437)</f>
        <v>0</v>
      </c>
      <c r="C437" s="31" t="n">
        <f aca="false">SUMIFS(Report!$U:$U,Report!$T:$T,"MERCADORIAS P/REVENDA",Report!$AA:$AA,"SIM",Report!$C:$C,A437)</f>
        <v>0</v>
      </c>
      <c r="D437" s="32"/>
      <c r="E437" s="32"/>
      <c r="F437" s="31" t="n">
        <f aca="false">B437+C437</f>
        <v>0</v>
      </c>
    </row>
    <row r="438" customFormat="false" ht="12.75" hidden="false" customHeight="true" outlineLevel="0" collapsed="false">
      <c r="A438" s="30" t="n">
        <v>46404</v>
      </c>
      <c r="B438" s="31" t="n">
        <f aca="false">SUMIFS(Report!$U:$U,Report!$T:$T,"&lt;&gt;"&amp;"MERCADORIAS P/REVENDA",Report!$AA:$AA,"SIM",Report!$C:$C,A438)</f>
        <v>0</v>
      </c>
      <c r="C438" s="31" t="n">
        <f aca="false">SUMIFS(Report!$U:$U,Report!$T:$T,"MERCADORIAS P/REVENDA",Report!$AA:$AA,"SIM",Report!$C:$C,A438)</f>
        <v>0</v>
      </c>
      <c r="D438" s="32"/>
      <c r="E438" s="32"/>
      <c r="F438" s="31" t="n">
        <f aca="false">B438+C438</f>
        <v>0</v>
      </c>
    </row>
    <row r="439" customFormat="false" ht="12.75" hidden="false" customHeight="true" outlineLevel="0" collapsed="false">
      <c r="A439" s="30" t="n">
        <v>46405</v>
      </c>
      <c r="B439" s="31" t="n">
        <f aca="false">SUMIFS(Report!$U:$U,Report!$T:$T,"&lt;&gt;"&amp;"MERCADORIAS P/REVENDA",Report!$AA:$AA,"SIM",Report!$C:$C,A439)</f>
        <v>0</v>
      </c>
      <c r="C439" s="31" t="n">
        <f aca="false">SUMIFS(Report!$U:$U,Report!$T:$T,"MERCADORIAS P/REVENDA",Report!$AA:$AA,"SIM",Report!$C:$C,A439)</f>
        <v>0</v>
      </c>
      <c r="D439" s="32"/>
      <c r="E439" s="32"/>
      <c r="F439" s="31" t="n">
        <f aca="false">B439+C439</f>
        <v>0</v>
      </c>
    </row>
    <row r="440" customFormat="false" ht="12.75" hidden="false" customHeight="true" outlineLevel="0" collapsed="false">
      <c r="A440" s="33" t="s">
        <v>1750</v>
      </c>
      <c r="B440" s="34" t="n">
        <f aca="false">SUM(B433:B439)</f>
        <v>0</v>
      </c>
      <c r="C440" s="34" t="n">
        <f aca="false">SUM(C433:C439)</f>
        <v>0</v>
      </c>
      <c r="D440" s="35"/>
      <c r="E440" s="35"/>
      <c r="F440" s="3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0" t="n">
        <v>46410</v>
      </c>
      <c r="B445" s="31" t="n">
        <f aca="false">SUMIFS(Report!$U:$U,Report!$T:$T,"&lt;&gt;"&amp;"MERCADORIAS P/REVENDA",Report!$AA:$AA,"SIM",Report!$C:$C,A445)</f>
        <v>0</v>
      </c>
      <c r="C445" s="31" t="n">
        <f aca="false">SUMIFS(Report!$U:$U,Report!$T:$T,"MERCADORIAS P/REVENDA",Report!$AA:$AA,"SIM",Report!$C:$C,A445)</f>
        <v>0</v>
      </c>
      <c r="D445" s="32"/>
      <c r="E445" s="32"/>
      <c r="F445" s="31" t="n">
        <f aca="false">B445+C445</f>
        <v>0</v>
      </c>
    </row>
    <row r="446" customFormat="false" ht="12.75" hidden="false" customHeight="true" outlineLevel="0" collapsed="false">
      <c r="A446" s="30" t="n">
        <v>46411</v>
      </c>
      <c r="B446" s="31" t="n">
        <f aca="false">SUMIFS(Report!$U:$U,Report!$T:$T,"&lt;&gt;"&amp;"MERCADORIAS P/REVENDA",Report!$AA:$AA,"SIM",Report!$C:$C,A446)</f>
        <v>0</v>
      </c>
      <c r="C446" s="31" t="n">
        <f aca="false">SUMIFS(Report!$U:$U,Report!$T:$T,"MERCADORIAS P/REVENDA",Report!$AA:$AA,"SIM",Report!$C:$C,A446)</f>
        <v>0</v>
      </c>
      <c r="D446" s="32"/>
      <c r="E446" s="32"/>
      <c r="F446" s="31" t="n">
        <f aca="false">B446+C446</f>
        <v>0</v>
      </c>
    </row>
    <row r="447" customFormat="false" ht="12.75" hidden="false" customHeight="true" outlineLevel="0" collapsed="false">
      <c r="A447" s="30" t="n">
        <v>46412</v>
      </c>
      <c r="B447" s="31" t="n">
        <f aca="false">SUMIFS(Report!$U:$U,Report!$T:$T,"&lt;&gt;"&amp;"MERCADORIAS P/REVENDA",Report!$AA:$AA,"SIM",Report!$C:$C,A447)</f>
        <v>0</v>
      </c>
      <c r="C447" s="31" t="n">
        <f aca="false">SUMIFS(Report!$U:$U,Report!$T:$T,"MERCADORIAS P/REVENDA",Report!$AA:$AA,"SIM",Report!$C:$C,A447)</f>
        <v>0</v>
      </c>
      <c r="D447" s="32"/>
      <c r="E447" s="32"/>
      <c r="F447" s="31" t="n">
        <f aca="false">B447+C447</f>
        <v>0</v>
      </c>
    </row>
    <row r="448" customFormat="false" ht="12.75" hidden="false" customHeight="true" outlineLevel="0" collapsed="false">
      <c r="A448" s="33" t="s">
        <v>1751</v>
      </c>
      <c r="B448" s="34" t="n">
        <f aca="false">SUM(B441:B447)</f>
        <v>0</v>
      </c>
      <c r="C448" s="34" t="n">
        <f aca="false">SUM(C441:C447)</f>
        <v>0</v>
      </c>
      <c r="D448" s="35"/>
      <c r="E448" s="35"/>
      <c r="F448" s="3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0" t="n">
        <v>46417</v>
      </c>
      <c r="B453" s="31" t="n">
        <f aca="false">SUMIFS(Report!$U:$U,Report!$T:$T,"&lt;&gt;"&amp;"MERCADORIAS P/REVENDA",Report!$AA:$AA,"SIM",Report!$C:$C,A453)</f>
        <v>0</v>
      </c>
      <c r="C453" s="31" t="n">
        <f aca="false">SUMIFS(Report!$U:$U,Report!$T:$T,"MERCADORIAS P/REVENDA",Report!$AA:$AA,"SIM",Report!$C:$C,A453)</f>
        <v>0</v>
      </c>
      <c r="D453" s="32"/>
      <c r="E453" s="32"/>
      <c r="F453" s="31" t="n">
        <f aca="false">B453+C453</f>
        <v>0</v>
      </c>
    </row>
    <row r="454" customFormat="false" ht="12.75" hidden="false" customHeight="true" outlineLevel="0" collapsed="false">
      <c r="A454" s="30" t="n">
        <v>46418</v>
      </c>
      <c r="B454" s="31" t="n">
        <f aca="false">SUMIFS(Report!$U:$U,Report!$T:$T,"&lt;&gt;"&amp;"MERCADORIAS P/REVENDA",Report!$AA:$AA,"SIM",Report!$C:$C,A454)</f>
        <v>0</v>
      </c>
      <c r="C454" s="31" t="n">
        <f aca="false">SUMIFS(Report!$U:$U,Report!$T:$T,"MERCADORIAS P/REVENDA",Report!$AA:$AA,"SIM",Report!$C:$C,A454)</f>
        <v>0</v>
      </c>
      <c r="D454" s="32"/>
      <c r="E454" s="32"/>
      <c r="F454" s="31" t="n">
        <f aca="false">B454+C454</f>
        <v>0</v>
      </c>
    </row>
    <row r="455" customFormat="false" ht="12.75" hidden="false" customHeight="true" outlineLevel="0" collapsed="false">
      <c r="A455" s="30" t="n">
        <v>46419</v>
      </c>
      <c r="B455" s="31" t="n">
        <f aca="false">SUMIFS(Report!$U:$U,Report!$T:$T,"&lt;&gt;"&amp;"MERCADORIAS P/REVENDA",Report!$AA:$AA,"SIM",Report!$C:$C,A455)</f>
        <v>0</v>
      </c>
      <c r="C455" s="31" t="n">
        <f aca="false">SUMIFS(Report!$U:$U,Report!$T:$T,"MERCADORIAS P/REVENDA",Report!$AA:$AA,"SIM",Report!$C:$C,A455)</f>
        <v>0</v>
      </c>
      <c r="D455" s="32"/>
      <c r="E455" s="32"/>
      <c r="F455" s="31" t="n">
        <f aca="false">B455+C455</f>
        <v>0</v>
      </c>
    </row>
    <row r="456" customFormat="false" ht="12.75" hidden="false" customHeight="true" outlineLevel="0" collapsed="false">
      <c r="A456" s="33" t="s">
        <v>1752</v>
      </c>
      <c r="B456" s="34" t="n">
        <f aca="false">SUM(B449:B455)</f>
        <v>0</v>
      </c>
      <c r="C456" s="34" t="n">
        <f aca="false">SUM(C449:C455)</f>
        <v>0</v>
      </c>
      <c r="D456" s="35"/>
      <c r="E456" s="35"/>
      <c r="F456" s="3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0" t="n">
        <v>46424</v>
      </c>
      <c r="B461" s="31" t="n">
        <f aca="false">SUMIFS(Report!$U:$U,Report!$T:$T,"&lt;&gt;"&amp;"MERCADORIAS P/REVENDA",Report!$AA:$AA,"SIM",Report!$C:$C,A461)</f>
        <v>0</v>
      </c>
      <c r="C461" s="31" t="n">
        <f aca="false">SUMIFS(Report!$U:$U,Report!$T:$T,"MERCADORIAS P/REVENDA",Report!$AA:$AA,"SIM",Report!$C:$C,A461)</f>
        <v>0</v>
      </c>
      <c r="D461" s="32"/>
      <c r="E461" s="32"/>
      <c r="F461" s="31" t="n">
        <f aca="false">B461+C461</f>
        <v>0</v>
      </c>
    </row>
    <row r="462" customFormat="false" ht="12.75" hidden="false" customHeight="true" outlineLevel="0" collapsed="false">
      <c r="A462" s="30" t="n">
        <v>46425</v>
      </c>
      <c r="B462" s="31" t="n">
        <f aca="false">SUMIFS(Report!$U:$U,Report!$T:$T,"&lt;&gt;"&amp;"MERCADORIAS P/REVENDA",Report!$AA:$AA,"SIM",Report!$C:$C,A462)</f>
        <v>0</v>
      </c>
      <c r="C462" s="31" t="n">
        <f aca="false">SUMIFS(Report!$U:$U,Report!$T:$T,"MERCADORIAS P/REVENDA",Report!$AA:$AA,"SIM",Report!$C:$C,A462)</f>
        <v>0</v>
      </c>
      <c r="D462" s="32"/>
      <c r="E462" s="32"/>
      <c r="F462" s="31" t="n">
        <f aca="false">B462+C462</f>
        <v>0</v>
      </c>
    </row>
    <row r="463" customFormat="false" ht="12.75" hidden="false" customHeight="true" outlineLevel="0" collapsed="false">
      <c r="A463" s="30" t="n">
        <v>46426</v>
      </c>
      <c r="B463" s="31" t="n">
        <f aca="false">SUMIFS(Report!$U:$U,Report!$T:$T,"&lt;&gt;"&amp;"MERCADORIAS P/REVENDA",Report!$AA:$AA,"SIM",Report!$C:$C,A463)</f>
        <v>0</v>
      </c>
      <c r="C463" s="31" t="n">
        <f aca="false">SUMIFS(Report!$U:$U,Report!$T:$T,"MERCADORIAS P/REVENDA",Report!$AA:$AA,"SIM",Report!$C:$C,A463)</f>
        <v>0</v>
      </c>
      <c r="D463" s="32"/>
      <c r="E463" s="32"/>
      <c r="F463" s="31" t="n">
        <f aca="false">B463+C463</f>
        <v>0</v>
      </c>
    </row>
    <row r="464" customFormat="false" ht="12.75" hidden="false" customHeight="true" outlineLevel="0" collapsed="false">
      <c r="A464" s="33" t="s">
        <v>1753</v>
      </c>
      <c r="B464" s="34" t="n">
        <f aca="false">SUM(B457:B463)</f>
        <v>0</v>
      </c>
      <c r="C464" s="34" t="n">
        <f aca="false">SUM(C457:C463)</f>
        <v>0</v>
      </c>
      <c r="D464" s="35"/>
      <c r="E464" s="35"/>
      <c r="F464" s="3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0" t="n">
        <v>46431</v>
      </c>
      <c r="B469" s="31" t="n">
        <f aca="false">SUMIFS(Report!$U:$U,Report!$T:$T,"&lt;&gt;"&amp;"MERCADORIAS P/REVENDA",Report!$AA:$AA,"SIM",Report!$C:$C,A469)</f>
        <v>0</v>
      </c>
      <c r="C469" s="31" t="n">
        <f aca="false">SUMIFS(Report!$U:$U,Report!$T:$T,"MERCADORIAS P/REVENDA",Report!$AA:$AA,"SIM",Report!$C:$C,A469)</f>
        <v>0</v>
      </c>
      <c r="D469" s="32"/>
      <c r="E469" s="32"/>
      <c r="F469" s="31" t="n">
        <f aca="false">B469+C469</f>
        <v>0</v>
      </c>
    </row>
    <row r="470" customFormat="false" ht="12.75" hidden="false" customHeight="true" outlineLevel="0" collapsed="false">
      <c r="A470" s="30" t="n">
        <v>46432</v>
      </c>
      <c r="B470" s="31" t="n">
        <f aca="false">SUMIFS(Report!$U:$U,Report!$T:$T,"&lt;&gt;"&amp;"MERCADORIAS P/REVENDA",Report!$AA:$AA,"SIM",Report!$C:$C,A470)</f>
        <v>0</v>
      </c>
      <c r="C470" s="31" t="n">
        <f aca="false">SUMIFS(Report!$U:$U,Report!$T:$T,"MERCADORIAS P/REVENDA",Report!$AA:$AA,"SIM",Report!$C:$C,A470)</f>
        <v>0</v>
      </c>
      <c r="D470" s="32"/>
      <c r="E470" s="32"/>
      <c r="F470" s="31" t="n">
        <f aca="false">B470+C470</f>
        <v>0</v>
      </c>
    </row>
    <row r="471" customFormat="false" ht="12.75" hidden="false" customHeight="true" outlineLevel="0" collapsed="false">
      <c r="A471" s="30" t="n">
        <v>46433</v>
      </c>
      <c r="B471" s="31" t="n">
        <f aca="false">SUMIFS(Report!$U:$U,Report!$T:$T,"&lt;&gt;"&amp;"MERCADORIAS P/REVENDA",Report!$AA:$AA,"SIM",Report!$C:$C,A471)</f>
        <v>0</v>
      </c>
      <c r="C471" s="31" t="n">
        <f aca="false">SUMIFS(Report!$U:$U,Report!$T:$T,"MERCADORIAS P/REVENDA",Report!$AA:$AA,"SIM",Report!$C:$C,A471)</f>
        <v>0</v>
      </c>
      <c r="D471" s="32"/>
      <c r="E471" s="32"/>
      <c r="F471" s="31" t="n">
        <f aca="false">B471+C471</f>
        <v>0</v>
      </c>
    </row>
    <row r="472" customFormat="false" ht="12.75" hidden="false" customHeight="true" outlineLevel="0" collapsed="false">
      <c r="A472" s="33" t="s">
        <v>1754</v>
      </c>
      <c r="B472" s="34" t="n">
        <f aca="false">SUM(B465:B471)</f>
        <v>0</v>
      </c>
      <c r="C472" s="34" t="n">
        <f aca="false">SUM(C465:C471)</f>
        <v>0</v>
      </c>
      <c r="D472" s="35"/>
      <c r="E472" s="35"/>
      <c r="F472" s="3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0" t="n">
        <v>46438</v>
      </c>
      <c r="B477" s="31" t="n">
        <f aca="false">SUMIFS(Report!$U:$U,Report!$T:$T,"&lt;&gt;"&amp;"MERCADORIAS P/REVENDA",Report!$AA:$AA,"SIM",Report!$C:$C,A477)</f>
        <v>0</v>
      </c>
      <c r="C477" s="31" t="n">
        <f aca="false">SUMIFS(Report!$U:$U,Report!$T:$T,"MERCADORIAS P/REVENDA",Report!$AA:$AA,"SIM",Report!$C:$C,A477)</f>
        <v>0</v>
      </c>
      <c r="D477" s="32"/>
      <c r="E477" s="32"/>
      <c r="F477" s="31" t="n">
        <f aca="false">B477+C477</f>
        <v>0</v>
      </c>
    </row>
    <row r="478" customFormat="false" ht="12.75" hidden="false" customHeight="true" outlineLevel="0" collapsed="false">
      <c r="A478" s="30" t="n">
        <v>46439</v>
      </c>
      <c r="B478" s="31" t="n">
        <f aca="false">SUMIFS(Report!$U:$U,Report!$T:$T,"&lt;&gt;"&amp;"MERCADORIAS P/REVENDA",Report!$AA:$AA,"SIM",Report!$C:$C,A478)</f>
        <v>0</v>
      </c>
      <c r="C478" s="31" t="n">
        <f aca="false">SUMIFS(Report!$U:$U,Report!$T:$T,"MERCADORIAS P/REVENDA",Report!$AA:$AA,"SIM",Report!$C:$C,A478)</f>
        <v>0</v>
      </c>
      <c r="D478" s="32"/>
      <c r="E478" s="32"/>
      <c r="F478" s="31" t="n">
        <f aca="false">B478+C478</f>
        <v>0</v>
      </c>
    </row>
    <row r="479" customFormat="false" ht="12.75" hidden="false" customHeight="true" outlineLevel="0" collapsed="false">
      <c r="A479" s="30" t="n">
        <v>46440</v>
      </c>
      <c r="B479" s="31" t="n">
        <f aca="false">SUMIFS(Report!$U:$U,Report!$T:$T,"&lt;&gt;"&amp;"MERCADORIAS P/REVENDA",Report!$AA:$AA,"SIM",Report!$C:$C,A479)</f>
        <v>0</v>
      </c>
      <c r="C479" s="31" t="n">
        <f aca="false">SUMIFS(Report!$U:$U,Report!$T:$T,"MERCADORIAS P/REVENDA",Report!$AA:$AA,"SIM",Report!$C:$C,A479)</f>
        <v>0</v>
      </c>
      <c r="D479" s="32"/>
      <c r="E479" s="32"/>
      <c r="F479" s="31" t="n">
        <f aca="false">B479+C479</f>
        <v>0</v>
      </c>
    </row>
    <row r="480" customFormat="false" ht="12.75" hidden="false" customHeight="true" outlineLevel="0" collapsed="false">
      <c r="A480" s="33" t="s">
        <v>1755</v>
      </c>
      <c r="B480" s="34" t="n">
        <f aca="false">SUM(B473:B479)</f>
        <v>0</v>
      </c>
      <c r="C480" s="34" t="n">
        <f aca="false">SUM(C473:C479)</f>
        <v>0</v>
      </c>
      <c r="D480" s="35"/>
      <c r="E480" s="35"/>
      <c r="F480" s="3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0" t="n">
        <v>46445</v>
      </c>
      <c r="B485" s="31" t="n">
        <f aca="false">SUMIFS(Report!$U:$U,Report!$T:$T,"&lt;&gt;"&amp;"MERCADORIAS P/REVENDA",Report!$AA:$AA,"SIM",Report!$C:$C,A485)</f>
        <v>0</v>
      </c>
      <c r="C485" s="31" t="n">
        <f aca="false">SUMIFS(Report!$U:$U,Report!$T:$T,"MERCADORIAS P/REVENDA",Report!$AA:$AA,"SIM",Report!$C:$C,A485)</f>
        <v>0</v>
      </c>
      <c r="D485" s="32"/>
      <c r="E485" s="32"/>
      <c r="F485" s="31" t="n">
        <f aca="false">B485+C485</f>
        <v>0</v>
      </c>
    </row>
    <row r="486" customFormat="false" ht="12.75" hidden="false" customHeight="true" outlineLevel="0" collapsed="false">
      <c r="A486" s="30" t="n">
        <v>46446</v>
      </c>
      <c r="B486" s="31" t="n">
        <f aca="false">SUMIFS(Report!$U:$U,Report!$T:$T,"&lt;&gt;"&amp;"MERCADORIAS P/REVENDA",Report!$AA:$AA,"SIM",Report!$C:$C,A486)</f>
        <v>0</v>
      </c>
      <c r="C486" s="31" t="n">
        <f aca="false">SUMIFS(Report!$U:$U,Report!$T:$T,"MERCADORIAS P/REVENDA",Report!$AA:$AA,"SIM",Report!$C:$C,A486)</f>
        <v>0</v>
      </c>
      <c r="D486" s="32"/>
      <c r="E486" s="32"/>
      <c r="F486" s="31" t="n">
        <f aca="false">B486+C486</f>
        <v>0</v>
      </c>
    </row>
    <row r="487" customFormat="false" ht="12.75" hidden="false" customHeight="true" outlineLevel="0" collapsed="false">
      <c r="A487" s="30" t="n">
        <v>46447</v>
      </c>
      <c r="B487" s="31" t="n">
        <f aca="false">SUMIFS(Report!$U:$U,Report!$T:$T,"&lt;&gt;"&amp;"MERCADORIAS P/REVENDA",Report!$AA:$AA,"SIM",Report!$C:$C,A487)</f>
        <v>0</v>
      </c>
      <c r="C487" s="31" t="n">
        <f aca="false">SUMIFS(Report!$U:$U,Report!$T:$T,"MERCADORIAS P/REVENDA",Report!$AA:$AA,"SIM",Report!$C:$C,A487)</f>
        <v>0</v>
      </c>
      <c r="D487" s="32"/>
      <c r="E487" s="32"/>
      <c r="F487" s="31" t="n">
        <f aca="false">B487+C487</f>
        <v>0</v>
      </c>
    </row>
    <row r="488" customFormat="false" ht="12.75" hidden="false" customHeight="true" outlineLevel="0" collapsed="false">
      <c r="A488" s="33" t="s">
        <v>1756</v>
      </c>
      <c r="B488" s="34" t="n">
        <f aca="false">SUM(B481:B487)</f>
        <v>0</v>
      </c>
      <c r="C488" s="34" t="n">
        <f aca="false">SUM(C481:C487)</f>
        <v>0</v>
      </c>
      <c r="D488" s="35"/>
      <c r="E488" s="35"/>
      <c r="F488" s="3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0" t="n">
        <v>46452</v>
      </c>
      <c r="B493" s="31" t="n">
        <f aca="false">SUMIFS(Report!$U:$U,Report!$T:$T,"&lt;&gt;"&amp;"MERCADORIAS P/REVENDA",Report!$AA:$AA,"SIM",Report!$C:$C,A493)</f>
        <v>0</v>
      </c>
      <c r="C493" s="31" t="n">
        <f aca="false">SUMIFS(Report!$U:$U,Report!$T:$T,"MERCADORIAS P/REVENDA",Report!$AA:$AA,"SIM",Report!$C:$C,A493)</f>
        <v>0</v>
      </c>
      <c r="D493" s="32"/>
      <c r="E493" s="32"/>
      <c r="F493" s="31" t="n">
        <f aca="false">B493+C493</f>
        <v>0</v>
      </c>
    </row>
    <row r="494" customFormat="false" ht="12.75" hidden="false" customHeight="true" outlineLevel="0" collapsed="false">
      <c r="A494" s="30" t="n">
        <v>46453</v>
      </c>
      <c r="B494" s="31" t="n">
        <f aca="false">SUMIFS(Report!$U:$U,Report!$T:$T,"&lt;&gt;"&amp;"MERCADORIAS P/REVENDA",Report!$AA:$AA,"SIM",Report!$C:$C,A494)</f>
        <v>0</v>
      </c>
      <c r="C494" s="31" t="n">
        <f aca="false">SUMIFS(Report!$U:$U,Report!$T:$T,"MERCADORIAS P/REVENDA",Report!$AA:$AA,"SIM",Report!$C:$C,A494)</f>
        <v>0</v>
      </c>
      <c r="D494" s="32"/>
      <c r="E494" s="32"/>
      <c r="F494" s="31" t="n">
        <f aca="false">B494+C494</f>
        <v>0</v>
      </c>
    </row>
    <row r="495" customFormat="false" ht="12.75" hidden="false" customHeight="true" outlineLevel="0" collapsed="false">
      <c r="A495" s="30" t="n">
        <v>46454</v>
      </c>
      <c r="B495" s="31" t="n">
        <f aca="false">SUMIFS(Report!$U:$U,Report!$T:$T,"&lt;&gt;"&amp;"MERCADORIAS P/REVENDA",Report!$AA:$AA,"SIM",Report!$C:$C,A495)</f>
        <v>0</v>
      </c>
      <c r="C495" s="31" t="n">
        <f aca="false">SUMIFS(Report!$U:$U,Report!$T:$T,"MERCADORIAS P/REVENDA",Report!$AA:$AA,"SIM",Report!$C:$C,A495)</f>
        <v>0</v>
      </c>
      <c r="D495" s="32"/>
      <c r="E495" s="32"/>
      <c r="F495" s="31" t="n">
        <f aca="false">B495+C495</f>
        <v>0</v>
      </c>
    </row>
    <row r="496" customFormat="false" ht="12.75" hidden="false" customHeight="true" outlineLevel="0" collapsed="false">
      <c r="A496" s="33" t="s">
        <v>1757</v>
      </c>
      <c r="B496" s="34" t="n">
        <f aca="false">SUM(B489:B495)</f>
        <v>0</v>
      </c>
      <c r="C496" s="34" t="n">
        <f aca="false">SUM(C489:C495)</f>
        <v>0</v>
      </c>
      <c r="D496" s="35"/>
      <c r="E496" s="35"/>
      <c r="F496" s="3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0" t="n">
        <v>46459</v>
      </c>
      <c r="B501" s="31" t="n">
        <f aca="false">SUMIFS(Report!$U:$U,Report!$T:$T,"&lt;&gt;"&amp;"MERCADORIAS P/REVENDA",Report!$AA:$AA,"SIM",Report!$C:$C,A501)</f>
        <v>0</v>
      </c>
      <c r="C501" s="31" t="n">
        <f aca="false">SUMIFS(Report!$U:$U,Report!$T:$T,"MERCADORIAS P/REVENDA",Report!$AA:$AA,"SIM",Report!$C:$C,A501)</f>
        <v>0</v>
      </c>
      <c r="D501" s="32"/>
      <c r="E501" s="32"/>
      <c r="F501" s="31" t="n">
        <f aca="false">B501+C501</f>
        <v>0</v>
      </c>
    </row>
    <row r="502" customFormat="false" ht="12.75" hidden="false" customHeight="true" outlineLevel="0" collapsed="false">
      <c r="A502" s="30" t="n">
        <v>46460</v>
      </c>
      <c r="B502" s="31" t="n">
        <f aca="false">SUMIFS(Report!$U:$U,Report!$T:$T,"&lt;&gt;"&amp;"MERCADORIAS P/REVENDA",Report!$AA:$AA,"SIM",Report!$C:$C,A502)</f>
        <v>0</v>
      </c>
      <c r="C502" s="31" t="n">
        <f aca="false">SUMIFS(Report!$U:$U,Report!$T:$T,"MERCADORIAS P/REVENDA",Report!$AA:$AA,"SIM",Report!$C:$C,A502)</f>
        <v>0</v>
      </c>
      <c r="D502" s="32"/>
      <c r="E502" s="32"/>
      <c r="F502" s="31" t="n">
        <f aca="false">B502+C502</f>
        <v>0</v>
      </c>
    </row>
    <row r="503" customFormat="false" ht="12.75" hidden="false" customHeight="true" outlineLevel="0" collapsed="false">
      <c r="A503" s="30" t="n">
        <v>46461</v>
      </c>
      <c r="B503" s="31" t="n">
        <f aca="false">SUMIFS(Report!$U:$U,Report!$T:$T,"&lt;&gt;"&amp;"MERCADORIAS P/REVENDA",Report!$AA:$AA,"SIM",Report!$C:$C,A503)</f>
        <v>0</v>
      </c>
      <c r="C503" s="31" t="n">
        <f aca="false">SUMIFS(Report!$U:$U,Report!$T:$T,"MERCADORIAS P/REVENDA",Report!$AA:$AA,"SIM",Report!$C:$C,A503)</f>
        <v>0</v>
      </c>
      <c r="D503" s="32"/>
      <c r="E503" s="32"/>
      <c r="F503" s="31" t="n">
        <f aca="false">B503+C503</f>
        <v>0</v>
      </c>
    </row>
    <row r="504" customFormat="false" ht="12.75" hidden="false" customHeight="true" outlineLevel="0" collapsed="false">
      <c r="A504" s="33" t="s">
        <v>1758</v>
      </c>
      <c r="B504" s="34" t="n">
        <f aca="false">SUM(B497:B503)</f>
        <v>0</v>
      </c>
      <c r="C504" s="34" t="n">
        <f aca="false">SUM(C497:C503)</f>
        <v>0</v>
      </c>
      <c r="D504" s="35"/>
      <c r="E504" s="35"/>
      <c r="F504" s="3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0" t="n">
        <v>46466</v>
      </c>
      <c r="B509" s="31" t="n">
        <f aca="false">SUMIFS(Report!$U:$U,Report!$T:$T,"&lt;&gt;"&amp;"MERCADORIAS P/REVENDA",Report!$AA:$AA,"SIM",Report!$C:$C,A509)</f>
        <v>0</v>
      </c>
      <c r="C509" s="31" t="n">
        <f aca="false">SUMIFS(Report!$U:$U,Report!$T:$T,"MERCADORIAS P/REVENDA",Report!$AA:$AA,"SIM",Report!$C:$C,A509)</f>
        <v>0</v>
      </c>
      <c r="D509" s="32"/>
      <c r="E509" s="32"/>
      <c r="F509" s="31" t="n">
        <f aca="false">B509+C509</f>
        <v>0</v>
      </c>
    </row>
    <row r="510" customFormat="false" ht="12.75" hidden="false" customHeight="true" outlineLevel="0" collapsed="false">
      <c r="A510" s="30" t="n">
        <v>46467</v>
      </c>
      <c r="B510" s="31" t="n">
        <f aca="false">SUMIFS(Report!$U:$U,Report!$T:$T,"&lt;&gt;"&amp;"MERCADORIAS P/REVENDA",Report!$AA:$AA,"SIM",Report!$C:$C,A510)</f>
        <v>0</v>
      </c>
      <c r="C510" s="31" t="n">
        <f aca="false">SUMIFS(Report!$U:$U,Report!$T:$T,"MERCADORIAS P/REVENDA",Report!$AA:$AA,"SIM",Report!$C:$C,A510)</f>
        <v>0</v>
      </c>
      <c r="D510" s="32"/>
      <c r="E510" s="32"/>
      <c r="F510" s="31" t="n">
        <f aca="false">B510+C510</f>
        <v>0</v>
      </c>
    </row>
    <row r="511" customFormat="false" ht="12.75" hidden="false" customHeight="true" outlineLevel="0" collapsed="false">
      <c r="A511" s="30" t="n">
        <v>46468</v>
      </c>
      <c r="B511" s="31" t="n">
        <f aca="false">SUMIFS(Report!$U:$U,Report!$T:$T,"&lt;&gt;"&amp;"MERCADORIAS P/REVENDA",Report!$AA:$AA,"SIM",Report!$C:$C,A511)</f>
        <v>0</v>
      </c>
      <c r="C511" s="31" t="n">
        <f aca="false">SUMIFS(Report!$U:$U,Report!$T:$T,"MERCADORIAS P/REVENDA",Report!$AA:$AA,"SIM",Report!$C:$C,A511)</f>
        <v>0</v>
      </c>
      <c r="D511" s="32"/>
      <c r="E511" s="32"/>
      <c r="F511" s="31" t="n">
        <f aca="false">B511+C511</f>
        <v>0</v>
      </c>
    </row>
    <row r="512" customFormat="false" ht="12.75" hidden="false" customHeight="true" outlineLevel="0" collapsed="false">
      <c r="A512" s="33" t="s">
        <v>1759</v>
      </c>
      <c r="B512" s="34" t="n">
        <f aca="false">SUM(B505:B511)</f>
        <v>0</v>
      </c>
      <c r="C512" s="34" t="n">
        <f aca="false">SUM(C505:C511)</f>
        <v>0</v>
      </c>
      <c r="D512" s="35"/>
      <c r="E512" s="35"/>
      <c r="F512" s="3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0" t="n">
        <v>46473</v>
      </c>
      <c r="B517" s="31" t="n">
        <f aca="false">SUMIFS(Report!$U:$U,Report!$T:$T,"&lt;&gt;"&amp;"MERCADORIAS P/REVENDA",Report!$AA:$AA,"SIM",Report!$C:$C,A517)</f>
        <v>0</v>
      </c>
      <c r="C517" s="31" t="n">
        <f aca="false">SUMIFS(Report!$U:$U,Report!$T:$T,"MERCADORIAS P/REVENDA",Report!$AA:$AA,"SIM",Report!$C:$C,A517)</f>
        <v>0</v>
      </c>
      <c r="D517" s="32"/>
      <c r="E517" s="32"/>
      <c r="F517" s="31" t="n">
        <f aca="false">B517+C517</f>
        <v>0</v>
      </c>
    </row>
    <row r="518" customFormat="false" ht="12.75" hidden="false" customHeight="true" outlineLevel="0" collapsed="false">
      <c r="A518" s="30" t="n">
        <v>46474</v>
      </c>
      <c r="B518" s="31" t="n">
        <f aca="false">SUMIFS(Report!$U:$U,Report!$T:$T,"&lt;&gt;"&amp;"MERCADORIAS P/REVENDA",Report!$AA:$AA,"SIM",Report!$C:$C,A518)</f>
        <v>0</v>
      </c>
      <c r="C518" s="31" t="n">
        <f aca="false">SUMIFS(Report!$U:$U,Report!$T:$T,"MERCADORIAS P/REVENDA",Report!$AA:$AA,"SIM",Report!$C:$C,A518)</f>
        <v>0</v>
      </c>
      <c r="D518" s="32"/>
      <c r="E518" s="32"/>
      <c r="F518" s="31" t="n">
        <f aca="false">B518+C518</f>
        <v>0</v>
      </c>
    </row>
    <row r="519" customFormat="false" ht="12.75" hidden="false" customHeight="true" outlineLevel="0" collapsed="false">
      <c r="A519" s="30" t="n">
        <v>46475</v>
      </c>
      <c r="B519" s="31" t="n">
        <f aca="false">SUMIFS(Report!$U:$U,Report!$T:$T,"&lt;&gt;"&amp;"MERCADORIAS P/REVENDA",Report!$AA:$AA,"SIM",Report!$C:$C,A519)</f>
        <v>0</v>
      </c>
      <c r="C519" s="31" t="n">
        <f aca="false">SUMIFS(Report!$U:$U,Report!$T:$T,"MERCADORIAS P/REVENDA",Report!$AA:$AA,"SIM",Report!$C:$C,A519)</f>
        <v>0</v>
      </c>
      <c r="D519" s="32"/>
      <c r="E519" s="32"/>
      <c r="F519" s="31" t="n">
        <f aca="false">B519+C519</f>
        <v>0</v>
      </c>
    </row>
    <row r="520" customFormat="false" ht="12.75" hidden="false" customHeight="true" outlineLevel="0" collapsed="false">
      <c r="A520" s="33" t="s">
        <v>1760</v>
      </c>
      <c r="B520" s="34" t="n">
        <f aca="false">SUM(B513:B519)</f>
        <v>0</v>
      </c>
      <c r="C520" s="34" t="n">
        <f aca="false">SUM(C513:C519)</f>
        <v>0</v>
      </c>
      <c r="D520" s="35"/>
      <c r="E520" s="35"/>
      <c r="F520" s="3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0" t="n">
        <v>46480</v>
      </c>
      <c r="B525" s="31" t="n">
        <f aca="false">SUMIFS(Report!$U:$U,Report!$T:$T,"&lt;&gt;"&amp;"MERCADORIAS P/REVENDA",Report!$AA:$AA,"SIM",Report!$C:$C,A525)</f>
        <v>0</v>
      </c>
      <c r="C525" s="31" t="n">
        <f aca="false">SUMIFS(Report!$U:$U,Report!$T:$T,"MERCADORIAS P/REVENDA",Report!$AA:$AA,"SIM",Report!$C:$C,A525)</f>
        <v>0</v>
      </c>
      <c r="D525" s="32"/>
      <c r="E525" s="32"/>
      <c r="F525" s="31" t="n">
        <f aca="false">B525+C525</f>
        <v>0</v>
      </c>
    </row>
    <row r="526" customFormat="false" ht="12.75" hidden="false" customHeight="true" outlineLevel="0" collapsed="false">
      <c r="A526" s="30" t="n">
        <v>46481</v>
      </c>
      <c r="B526" s="31" t="n">
        <f aca="false">SUMIFS(Report!$U:$U,Report!$T:$T,"&lt;&gt;"&amp;"MERCADORIAS P/REVENDA",Report!$AA:$AA,"SIM",Report!$C:$C,A526)</f>
        <v>0</v>
      </c>
      <c r="C526" s="31" t="n">
        <f aca="false">SUMIFS(Report!$U:$U,Report!$T:$T,"MERCADORIAS P/REVENDA",Report!$AA:$AA,"SIM",Report!$C:$C,A526)</f>
        <v>0</v>
      </c>
      <c r="D526" s="32"/>
      <c r="E526" s="32"/>
      <c r="F526" s="31" t="n">
        <f aca="false">B526+C526</f>
        <v>0</v>
      </c>
    </row>
    <row r="527" customFormat="false" ht="12.75" hidden="false" customHeight="true" outlineLevel="0" collapsed="false">
      <c r="A527" s="30" t="n">
        <v>46482</v>
      </c>
      <c r="B527" s="31" t="n">
        <f aca="false">SUMIFS(Report!$U:$U,Report!$T:$T,"&lt;&gt;"&amp;"MERCADORIAS P/REVENDA",Report!$AA:$AA,"SIM",Report!$C:$C,A527)</f>
        <v>0</v>
      </c>
      <c r="C527" s="31" t="n">
        <f aca="false">SUMIFS(Report!$U:$U,Report!$T:$T,"MERCADORIAS P/REVENDA",Report!$AA:$AA,"SIM",Report!$C:$C,A527)</f>
        <v>0</v>
      </c>
      <c r="D527" s="32"/>
      <c r="E527" s="32"/>
      <c r="F527" s="31" t="n">
        <f aca="false">B527+C527</f>
        <v>0</v>
      </c>
    </row>
    <row r="528" customFormat="false" ht="12.75" hidden="false" customHeight="true" outlineLevel="0" collapsed="false">
      <c r="A528" s="33" t="s">
        <v>1761</v>
      </c>
      <c r="B528" s="34" t="n">
        <f aca="false">SUM(B521:B527)</f>
        <v>0</v>
      </c>
      <c r="C528" s="34" t="n">
        <f aca="false">SUM(C521:C527)</f>
        <v>0</v>
      </c>
      <c r="D528" s="35"/>
      <c r="E528" s="35"/>
      <c r="F528" s="3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0" t="n">
        <v>46487</v>
      </c>
      <c r="B533" s="31" t="n">
        <f aca="false">SUMIFS(Report!$U:$U,Report!$T:$T,"&lt;&gt;"&amp;"MERCADORIAS P/REVENDA",Report!$AA:$AA,"SIM",Report!$C:$C,A533)</f>
        <v>0</v>
      </c>
      <c r="C533" s="31" t="n">
        <f aca="false">SUMIFS(Report!$U:$U,Report!$T:$T,"MERCADORIAS P/REVENDA",Report!$AA:$AA,"SIM",Report!$C:$C,A533)</f>
        <v>0</v>
      </c>
      <c r="D533" s="32"/>
      <c r="E533" s="32"/>
      <c r="F533" s="31" t="n">
        <f aca="false">B533+C533</f>
        <v>0</v>
      </c>
    </row>
    <row r="534" customFormat="false" ht="12.75" hidden="false" customHeight="true" outlineLevel="0" collapsed="false">
      <c r="A534" s="30" t="n">
        <v>46488</v>
      </c>
      <c r="B534" s="31" t="n">
        <f aca="false">SUMIFS(Report!$U:$U,Report!$T:$T,"&lt;&gt;"&amp;"MERCADORIAS P/REVENDA",Report!$AA:$AA,"SIM",Report!$C:$C,A534)</f>
        <v>0</v>
      </c>
      <c r="C534" s="31" t="n">
        <f aca="false">SUMIFS(Report!$U:$U,Report!$T:$T,"MERCADORIAS P/REVENDA",Report!$AA:$AA,"SIM",Report!$C:$C,A534)</f>
        <v>0</v>
      </c>
      <c r="D534" s="32"/>
      <c r="E534" s="32"/>
      <c r="F534" s="31" t="n">
        <f aca="false">B534+C534</f>
        <v>0</v>
      </c>
    </row>
    <row r="535" customFormat="false" ht="12.75" hidden="false" customHeight="true" outlineLevel="0" collapsed="false">
      <c r="A535" s="30" t="n">
        <v>46489</v>
      </c>
      <c r="B535" s="31" t="n">
        <f aca="false">SUMIFS(Report!$U:$U,Report!$T:$T,"&lt;&gt;"&amp;"MERCADORIAS P/REVENDA",Report!$AA:$AA,"SIM",Report!$C:$C,A535)</f>
        <v>0</v>
      </c>
      <c r="C535" s="31" t="n">
        <f aca="false">SUMIFS(Report!$U:$U,Report!$T:$T,"MERCADORIAS P/REVENDA",Report!$AA:$AA,"SIM",Report!$C:$C,A535)</f>
        <v>0</v>
      </c>
      <c r="D535" s="32"/>
      <c r="E535" s="32"/>
      <c r="F535" s="31" t="n">
        <f aca="false">B535+C535</f>
        <v>0</v>
      </c>
    </row>
    <row r="536" customFormat="false" ht="12.75" hidden="false" customHeight="true" outlineLevel="0" collapsed="false">
      <c r="A536" s="33" t="s">
        <v>1762</v>
      </c>
      <c r="B536" s="34" t="n">
        <f aca="false">SUM(B529:B535)</f>
        <v>0</v>
      </c>
      <c r="C536" s="34" t="n">
        <f aca="false">SUM(C529:C535)</f>
        <v>0</v>
      </c>
      <c r="D536" s="35"/>
      <c r="E536" s="35"/>
      <c r="F536" s="3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0" t="n">
        <v>46494</v>
      </c>
      <c r="B541" s="31" t="n">
        <f aca="false">SUMIFS(Report!$U:$U,Report!$T:$T,"&lt;&gt;"&amp;"MERCADORIAS P/REVENDA",Report!$AA:$AA,"SIM",Report!$C:$C,A541)</f>
        <v>0</v>
      </c>
      <c r="C541" s="31" t="n">
        <f aca="false">SUMIFS(Report!$U:$U,Report!$T:$T,"MERCADORIAS P/REVENDA",Report!$AA:$AA,"SIM",Report!$C:$C,A541)</f>
        <v>0</v>
      </c>
      <c r="D541" s="32"/>
      <c r="E541" s="32"/>
      <c r="F541" s="31" t="n">
        <f aca="false">B541+C541</f>
        <v>0</v>
      </c>
    </row>
    <row r="542" customFormat="false" ht="12.75" hidden="false" customHeight="true" outlineLevel="0" collapsed="false">
      <c r="A542" s="30" t="n">
        <v>46495</v>
      </c>
      <c r="B542" s="31" t="n">
        <f aca="false">SUMIFS(Report!$U:$U,Report!$T:$T,"&lt;&gt;"&amp;"MERCADORIAS P/REVENDA",Report!$AA:$AA,"SIM",Report!$C:$C,A542)</f>
        <v>0</v>
      </c>
      <c r="C542" s="31" t="n">
        <f aca="false">SUMIFS(Report!$U:$U,Report!$T:$T,"MERCADORIAS P/REVENDA",Report!$AA:$AA,"SIM",Report!$C:$C,A542)</f>
        <v>0</v>
      </c>
      <c r="D542" s="32"/>
      <c r="E542" s="32"/>
      <c r="F542" s="31" t="n">
        <f aca="false">B542+C542</f>
        <v>0</v>
      </c>
    </row>
    <row r="543" customFormat="false" ht="12.75" hidden="false" customHeight="true" outlineLevel="0" collapsed="false">
      <c r="A543" s="30" t="n">
        <v>46496</v>
      </c>
      <c r="B543" s="31" t="n">
        <f aca="false">SUMIFS(Report!$U:$U,Report!$T:$T,"&lt;&gt;"&amp;"MERCADORIAS P/REVENDA",Report!$AA:$AA,"SIM",Report!$C:$C,A543)</f>
        <v>0</v>
      </c>
      <c r="C543" s="31" t="n">
        <f aca="false">SUMIFS(Report!$U:$U,Report!$T:$T,"MERCADORIAS P/REVENDA",Report!$AA:$AA,"SIM",Report!$C:$C,A543)</f>
        <v>0</v>
      </c>
      <c r="D543" s="32"/>
      <c r="E543" s="32"/>
      <c r="F543" s="31" t="n">
        <f aca="false">B543+C543</f>
        <v>0</v>
      </c>
    </row>
    <row r="544" customFormat="false" ht="12.75" hidden="false" customHeight="true" outlineLevel="0" collapsed="false">
      <c r="A544" s="33" t="s">
        <v>1763</v>
      </c>
      <c r="B544" s="34" t="n">
        <f aca="false">SUM(B537:B543)</f>
        <v>0</v>
      </c>
      <c r="C544" s="34" t="n">
        <f aca="false">SUM(C537:C543)</f>
        <v>0</v>
      </c>
      <c r="D544" s="35"/>
      <c r="E544" s="35"/>
      <c r="F544" s="3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0" t="n">
        <v>46501</v>
      </c>
      <c r="B549" s="31" t="n">
        <f aca="false">SUMIFS(Report!$U:$U,Report!$T:$T,"&lt;&gt;"&amp;"MERCADORIAS P/REVENDA",Report!$AA:$AA,"SIM",Report!$C:$C,A549)</f>
        <v>0</v>
      </c>
      <c r="C549" s="31" t="n">
        <f aca="false">SUMIFS(Report!$U:$U,Report!$T:$T,"MERCADORIAS P/REVENDA",Report!$AA:$AA,"SIM",Report!$C:$C,A549)</f>
        <v>0</v>
      </c>
      <c r="D549" s="32"/>
      <c r="E549" s="32"/>
      <c r="F549" s="31" t="n">
        <f aca="false">B549+C549</f>
        <v>0</v>
      </c>
    </row>
    <row r="550" customFormat="false" ht="12.75" hidden="false" customHeight="true" outlineLevel="0" collapsed="false">
      <c r="A550" s="30" t="n">
        <v>46502</v>
      </c>
      <c r="B550" s="31" t="n">
        <f aca="false">SUMIFS(Report!$U:$U,Report!$T:$T,"&lt;&gt;"&amp;"MERCADORIAS P/REVENDA",Report!$AA:$AA,"SIM",Report!$C:$C,A550)</f>
        <v>0</v>
      </c>
      <c r="C550" s="31" t="n">
        <f aca="false">SUMIFS(Report!$U:$U,Report!$T:$T,"MERCADORIAS P/REVENDA",Report!$AA:$AA,"SIM",Report!$C:$C,A550)</f>
        <v>0</v>
      </c>
      <c r="D550" s="32"/>
      <c r="E550" s="32"/>
      <c r="F550" s="31" t="n">
        <f aca="false">B550+C550</f>
        <v>0</v>
      </c>
    </row>
    <row r="551" customFormat="false" ht="12.75" hidden="false" customHeight="true" outlineLevel="0" collapsed="false">
      <c r="A551" s="30" t="n">
        <v>46503</v>
      </c>
      <c r="B551" s="31" t="n">
        <f aca="false">SUMIFS(Report!$U:$U,Report!$T:$T,"&lt;&gt;"&amp;"MERCADORIAS P/REVENDA",Report!$AA:$AA,"SIM",Report!$C:$C,A551)</f>
        <v>0</v>
      </c>
      <c r="C551" s="31" t="n">
        <f aca="false">SUMIFS(Report!$U:$U,Report!$T:$T,"MERCADORIAS P/REVENDA",Report!$AA:$AA,"SIM",Report!$C:$C,A551)</f>
        <v>0</v>
      </c>
      <c r="D551" s="32"/>
      <c r="E551" s="32"/>
      <c r="F551" s="31" t="n">
        <f aca="false">B551+C551</f>
        <v>0</v>
      </c>
    </row>
    <row r="552" customFormat="false" ht="12.75" hidden="false" customHeight="true" outlineLevel="0" collapsed="false">
      <c r="A552" s="33" t="s">
        <v>1764</v>
      </c>
      <c r="B552" s="34" t="n">
        <f aca="false">SUM(B545:B551)</f>
        <v>0</v>
      </c>
      <c r="C552" s="34" t="n">
        <f aca="false">SUM(C545:C551)</f>
        <v>0</v>
      </c>
      <c r="D552" s="35"/>
      <c r="E552" s="35"/>
      <c r="F552" s="3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0" t="n">
        <v>46508</v>
      </c>
      <c r="B557" s="31" t="n">
        <f aca="false">SUMIFS(Report!$U:$U,Report!$T:$T,"&lt;&gt;"&amp;"MERCADORIAS P/REVENDA",Report!$AA:$AA,"SIM",Report!$C:$C,A557)</f>
        <v>0</v>
      </c>
      <c r="C557" s="31" t="n">
        <f aca="false">SUMIFS(Report!$U:$U,Report!$T:$T,"MERCADORIAS P/REVENDA",Report!$AA:$AA,"SIM",Report!$C:$C,A557)</f>
        <v>0</v>
      </c>
      <c r="D557" s="32"/>
      <c r="E557" s="32"/>
      <c r="F557" s="31" t="n">
        <f aca="false">B557+C557</f>
        <v>0</v>
      </c>
    </row>
    <row r="558" customFormat="false" ht="12.75" hidden="false" customHeight="true" outlineLevel="0" collapsed="false">
      <c r="A558" s="30" t="n">
        <v>46509</v>
      </c>
      <c r="B558" s="31" t="n">
        <f aca="false">SUMIFS(Report!$U:$U,Report!$T:$T,"&lt;&gt;"&amp;"MERCADORIAS P/REVENDA",Report!$AA:$AA,"SIM",Report!$C:$C,A558)</f>
        <v>0</v>
      </c>
      <c r="C558" s="31" t="n">
        <f aca="false">SUMIFS(Report!$U:$U,Report!$T:$T,"MERCADORIAS P/REVENDA",Report!$AA:$AA,"SIM",Report!$C:$C,A558)</f>
        <v>0</v>
      </c>
      <c r="D558" s="32"/>
      <c r="E558" s="32"/>
      <c r="F558" s="31" t="n">
        <f aca="false">B558+C558</f>
        <v>0</v>
      </c>
    </row>
    <row r="559" customFormat="false" ht="12.75" hidden="false" customHeight="true" outlineLevel="0" collapsed="false">
      <c r="A559" s="30" t="n">
        <v>46510</v>
      </c>
      <c r="B559" s="31" t="n">
        <f aca="false">SUMIFS(Report!$U:$U,Report!$T:$T,"&lt;&gt;"&amp;"MERCADORIAS P/REVENDA",Report!$AA:$AA,"SIM",Report!$C:$C,A559)</f>
        <v>0</v>
      </c>
      <c r="C559" s="31" t="n">
        <f aca="false">SUMIFS(Report!$U:$U,Report!$T:$T,"MERCADORIAS P/REVENDA",Report!$AA:$AA,"SIM",Report!$C:$C,A559)</f>
        <v>0</v>
      </c>
      <c r="D559" s="32"/>
      <c r="E559" s="32"/>
      <c r="F559" s="31" t="n">
        <f aca="false">B559+C559</f>
        <v>0</v>
      </c>
    </row>
    <row r="560" customFormat="false" ht="12.75" hidden="false" customHeight="true" outlineLevel="0" collapsed="false">
      <c r="A560" s="33" t="s">
        <v>1765</v>
      </c>
      <c r="B560" s="34" t="n">
        <f aca="false">SUM(B553:B559)</f>
        <v>0</v>
      </c>
      <c r="C560" s="34" t="n">
        <f aca="false">SUM(C553:C559)</f>
        <v>0</v>
      </c>
      <c r="D560" s="35"/>
      <c r="E560" s="35"/>
      <c r="F560" s="3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0" t="n">
        <v>46515</v>
      </c>
      <c r="B565" s="31" t="n">
        <f aca="false">SUMIFS(Report!$U:$U,Report!$T:$T,"&lt;&gt;"&amp;"MERCADORIAS P/REVENDA",Report!$AA:$AA,"SIM",Report!$C:$C,A565)</f>
        <v>0</v>
      </c>
      <c r="C565" s="31" t="n">
        <f aca="false">SUMIFS(Report!$U:$U,Report!$T:$T,"MERCADORIAS P/REVENDA",Report!$AA:$AA,"SIM",Report!$C:$C,A565)</f>
        <v>0</v>
      </c>
      <c r="D565" s="32"/>
      <c r="E565" s="32"/>
      <c r="F565" s="31" t="n">
        <f aca="false">B565+C565</f>
        <v>0</v>
      </c>
    </row>
    <row r="566" customFormat="false" ht="12.75" hidden="false" customHeight="true" outlineLevel="0" collapsed="false">
      <c r="A566" s="30" t="n">
        <v>46516</v>
      </c>
      <c r="B566" s="31" t="n">
        <f aca="false">SUMIFS(Report!$U:$U,Report!$T:$T,"&lt;&gt;"&amp;"MERCADORIAS P/REVENDA",Report!$AA:$AA,"SIM",Report!$C:$C,A566)</f>
        <v>0</v>
      </c>
      <c r="C566" s="31" t="n">
        <f aca="false">SUMIFS(Report!$U:$U,Report!$T:$T,"MERCADORIAS P/REVENDA",Report!$AA:$AA,"SIM",Report!$C:$C,A566)</f>
        <v>0</v>
      </c>
      <c r="D566" s="32"/>
      <c r="E566" s="32"/>
      <c r="F566" s="31" t="n">
        <f aca="false">B566+C566</f>
        <v>0</v>
      </c>
    </row>
    <row r="567" customFormat="false" ht="12.75" hidden="false" customHeight="true" outlineLevel="0" collapsed="false">
      <c r="A567" s="30" t="n">
        <v>46517</v>
      </c>
      <c r="B567" s="31" t="n">
        <f aca="false">SUMIFS(Report!$U:$U,Report!$T:$T,"&lt;&gt;"&amp;"MERCADORIAS P/REVENDA",Report!$AA:$AA,"SIM",Report!$C:$C,A567)</f>
        <v>0</v>
      </c>
      <c r="C567" s="31" t="n">
        <f aca="false">SUMIFS(Report!$U:$U,Report!$T:$T,"MERCADORIAS P/REVENDA",Report!$AA:$AA,"SIM",Report!$C:$C,A567)</f>
        <v>0</v>
      </c>
      <c r="D567" s="32"/>
      <c r="E567" s="32"/>
      <c r="F567" s="31" t="n">
        <f aca="false">B567+C567</f>
        <v>0</v>
      </c>
    </row>
    <row r="568" customFormat="false" ht="12.75" hidden="false" customHeight="true" outlineLevel="0" collapsed="false">
      <c r="A568" s="33" t="s">
        <v>1766</v>
      </c>
      <c r="B568" s="34" t="n">
        <f aca="false">SUM(B561:B567)</f>
        <v>0</v>
      </c>
      <c r="C568" s="34" t="n">
        <f aca="false">SUM(C561:C567)</f>
        <v>0</v>
      </c>
      <c r="D568" s="35"/>
      <c r="E568" s="35"/>
      <c r="F568" s="3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0" t="n">
        <v>46522</v>
      </c>
      <c r="B573" s="31" t="n">
        <f aca="false">SUMIFS(Report!$U:$U,Report!$T:$T,"&lt;&gt;"&amp;"MERCADORIAS P/REVENDA",Report!$AA:$AA,"SIM",Report!$C:$C,A573)</f>
        <v>0</v>
      </c>
      <c r="C573" s="31" t="n">
        <f aca="false">SUMIFS(Report!$U:$U,Report!$T:$T,"MERCADORIAS P/REVENDA",Report!$AA:$AA,"SIM",Report!$C:$C,A573)</f>
        <v>0</v>
      </c>
      <c r="D573" s="32"/>
      <c r="E573" s="32"/>
      <c r="F573" s="31" t="n">
        <f aca="false">B573+C573</f>
        <v>0</v>
      </c>
    </row>
    <row r="574" customFormat="false" ht="12.75" hidden="false" customHeight="true" outlineLevel="0" collapsed="false">
      <c r="A574" s="30" t="n">
        <v>46523</v>
      </c>
      <c r="B574" s="31" t="n">
        <f aca="false">SUMIFS(Report!$U:$U,Report!$T:$T,"&lt;&gt;"&amp;"MERCADORIAS P/REVENDA",Report!$AA:$AA,"SIM",Report!$C:$C,A574)</f>
        <v>0</v>
      </c>
      <c r="C574" s="31" t="n">
        <f aca="false">SUMIFS(Report!$U:$U,Report!$T:$T,"MERCADORIAS P/REVENDA",Report!$AA:$AA,"SIM",Report!$C:$C,A574)</f>
        <v>0</v>
      </c>
      <c r="D574" s="32"/>
      <c r="E574" s="32"/>
      <c r="F574" s="31" t="n">
        <f aca="false">B574+C574</f>
        <v>0</v>
      </c>
    </row>
    <row r="575" customFormat="false" ht="12.75" hidden="false" customHeight="true" outlineLevel="0" collapsed="false">
      <c r="A575" s="30" t="n">
        <v>46524</v>
      </c>
      <c r="B575" s="31" t="n">
        <f aca="false">SUMIFS(Report!$U:$U,Report!$T:$T,"&lt;&gt;"&amp;"MERCADORIAS P/REVENDA",Report!$AA:$AA,"SIM",Report!$C:$C,A575)</f>
        <v>0</v>
      </c>
      <c r="C575" s="31" t="n">
        <f aca="false">SUMIFS(Report!$U:$U,Report!$T:$T,"MERCADORIAS P/REVENDA",Report!$AA:$AA,"SIM",Report!$C:$C,A575)</f>
        <v>0</v>
      </c>
      <c r="D575" s="32"/>
      <c r="E575" s="32"/>
      <c r="F575" s="31" t="n">
        <f aca="false">B575+C575</f>
        <v>0</v>
      </c>
    </row>
    <row r="576" customFormat="false" ht="12.75" hidden="false" customHeight="true" outlineLevel="0" collapsed="false">
      <c r="A576" s="33" t="s">
        <v>1767</v>
      </c>
      <c r="B576" s="34" t="n">
        <f aca="false">SUM(B569:B575)</f>
        <v>0</v>
      </c>
      <c r="C576" s="34" t="n">
        <f aca="false">SUM(C569:C575)</f>
        <v>0</v>
      </c>
      <c r="D576" s="35"/>
      <c r="E576" s="35"/>
      <c r="F576" s="3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0" t="n">
        <v>46529</v>
      </c>
      <c r="B581" s="31" t="n">
        <f aca="false">SUMIFS(Report!$U:$U,Report!$T:$T,"&lt;&gt;"&amp;"MERCADORIAS P/REVENDA",Report!$AA:$AA,"SIM",Report!$C:$C,A581)</f>
        <v>0</v>
      </c>
      <c r="C581" s="31" t="n">
        <f aca="false">SUMIFS(Report!$U:$U,Report!$T:$T,"MERCADORIAS P/REVENDA",Report!$AA:$AA,"SIM",Report!$C:$C,A581)</f>
        <v>0</v>
      </c>
      <c r="D581" s="32"/>
      <c r="E581" s="32"/>
      <c r="F581" s="31" t="n">
        <f aca="false">B581+C581</f>
        <v>0</v>
      </c>
    </row>
    <row r="582" customFormat="false" ht="12.75" hidden="false" customHeight="true" outlineLevel="0" collapsed="false">
      <c r="A582" s="30" t="n">
        <v>46530</v>
      </c>
      <c r="B582" s="31" t="n">
        <f aca="false">SUMIFS(Report!$U:$U,Report!$T:$T,"&lt;&gt;"&amp;"MERCADORIAS P/REVENDA",Report!$AA:$AA,"SIM",Report!$C:$C,A582)</f>
        <v>0</v>
      </c>
      <c r="C582" s="31" t="n">
        <f aca="false">SUMIFS(Report!$U:$U,Report!$T:$T,"MERCADORIAS P/REVENDA",Report!$AA:$AA,"SIM",Report!$C:$C,A582)</f>
        <v>0</v>
      </c>
      <c r="D582" s="32"/>
      <c r="E582" s="32"/>
      <c r="F582" s="31" t="n">
        <f aca="false">B582+C582</f>
        <v>0</v>
      </c>
    </row>
    <row r="583" customFormat="false" ht="12.75" hidden="false" customHeight="true" outlineLevel="0" collapsed="false">
      <c r="A583" s="30" t="n">
        <v>46531</v>
      </c>
      <c r="B583" s="31" t="n">
        <f aca="false">SUMIFS(Report!$U:$U,Report!$T:$T,"&lt;&gt;"&amp;"MERCADORIAS P/REVENDA",Report!$AA:$AA,"SIM",Report!$C:$C,A583)</f>
        <v>0</v>
      </c>
      <c r="C583" s="31" t="n">
        <f aca="false">SUMIFS(Report!$U:$U,Report!$T:$T,"MERCADORIAS P/REVENDA",Report!$AA:$AA,"SIM",Report!$C:$C,A583)</f>
        <v>0</v>
      </c>
      <c r="D583" s="32"/>
      <c r="E583" s="32"/>
      <c r="F583" s="31" t="n">
        <f aca="false">B583+C583</f>
        <v>0</v>
      </c>
    </row>
    <row r="584" customFormat="false" ht="12.75" hidden="false" customHeight="true" outlineLevel="0" collapsed="false">
      <c r="A584" s="33" t="s">
        <v>1768</v>
      </c>
      <c r="B584" s="34" t="n">
        <f aca="false">SUM(B577:B583)</f>
        <v>0</v>
      </c>
      <c r="C584" s="34" t="n">
        <f aca="false">SUM(C577:C583)</f>
        <v>0</v>
      </c>
      <c r="D584" s="35"/>
      <c r="E584" s="35"/>
      <c r="F584" s="3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0" t="n">
        <v>46536</v>
      </c>
      <c r="B589" s="31" t="n">
        <f aca="false">SUMIFS(Report!$U:$U,Report!$T:$T,"&lt;&gt;"&amp;"MERCADORIAS P/REVENDA",Report!$AA:$AA,"SIM",Report!$C:$C,A589)</f>
        <v>0</v>
      </c>
      <c r="C589" s="31" t="n">
        <f aca="false">SUMIFS(Report!$U:$U,Report!$T:$T,"MERCADORIAS P/REVENDA",Report!$AA:$AA,"SIM",Report!$C:$C,A589)</f>
        <v>0</v>
      </c>
      <c r="D589" s="32"/>
      <c r="E589" s="32"/>
      <c r="F589" s="31" t="n">
        <f aca="false">B589+C589</f>
        <v>0</v>
      </c>
    </row>
    <row r="590" customFormat="false" ht="12.75" hidden="false" customHeight="true" outlineLevel="0" collapsed="false">
      <c r="A590" s="30" t="n">
        <v>46537</v>
      </c>
      <c r="B590" s="31" t="n">
        <f aca="false">SUMIFS(Report!$U:$U,Report!$T:$T,"&lt;&gt;"&amp;"MERCADORIAS P/REVENDA",Report!$AA:$AA,"SIM",Report!$C:$C,A590)</f>
        <v>0</v>
      </c>
      <c r="C590" s="31" t="n">
        <f aca="false">SUMIFS(Report!$U:$U,Report!$T:$T,"MERCADORIAS P/REVENDA",Report!$AA:$AA,"SIM",Report!$C:$C,A590)</f>
        <v>0</v>
      </c>
      <c r="D590" s="32"/>
      <c r="E590" s="32"/>
      <c r="F590" s="31" t="n">
        <f aca="false">B590+C590</f>
        <v>0</v>
      </c>
    </row>
    <row r="591" customFormat="false" ht="12.75" hidden="false" customHeight="true" outlineLevel="0" collapsed="false">
      <c r="A591" s="30" t="n">
        <v>46538</v>
      </c>
      <c r="B591" s="31" t="n">
        <f aca="false">SUMIFS(Report!$U:$U,Report!$T:$T,"&lt;&gt;"&amp;"MERCADORIAS P/REVENDA",Report!$AA:$AA,"SIM",Report!$C:$C,A591)</f>
        <v>0</v>
      </c>
      <c r="C591" s="31" t="n">
        <f aca="false">SUMIFS(Report!$U:$U,Report!$T:$T,"MERCADORIAS P/REVENDA",Report!$AA:$AA,"SIM",Report!$C:$C,A591)</f>
        <v>0</v>
      </c>
      <c r="D591" s="32"/>
      <c r="E591" s="32"/>
      <c r="F591" s="31" t="n">
        <f aca="false">B591+C591</f>
        <v>0</v>
      </c>
    </row>
    <row r="592" customFormat="false" ht="12.75" hidden="false" customHeight="true" outlineLevel="0" collapsed="false">
      <c r="A592" s="33" t="s">
        <v>1769</v>
      </c>
      <c r="B592" s="34" t="n">
        <f aca="false">SUM(B585:B591)</f>
        <v>0</v>
      </c>
      <c r="C592" s="34" t="n">
        <f aca="false">SUM(C585:C591)</f>
        <v>0</v>
      </c>
      <c r="D592" s="35"/>
      <c r="E592" s="35"/>
      <c r="F592" s="3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0" t="n">
        <v>46543</v>
      </c>
      <c r="B597" s="31" t="n">
        <f aca="false">SUMIFS(Report!$U:$U,Report!$T:$T,"&lt;&gt;"&amp;"MERCADORIAS P/REVENDA",Report!$AA:$AA,"SIM",Report!$C:$C,A597)</f>
        <v>0</v>
      </c>
      <c r="C597" s="31" t="n">
        <f aca="false">SUMIFS(Report!$U:$U,Report!$T:$T,"MERCADORIAS P/REVENDA",Report!$AA:$AA,"SIM",Report!$C:$C,A597)</f>
        <v>0</v>
      </c>
      <c r="D597" s="32"/>
      <c r="E597" s="32"/>
      <c r="F597" s="31" t="n">
        <f aca="false">B597+C597</f>
        <v>0</v>
      </c>
    </row>
    <row r="598" customFormat="false" ht="12.75" hidden="false" customHeight="true" outlineLevel="0" collapsed="false">
      <c r="A598" s="30" t="n">
        <v>46544</v>
      </c>
      <c r="B598" s="31" t="n">
        <f aca="false">SUMIFS(Report!$U:$U,Report!$T:$T,"&lt;&gt;"&amp;"MERCADORIAS P/REVENDA",Report!$AA:$AA,"SIM",Report!$C:$C,A598)</f>
        <v>0</v>
      </c>
      <c r="C598" s="31" t="n">
        <f aca="false">SUMIFS(Report!$U:$U,Report!$T:$T,"MERCADORIAS P/REVENDA",Report!$AA:$AA,"SIM",Report!$C:$C,A598)</f>
        <v>0</v>
      </c>
      <c r="D598" s="32"/>
      <c r="E598" s="32"/>
      <c r="F598" s="31" t="n">
        <f aca="false">B598+C598</f>
        <v>0</v>
      </c>
    </row>
    <row r="599" customFormat="false" ht="12.75" hidden="false" customHeight="true" outlineLevel="0" collapsed="false">
      <c r="A599" s="30" t="n">
        <v>46545</v>
      </c>
      <c r="B599" s="31" t="n">
        <f aca="false">SUMIFS(Report!$U:$U,Report!$T:$T,"&lt;&gt;"&amp;"MERCADORIAS P/REVENDA",Report!$AA:$AA,"SIM",Report!$C:$C,A599)</f>
        <v>0</v>
      </c>
      <c r="C599" s="31" t="n">
        <f aca="false">SUMIFS(Report!$U:$U,Report!$T:$T,"MERCADORIAS P/REVENDA",Report!$AA:$AA,"SIM",Report!$C:$C,A599)</f>
        <v>0</v>
      </c>
      <c r="D599" s="32"/>
      <c r="E599" s="32"/>
      <c r="F599" s="31" t="n">
        <f aca="false">B599+C599</f>
        <v>0</v>
      </c>
    </row>
    <row r="600" customFormat="false" ht="12.75" hidden="false" customHeight="true" outlineLevel="0" collapsed="false">
      <c r="A600" s="33" t="s">
        <v>1770</v>
      </c>
      <c r="B600" s="34" t="n">
        <f aca="false">SUM(B593:B599)</f>
        <v>0</v>
      </c>
      <c r="C600" s="34" t="n">
        <f aca="false">SUM(C593:C599)</f>
        <v>0</v>
      </c>
      <c r="D600" s="35"/>
      <c r="E600" s="35"/>
      <c r="F600" s="3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0" t="n">
        <v>46550</v>
      </c>
      <c r="B605" s="31" t="n">
        <f aca="false">SUMIFS(Report!$U:$U,Report!$T:$T,"&lt;&gt;"&amp;"MERCADORIAS P/REVENDA",Report!$AA:$AA,"SIM",Report!$C:$C,A605)</f>
        <v>0</v>
      </c>
      <c r="C605" s="31" t="n">
        <f aca="false">SUMIFS(Report!$U:$U,Report!$T:$T,"MERCADORIAS P/REVENDA",Report!$AA:$AA,"SIM",Report!$C:$C,A605)</f>
        <v>0</v>
      </c>
      <c r="D605" s="32"/>
      <c r="E605" s="32"/>
      <c r="F605" s="31" t="n">
        <f aca="false">B605+C605</f>
        <v>0</v>
      </c>
    </row>
    <row r="606" customFormat="false" ht="12.75" hidden="false" customHeight="true" outlineLevel="0" collapsed="false">
      <c r="A606" s="30" t="n">
        <v>46551</v>
      </c>
      <c r="B606" s="31" t="n">
        <f aca="false">SUMIFS(Report!$U:$U,Report!$T:$T,"&lt;&gt;"&amp;"MERCADORIAS P/REVENDA",Report!$AA:$AA,"SIM",Report!$C:$C,A606)</f>
        <v>0</v>
      </c>
      <c r="C606" s="31" t="n">
        <f aca="false">SUMIFS(Report!$U:$U,Report!$T:$T,"MERCADORIAS P/REVENDA",Report!$AA:$AA,"SIM",Report!$C:$C,A606)</f>
        <v>0</v>
      </c>
      <c r="D606" s="32"/>
      <c r="E606" s="32"/>
      <c r="F606" s="31" t="n">
        <f aca="false">B606+C606</f>
        <v>0</v>
      </c>
    </row>
    <row r="607" customFormat="false" ht="12.75" hidden="false" customHeight="true" outlineLevel="0" collapsed="false">
      <c r="A607" s="30" t="n">
        <v>46552</v>
      </c>
      <c r="B607" s="31" t="n">
        <f aca="false">SUMIFS(Report!$U:$U,Report!$T:$T,"&lt;&gt;"&amp;"MERCADORIAS P/REVENDA",Report!$AA:$AA,"SIM",Report!$C:$C,A607)</f>
        <v>0</v>
      </c>
      <c r="C607" s="31" t="n">
        <f aca="false">SUMIFS(Report!$U:$U,Report!$T:$T,"MERCADORIAS P/REVENDA",Report!$AA:$AA,"SIM",Report!$C:$C,A607)</f>
        <v>0</v>
      </c>
      <c r="D607" s="32"/>
      <c r="E607" s="32"/>
      <c r="F607" s="31" t="n">
        <f aca="false">B607+C607</f>
        <v>0</v>
      </c>
    </row>
    <row r="608" customFormat="false" ht="12.75" hidden="false" customHeight="true" outlineLevel="0" collapsed="false">
      <c r="A608" s="33" t="s">
        <v>1771</v>
      </c>
      <c r="B608" s="34" t="n">
        <f aca="false">SUM(B601:B607)</f>
        <v>0</v>
      </c>
      <c r="C608" s="34" t="n">
        <f aca="false">SUM(C601:C607)</f>
        <v>0</v>
      </c>
      <c r="D608" s="35"/>
      <c r="E608" s="35"/>
      <c r="F608" s="3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0" t="n">
        <v>46557</v>
      </c>
      <c r="B613" s="31" t="n">
        <f aca="false">SUMIFS(Report!$U:$U,Report!$T:$T,"&lt;&gt;"&amp;"MERCADORIAS P/REVENDA",Report!$AA:$AA,"SIM",Report!$C:$C,A613)</f>
        <v>0</v>
      </c>
      <c r="C613" s="31" t="n">
        <f aca="false">SUMIFS(Report!$U:$U,Report!$T:$T,"MERCADORIAS P/REVENDA",Report!$AA:$AA,"SIM",Report!$C:$C,A613)</f>
        <v>0</v>
      </c>
      <c r="D613" s="32"/>
      <c r="E613" s="32"/>
      <c r="F613" s="31" t="n">
        <f aca="false">B613+C613</f>
        <v>0</v>
      </c>
    </row>
    <row r="614" customFormat="false" ht="12.75" hidden="false" customHeight="true" outlineLevel="0" collapsed="false">
      <c r="A614" s="30" t="n">
        <v>46558</v>
      </c>
      <c r="B614" s="31" t="n">
        <f aca="false">SUMIFS(Report!$U:$U,Report!$T:$T,"&lt;&gt;"&amp;"MERCADORIAS P/REVENDA",Report!$AA:$AA,"SIM",Report!$C:$C,A614)</f>
        <v>0</v>
      </c>
      <c r="C614" s="31" t="n">
        <f aca="false">SUMIFS(Report!$U:$U,Report!$T:$T,"MERCADORIAS P/REVENDA",Report!$AA:$AA,"SIM",Report!$C:$C,A614)</f>
        <v>0</v>
      </c>
      <c r="D614" s="32"/>
      <c r="E614" s="32"/>
      <c r="F614" s="31" t="n">
        <f aca="false">B614+C614</f>
        <v>0</v>
      </c>
    </row>
    <row r="615" customFormat="false" ht="12.75" hidden="false" customHeight="true" outlineLevel="0" collapsed="false">
      <c r="A615" s="30" t="n">
        <v>46559</v>
      </c>
      <c r="B615" s="31" t="n">
        <f aca="false">SUMIFS(Report!$U:$U,Report!$T:$T,"&lt;&gt;"&amp;"MERCADORIAS P/REVENDA",Report!$AA:$AA,"SIM",Report!$C:$C,A615)</f>
        <v>0</v>
      </c>
      <c r="C615" s="31" t="n">
        <f aca="false">SUMIFS(Report!$U:$U,Report!$T:$T,"MERCADORIAS P/REVENDA",Report!$AA:$AA,"SIM",Report!$C:$C,A615)</f>
        <v>0</v>
      </c>
      <c r="D615" s="32"/>
      <c r="E615" s="32"/>
      <c r="F615" s="31" t="n">
        <f aca="false">B615+C615</f>
        <v>0</v>
      </c>
    </row>
    <row r="616" customFormat="false" ht="12.75" hidden="false" customHeight="true" outlineLevel="0" collapsed="false">
      <c r="A616" s="33" t="s">
        <v>1772</v>
      </c>
      <c r="B616" s="34" t="n">
        <f aca="false">SUM(B609:B615)</f>
        <v>0</v>
      </c>
      <c r="C616" s="34" t="n">
        <f aca="false">SUM(C609:C615)</f>
        <v>0</v>
      </c>
      <c r="D616" s="35"/>
      <c r="E616" s="35"/>
      <c r="F616" s="3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0" t="n">
        <v>46564</v>
      </c>
      <c r="B621" s="31" t="n">
        <f aca="false">SUMIFS(Report!$U:$U,Report!$T:$T,"&lt;&gt;"&amp;"MERCADORIAS P/REVENDA",Report!$AA:$AA,"SIM",Report!$C:$C,A621)</f>
        <v>0</v>
      </c>
      <c r="C621" s="31" t="n">
        <f aca="false">SUMIFS(Report!$U:$U,Report!$T:$T,"MERCADORIAS P/REVENDA",Report!$AA:$AA,"SIM",Report!$C:$C,A621)</f>
        <v>0</v>
      </c>
      <c r="D621" s="32"/>
      <c r="E621" s="32"/>
      <c r="F621" s="31" t="n">
        <f aca="false">B621+C621</f>
        <v>0</v>
      </c>
    </row>
    <row r="622" customFormat="false" ht="12.75" hidden="false" customHeight="true" outlineLevel="0" collapsed="false">
      <c r="A622" s="30" t="n">
        <v>46565</v>
      </c>
      <c r="B622" s="31" t="n">
        <f aca="false">SUMIFS(Report!$U:$U,Report!$T:$T,"&lt;&gt;"&amp;"MERCADORIAS P/REVENDA",Report!$AA:$AA,"SIM",Report!$C:$C,A622)</f>
        <v>0</v>
      </c>
      <c r="C622" s="31" t="n">
        <f aca="false">SUMIFS(Report!$U:$U,Report!$T:$T,"MERCADORIAS P/REVENDA",Report!$AA:$AA,"SIM",Report!$C:$C,A622)</f>
        <v>0</v>
      </c>
      <c r="D622" s="32"/>
      <c r="E622" s="32"/>
      <c r="F622" s="31" t="n">
        <f aca="false">B622+C622</f>
        <v>0</v>
      </c>
    </row>
    <row r="623" customFormat="false" ht="12.75" hidden="false" customHeight="true" outlineLevel="0" collapsed="false">
      <c r="A623" s="30" t="n">
        <v>46566</v>
      </c>
      <c r="B623" s="31" t="n">
        <f aca="false">SUMIFS(Report!$U:$U,Report!$T:$T,"&lt;&gt;"&amp;"MERCADORIAS P/REVENDA",Report!$AA:$AA,"SIM",Report!$C:$C,A623)</f>
        <v>0</v>
      </c>
      <c r="C623" s="31" t="n">
        <f aca="false">SUMIFS(Report!$U:$U,Report!$T:$T,"MERCADORIAS P/REVENDA",Report!$AA:$AA,"SIM",Report!$C:$C,A623)</f>
        <v>0</v>
      </c>
      <c r="D623" s="32"/>
      <c r="E623" s="32"/>
      <c r="F623" s="31" t="n">
        <f aca="false">B623+C623</f>
        <v>0</v>
      </c>
    </row>
    <row r="624" customFormat="false" ht="12.75" hidden="false" customHeight="true" outlineLevel="0" collapsed="false">
      <c r="A624" s="33" t="s">
        <v>1773</v>
      </c>
      <c r="B624" s="34" t="n">
        <f aca="false">SUM(B617:B623)</f>
        <v>0</v>
      </c>
      <c r="C624" s="34" t="n">
        <f aca="false">SUM(C617:C623)</f>
        <v>0</v>
      </c>
      <c r="D624" s="35"/>
      <c r="E624" s="35"/>
      <c r="F624" s="3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0" t="n">
        <v>46571</v>
      </c>
      <c r="B629" s="31" t="n">
        <f aca="false">SUMIFS(Report!$U:$U,Report!$T:$T,"&lt;&gt;"&amp;"MERCADORIAS P/REVENDA",Report!$AA:$AA,"SIM",Report!$C:$C,A629)</f>
        <v>0</v>
      </c>
      <c r="C629" s="31" t="n">
        <f aca="false">SUMIFS(Report!$U:$U,Report!$T:$T,"MERCADORIAS P/REVENDA",Report!$AA:$AA,"SIM",Report!$C:$C,A629)</f>
        <v>0</v>
      </c>
      <c r="D629" s="32"/>
      <c r="E629" s="32"/>
      <c r="F629" s="31" t="n">
        <f aca="false">B629+C629</f>
        <v>0</v>
      </c>
    </row>
    <row r="630" customFormat="false" ht="12.75" hidden="false" customHeight="true" outlineLevel="0" collapsed="false">
      <c r="A630" s="30" t="n">
        <v>46572</v>
      </c>
      <c r="B630" s="31" t="n">
        <f aca="false">SUMIFS(Report!$U:$U,Report!$T:$T,"&lt;&gt;"&amp;"MERCADORIAS P/REVENDA",Report!$AA:$AA,"SIM",Report!$C:$C,A630)</f>
        <v>0</v>
      </c>
      <c r="C630" s="31" t="n">
        <f aca="false">SUMIFS(Report!$U:$U,Report!$T:$T,"MERCADORIAS P/REVENDA",Report!$AA:$AA,"SIM",Report!$C:$C,A630)</f>
        <v>0</v>
      </c>
      <c r="D630" s="32"/>
      <c r="E630" s="32"/>
      <c r="F630" s="31" t="n">
        <f aca="false">B630+C630</f>
        <v>0</v>
      </c>
    </row>
    <row r="631" customFormat="false" ht="12.75" hidden="false" customHeight="true" outlineLevel="0" collapsed="false">
      <c r="A631" s="30" t="n">
        <v>46573</v>
      </c>
      <c r="B631" s="31" t="n">
        <f aca="false">SUMIFS(Report!$U:$U,Report!$T:$T,"&lt;&gt;"&amp;"MERCADORIAS P/REVENDA",Report!$AA:$AA,"SIM",Report!$C:$C,A631)</f>
        <v>0</v>
      </c>
      <c r="C631" s="31" t="n">
        <f aca="false">SUMIFS(Report!$U:$U,Report!$T:$T,"MERCADORIAS P/REVENDA",Report!$AA:$AA,"SIM",Report!$C:$C,A631)</f>
        <v>0</v>
      </c>
      <c r="D631" s="32"/>
      <c r="E631" s="32"/>
      <c r="F631" s="31" t="n">
        <f aca="false">B631+C631</f>
        <v>0</v>
      </c>
    </row>
    <row r="632" customFormat="false" ht="12.75" hidden="false" customHeight="true" outlineLevel="0" collapsed="false">
      <c r="A632" s="33" t="s">
        <v>1774</v>
      </c>
      <c r="B632" s="34" t="n">
        <f aca="false">SUM(B625:B631)</f>
        <v>0</v>
      </c>
      <c r="C632" s="34" t="n">
        <f aca="false">SUM(C625:C631)</f>
        <v>0</v>
      </c>
      <c r="D632" s="35"/>
      <c r="E632" s="35"/>
      <c r="F632" s="3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0" t="n">
        <v>46578</v>
      </c>
      <c r="B637" s="31" t="n">
        <f aca="false">SUMIFS(Report!$U:$U,Report!$T:$T,"&lt;&gt;"&amp;"MERCADORIAS P/REVENDA",Report!$AA:$AA,"SIM",Report!$C:$C,A637)</f>
        <v>0</v>
      </c>
      <c r="C637" s="31" t="n">
        <f aca="false">SUMIFS(Report!$U:$U,Report!$T:$T,"MERCADORIAS P/REVENDA",Report!$AA:$AA,"SIM",Report!$C:$C,A637)</f>
        <v>0</v>
      </c>
      <c r="D637" s="32"/>
      <c r="E637" s="32"/>
      <c r="F637" s="31" t="n">
        <f aca="false">B637+C637</f>
        <v>0</v>
      </c>
    </row>
    <row r="638" customFormat="false" ht="12.75" hidden="false" customHeight="true" outlineLevel="0" collapsed="false">
      <c r="A638" s="30" t="n">
        <v>46579</v>
      </c>
      <c r="B638" s="31" t="n">
        <f aca="false">SUMIFS(Report!$U:$U,Report!$T:$T,"&lt;&gt;"&amp;"MERCADORIAS P/REVENDA",Report!$AA:$AA,"SIM",Report!$C:$C,A638)</f>
        <v>0</v>
      </c>
      <c r="C638" s="31" t="n">
        <f aca="false">SUMIFS(Report!$U:$U,Report!$T:$T,"MERCADORIAS P/REVENDA",Report!$AA:$AA,"SIM",Report!$C:$C,A638)</f>
        <v>0</v>
      </c>
      <c r="D638" s="32"/>
      <c r="E638" s="32"/>
      <c r="F638" s="31" t="n">
        <f aca="false">B638+C638</f>
        <v>0</v>
      </c>
    </row>
    <row r="639" customFormat="false" ht="12.75" hidden="false" customHeight="true" outlineLevel="0" collapsed="false">
      <c r="A639" s="30" t="n">
        <v>46580</v>
      </c>
      <c r="B639" s="31" t="n">
        <f aca="false">SUMIFS(Report!$U:$U,Report!$T:$T,"&lt;&gt;"&amp;"MERCADORIAS P/REVENDA",Report!$AA:$AA,"SIM",Report!$C:$C,A639)</f>
        <v>0</v>
      </c>
      <c r="C639" s="31" t="n">
        <f aca="false">SUMIFS(Report!$U:$U,Report!$T:$T,"MERCADORIAS P/REVENDA",Report!$AA:$AA,"SIM",Report!$C:$C,A639)</f>
        <v>0</v>
      </c>
      <c r="D639" s="32"/>
      <c r="E639" s="32"/>
      <c r="F639" s="31" t="n">
        <f aca="false">B639+C639</f>
        <v>0</v>
      </c>
    </row>
    <row r="640" customFormat="false" ht="12.75" hidden="false" customHeight="true" outlineLevel="0" collapsed="false">
      <c r="A640" s="33" t="s">
        <v>1775</v>
      </c>
      <c r="B640" s="34" t="n">
        <f aca="false">SUM(B633:B639)</f>
        <v>0</v>
      </c>
      <c r="C640" s="34" t="n">
        <f aca="false">SUM(C633:C639)</f>
        <v>0</v>
      </c>
      <c r="D640" s="35"/>
      <c r="E640" s="35"/>
      <c r="F640" s="3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0" t="n">
        <v>46585</v>
      </c>
      <c r="B645" s="31" t="n">
        <f aca="false">SUMIFS(Report!$U:$U,Report!$T:$T,"&lt;&gt;"&amp;"MERCADORIAS P/REVENDA",Report!$AA:$AA,"SIM",Report!$C:$C,A645)</f>
        <v>0</v>
      </c>
      <c r="C645" s="31" t="n">
        <f aca="false">SUMIFS(Report!$U:$U,Report!$T:$T,"MERCADORIAS P/REVENDA",Report!$AA:$AA,"SIM",Report!$C:$C,A645)</f>
        <v>0</v>
      </c>
      <c r="D645" s="32"/>
      <c r="E645" s="32"/>
      <c r="F645" s="31" t="n">
        <f aca="false">B645+C645</f>
        <v>0</v>
      </c>
    </row>
    <row r="646" customFormat="false" ht="12.75" hidden="false" customHeight="true" outlineLevel="0" collapsed="false">
      <c r="A646" s="30" t="n">
        <v>46586</v>
      </c>
      <c r="B646" s="31" t="n">
        <f aca="false">SUMIFS(Report!$U:$U,Report!$T:$T,"&lt;&gt;"&amp;"MERCADORIAS P/REVENDA",Report!$AA:$AA,"SIM",Report!$C:$C,A646)</f>
        <v>0</v>
      </c>
      <c r="C646" s="31" t="n">
        <f aca="false">SUMIFS(Report!$U:$U,Report!$T:$T,"MERCADORIAS P/REVENDA",Report!$AA:$AA,"SIM",Report!$C:$C,A646)</f>
        <v>0</v>
      </c>
      <c r="D646" s="32"/>
      <c r="E646" s="32"/>
      <c r="F646" s="31" t="n">
        <f aca="false">B646+C646</f>
        <v>0</v>
      </c>
    </row>
    <row r="647" customFormat="false" ht="12.75" hidden="false" customHeight="true" outlineLevel="0" collapsed="false">
      <c r="A647" s="30" t="n">
        <v>46587</v>
      </c>
      <c r="B647" s="31" t="n">
        <f aca="false">SUMIFS(Report!$U:$U,Report!$T:$T,"&lt;&gt;"&amp;"MERCADORIAS P/REVENDA",Report!$AA:$AA,"SIM",Report!$C:$C,A647)</f>
        <v>0</v>
      </c>
      <c r="C647" s="31" t="n">
        <f aca="false">SUMIFS(Report!$U:$U,Report!$T:$T,"MERCADORIAS P/REVENDA",Report!$AA:$AA,"SIM",Report!$C:$C,A647)</f>
        <v>0</v>
      </c>
      <c r="D647" s="32"/>
      <c r="E647" s="32"/>
      <c r="F647" s="31" t="n">
        <f aca="false">B647+C647</f>
        <v>0</v>
      </c>
    </row>
    <row r="648" customFormat="false" ht="12.75" hidden="false" customHeight="true" outlineLevel="0" collapsed="false">
      <c r="A648" s="33" t="s">
        <v>1776</v>
      </c>
      <c r="B648" s="34" t="n">
        <f aca="false">SUM(B641:B647)</f>
        <v>0</v>
      </c>
      <c r="C648" s="34" t="n">
        <f aca="false">SUM(C641:C647)</f>
        <v>0</v>
      </c>
      <c r="D648" s="35"/>
      <c r="E648" s="35"/>
      <c r="F648" s="3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0" t="n">
        <v>46592</v>
      </c>
      <c r="B653" s="31" t="n">
        <f aca="false">SUMIFS(Report!$U:$U,Report!$T:$T,"&lt;&gt;"&amp;"MERCADORIAS P/REVENDA",Report!$AA:$AA,"SIM",Report!$C:$C,A653)</f>
        <v>0</v>
      </c>
      <c r="C653" s="31" t="n">
        <f aca="false">SUMIFS(Report!$U:$U,Report!$T:$T,"MERCADORIAS P/REVENDA",Report!$AA:$AA,"SIM",Report!$C:$C,A653)</f>
        <v>0</v>
      </c>
      <c r="D653" s="32"/>
      <c r="E653" s="32"/>
      <c r="F653" s="31" t="n">
        <f aca="false">B653+C653</f>
        <v>0</v>
      </c>
    </row>
    <row r="654" customFormat="false" ht="12.75" hidden="false" customHeight="true" outlineLevel="0" collapsed="false">
      <c r="A654" s="30" t="n">
        <v>46593</v>
      </c>
      <c r="B654" s="31" t="n">
        <f aca="false">SUMIFS(Report!$U:$U,Report!$T:$T,"&lt;&gt;"&amp;"MERCADORIAS P/REVENDA",Report!$AA:$AA,"SIM",Report!$C:$C,A654)</f>
        <v>0</v>
      </c>
      <c r="C654" s="31" t="n">
        <f aca="false">SUMIFS(Report!$U:$U,Report!$T:$T,"MERCADORIAS P/REVENDA",Report!$AA:$AA,"SIM",Report!$C:$C,A654)</f>
        <v>0</v>
      </c>
      <c r="D654" s="32"/>
      <c r="E654" s="32"/>
      <c r="F654" s="31" t="n">
        <f aca="false">B654+C654</f>
        <v>0</v>
      </c>
    </row>
    <row r="655" customFormat="false" ht="12.75" hidden="false" customHeight="true" outlineLevel="0" collapsed="false">
      <c r="A655" s="30" t="n">
        <v>46594</v>
      </c>
      <c r="B655" s="31" t="n">
        <f aca="false">SUMIFS(Report!$U:$U,Report!$T:$T,"&lt;&gt;"&amp;"MERCADORIAS P/REVENDA",Report!$AA:$AA,"SIM",Report!$C:$C,A655)</f>
        <v>0</v>
      </c>
      <c r="C655" s="31" t="n">
        <f aca="false">SUMIFS(Report!$U:$U,Report!$T:$T,"MERCADORIAS P/REVENDA",Report!$AA:$AA,"SIM",Report!$C:$C,A655)</f>
        <v>0</v>
      </c>
      <c r="D655" s="32"/>
      <c r="E655" s="32"/>
      <c r="F655" s="31" t="n">
        <f aca="false">B655+C655</f>
        <v>0</v>
      </c>
    </row>
    <row r="656" customFormat="false" ht="12.75" hidden="false" customHeight="true" outlineLevel="0" collapsed="false">
      <c r="A656" s="33" t="s">
        <v>1777</v>
      </c>
      <c r="B656" s="34" t="n">
        <f aca="false">SUM(B649:B655)</f>
        <v>0</v>
      </c>
      <c r="C656" s="34" t="n">
        <f aca="false">SUM(C649:C655)</f>
        <v>0</v>
      </c>
      <c r="D656" s="35"/>
      <c r="E656" s="35"/>
      <c r="F656" s="3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0" t="n">
        <v>46599</v>
      </c>
      <c r="B661" s="31" t="n">
        <f aca="false">SUMIFS(Report!$U:$U,Report!$T:$T,"&lt;&gt;"&amp;"MERCADORIAS P/REVENDA",Report!$AA:$AA,"SIM",Report!$C:$C,A661)</f>
        <v>0</v>
      </c>
      <c r="C661" s="31" t="n">
        <f aca="false">SUMIFS(Report!$U:$U,Report!$T:$T,"MERCADORIAS P/REVENDA",Report!$AA:$AA,"SIM",Report!$C:$C,A661)</f>
        <v>0</v>
      </c>
      <c r="D661" s="32"/>
      <c r="E661" s="32"/>
      <c r="F661" s="31" t="n">
        <f aca="false">B661+C661</f>
        <v>0</v>
      </c>
    </row>
    <row r="662" customFormat="false" ht="12.75" hidden="false" customHeight="true" outlineLevel="0" collapsed="false">
      <c r="A662" s="30" t="n">
        <v>46600</v>
      </c>
      <c r="B662" s="31" t="n">
        <f aca="false">SUMIFS(Report!$U:$U,Report!$T:$T,"&lt;&gt;"&amp;"MERCADORIAS P/REVENDA",Report!$AA:$AA,"SIM",Report!$C:$C,A662)</f>
        <v>0</v>
      </c>
      <c r="C662" s="31" t="n">
        <f aca="false">SUMIFS(Report!$U:$U,Report!$T:$T,"MERCADORIAS P/REVENDA",Report!$AA:$AA,"SIM",Report!$C:$C,A662)</f>
        <v>0</v>
      </c>
      <c r="D662" s="32"/>
      <c r="E662" s="32"/>
      <c r="F662" s="31" t="n">
        <f aca="false">B662+C662</f>
        <v>0</v>
      </c>
    </row>
    <row r="663" customFormat="false" ht="12.75" hidden="false" customHeight="true" outlineLevel="0" collapsed="false">
      <c r="A663" s="30" t="n">
        <v>46601</v>
      </c>
      <c r="B663" s="31" t="n">
        <f aca="false">SUMIFS(Report!$U:$U,Report!$T:$T,"&lt;&gt;"&amp;"MERCADORIAS P/REVENDA",Report!$AA:$AA,"SIM",Report!$C:$C,A663)</f>
        <v>0</v>
      </c>
      <c r="C663" s="31" t="n">
        <f aca="false">SUMIFS(Report!$U:$U,Report!$T:$T,"MERCADORIAS P/REVENDA",Report!$AA:$AA,"SIM",Report!$C:$C,A663)</f>
        <v>0</v>
      </c>
      <c r="D663" s="32"/>
      <c r="E663" s="32"/>
      <c r="F663" s="31" t="n">
        <f aca="false">B663+C663</f>
        <v>0</v>
      </c>
    </row>
    <row r="664" customFormat="false" ht="12.75" hidden="false" customHeight="true" outlineLevel="0" collapsed="false">
      <c r="A664" s="33" t="s">
        <v>1778</v>
      </c>
      <c r="B664" s="34" t="n">
        <f aca="false">SUM(B657:B663)</f>
        <v>0</v>
      </c>
      <c r="C664" s="34" t="n">
        <f aca="false">SUM(C657:C663)</f>
        <v>0</v>
      </c>
      <c r="D664" s="35"/>
      <c r="E664" s="35"/>
      <c r="F664" s="3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0" t="n">
        <v>46606</v>
      </c>
      <c r="B669" s="31" t="n">
        <f aca="false">SUMIFS(Report!$U:$U,Report!$T:$T,"&lt;&gt;"&amp;"MERCADORIAS P/REVENDA",Report!$AA:$AA,"SIM",Report!$C:$C,A669)</f>
        <v>0</v>
      </c>
      <c r="C669" s="31" t="n">
        <f aca="false">SUMIFS(Report!$U:$U,Report!$T:$T,"MERCADORIAS P/REVENDA",Report!$AA:$AA,"SIM",Report!$C:$C,A669)</f>
        <v>0</v>
      </c>
      <c r="D669" s="32"/>
      <c r="E669" s="32"/>
      <c r="F669" s="31" t="n">
        <f aca="false">B669+C669</f>
        <v>0</v>
      </c>
    </row>
    <row r="670" customFormat="false" ht="12.75" hidden="false" customHeight="true" outlineLevel="0" collapsed="false">
      <c r="A670" s="30" t="n">
        <v>46607</v>
      </c>
      <c r="B670" s="31" t="n">
        <f aca="false">SUMIFS(Report!$U:$U,Report!$T:$T,"&lt;&gt;"&amp;"MERCADORIAS P/REVENDA",Report!$AA:$AA,"SIM",Report!$C:$C,A670)</f>
        <v>0</v>
      </c>
      <c r="C670" s="31" t="n">
        <f aca="false">SUMIFS(Report!$U:$U,Report!$T:$T,"MERCADORIAS P/REVENDA",Report!$AA:$AA,"SIM",Report!$C:$C,A670)</f>
        <v>0</v>
      </c>
      <c r="D670" s="32"/>
      <c r="E670" s="32"/>
      <c r="F670" s="31" t="n">
        <f aca="false">B670+C670</f>
        <v>0</v>
      </c>
    </row>
    <row r="671" customFormat="false" ht="12.75" hidden="false" customHeight="true" outlineLevel="0" collapsed="false">
      <c r="A671" s="30" t="n">
        <v>46608</v>
      </c>
      <c r="B671" s="31" t="n">
        <f aca="false">SUMIFS(Report!$U:$U,Report!$T:$T,"&lt;&gt;"&amp;"MERCADORIAS P/REVENDA",Report!$AA:$AA,"SIM",Report!$C:$C,A671)</f>
        <v>0</v>
      </c>
      <c r="C671" s="31" t="n">
        <f aca="false">SUMIFS(Report!$U:$U,Report!$T:$T,"MERCADORIAS P/REVENDA",Report!$AA:$AA,"SIM",Report!$C:$C,A671)</f>
        <v>0</v>
      </c>
      <c r="D671" s="32"/>
      <c r="E671" s="32"/>
      <c r="F671" s="31" t="n">
        <f aca="false">B671+C671</f>
        <v>0</v>
      </c>
    </row>
    <row r="672" customFormat="false" ht="12.75" hidden="false" customHeight="true" outlineLevel="0" collapsed="false">
      <c r="A672" s="33" t="s">
        <v>1779</v>
      </c>
      <c r="B672" s="34" t="n">
        <f aca="false">SUM(B665:B671)</f>
        <v>0</v>
      </c>
      <c r="C672" s="34" t="n">
        <f aca="false">SUM(C665:C671)</f>
        <v>0</v>
      </c>
      <c r="D672" s="35"/>
      <c r="E672" s="35"/>
      <c r="F672" s="3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0" t="n">
        <v>46613</v>
      </c>
      <c r="B677" s="31" t="n">
        <f aca="false">SUMIFS(Report!$U:$U,Report!$T:$T,"&lt;&gt;"&amp;"MERCADORIAS P/REVENDA",Report!$AA:$AA,"SIM",Report!$C:$C,A677)</f>
        <v>0</v>
      </c>
      <c r="C677" s="31" t="n">
        <f aca="false">SUMIFS(Report!$U:$U,Report!$T:$T,"MERCADORIAS P/REVENDA",Report!$AA:$AA,"SIM",Report!$C:$C,A677)</f>
        <v>0</v>
      </c>
      <c r="D677" s="32"/>
      <c r="E677" s="32"/>
      <c r="F677" s="31" t="n">
        <f aca="false">B677+C677</f>
        <v>0</v>
      </c>
    </row>
    <row r="678" customFormat="false" ht="12.75" hidden="false" customHeight="true" outlineLevel="0" collapsed="false">
      <c r="A678" s="30" t="n">
        <v>46614</v>
      </c>
      <c r="B678" s="31" t="n">
        <f aca="false">SUMIFS(Report!$U:$U,Report!$T:$T,"&lt;&gt;"&amp;"MERCADORIAS P/REVENDA",Report!$AA:$AA,"SIM",Report!$C:$C,A678)</f>
        <v>0</v>
      </c>
      <c r="C678" s="31" t="n">
        <f aca="false">SUMIFS(Report!$U:$U,Report!$T:$T,"MERCADORIAS P/REVENDA",Report!$AA:$AA,"SIM",Report!$C:$C,A678)</f>
        <v>0</v>
      </c>
      <c r="D678" s="32"/>
      <c r="E678" s="32"/>
      <c r="F678" s="31" t="n">
        <f aca="false">B678+C678</f>
        <v>0</v>
      </c>
    </row>
    <row r="679" customFormat="false" ht="12.75" hidden="false" customHeight="true" outlineLevel="0" collapsed="false">
      <c r="A679" s="30" t="n">
        <v>46615</v>
      </c>
      <c r="B679" s="31" t="n">
        <f aca="false">SUMIFS(Report!$U:$U,Report!$T:$T,"&lt;&gt;"&amp;"MERCADORIAS P/REVENDA",Report!$AA:$AA,"SIM",Report!$C:$C,A679)</f>
        <v>0</v>
      </c>
      <c r="C679" s="31" t="n">
        <f aca="false">SUMIFS(Report!$U:$U,Report!$T:$T,"MERCADORIAS P/REVENDA",Report!$AA:$AA,"SIM",Report!$C:$C,A679)</f>
        <v>0</v>
      </c>
      <c r="D679" s="32"/>
      <c r="E679" s="32"/>
      <c r="F679" s="31" t="n">
        <f aca="false">B679+C679</f>
        <v>0</v>
      </c>
    </row>
    <row r="680" customFormat="false" ht="12.75" hidden="false" customHeight="true" outlineLevel="0" collapsed="false">
      <c r="A680" s="33" t="s">
        <v>1780</v>
      </c>
      <c r="B680" s="34" t="n">
        <f aca="false">SUM(B673:B679)</f>
        <v>0</v>
      </c>
      <c r="C680" s="34" t="n">
        <f aca="false">SUM(C673:C679)</f>
        <v>0</v>
      </c>
      <c r="D680" s="35"/>
      <c r="E680" s="35"/>
      <c r="F680" s="3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0" t="n">
        <v>46620</v>
      </c>
      <c r="B685" s="31" t="n">
        <f aca="false">SUMIFS(Report!$U:$U,Report!$T:$T,"&lt;&gt;"&amp;"MERCADORIAS P/REVENDA",Report!$AA:$AA,"SIM",Report!$C:$C,A685)</f>
        <v>0</v>
      </c>
      <c r="C685" s="31" t="n">
        <f aca="false">SUMIFS(Report!$U:$U,Report!$T:$T,"MERCADORIAS P/REVENDA",Report!$AA:$AA,"SIM",Report!$C:$C,A685)</f>
        <v>0</v>
      </c>
      <c r="D685" s="32"/>
      <c r="E685" s="32"/>
      <c r="F685" s="31" t="n">
        <f aca="false">B685+C685</f>
        <v>0</v>
      </c>
    </row>
    <row r="686" customFormat="false" ht="12.75" hidden="false" customHeight="true" outlineLevel="0" collapsed="false">
      <c r="A686" s="30" t="n">
        <v>46621</v>
      </c>
      <c r="B686" s="31" t="n">
        <f aca="false">SUMIFS(Report!$U:$U,Report!$T:$T,"&lt;&gt;"&amp;"MERCADORIAS P/REVENDA",Report!$AA:$AA,"SIM",Report!$C:$C,A686)</f>
        <v>0</v>
      </c>
      <c r="C686" s="31" t="n">
        <f aca="false">SUMIFS(Report!$U:$U,Report!$T:$T,"MERCADORIAS P/REVENDA",Report!$AA:$AA,"SIM",Report!$C:$C,A686)</f>
        <v>0</v>
      </c>
      <c r="D686" s="32"/>
      <c r="E686" s="32"/>
      <c r="F686" s="31" t="n">
        <f aca="false">B686+C686</f>
        <v>0</v>
      </c>
    </row>
    <row r="687" customFormat="false" ht="12.75" hidden="false" customHeight="true" outlineLevel="0" collapsed="false">
      <c r="A687" s="30" t="n">
        <v>46622</v>
      </c>
      <c r="B687" s="31" t="n">
        <f aca="false">SUMIFS(Report!$U:$U,Report!$T:$T,"&lt;&gt;"&amp;"MERCADORIAS P/REVENDA",Report!$AA:$AA,"SIM",Report!$C:$C,A687)</f>
        <v>0</v>
      </c>
      <c r="C687" s="31" t="n">
        <f aca="false">SUMIFS(Report!$U:$U,Report!$T:$T,"MERCADORIAS P/REVENDA",Report!$AA:$AA,"SIM",Report!$C:$C,A687)</f>
        <v>0</v>
      </c>
      <c r="D687" s="32"/>
      <c r="E687" s="32"/>
      <c r="F687" s="31" t="n">
        <f aca="false">B687+C687</f>
        <v>0</v>
      </c>
    </row>
    <row r="688" customFormat="false" ht="12.75" hidden="false" customHeight="true" outlineLevel="0" collapsed="false">
      <c r="A688" s="33" t="s">
        <v>1781</v>
      </c>
      <c r="B688" s="34" t="n">
        <f aca="false">SUM(B681:B687)</f>
        <v>0</v>
      </c>
      <c r="C688" s="34" t="n">
        <f aca="false">SUM(C681:C687)</f>
        <v>0</v>
      </c>
      <c r="D688" s="35"/>
      <c r="E688" s="35"/>
      <c r="F688" s="3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0" t="n">
        <v>46627</v>
      </c>
      <c r="B693" s="31" t="n">
        <f aca="false">SUMIFS(Report!$U:$U,Report!$T:$T,"&lt;&gt;"&amp;"MERCADORIAS P/REVENDA",Report!$AA:$AA,"SIM",Report!$C:$C,A693)</f>
        <v>0</v>
      </c>
      <c r="C693" s="31" t="n">
        <f aca="false">SUMIFS(Report!$U:$U,Report!$T:$T,"MERCADORIAS P/REVENDA",Report!$AA:$AA,"SIM",Report!$C:$C,A693)</f>
        <v>0</v>
      </c>
      <c r="D693" s="32"/>
      <c r="E693" s="32"/>
      <c r="F693" s="31" t="n">
        <f aca="false">B693+C693</f>
        <v>0</v>
      </c>
    </row>
    <row r="694" customFormat="false" ht="12.75" hidden="false" customHeight="true" outlineLevel="0" collapsed="false">
      <c r="A694" s="30" t="n">
        <v>46628</v>
      </c>
      <c r="B694" s="31" t="n">
        <f aca="false">SUMIFS(Report!$U:$U,Report!$T:$T,"&lt;&gt;"&amp;"MERCADORIAS P/REVENDA",Report!$AA:$AA,"SIM",Report!$C:$C,A694)</f>
        <v>0</v>
      </c>
      <c r="C694" s="31" t="n">
        <f aca="false">SUMIFS(Report!$U:$U,Report!$T:$T,"MERCADORIAS P/REVENDA",Report!$AA:$AA,"SIM",Report!$C:$C,A694)</f>
        <v>0</v>
      </c>
      <c r="D694" s="32"/>
      <c r="E694" s="32"/>
      <c r="F694" s="31" t="n">
        <f aca="false">B694+C694</f>
        <v>0</v>
      </c>
    </row>
    <row r="695" customFormat="false" ht="12.75" hidden="false" customHeight="true" outlineLevel="0" collapsed="false">
      <c r="A695" s="30" t="n">
        <v>46629</v>
      </c>
      <c r="B695" s="31" t="n">
        <f aca="false">SUMIFS(Report!$U:$U,Report!$T:$T,"&lt;&gt;"&amp;"MERCADORIAS P/REVENDA",Report!$AA:$AA,"SIM",Report!$C:$C,A695)</f>
        <v>0</v>
      </c>
      <c r="C695" s="31" t="n">
        <f aca="false">SUMIFS(Report!$U:$U,Report!$T:$T,"MERCADORIAS P/REVENDA",Report!$AA:$AA,"SIM",Report!$C:$C,A695)</f>
        <v>0</v>
      </c>
      <c r="D695" s="32"/>
      <c r="E695" s="32"/>
      <c r="F695" s="31" t="n">
        <f aca="false">B695+C695</f>
        <v>0</v>
      </c>
    </row>
    <row r="696" customFormat="false" ht="12.75" hidden="false" customHeight="true" outlineLevel="0" collapsed="false">
      <c r="A696" s="33" t="s">
        <v>1782</v>
      </c>
      <c r="B696" s="34" t="n">
        <f aca="false">SUM(B689:B695)</f>
        <v>0</v>
      </c>
      <c r="C696" s="34" t="n">
        <f aca="false">SUM(C689:C695)</f>
        <v>0</v>
      </c>
      <c r="D696" s="35"/>
      <c r="E696" s="35"/>
      <c r="F696" s="3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0" t="n">
        <v>46634</v>
      </c>
      <c r="B701" s="31" t="n">
        <f aca="false">SUMIFS(Report!$U:$U,Report!$T:$T,"&lt;&gt;"&amp;"MERCADORIAS P/REVENDA",Report!$AA:$AA,"SIM",Report!$C:$C,A701)</f>
        <v>0</v>
      </c>
      <c r="C701" s="31" t="n">
        <f aca="false">SUMIFS(Report!$U:$U,Report!$T:$T,"MERCADORIAS P/REVENDA",Report!$AA:$AA,"SIM",Report!$C:$C,A701)</f>
        <v>0</v>
      </c>
      <c r="D701" s="32"/>
      <c r="E701" s="32"/>
      <c r="F701" s="31" t="n">
        <f aca="false">B701+C701</f>
        <v>0</v>
      </c>
    </row>
    <row r="702" customFormat="false" ht="12.75" hidden="false" customHeight="true" outlineLevel="0" collapsed="false">
      <c r="A702" s="30" t="n">
        <v>46635</v>
      </c>
      <c r="B702" s="31" t="n">
        <f aca="false">SUMIFS(Report!$U:$U,Report!$T:$T,"&lt;&gt;"&amp;"MERCADORIAS P/REVENDA",Report!$AA:$AA,"SIM",Report!$C:$C,A702)</f>
        <v>0</v>
      </c>
      <c r="C702" s="31" t="n">
        <f aca="false">SUMIFS(Report!$U:$U,Report!$T:$T,"MERCADORIAS P/REVENDA",Report!$AA:$AA,"SIM",Report!$C:$C,A702)</f>
        <v>0</v>
      </c>
      <c r="D702" s="32"/>
      <c r="E702" s="32"/>
      <c r="F702" s="31" t="n">
        <f aca="false">B702+C702</f>
        <v>0</v>
      </c>
    </row>
    <row r="703" customFormat="false" ht="12.75" hidden="false" customHeight="true" outlineLevel="0" collapsed="false">
      <c r="A703" s="30" t="n">
        <v>46636</v>
      </c>
      <c r="B703" s="31" t="n">
        <f aca="false">SUMIFS(Report!$U:$U,Report!$T:$T,"&lt;&gt;"&amp;"MERCADORIAS P/REVENDA",Report!$AA:$AA,"SIM",Report!$C:$C,A703)</f>
        <v>0</v>
      </c>
      <c r="C703" s="31" t="n">
        <f aca="false">SUMIFS(Report!$U:$U,Report!$T:$T,"MERCADORIAS P/REVENDA",Report!$AA:$AA,"SIM",Report!$C:$C,A703)</f>
        <v>0</v>
      </c>
      <c r="D703" s="32"/>
      <c r="E703" s="32"/>
      <c r="F703" s="31" t="n">
        <f aca="false">B703+C703</f>
        <v>0</v>
      </c>
    </row>
    <row r="704" customFormat="false" ht="12.75" hidden="false" customHeight="true" outlineLevel="0" collapsed="false">
      <c r="A704" s="33" t="s">
        <v>1783</v>
      </c>
      <c r="B704" s="34" t="n">
        <f aca="false">SUM(B697:B703)</f>
        <v>0</v>
      </c>
      <c r="C704" s="34" t="n">
        <f aca="false">SUM(C697:C703)</f>
        <v>0</v>
      </c>
      <c r="D704" s="35"/>
      <c r="E704" s="35"/>
      <c r="F704" s="3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0" t="n">
        <v>46641</v>
      </c>
      <c r="B709" s="31" t="n">
        <f aca="false">SUMIFS(Report!$U:$U,Report!$T:$T,"&lt;&gt;"&amp;"MERCADORIAS P/REVENDA",Report!$AA:$AA,"SIM",Report!$C:$C,A709)</f>
        <v>0</v>
      </c>
      <c r="C709" s="31" t="n">
        <f aca="false">SUMIFS(Report!$U:$U,Report!$T:$T,"MERCADORIAS P/REVENDA",Report!$AA:$AA,"SIM",Report!$C:$C,A709)</f>
        <v>0</v>
      </c>
      <c r="D709" s="32"/>
      <c r="E709" s="32"/>
      <c r="F709" s="31" t="n">
        <f aca="false">B709+C709</f>
        <v>0</v>
      </c>
    </row>
    <row r="710" customFormat="false" ht="12.75" hidden="false" customHeight="true" outlineLevel="0" collapsed="false">
      <c r="A710" s="30" t="n">
        <v>46642</v>
      </c>
      <c r="B710" s="31" t="n">
        <f aca="false">SUMIFS(Report!$U:$U,Report!$T:$T,"&lt;&gt;"&amp;"MERCADORIAS P/REVENDA",Report!$AA:$AA,"SIM",Report!$C:$C,A710)</f>
        <v>0</v>
      </c>
      <c r="C710" s="31" t="n">
        <f aca="false">SUMIFS(Report!$U:$U,Report!$T:$T,"MERCADORIAS P/REVENDA",Report!$AA:$AA,"SIM",Report!$C:$C,A710)</f>
        <v>0</v>
      </c>
      <c r="D710" s="32"/>
      <c r="E710" s="32"/>
      <c r="F710" s="31" t="n">
        <f aca="false">B710+C710</f>
        <v>0</v>
      </c>
    </row>
    <row r="711" customFormat="false" ht="12.75" hidden="false" customHeight="true" outlineLevel="0" collapsed="false">
      <c r="A711" s="30" t="n">
        <v>46643</v>
      </c>
      <c r="B711" s="31" t="n">
        <f aca="false">SUMIFS(Report!$U:$U,Report!$T:$T,"&lt;&gt;"&amp;"MERCADORIAS P/REVENDA",Report!$AA:$AA,"SIM",Report!$C:$C,A711)</f>
        <v>0</v>
      </c>
      <c r="C711" s="31" t="n">
        <f aca="false">SUMIFS(Report!$U:$U,Report!$T:$T,"MERCADORIAS P/REVENDA",Report!$AA:$AA,"SIM",Report!$C:$C,A711)</f>
        <v>0</v>
      </c>
      <c r="D711" s="32"/>
      <c r="E711" s="32"/>
      <c r="F711" s="31" t="n">
        <f aca="false">B711+C711</f>
        <v>0</v>
      </c>
    </row>
    <row r="712" customFormat="false" ht="12.75" hidden="false" customHeight="true" outlineLevel="0" collapsed="false">
      <c r="A712" s="33" t="s">
        <v>1784</v>
      </c>
      <c r="B712" s="34" t="n">
        <f aca="false">SUM(B705:B711)</f>
        <v>0</v>
      </c>
      <c r="C712" s="34" t="n">
        <f aca="false">SUM(C705:C711)</f>
        <v>0</v>
      </c>
      <c r="D712" s="35"/>
      <c r="E712" s="35"/>
      <c r="F712" s="3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0" t="n">
        <v>46648</v>
      </c>
      <c r="B717" s="31" t="n">
        <f aca="false">SUMIFS(Report!$U:$U,Report!$T:$T,"&lt;&gt;"&amp;"MERCADORIAS P/REVENDA",Report!$AA:$AA,"SIM",Report!$C:$C,A717)</f>
        <v>0</v>
      </c>
      <c r="C717" s="31" t="n">
        <f aca="false">SUMIFS(Report!$U:$U,Report!$T:$T,"MERCADORIAS P/REVENDA",Report!$AA:$AA,"SIM",Report!$C:$C,A717)</f>
        <v>0</v>
      </c>
      <c r="D717" s="32"/>
      <c r="E717" s="32"/>
      <c r="F717" s="31" t="n">
        <f aca="false">B717+C717</f>
        <v>0</v>
      </c>
    </row>
    <row r="718" customFormat="false" ht="12.75" hidden="false" customHeight="true" outlineLevel="0" collapsed="false">
      <c r="A718" s="30" t="n">
        <v>46649</v>
      </c>
      <c r="B718" s="31" t="n">
        <f aca="false">SUMIFS(Report!$U:$U,Report!$T:$T,"&lt;&gt;"&amp;"MERCADORIAS P/REVENDA",Report!$AA:$AA,"SIM",Report!$C:$C,A718)</f>
        <v>0</v>
      </c>
      <c r="C718" s="31" t="n">
        <f aca="false">SUMIFS(Report!$U:$U,Report!$T:$T,"MERCADORIAS P/REVENDA",Report!$AA:$AA,"SIM",Report!$C:$C,A718)</f>
        <v>0</v>
      </c>
      <c r="D718" s="32"/>
      <c r="E718" s="32"/>
      <c r="F718" s="31" t="n">
        <f aca="false">B718+C718</f>
        <v>0</v>
      </c>
    </row>
    <row r="719" customFormat="false" ht="12.75" hidden="false" customHeight="true" outlineLevel="0" collapsed="false">
      <c r="A719" s="30" t="n">
        <v>46650</v>
      </c>
      <c r="B719" s="31" t="n">
        <f aca="false">SUMIFS(Report!$U:$U,Report!$T:$T,"&lt;&gt;"&amp;"MERCADORIAS P/REVENDA",Report!$AA:$AA,"SIM",Report!$C:$C,A719)</f>
        <v>0</v>
      </c>
      <c r="C719" s="31" t="n">
        <f aca="false">SUMIFS(Report!$U:$U,Report!$T:$T,"MERCADORIAS P/REVENDA",Report!$AA:$AA,"SIM",Report!$C:$C,A719)</f>
        <v>0</v>
      </c>
      <c r="D719" s="32"/>
      <c r="E719" s="32"/>
      <c r="F719" s="31" t="n">
        <f aca="false">B719+C719</f>
        <v>0</v>
      </c>
    </row>
    <row r="720" customFormat="false" ht="12.75" hidden="false" customHeight="true" outlineLevel="0" collapsed="false">
      <c r="A720" s="33" t="s">
        <v>1785</v>
      </c>
      <c r="B720" s="34" t="n">
        <f aca="false">SUM(B713:B719)</f>
        <v>0</v>
      </c>
      <c r="C720" s="34" t="n">
        <f aca="false">SUM(C713:C719)</f>
        <v>0</v>
      </c>
      <c r="D720" s="35"/>
      <c r="E720" s="35"/>
      <c r="F720" s="3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0" t="n">
        <v>46655</v>
      </c>
      <c r="B725" s="31" t="n">
        <f aca="false">SUMIFS(Report!$U:$U,Report!$T:$T,"&lt;&gt;"&amp;"MERCADORIAS P/REVENDA",Report!$AA:$AA,"SIM",Report!$C:$C,A725)</f>
        <v>0</v>
      </c>
      <c r="C725" s="31" t="n">
        <f aca="false">SUMIFS(Report!$U:$U,Report!$T:$T,"MERCADORIAS P/REVENDA",Report!$AA:$AA,"SIM",Report!$C:$C,A725)</f>
        <v>0</v>
      </c>
      <c r="D725" s="32"/>
      <c r="E725" s="32"/>
      <c r="F725" s="31" t="n">
        <f aca="false">B725+C725</f>
        <v>0</v>
      </c>
    </row>
    <row r="726" customFormat="false" ht="12.75" hidden="false" customHeight="true" outlineLevel="0" collapsed="false">
      <c r="A726" s="30" t="n">
        <v>46656</v>
      </c>
      <c r="B726" s="31" t="n">
        <f aca="false">SUMIFS(Report!$U:$U,Report!$T:$T,"&lt;&gt;"&amp;"MERCADORIAS P/REVENDA",Report!$AA:$AA,"SIM",Report!$C:$C,A726)</f>
        <v>0</v>
      </c>
      <c r="C726" s="31" t="n">
        <f aca="false">SUMIFS(Report!$U:$U,Report!$T:$T,"MERCADORIAS P/REVENDA",Report!$AA:$AA,"SIM",Report!$C:$C,A726)</f>
        <v>0</v>
      </c>
      <c r="D726" s="32"/>
      <c r="E726" s="32"/>
      <c r="F726" s="31" t="n">
        <f aca="false">B726+C726</f>
        <v>0</v>
      </c>
    </row>
    <row r="727" customFormat="false" ht="12.75" hidden="false" customHeight="true" outlineLevel="0" collapsed="false">
      <c r="A727" s="30" t="n">
        <v>46657</v>
      </c>
      <c r="B727" s="31" t="n">
        <f aca="false">SUMIFS(Report!$U:$U,Report!$T:$T,"&lt;&gt;"&amp;"MERCADORIAS P/REVENDA",Report!$AA:$AA,"SIM",Report!$C:$C,A727)</f>
        <v>0</v>
      </c>
      <c r="C727" s="31" t="n">
        <f aca="false">SUMIFS(Report!$U:$U,Report!$T:$T,"MERCADORIAS P/REVENDA",Report!$AA:$AA,"SIM",Report!$C:$C,A727)</f>
        <v>0</v>
      </c>
      <c r="D727" s="32"/>
      <c r="E727" s="32"/>
      <c r="F727" s="31" t="n">
        <f aca="false">B727+C727</f>
        <v>0</v>
      </c>
    </row>
    <row r="728" customFormat="false" ht="12.75" hidden="false" customHeight="true" outlineLevel="0" collapsed="false">
      <c r="A728" s="33" t="s">
        <v>1786</v>
      </c>
      <c r="B728" s="34" t="n">
        <f aca="false">SUM(B721:B727)</f>
        <v>0</v>
      </c>
      <c r="C728" s="34" t="n">
        <f aca="false">SUM(C721:C727)</f>
        <v>0</v>
      </c>
      <c r="D728" s="35"/>
      <c r="E728" s="35"/>
      <c r="F728" s="3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0" t="n">
        <v>46662</v>
      </c>
      <c r="B733" s="31" t="n">
        <f aca="false">SUMIFS(Report!$U:$U,Report!$T:$T,"&lt;&gt;"&amp;"MERCADORIAS P/REVENDA",Report!$AA:$AA,"SIM",Report!$C:$C,A733)</f>
        <v>0</v>
      </c>
      <c r="C733" s="31" t="n">
        <f aca="false">SUMIFS(Report!$U:$U,Report!$T:$T,"MERCADORIAS P/REVENDA",Report!$AA:$AA,"SIM",Report!$C:$C,A733)</f>
        <v>0</v>
      </c>
      <c r="D733" s="32"/>
      <c r="E733" s="32"/>
      <c r="F733" s="31" t="n">
        <f aca="false">B733+C733</f>
        <v>0</v>
      </c>
    </row>
    <row r="734" customFormat="false" ht="12.75" hidden="false" customHeight="true" outlineLevel="0" collapsed="false">
      <c r="A734" s="30" t="n">
        <v>46663</v>
      </c>
      <c r="B734" s="31" t="n">
        <f aca="false">SUMIFS(Report!$U:$U,Report!$T:$T,"&lt;&gt;"&amp;"MERCADORIAS P/REVENDA",Report!$AA:$AA,"SIM",Report!$C:$C,A734)</f>
        <v>0</v>
      </c>
      <c r="C734" s="31" t="n">
        <f aca="false">SUMIFS(Report!$U:$U,Report!$T:$T,"MERCADORIAS P/REVENDA",Report!$AA:$AA,"SIM",Report!$C:$C,A734)</f>
        <v>0</v>
      </c>
      <c r="D734" s="32"/>
      <c r="E734" s="32"/>
      <c r="F734" s="31" t="n">
        <f aca="false">B734+C734</f>
        <v>0</v>
      </c>
    </row>
    <row r="735" customFormat="false" ht="12.75" hidden="false" customHeight="true" outlineLevel="0" collapsed="false">
      <c r="A735" s="30" t="n">
        <v>46664</v>
      </c>
      <c r="B735" s="31" t="n">
        <f aca="false">SUMIFS(Report!$U:$U,Report!$T:$T,"&lt;&gt;"&amp;"MERCADORIAS P/REVENDA",Report!$AA:$AA,"SIM",Report!$C:$C,A735)</f>
        <v>0</v>
      </c>
      <c r="C735" s="31" t="n">
        <f aca="false">SUMIFS(Report!$U:$U,Report!$T:$T,"MERCADORIAS P/REVENDA",Report!$AA:$AA,"SIM",Report!$C:$C,A735)</f>
        <v>0</v>
      </c>
      <c r="D735" s="32"/>
      <c r="E735" s="32"/>
      <c r="F735" s="31" t="n">
        <f aca="false">B735+C735</f>
        <v>0</v>
      </c>
    </row>
    <row r="736" customFormat="false" ht="12.75" hidden="false" customHeight="true" outlineLevel="0" collapsed="false">
      <c r="A736" s="33" t="s">
        <v>1787</v>
      </c>
      <c r="B736" s="34" t="n">
        <f aca="false">SUM(B729:B735)</f>
        <v>0</v>
      </c>
      <c r="C736" s="34" t="n">
        <f aca="false">SUM(C729:C735)</f>
        <v>0</v>
      </c>
      <c r="D736" s="35"/>
      <c r="E736" s="35"/>
      <c r="F736" s="3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0" t="n">
        <v>46669</v>
      </c>
      <c r="B741" s="31" t="n">
        <f aca="false">SUMIFS(Report!$U:$U,Report!$T:$T,"&lt;&gt;"&amp;"MERCADORIAS P/REVENDA",Report!$AA:$AA,"SIM",Report!$C:$C,A741)</f>
        <v>0</v>
      </c>
      <c r="C741" s="31" t="n">
        <f aca="false">SUMIFS(Report!$U:$U,Report!$T:$T,"MERCADORIAS P/REVENDA",Report!$AA:$AA,"SIM",Report!$C:$C,A741)</f>
        <v>0</v>
      </c>
      <c r="D741" s="32"/>
      <c r="E741" s="32"/>
      <c r="F741" s="31" t="n">
        <f aca="false">B741+C741</f>
        <v>0</v>
      </c>
    </row>
    <row r="742" customFormat="false" ht="12.75" hidden="false" customHeight="true" outlineLevel="0" collapsed="false">
      <c r="A742" s="30" t="n">
        <v>46670</v>
      </c>
      <c r="B742" s="31" t="n">
        <f aca="false">SUMIFS(Report!$U:$U,Report!$T:$T,"&lt;&gt;"&amp;"MERCADORIAS P/REVENDA",Report!$AA:$AA,"SIM",Report!$C:$C,A742)</f>
        <v>0</v>
      </c>
      <c r="C742" s="31" t="n">
        <f aca="false">SUMIFS(Report!$U:$U,Report!$T:$T,"MERCADORIAS P/REVENDA",Report!$AA:$AA,"SIM",Report!$C:$C,A742)</f>
        <v>0</v>
      </c>
      <c r="D742" s="32"/>
      <c r="E742" s="32"/>
      <c r="F742" s="31" t="n">
        <f aca="false">B742+C742</f>
        <v>0</v>
      </c>
    </row>
    <row r="743" customFormat="false" ht="12.75" hidden="false" customHeight="true" outlineLevel="0" collapsed="false">
      <c r="A743" s="30" t="n">
        <v>46671</v>
      </c>
      <c r="B743" s="31" t="n">
        <f aca="false">SUMIFS(Report!$U:$U,Report!$T:$T,"&lt;&gt;"&amp;"MERCADORIAS P/REVENDA",Report!$AA:$AA,"SIM",Report!$C:$C,A743)</f>
        <v>0</v>
      </c>
      <c r="C743" s="31" t="n">
        <f aca="false">SUMIFS(Report!$U:$U,Report!$T:$T,"MERCADORIAS P/REVENDA",Report!$AA:$AA,"SIM",Report!$C:$C,A743)</f>
        <v>0</v>
      </c>
      <c r="D743" s="32"/>
      <c r="E743" s="32"/>
      <c r="F743" s="31" t="n">
        <f aca="false">B743+C743</f>
        <v>0</v>
      </c>
    </row>
    <row r="744" customFormat="false" ht="12.75" hidden="false" customHeight="true" outlineLevel="0" collapsed="false">
      <c r="A744" s="33" t="s">
        <v>1788</v>
      </c>
      <c r="B744" s="34" t="n">
        <f aca="false">SUM(B737:B743)</f>
        <v>0</v>
      </c>
      <c r="C744" s="34" t="n">
        <f aca="false">SUM(C737:C743)</f>
        <v>0</v>
      </c>
      <c r="D744" s="35"/>
      <c r="E744" s="35"/>
      <c r="F744" s="3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0" t="n">
        <v>46676</v>
      </c>
      <c r="B749" s="31" t="n">
        <f aca="false">SUMIFS(Report!$U:$U,Report!$T:$T,"&lt;&gt;"&amp;"MERCADORIAS P/REVENDA",Report!$AA:$AA,"SIM",Report!$C:$C,A749)</f>
        <v>0</v>
      </c>
      <c r="C749" s="31" t="n">
        <f aca="false">SUMIFS(Report!$U:$U,Report!$T:$T,"MERCADORIAS P/REVENDA",Report!$AA:$AA,"SIM",Report!$C:$C,A749)</f>
        <v>0</v>
      </c>
      <c r="D749" s="32"/>
      <c r="E749" s="32"/>
      <c r="F749" s="31" t="n">
        <f aca="false">B749+C749</f>
        <v>0</v>
      </c>
    </row>
    <row r="750" customFormat="false" ht="12.75" hidden="false" customHeight="true" outlineLevel="0" collapsed="false">
      <c r="A750" s="30" t="n">
        <v>46677</v>
      </c>
      <c r="B750" s="31" t="n">
        <f aca="false">SUMIFS(Report!$U:$U,Report!$T:$T,"&lt;&gt;"&amp;"MERCADORIAS P/REVENDA",Report!$AA:$AA,"SIM",Report!$C:$C,A750)</f>
        <v>0</v>
      </c>
      <c r="C750" s="31" t="n">
        <f aca="false">SUMIFS(Report!$U:$U,Report!$T:$T,"MERCADORIAS P/REVENDA",Report!$AA:$AA,"SIM",Report!$C:$C,A750)</f>
        <v>0</v>
      </c>
      <c r="D750" s="32"/>
      <c r="E750" s="32"/>
      <c r="F750" s="31" t="n">
        <f aca="false">B750+C750</f>
        <v>0</v>
      </c>
    </row>
    <row r="751" customFormat="false" ht="12.75" hidden="false" customHeight="true" outlineLevel="0" collapsed="false">
      <c r="A751" s="30" t="n">
        <v>46678</v>
      </c>
      <c r="B751" s="31" t="n">
        <f aca="false">SUMIFS(Report!$U:$U,Report!$T:$T,"&lt;&gt;"&amp;"MERCADORIAS P/REVENDA",Report!$AA:$AA,"SIM",Report!$C:$C,A751)</f>
        <v>0</v>
      </c>
      <c r="C751" s="31" t="n">
        <f aca="false">SUMIFS(Report!$U:$U,Report!$T:$T,"MERCADORIAS P/REVENDA",Report!$AA:$AA,"SIM",Report!$C:$C,A751)</f>
        <v>0</v>
      </c>
      <c r="D751" s="32"/>
      <c r="E751" s="32"/>
      <c r="F751" s="31" t="n">
        <f aca="false">B751+C751</f>
        <v>0</v>
      </c>
    </row>
    <row r="752" customFormat="false" ht="12.75" hidden="false" customHeight="true" outlineLevel="0" collapsed="false">
      <c r="A752" s="33" t="s">
        <v>1789</v>
      </c>
      <c r="B752" s="34" t="n">
        <f aca="false">SUM(B745:B751)</f>
        <v>0</v>
      </c>
      <c r="C752" s="34" t="n">
        <f aca="false">SUM(C745:C751)</f>
        <v>0</v>
      </c>
      <c r="D752" s="35"/>
      <c r="E752" s="35"/>
      <c r="F752" s="3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0" t="n">
        <v>46683</v>
      </c>
      <c r="B757" s="31" t="n">
        <f aca="false">SUMIFS(Report!$U:$U,Report!$T:$T,"&lt;&gt;"&amp;"MERCADORIAS P/REVENDA",Report!$AA:$AA,"SIM",Report!$C:$C,A757)</f>
        <v>0</v>
      </c>
      <c r="C757" s="31" t="n">
        <f aca="false">SUMIFS(Report!$U:$U,Report!$T:$T,"MERCADORIAS P/REVENDA",Report!$AA:$AA,"SIM",Report!$C:$C,A757)</f>
        <v>0</v>
      </c>
      <c r="D757" s="32"/>
      <c r="E757" s="32"/>
      <c r="F757" s="31" t="n">
        <f aca="false">B757+C757</f>
        <v>0</v>
      </c>
    </row>
    <row r="758" customFormat="false" ht="12.75" hidden="false" customHeight="true" outlineLevel="0" collapsed="false">
      <c r="A758" s="30" t="n">
        <v>46684</v>
      </c>
      <c r="B758" s="31" t="n">
        <f aca="false">SUMIFS(Report!$U:$U,Report!$T:$T,"&lt;&gt;"&amp;"MERCADORIAS P/REVENDA",Report!$AA:$AA,"SIM",Report!$C:$C,A758)</f>
        <v>0</v>
      </c>
      <c r="C758" s="31" t="n">
        <f aca="false">SUMIFS(Report!$U:$U,Report!$T:$T,"MERCADORIAS P/REVENDA",Report!$AA:$AA,"SIM",Report!$C:$C,A758)</f>
        <v>0</v>
      </c>
      <c r="D758" s="32"/>
      <c r="E758" s="32"/>
      <c r="F758" s="31" t="n">
        <f aca="false">B758+C758</f>
        <v>0</v>
      </c>
    </row>
    <row r="759" customFormat="false" ht="12.75" hidden="false" customHeight="true" outlineLevel="0" collapsed="false">
      <c r="A759" s="30" t="n">
        <v>46685</v>
      </c>
      <c r="B759" s="31" t="n">
        <f aca="false">SUMIFS(Report!$U:$U,Report!$T:$T,"&lt;&gt;"&amp;"MERCADORIAS P/REVENDA",Report!$AA:$AA,"SIM",Report!$C:$C,A759)</f>
        <v>0</v>
      </c>
      <c r="C759" s="31" t="n">
        <f aca="false">SUMIFS(Report!$U:$U,Report!$T:$T,"MERCADORIAS P/REVENDA",Report!$AA:$AA,"SIM",Report!$C:$C,A759)</f>
        <v>0</v>
      </c>
      <c r="D759" s="32"/>
      <c r="E759" s="32"/>
      <c r="F759" s="31" t="n">
        <f aca="false">B759+C759</f>
        <v>0</v>
      </c>
    </row>
    <row r="760" customFormat="false" ht="12.75" hidden="false" customHeight="true" outlineLevel="0" collapsed="false">
      <c r="A760" s="33" t="s">
        <v>1790</v>
      </c>
      <c r="B760" s="34" t="n">
        <f aca="false">SUM(B753:B759)</f>
        <v>0</v>
      </c>
      <c r="C760" s="34" t="n">
        <f aca="false">SUM(C753:C759)</f>
        <v>0</v>
      </c>
      <c r="D760" s="35"/>
      <c r="E760" s="35"/>
      <c r="F760" s="3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0" t="n">
        <v>46690</v>
      </c>
      <c r="B765" s="31" t="n">
        <f aca="false">SUMIFS(Report!$U:$U,Report!$T:$T,"&lt;&gt;"&amp;"MERCADORIAS P/REVENDA",Report!$AA:$AA,"SIM",Report!$C:$C,A765)</f>
        <v>0</v>
      </c>
      <c r="C765" s="31" t="n">
        <f aca="false">SUMIFS(Report!$U:$U,Report!$T:$T,"MERCADORIAS P/REVENDA",Report!$AA:$AA,"SIM",Report!$C:$C,A765)</f>
        <v>0</v>
      </c>
      <c r="D765" s="32"/>
      <c r="E765" s="32"/>
      <c r="F765" s="31" t="n">
        <f aca="false">B765+C765</f>
        <v>0</v>
      </c>
    </row>
    <row r="766" customFormat="false" ht="12.75" hidden="false" customHeight="true" outlineLevel="0" collapsed="false">
      <c r="A766" s="30" t="n">
        <v>46691</v>
      </c>
      <c r="B766" s="31" t="n">
        <f aca="false">SUMIFS(Report!$U:$U,Report!$T:$T,"&lt;&gt;"&amp;"MERCADORIAS P/REVENDA",Report!$AA:$AA,"SIM",Report!$C:$C,A766)</f>
        <v>0</v>
      </c>
      <c r="C766" s="31" t="n">
        <f aca="false">SUMIFS(Report!$U:$U,Report!$T:$T,"MERCADORIAS P/REVENDA",Report!$AA:$AA,"SIM",Report!$C:$C,A766)</f>
        <v>0</v>
      </c>
      <c r="D766" s="32"/>
      <c r="E766" s="32"/>
      <c r="F766" s="31" t="n">
        <f aca="false">B766+C766</f>
        <v>0</v>
      </c>
    </row>
    <row r="767" customFormat="false" ht="12.75" hidden="false" customHeight="true" outlineLevel="0" collapsed="false">
      <c r="A767" s="30" t="n">
        <v>46692</v>
      </c>
      <c r="B767" s="31" t="n">
        <f aca="false">SUMIFS(Report!$U:$U,Report!$T:$T,"&lt;&gt;"&amp;"MERCADORIAS P/REVENDA",Report!$AA:$AA,"SIM",Report!$C:$C,A767)</f>
        <v>0</v>
      </c>
      <c r="C767" s="31" t="n">
        <f aca="false">SUMIFS(Report!$U:$U,Report!$T:$T,"MERCADORIAS P/REVENDA",Report!$AA:$AA,"SIM",Report!$C:$C,A767)</f>
        <v>0</v>
      </c>
      <c r="D767" s="32"/>
      <c r="E767" s="32"/>
      <c r="F767" s="31" t="n">
        <f aca="false">B767+C767</f>
        <v>0</v>
      </c>
    </row>
    <row r="768" customFormat="false" ht="12.75" hidden="false" customHeight="true" outlineLevel="0" collapsed="false">
      <c r="A768" s="33" t="s">
        <v>1791</v>
      </c>
      <c r="B768" s="34" t="n">
        <f aca="false">SUM(B761:B767)</f>
        <v>0</v>
      </c>
      <c r="C768" s="34" t="n">
        <f aca="false">SUM(C761:C767)</f>
        <v>0</v>
      </c>
      <c r="D768" s="35"/>
      <c r="E768" s="35"/>
      <c r="F768" s="3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0" t="n">
        <v>46697</v>
      </c>
      <c r="B773" s="31" t="n">
        <f aca="false">SUMIFS(Report!$U:$U,Report!$T:$T,"&lt;&gt;"&amp;"MERCADORIAS P/REVENDA",Report!$AA:$AA,"SIM",Report!$C:$C,A773)</f>
        <v>0</v>
      </c>
      <c r="C773" s="31" t="n">
        <f aca="false">SUMIFS(Report!$U:$U,Report!$T:$T,"MERCADORIAS P/REVENDA",Report!$AA:$AA,"SIM",Report!$C:$C,A773)</f>
        <v>0</v>
      </c>
      <c r="D773" s="32"/>
      <c r="E773" s="32"/>
      <c r="F773" s="31" t="n">
        <f aca="false">B773+C773</f>
        <v>0</v>
      </c>
    </row>
    <row r="774" customFormat="false" ht="12.75" hidden="false" customHeight="true" outlineLevel="0" collapsed="false">
      <c r="A774" s="30" t="n">
        <v>46698</v>
      </c>
      <c r="B774" s="31" t="n">
        <f aca="false">SUMIFS(Report!$U:$U,Report!$T:$T,"&lt;&gt;"&amp;"MERCADORIAS P/REVENDA",Report!$AA:$AA,"SIM",Report!$C:$C,A774)</f>
        <v>0</v>
      </c>
      <c r="C774" s="31" t="n">
        <f aca="false">SUMIFS(Report!$U:$U,Report!$T:$T,"MERCADORIAS P/REVENDA",Report!$AA:$AA,"SIM",Report!$C:$C,A774)</f>
        <v>0</v>
      </c>
      <c r="D774" s="32"/>
      <c r="E774" s="32"/>
      <c r="F774" s="31" t="n">
        <f aca="false">B774+C774</f>
        <v>0</v>
      </c>
    </row>
    <row r="775" customFormat="false" ht="12.75" hidden="false" customHeight="true" outlineLevel="0" collapsed="false">
      <c r="A775" s="30" t="n">
        <v>46699</v>
      </c>
      <c r="B775" s="31" t="n">
        <f aca="false">SUMIFS(Report!$U:$U,Report!$T:$T,"&lt;&gt;"&amp;"MERCADORIAS P/REVENDA",Report!$AA:$AA,"SIM",Report!$C:$C,A775)</f>
        <v>0</v>
      </c>
      <c r="C775" s="31" t="n">
        <f aca="false">SUMIFS(Report!$U:$U,Report!$T:$T,"MERCADORIAS P/REVENDA",Report!$AA:$AA,"SIM",Report!$C:$C,A775)</f>
        <v>0</v>
      </c>
      <c r="D775" s="32"/>
      <c r="E775" s="32"/>
      <c r="F775" s="31" t="n">
        <f aca="false">B775+C775</f>
        <v>0</v>
      </c>
    </row>
    <row r="776" customFormat="false" ht="12.75" hidden="false" customHeight="true" outlineLevel="0" collapsed="false">
      <c r="A776" s="33" t="s">
        <v>1792</v>
      </c>
      <c r="B776" s="34" t="n">
        <f aca="false">SUM(B769:B775)</f>
        <v>0</v>
      </c>
      <c r="C776" s="34" t="n">
        <f aca="false">SUM(C769:C775)</f>
        <v>0</v>
      </c>
      <c r="D776" s="35"/>
      <c r="E776" s="35"/>
      <c r="F776" s="3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0" t="n">
        <v>46704</v>
      </c>
      <c r="B781" s="31" t="n">
        <f aca="false">SUMIFS(Report!$U:$U,Report!$T:$T,"&lt;&gt;"&amp;"MERCADORIAS P/REVENDA",Report!$AA:$AA,"SIM",Report!$C:$C,A781)</f>
        <v>0</v>
      </c>
      <c r="C781" s="31" t="n">
        <f aca="false">SUMIFS(Report!$U:$U,Report!$T:$T,"MERCADORIAS P/REVENDA",Report!$AA:$AA,"SIM",Report!$C:$C,A781)</f>
        <v>0</v>
      </c>
      <c r="D781" s="32"/>
      <c r="E781" s="32"/>
      <c r="F781" s="31" t="n">
        <f aca="false">B781+C781</f>
        <v>0</v>
      </c>
    </row>
    <row r="782" customFormat="false" ht="12.75" hidden="false" customHeight="true" outlineLevel="0" collapsed="false">
      <c r="A782" s="30" t="n">
        <v>46705</v>
      </c>
      <c r="B782" s="31" t="n">
        <f aca="false">SUMIFS(Report!$U:$U,Report!$T:$T,"&lt;&gt;"&amp;"MERCADORIAS P/REVENDA",Report!$AA:$AA,"SIM",Report!$C:$C,A782)</f>
        <v>0</v>
      </c>
      <c r="C782" s="31" t="n">
        <f aca="false">SUMIFS(Report!$U:$U,Report!$T:$T,"MERCADORIAS P/REVENDA",Report!$AA:$AA,"SIM",Report!$C:$C,A782)</f>
        <v>0</v>
      </c>
      <c r="D782" s="32"/>
      <c r="E782" s="32"/>
      <c r="F782" s="31" t="n">
        <f aca="false">B782+C782</f>
        <v>0</v>
      </c>
    </row>
    <row r="783" customFormat="false" ht="12.75" hidden="false" customHeight="true" outlineLevel="0" collapsed="false">
      <c r="A783" s="30" t="n">
        <v>46706</v>
      </c>
      <c r="B783" s="31" t="n">
        <f aca="false">SUMIFS(Report!$U:$U,Report!$T:$T,"&lt;&gt;"&amp;"MERCADORIAS P/REVENDA",Report!$AA:$AA,"SIM",Report!$C:$C,A783)</f>
        <v>0</v>
      </c>
      <c r="C783" s="31" t="n">
        <f aca="false">SUMIFS(Report!$U:$U,Report!$T:$T,"MERCADORIAS P/REVENDA",Report!$AA:$AA,"SIM",Report!$C:$C,A783)</f>
        <v>0</v>
      </c>
      <c r="D783" s="32"/>
      <c r="E783" s="32"/>
      <c r="F783" s="31" t="n">
        <f aca="false">B783+C783</f>
        <v>0</v>
      </c>
    </row>
    <row r="784" customFormat="false" ht="12.75" hidden="false" customHeight="true" outlineLevel="0" collapsed="false">
      <c r="A784" s="33" t="s">
        <v>1793</v>
      </c>
      <c r="B784" s="34" t="n">
        <f aca="false">SUM(B777:B783)</f>
        <v>0</v>
      </c>
      <c r="C784" s="34" t="n">
        <f aca="false">SUM(C777:C783)</f>
        <v>0</v>
      </c>
      <c r="D784" s="35"/>
      <c r="E784" s="35"/>
      <c r="F784" s="3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0" t="n">
        <v>46711</v>
      </c>
      <c r="B789" s="31" t="n">
        <f aca="false">SUMIFS(Report!$U:$U,Report!$T:$T,"&lt;&gt;"&amp;"MERCADORIAS P/REVENDA",Report!$AA:$AA,"SIM",Report!$C:$C,A789)</f>
        <v>0</v>
      </c>
      <c r="C789" s="31" t="n">
        <f aca="false">SUMIFS(Report!$U:$U,Report!$T:$T,"MERCADORIAS P/REVENDA",Report!$AA:$AA,"SIM",Report!$C:$C,A789)</f>
        <v>0</v>
      </c>
      <c r="D789" s="32"/>
      <c r="E789" s="32"/>
      <c r="F789" s="31" t="n">
        <f aca="false">B789+C789</f>
        <v>0</v>
      </c>
    </row>
    <row r="790" customFormat="false" ht="12.75" hidden="false" customHeight="true" outlineLevel="0" collapsed="false">
      <c r="A790" s="30" t="n">
        <v>46712</v>
      </c>
      <c r="B790" s="31" t="n">
        <f aca="false">SUMIFS(Report!$U:$U,Report!$T:$T,"&lt;&gt;"&amp;"MERCADORIAS P/REVENDA",Report!$AA:$AA,"SIM",Report!$C:$C,A790)</f>
        <v>0</v>
      </c>
      <c r="C790" s="31" t="n">
        <f aca="false">SUMIFS(Report!$U:$U,Report!$T:$T,"MERCADORIAS P/REVENDA",Report!$AA:$AA,"SIM",Report!$C:$C,A790)</f>
        <v>0</v>
      </c>
      <c r="D790" s="32"/>
      <c r="E790" s="32"/>
      <c r="F790" s="31" t="n">
        <f aca="false">B790+C790</f>
        <v>0</v>
      </c>
    </row>
    <row r="791" customFormat="false" ht="12.75" hidden="false" customHeight="true" outlineLevel="0" collapsed="false">
      <c r="A791" s="30" t="n">
        <v>46713</v>
      </c>
      <c r="B791" s="31" t="n">
        <f aca="false">SUMIFS(Report!$U:$U,Report!$T:$T,"&lt;&gt;"&amp;"MERCADORIAS P/REVENDA",Report!$AA:$AA,"SIM",Report!$C:$C,A791)</f>
        <v>0</v>
      </c>
      <c r="C791" s="31" t="n">
        <f aca="false">SUMIFS(Report!$U:$U,Report!$T:$T,"MERCADORIAS P/REVENDA",Report!$AA:$AA,"SIM",Report!$C:$C,A791)</f>
        <v>0</v>
      </c>
      <c r="D791" s="32"/>
      <c r="E791" s="32"/>
      <c r="F791" s="31" t="n">
        <f aca="false">B791+C791</f>
        <v>0</v>
      </c>
    </row>
    <row r="792" customFormat="false" ht="12.75" hidden="false" customHeight="true" outlineLevel="0" collapsed="false">
      <c r="A792" s="33" t="s">
        <v>1794</v>
      </c>
      <c r="B792" s="34" t="n">
        <f aca="false">SUM(B785:B791)</f>
        <v>0</v>
      </c>
      <c r="C792" s="34" t="n">
        <f aca="false">SUM(C785:C791)</f>
        <v>0</v>
      </c>
      <c r="D792" s="35"/>
      <c r="E792" s="35"/>
      <c r="F792" s="3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0" t="n">
        <v>46718</v>
      </c>
      <c r="B797" s="31" t="n">
        <f aca="false">SUMIFS(Report!$U:$U,Report!$T:$T,"&lt;&gt;"&amp;"MERCADORIAS P/REVENDA",Report!$AA:$AA,"SIM",Report!$C:$C,A797)</f>
        <v>0</v>
      </c>
      <c r="C797" s="31" t="n">
        <f aca="false">SUMIFS(Report!$U:$U,Report!$T:$T,"MERCADORIAS P/REVENDA",Report!$AA:$AA,"SIM",Report!$C:$C,A797)</f>
        <v>0</v>
      </c>
      <c r="D797" s="32"/>
      <c r="E797" s="32"/>
      <c r="F797" s="31" t="n">
        <f aca="false">B797+C797</f>
        <v>0</v>
      </c>
    </row>
    <row r="798" customFormat="false" ht="12.75" hidden="false" customHeight="true" outlineLevel="0" collapsed="false">
      <c r="A798" s="30" t="n">
        <v>46719</v>
      </c>
      <c r="B798" s="31" t="n">
        <f aca="false">SUMIFS(Report!$U:$U,Report!$T:$T,"&lt;&gt;"&amp;"MERCADORIAS P/REVENDA",Report!$AA:$AA,"SIM",Report!$C:$C,A798)</f>
        <v>0</v>
      </c>
      <c r="C798" s="31" t="n">
        <f aca="false">SUMIFS(Report!$U:$U,Report!$T:$T,"MERCADORIAS P/REVENDA",Report!$AA:$AA,"SIM",Report!$C:$C,A798)</f>
        <v>0</v>
      </c>
      <c r="D798" s="32"/>
      <c r="E798" s="32"/>
      <c r="F798" s="31" t="n">
        <f aca="false">B798+C798</f>
        <v>0</v>
      </c>
    </row>
    <row r="799" customFormat="false" ht="12.75" hidden="false" customHeight="true" outlineLevel="0" collapsed="false">
      <c r="A799" s="30" t="n">
        <v>46720</v>
      </c>
      <c r="B799" s="31" t="n">
        <f aca="false">SUMIFS(Report!$U:$U,Report!$T:$T,"&lt;&gt;"&amp;"MERCADORIAS P/REVENDA",Report!$AA:$AA,"SIM",Report!$C:$C,A799)</f>
        <v>0</v>
      </c>
      <c r="C799" s="31" t="n">
        <f aca="false">SUMIFS(Report!$U:$U,Report!$T:$T,"MERCADORIAS P/REVENDA",Report!$AA:$AA,"SIM",Report!$C:$C,A799)</f>
        <v>0</v>
      </c>
      <c r="D799" s="32"/>
      <c r="E799" s="32"/>
      <c r="F799" s="31" t="n">
        <f aca="false">B799+C799</f>
        <v>0</v>
      </c>
    </row>
    <row r="800" customFormat="false" ht="12.75" hidden="false" customHeight="true" outlineLevel="0" collapsed="false">
      <c r="A800" s="33" t="s">
        <v>1795</v>
      </c>
      <c r="B800" s="34" t="n">
        <f aca="false">SUM(B793:B799)</f>
        <v>0</v>
      </c>
      <c r="C800" s="34" t="n">
        <f aca="false">SUM(C793:C799)</f>
        <v>0</v>
      </c>
      <c r="D800" s="35"/>
      <c r="E800" s="35"/>
      <c r="F800" s="3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0" t="n">
        <v>46725</v>
      </c>
      <c r="B805" s="31" t="n">
        <f aca="false">SUMIFS(Report!$U:$U,Report!$T:$T,"&lt;&gt;"&amp;"MERCADORIAS P/REVENDA",Report!$AA:$AA,"SIM",Report!$C:$C,A805)</f>
        <v>0</v>
      </c>
      <c r="C805" s="31" t="n">
        <f aca="false">SUMIFS(Report!$U:$U,Report!$T:$T,"MERCADORIAS P/REVENDA",Report!$AA:$AA,"SIM",Report!$C:$C,A805)</f>
        <v>0</v>
      </c>
      <c r="D805" s="32"/>
      <c r="E805" s="32"/>
      <c r="F805" s="31" t="n">
        <f aca="false">B805+C805</f>
        <v>0</v>
      </c>
    </row>
    <row r="806" customFormat="false" ht="12.75" hidden="false" customHeight="true" outlineLevel="0" collapsed="false">
      <c r="A806" s="30" t="n">
        <v>46726</v>
      </c>
      <c r="B806" s="31" t="n">
        <f aca="false">SUMIFS(Report!$U:$U,Report!$T:$T,"&lt;&gt;"&amp;"MERCADORIAS P/REVENDA",Report!$AA:$AA,"SIM",Report!$C:$C,A806)</f>
        <v>0</v>
      </c>
      <c r="C806" s="31" t="n">
        <f aca="false">SUMIFS(Report!$U:$U,Report!$T:$T,"MERCADORIAS P/REVENDA",Report!$AA:$AA,"SIM",Report!$C:$C,A806)</f>
        <v>0</v>
      </c>
      <c r="D806" s="32"/>
      <c r="E806" s="32"/>
      <c r="F806" s="31" t="n">
        <f aca="false">B806+C806</f>
        <v>0</v>
      </c>
    </row>
    <row r="807" customFormat="false" ht="12.75" hidden="false" customHeight="true" outlineLevel="0" collapsed="false">
      <c r="A807" s="30" t="n">
        <v>46727</v>
      </c>
      <c r="B807" s="31" t="n">
        <f aca="false">SUMIFS(Report!$U:$U,Report!$T:$T,"&lt;&gt;"&amp;"MERCADORIAS P/REVENDA",Report!$AA:$AA,"SIM",Report!$C:$C,A807)</f>
        <v>0</v>
      </c>
      <c r="C807" s="31" t="n">
        <f aca="false">SUMIFS(Report!$U:$U,Report!$T:$T,"MERCADORIAS P/REVENDA",Report!$AA:$AA,"SIM",Report!$C:$C,A807)</f>
        <v>0</v>
      </c>
      <c r="D807" s="32"/>
      <c r="E807" s="32"/>
      <c r="F807" s="31" t="n">
        <f aca="false">B807+C807</f>
        <v>0</v>
      </c>
    </row>
    <row r="808" customFormat="false" ht="12.75" hidden="false" customHeight="true" outlineLevel="0" collapsed="false">
      <c r="A808" s="33" t="s">
        <v>1796</v>
      </c>
      <c r="B808" s="34" t="n">
        <f aca="false">SUM(B801:B807)</f>
        <v>0</v>
      </c>
      <c r="C808" s="34" t="n">
        <f aca="false">SUM(C801:C807)</f>
        <v>0</v>
      </c>
      <c r="D808" s="35"/>
      <c r="E808" s="35"/>
      <c r="F808" s="3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0" t="n">
        <v>46732</v>
      </c>
      <c r="B813" s="31" t="n">
        <f aca="false">SUMIFS(Report!$U:$U,Report!$T:$T,"&lt;&gt;"&amp;"MERCADORIAS P/REVENDA",Report!$AA:$AA,"SIM",Report!$C:$C,A813)</f>
        <v>0</v>
      </c>
      <c r="C813" s="31" t="n">
        <f aca="false">SUMIFS(Report!$U:$U,Report!$T:$T,"MERCADORIAS P/REVENDA",Report!$AA:$AA,"SIM",Report!$C:$C,A813)</f>
        <v>0</v>
      </c>
      <c r="D813" s="32"/>
      <c r="E813" s="32"/>
      <c r="F813" s="31" t="n">
        <f aca="false">B813+C813</f>
        <v>0</v>
      </c>
    </row>
    <row r="814" customFormat="false" ht="12.75" hidden="false" customHeight="true" outlineLevel="0" collapsed="false">
      <c r="A814" s="30" t="n">
        <v>46733</v>
      </c>
      <c r="B814" s="31" t="n">
        <f aca="false">SUMIFS(Report!$U:$U,Report!$T:$T,"&lt;&gt;"&amp;"MERCADORIAS P/REVENDA",Report!$AA:$AA,"SIM",Report!$C:$C,A814)</f>
        <v>0</v>
      </c>
      <c r="C814" s="31" t="n">
        <f aca="false">SUMIFS(Report!$U:$U,Report!$T:$T,"MERCADORIAS P/REVENDA",Report!$AA:$AA,"SIM",Report!$C:$C,A814)</f>
        <v>0</v>
      </c>
      <c r="D814" s="32"/>
      <c r="E814" s="32"/>
      <c r="F814" s="31" t="n">
        <f aca="false">B814+C814</f>
        <v>0</v>
      </c>
    </row>
    <row r="815" customFormat="false" ht="12.75" hidden="false" customHeight="true" outlineLevel="0" collapsed="false">
      <c r="A815" s="30" t="n">
        <v>46734</v>
      </c>
      <c r="B815" s="31" t="n">
        <f aca="false">SUMIFS(Report!$U:$U,Report!$T:$T,"&lt;&gt;"&amp;"MERCADORIAS P/REVENDA",Report!$AA:$AA,"SIM",Report!$C:$C,A815)</f>
        <v>0</v>
      </c>
      <c r="C815" s="31" t="n">
        <f aca="false">SUMIFS(Report!$U:$U,Report!$T:$T,"MERCADORIAS P/REVENDA",Report!$AA:$AA,"SIM",Report!$C:$C,A815)</f>
        <v>0</v>
      </c>
      <c r="D815" s="32"/>
      <c r="E815" s="32"/>
      <c r="F815" s="31" t="n">
        <f aca="false">B815+C815</f>
        <v>0</v>
      </c>
    </row>
    <row r="816" customFormat="false" ht="12.75" hidden="false" customHeight="true" outlineLevel="0" collapsed="false">
      <c r="A816" s="33" t="s">
        <v>1797</v>
      </c>
      <c r="B816" s="34" t="n">
        <f aca="false">SUM(B809:B815)</f>
        <v>0</v>
      </c>
      <c r="C816" s="34" t="n">
        <f aca="false">SUM(C809:C815)</f>
        <v>0</v>
      </c>
      <c r="D816" s="35"/>
      <c r="E816" s="35"/>
      <c r="F816" s="3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0" t="n">
        <v>46739</v>
      </c>
      <c r="B821" s="31" t="n">
        <f aca="false">SUMIFS(Report!$U:$U,Report!$T:$T,"&lt;&gt;"&amp;"MERCADORIAS P/REVENDA",Report!$AA:$AA,"SIM",Report!$C:$C,A821)</f>
        <v>0</v>
      </c>
      <c r="C821" s="31" t="n">
        <f aca="false">SUMIFS(Report!$U:$U,Report!$T:$T,"MERCADORIAS P/REVENDA",Report!$AA:$AA,"SIM",Report!$C:$C,A821)</f>
        <v>0</v>
      </c>
      <c r="D821" s="32"/>
      <c r="E821" s="32"/>
      <c r="F821" s="31" t="n">
        <f aca="false">B821+C821</f>
        <v>0</v>
      </c>
    </row>
    <row r="822" customFormat="false" ht="12.75" hidden="false" customHeight="true" outlineLevel="0" collapsed="false">
      <c r="A822" s="30" t="n">
        <v>46740</v>
      </c>
      <c r="B822" s="31" t="n">
        <f aca="false">SUMIFS(Report!$U:$U,Report!$T:$T,"&lt;&gt;"&amp;"MERCADORIAS P/REVENDA",Report!$AA:$AA,"SIM",Report!$C:$C,A822)</f>
        <v>0</v>
      </c>
      <c r="C822" s="31" t="n">
        <f aca="false">SUMIFS(Report!$U:$U,Report!$T:$T,"MERCADORIAS P/REVENDA",Report!$AA:$AA,"SIM",Report!$C:$C,A822)</f>
        <v>0</v>
      </c>
      <c r="D822" s="32"/>
      <c r="E822" s="32"/>
      <c r="F822" s="31" t="n">
        <f aca="false">B822+C822</f>
        <v>0</v>
      </c>
    </row>
    <row r="823" customFormat="false" ht="12.75" hidden="false" customHeight="true" outlineLevel="0" collapsed="false">
      <c r="A823" s="30" t="n">
        <v>46741</v>
      </c>
      <c r="B823" s="31" t="n">
        <f aca="false">SUMIFS(Report!$U:$U,Report!$T:$T,"&lt;&gt;"&amp;"MERCADORIAS P/REVENDA",Report!$AA:$AA,"SIM",Report!$C:$C,A823)</f>
        <v>0</v>
      </c>
      <c r="C823" s="31" t="n">
        <f aca="false">SUMIFS(Report!$U:$U,Report!$T:$T,"MERCADORIAS P/REVENDA",Report!$AA:$AA,"SIM",Report!$C:$C,A823)</f>
        <v>0</v>
      </c>
      <c r="D823" s="32"/>
      <c r="E823" s="32"/>
      <c r="F823" s="31" t="n">
        <f aca="false">B823+C823</f>
        <v>0</v>
      </c>
    </row>
    <row r="824" customFormat="false" ht="12.75" hidden="false" customHeight="true" outlineLevel="0" collapsed="false">
      <c r="A824" s="33" t="s">
        <v>1798</v>
      </c>
      <c r="B824" s="34" t="n">
        <f aca="false">SUM(B817:B823)</f>
        <v>0</v>
      </c>
      <c r="C824" s="34" t="n">
        <f aca="false">SUM(C817:C823)</f>
        <v>0</v>
      </c>
      <c r="D824" s="35"/>
      <c r="E824" s="35"/>
      <c r="F824" s="3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0" t="n">
        <v>46746</v>
      </c>
      <c r="B829" s="31" t="n">
        <f aca="false">SUMIFS(Report!$U:$U,Report!$T:$T,"&lt;&gt;"&amp;"MERCADORIAS P/REVENDA",Report!$AA:$AA,"SIM",Report!$C:$C,A829)</f>
        <v>0</v>
      </c>
      <c r="C829" s="31" t="n">
        <f aca="false">SUMIFS(Report!$U:$U,Report!$T:$T,"MERCADORIAS P/REVENDA",Report!$AA:$AA,"SIM",Report!$C:$C,A829)</f>
        <v>0</v>
      </c>
      <c r="D829" s="32"/>
      <c r="E829" s="32"/>
      <c r="F829" s="31" t="n">
        <f aca="false">B829+C829</f>
        <v>0</v>
      </c>
    </row>
    <row r="830" customFormat="false" ht="12.75" hidden="false" customHeight="true" outlineLevel="0" collapsed="false">
      <c r="A830" s="30" t="n">
        <v>46747</v>
      </c>
      <c r="B830" s="31" t="n">
        <f aca="false">SUMIFS(Report!$U:$U,Report!$T:$T,"&lt;&gt;"&amp;"MERCADORIAS P/REVENDA",Report!$AA:$AA,"SIM",Report!$C:$C,A830)</f>
        <v>0</v>
      </c>
      <c r="C830" s="31" t="n">
        <f aca="false">SUMIFS(Report!$U:$U,Report!$T:$T,"MERCADORIAS P/REVENDA",Report!$AA:$AA,"SIM",Report!$C:$C,A830)</f>
        <v>0</v>
      </c>
      <c r="D830" s="32"/>
      <c r="E830" s="32"/>
      <c r="F830" s="31" t="n">
        <f aca="false">B830+C830</f>
        <v>0</v>
      </c>
    </row>
    <row r="831" customFormat="false" ht="12.75" hidden="false" customHeight="true" outlineLevel="0" collapsed="false">
      <c r="A831" s="30" t="n">
        <v>46748</v>
      </c>
      <c r="B831" s="31" t="n">
        <f aca="false">SUMIFS(Report!$U:$U,Report!$T:$T,"&lt;&gt;"&amp;"MERCADORIAS P/REVENDA",Report!$AA:$AA,"SIM",Report!$C:$C,A831)</f>
        <v>0</v>
      </c>
      <c r="C831" s="31" t="n">
        <f aca="false">SUMIFS(Report!$U:$U,Report!$T:$T,"MERCADORIAS P/REVENDA",Report!$AA:$AA,"SIM",Report!$C:$C,A831)</f>
        <v>0</v>
      </c>
      <c r="D831" s="32"/>
      <c r="E831" s="32"/>
      <c r="F831" s="31" t="n">
        <f aca="false">B831+C831</f>
        <v>0</v>
      </c>
    </row>
    <row r="832" customFormat="false" ht="12.75" hidden="false" customHeight="true" outlineLevel="0" collapsed="false">
      <c r="A832" s="33" t="s">
        <v>1799</v>
      </c>
      <c r="B832" s="34" t="n">
        <f aca="false">SUM(B825:B831)</f>
        <v>0</v>
      </c>
      <c r="C832" s="34" t="n">
        <f aca="false">SUM(C825:C831)</f>
        <v>0</v>
      </c>
      <c r="D832" s="35"/>
      <c r="E832" s="35"/>
      <c r="F832" s="3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3" t="s">
        <v>1800</v>
      </c>
      <c r="B837" s="34" t="n">
        <f aca="false">SUM(B833:B836)</f>
        <v>0</v>
      </c>
      <c r="C837" s="34" t="n">
        <f aca="false">SUM(C833:C836)</f>
        <v>0</v>
      </c>
      <c r="D837" s="35"/>
      <c r="E837" s="35"/>
      <c r="F837" s="3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6" t="s">
        <v>1801</v>
      </c>
      <c r="B1" s="36"/>
      <c r="C1" s="36"/>
      <c r="D1" s="36"/>
    </row>
    <row r="2" customFormat="false" ht="12.75" hidden="false" customHeight="true" outlineLevel="0" collapsed="false">
      <c r="A2" s="37" t="s">
        <v>1802</v>
      </c>
      <c r="B2" s="37"/>
      <c r="C2" s="37"/>
      <c r="D2" s="37"/>
    </row>
    <row r="4" customFormat="false" ht="13.5" hidden="false" customHeight="true" outlineLevel="0" collapsed="false">
      <c r="A4" s="38" t="s">
        <v>1803</v>
      </c>
      <c r="B4" s="38" t="s">
        <v>1804</v>
      </c>
      <c r="C4" s="38" t="s">
        <v>1805</v>
      </c>
    </row>
    <row r="5" customFormat="false" ht="12.75" hidden="false" customHeight="true" outlineLevel="0" collapsed="false">
      <c r="A5" s="39" t="s">
        <v>1649</v>
      </c>
      <c r="B5" s="39" t="n">
        <v>2026</v>
      </c>
      <c r="C5" s="40" t="n">
        <v>1144889.69</v>
      </c>
    </row>
    <row r="6" customFormat="false" ht="12.75" hidden="false" customHeight="true" outlineLevel="0" collapsed="false">
      <c r="A6" s="39" t="s">
        <v>1650</v>
      </c>
      <c r="B6" s="39" t="n">
        <v>2026</v>
      </c>
      <c r="C6" s="40" t="n">
        <v>1033395.35</v>
      </c>
    </row>
    <row r="7" customFormat="false" ht="12.75" hidden="false" customHeight="true" outlineLevel="0" collapsed="false">
      <c r="A7" s="39" t="s">
        <v>1651</v>
      </c>
      <c r="B7" s="39" t="n">
        <v>2026</v>
      </c>
      <c r="C7" s="40" t="n">
        <v>1144493.82</v>
      </c>
    </row>
    <row r="8" customFormat="false" ht="12.75" hidden="false" customHeight="true" outlineLevel="0" collapsed="false">
      <c r="A8" s="39" t="s">
        <v>1652</v>
      </c>
      <c r="B8" s="39" t="n">
        <v>2026</v>
      </c>
      <c r="C8" s="40" t="n">
        <v>1122494.94</v>
      </c>
    </row>
    <row r="9" customFormat="false" ht="12.75" hidden="false" customHeight="true" outlineLevel="0" collapsed="false">
      <c r="A9" s="39" t="s">
        <v>1653</v>
      </c>
      <c r="B9" s="39" t="n">
        <v>2026</v>
      </c>
      <c r="C9" s="40" t="n">
        <v>1211481.58</v>
      </c>
    </row>
    <row r="10" customFormat="false" ht="12.75" hidden="false" customHeight="true" outlineLevel="0" collapsed="false">
      <c r="A10" s="39" t="s">
        <v>1654</v>
      </c>
      <c r="B10" s="39" t="n">
        <v>2026</v>
      </c>
      <c r="C10" s="40" t="n">
        <v>1183261.6</v>
      </c>
    </row>
    <row r="11" customFormat="false" ht="12.75" hidden="false" customHeight="true" outlineLevel="0" collapsed="false">
      <c r="A11" s="39" t="s">
        <v>1655</v>
      </c>
      <c r="B11" s="39" t="n">
        <v>2026</v>
      </c>
      <c r="C11" s="40" t="n">
        <v>1013603.34</v>
      </c>
    </row>
    <row r="12" customFormat="false" ht="13.5" hidden="false" customHeight="true" outlineLevel="0" collapsed="false">
      <c r="A12" s="39" t="s">
        <v>1656</v>
      </c>
      <c r="B12" s="39" t="n">
        <v>2026</v>
      </c>
      <c r="C12" s="41" t="n">
        <v>0</v>
      </c>
    </row>
    <row r="13" customFormat="false" ht="13.5" hidden="false" customHeight="true" outlineLevel="0" collapsed="false">
      <c r="A13" s="39" t="s">
        <v>1657</v>
      </c>
      <c r="B13" s="39" t="n">
        <v>2026</v>
      </c>
      <c r="C13" s="41" t="n">
        <v>0</v>
      </c>
    </row>
    <row r="14" customFormat="false" ht="13.5" hidden="false" customHeight="true" outlineLevel="0" collapsed="false">
      <c r="A14" s="39" t="s">
        <v>1658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1659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1660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1806</v>
      </c>
      <c r="B18" s="42"/>
      <c r="C18" s="43" t="n">
        <v>46230</v>
      </c>
    </row>
    <row r="20" customFormat="false" ht="12.75" hidden="false" customHeight="true" outlineLevel="0" collapsed="false">
      <c r="A20" s="37" t="s">
        <v>1807</v>
      </c>
      <c r="B20" s="37"/>
      <c r="C20" s="37"/>
      <c r="D20" s="37"/>
      <c r="E20" s="37"/>
      <c r="F20" s="37"/>
      <c r="G20" s="37"/>
      <c r="H20" s="37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4" t="s">
        <v>1808</v>
      </c>
    </row>
    <row r="3" customFormat="false" ht="12.75" hidden="false" customHeight="true" outlineLevel="0" collapsed="false">
      <c r="A3" s="25" t="s">
        <v>1809</v>
      </c>
      <c r="E3" s="45" t="n">
        <v>0.8584</v>
      </c>
      <c r="F3" s="1" t="s">
        <v>1810</v>
      </c>
    </row>
    <row r="6" customFormat="false" ht="12.75" hidden="false" customHeight="true" outlineLevel="0" collapsed="false">
      <c r="A6" s="26" t="s">
        <v>1803</v>
      </c>
      <c r="B6" s="23" t="s">
        <v>1811</v>
      </c>
      <c r="C6" s="23" t="s">
        <v>1812</v>
      </c>
      <c r="D6" s="23" t="s">
        <v>1813</v>
      </c>
      <c r="E6" s="23" t="s">
        <v>1814</v>
      </c>
    </row>
    <row r="7" customFormat="false" ht="12.75" hidden="false" customHeight="true" outlineLevel="0" collapsed="false">
      <c r="A7" s="25" t="s">
        <v>1649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1650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1651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1652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1653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1654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96773.14</v>
      </c>
      <c r="E12" s="17" t="n">
        <f aca="false">IF(AND(ISNUMBER(C12),D12&gt;0),D12-C12,"")</f>
        <v>-943162.648272</v>
      </c>
    </row>
    <row r="13" customFormat="false" ht="12.75" hidden="false" customHeight="true" outlineLevel="0" collapsed="false">
      <c r="A13" s="25" t="s">
        <v>1655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907315.63</v>
      </c>
      <c r="E13" s="17" t="n">
        <f aca="false">IF(AND(ISNUMBER(C13),D13&gt;0),D13-C13,"")</f>
        <v>-108396.12744</v>
      </c>
    </row>
    <row r="14" customFormat="false" ht="12.75" hidden="false" customHeight="true" outlineLevel="0" collapsed="false">
      <c r="A14" s="25" t="s">
        <v>1656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397935.03</v>
      </c>
      <c r="E14" s="17" t="n">
        <f aca="false">IF(AND(ISNUMBER(C14),D14&gt;0),D14-C14,"")</f>
        <v>-472142.077056</v>
      </c>
    </row>
    <row r="15" customFormat="false" ht="12.75" hidden="false" customHeight="true" outlineLevel="0" collapsed="false">
      <c r="A15" s="25" t="s">
        <v>1657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30624.17</v>
      </c>
      <c r="E15" s="17" t="n">
        <f aca="false">IF(AND(ISNUMBER(C15),D15&gt;0),D15-C15,"")</f>
        <v>30624.17</v>
      </c>
    </row>
    <row r="16" customFormat="false" ht="12.75" hidden="false" customHeight="true" outlineLevel="0" collapsed="false">
      <c r="A16" s="25" t="s">
        <v>1658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1659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1660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1673</v>
      </c>
      <c r="B19" s="24" t="n">
        <f aca="false">SUM(B7:B18)</f>
        <v>7853620.32</v>
      </c>
      <c r="C19" s="24" t="n">
        <f aca="false">SUM(C7:C18)</f>
        <v>6741547.682688</v>
      </c>
      <c r="D19" s="24" t="n">
        <f aca="false">SUM(D7:D18)</f>
        <v>1432647.97</v>
      </c>
      <c r="E19" s="24" t="n">
        <f aca="false">IF(COUNT(E7:E18)=0,"sem dados comparaveis ainda",SUM(E7:E18))</f>
        <v>-1493076.682768</v>
      </c>
    </row>
    <row r="21" customFormat="false" ht="12.75" hidden="false" customHeight="true" outlineLevel="0" collapsed="false">
      <c r="A21" s="25" t="s">
        <v>1815</v>
      </c>
    </row>
    <row r="23" customFormat="false" ht="12.75" hidden="false" customHeight="true" outlineLevel="0" collapsed="false">
      <c r="A23" s="25" t="s">
        <v>1816</v>
      </c>
    </row>
    <row r="25" customFormat="false" ht="12.75" hidden="false" customHeight="true" outlineLevel="0" collapsed="false">
      <c r="A25" s="25" t="s">
        <v>1817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1818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/>
  <dc:description/>
  <dc:language>pt-BR</dc:language>
  <cp:lastModifiedBy>Mercadinho</cp:lastModifiedBy>
  <dcterms:modified xsi:type="dcterms:W3CDTF">2026-08-05T17:27:07Z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